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6" windowHeight="7320" tabRatio="600" firstSheet="0" activeTab="2" autoFilterDateGrouping="1"/>
  </bookViews>
  <sheets>
    <sheet xmlns:r="http://schemas.openxmlformats.org/officeDocument/2006/relationships" name="ENGRAIS" sheetId="1" state="visible" r:id="rId1"/>
    <sheet xmlns:r="http://schemas.openxmlformats.org/officeDocument/2006/relationships" name="PHOSPHATE" sheetId="2" state="visible" r:id="rId2"/>
    <sheet xmlns:r="http://schemas.openxmlformats.org/officeDocument/2006/relationships" name="APP" sheetId="3" state="visible" r:id="rId3"/>
    <sheet xmlns:r="http://schemas.openxmlformats.org/officeDocument/2006/relationships" name="ACP" sheetId="4" state="visible" r:id="rId4"/>
    <sheet xmlns:r="http://schemas.openxmlformats.org/officeDocument/2006/relationships" name="MARSA MAROC" sheetId="5" state="visible" r:id="rId5"/>
  </sheets>
  <definedNames>
    <definedName name="_xlnm._FilterDatabase" localSheetId="0" hidden="1">'ENGRAIS'!$A$1:$CQ$576</definedName>
    <definedName name="_xlnm._FilterDatabase" localSheetId="3" hidden="1">'ACP'!$A$1:$BX$44</definedName>
  </definedNames>
  <calcPr calcId="152511" fullCalcOnLoad="1"/>
</workbook>
</file>

<file path=xl/styles.xml><?xml version="1.0" encoding="utf-8"?>
<styleSheet xmlns="http://schemas.openxmlformats.org/spreadsheetml/2006/main">
  <numFmts count="9">
    <numFmt numFmtId="164" formatCode="_-* #,##0_-;\-* #,##0_-;_-* &quot;-&quot;??_-;_-@_-"/>
    <numFmt numFmtId="165" formatCode="_-* #,##0.000_-;\-* #,##0.000_-;_-* &quot;-&quot;??_-;_-@_-"/>
    <numFmt numFmtId="166" formatCode="_-* #,##0.00_-;\-* #,##0.00_-;_-* &quot;-&quot;??_-;_-@_-"/>
    <numFmt numFmtId="167" formatCode="#,##0.00\ &quot;€&quot;;[Red]\-#,##0.00\ &quot;€&quot;"/>
    <numFmt numFmtId="168" formatCode="[h]:mm:ss;@"/>
    <numFmt numFmtId="169" formatCode="0.000"/>
    <numFmt numFmtId="170" formatCode="[$-F400]h:mm:ss\ AM/PM"/>
    <numFmt numFmtId="171" formatCode="_-* #,##0.00\ [$€]_-;\-* #,##0.00\ [$€]_-;_-* &quot;-&quot;??\ [$€]_-;_-@_-"/>
    <numFmt numFmtId="172" formatCode="_-* #,##0.00\ &quot;F&quot;_-;\-* #,##0.00\ &quot;F&quot;_-;_-* &quot;-&quot;??\ &quot;F&quot;_-;_-@_-"/>
  </numFmts>
  <fonts count="2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Book Antiqua"/>
      <family val="1"/>
      <b val="1"/>
      <sz val="8"/>
    </font>
    <font>
      <name val="Book Antiqua"/>
      <family val="1"/>
      <b val="1"/>
      <sz val="9"/>
    </font>
    <font>
      <name val="Book Antiqua"/>
      <family val="1"/>
      <b val="1"/>
      <color rgb="FF00B050"/>
      <sz val="8"/>
    </font>
    <font>
      <name val="Book Antiqua"/>
      <family val="1"/>
      <b val="1"/>
      <color theme="1"/>
      <sz val="8"/>
    </font>
    <font>
      <name val="Book Antiqua"/>
      <family val="1"/>
      <b val="1"/>
      <color rgb="FFFF0000"/>
      <sz val="8"/>
    </font>
    <font>
      <name val="Book Antiqua"/>
      <family val="1"/>
      <b val="1"/>
      <sz val="11"/>
    </font>
    <font>
      <name val="Book Antiqua"/>
      <family val="1"/>
      <b val="1"/>
      <color theme="1"/>
      <sz val="9"/>
    </font>
    <font>
      <name val="Book Antiqua"/>
      <family val="1"/>
      <color theme="1"/>
      <sz val="8"/>
    </font>
    <font>
      <name val="Arial"/>
      <family val="2"/>
      <sz val="10"/>
    </font>
    <font>
      <name val="Segoe UI"/>
      <family val="2"/>
      <color rgb="FF333333"/>
      <sz val="7"/>
    </font>
    <font>
      <name val="Segoe UI"/>
      <family val="2"/>
      <color rgb="FF333333"/>
      <sz val="7"/>
    </font>
    <font>
      <name val="Segoe UI"/>
      <family val="2"/>
      <color rgb="FF333333"/>
      <sz val="7"/>
    </font>
    <font>
      <name val="Segoe UI"/>
      <family val="2"/>
      <color rgb="FF333333"/>
      <sz val="7"/>
    </font>
    <font>
      <name val="Segoe UI"/>
      <family val="2"/>
      <color rgb="FF333333"/>
      <sz val="7"/>
    </font>
    <font>
      <name val="Calibri"/>
      <family val="2"/>
      <color theme="1"/>
      <sz val="9"/>
      <scheme val="minor"/>
    </font>
    <font>
      <name val="Book Antiqua"/>
      <family val="1"/>
      <sz val="9"/>
    </font>
    <font>
      <name val="Calibri"/>
      <family val="2"/>
      <color theme="1"/>
      <sz val="8"/>
      <scheme val="minor"/>
    </font>
    <font>
      <name val="Segoe UI"/>
      <family val="2"/>
      <i val="1"/>
      <color rgb="FF333333"/>
      <sz val="7"/>
    </font>
    <font>
      <name val="Segoe UI"/>
      <family val="2"/>
      <color rgb="FF333333"/>
      <sz val="7"/>
    </font>
    <font>
      <name val="Segoe UI"/>
      <family val="2"/>
      <color rgb="FF333333"/>
      <sz val="7"/>
    </font>
    <font>
      <name val="Book Antiqua"/>
      <family val="1"/>
      <b val="1"/>
      <color rgb="FFFF0000"/>
      <sz val="9"/>
    </font>
    <font>
      <name val="Calibri"/>
      <charset val="134"/>
      <color theme="1"/>
      <sz val="11"/>
      <scheme val="minor"/>
    </font>
    <font>
      <name val="Calibri"/>
      <family val="2"/>
      <color rgb="FF000000"/>
      <sz val="11"/>
    </font>
  </fonts>
  <fills count="1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33CC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2909">
    <xf numFmtId="0" fontId="1" fillId="0" borderId="0"/>
    <xf numFmtId="43" fontId="1" fillId="0" borderId="0"/>
    <xf numFmtId="43" fontId="1" fillId="0" borderId="0"/>
    <xf numFmtId="43" fontId="1" fillId="0" borderId="0"/>
    <xf numFmtId="0" fontId="10" fillId="0" borderId="0"/>
    <xf numFmtId="0" fontId="23" fillId="0" borderId="0"/>
    <xf numFmtId="171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172" fontId="10" fillId="0" borderId="0"/>
    <xf numFmtId="0" fontId="10" fillId="0" borderId="0"/>
    <xf numFmtId="0" fontId="10" fillId="0" borderId="0"/>
    <xf numFmtId="0" fontId="24" fillId="0" borderId="0"/>
    <xf numFmtId="0" fontId="1" fillId="0" borderId="0"/>
    <xf numFmtId="0" fontId="10" fillId="0" borderId="0"/>
  </cellStyleXfs>
  <cellXfs count="393">
    <xf numFmtId="0" fontId="0" fillId="0" borderId="0" pivotButton="0" quotePrefix="0" xfId="0"/>
    <xf numFmtId="1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2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164" fontId="3" fillId="2" borderId="1" applyAlignment="1" pivotButton="0" quotePrefix="0" xfId="1">
      <alignment horizontal="center" vertical="center" wrapText="1"/>
    </xf>
    <xf numFmtId="1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6" fillId="2" borderId="1" applyAlignment="1" pivotButton="0" quotePrefix="0" xfId="1">
      <alignment horizontal="center" vertical="center"/>
    </xf>
    <xf numFmtId="0" fontId="7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4" fontId="5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22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164" fontId="8" fillId="6" borderId="1" applyAlignment="1" pivotButton="0" quotePrefix="0" xfId="1">
      <alignment vertical="center"/>
    </xf>
    <xf numFmtId="22" fontId="3" fillId="6" borderId="1" applyAlignment="1" pivotButton="0" quotePrefix="0" xfId="0">
      <alignment horizontal="center"/>
    </xf>
    <xf numFmtId="164" fontId="8" fillId="7" borderId="1" applyAlignment="1" pivotButton="0" quotePrefix="0" xfId="1">
      <alignment horizontal="center" vertical="center"/>
    </xf>
    <xf numFmtId="0" fontId="3" fillId="0" borderId="3" applyAlignment="1" pivotButton="0" quotePrefix="0" xfId="0">
      <alignment horizontal="center"/>
    </xf>
    <xf numFmtId="164" fontId="8" fillId="0" borderId="1" applyAlignment="1" pivotButton="0" quotePrefix="0" xfId="2">
      <alignment horizontal="center" vertical="center"/>
    </xf>
    <xf numFmtId="22" fontId="3" fillId="0" borderId="3" applyAlignment="1" pivotButton="0" quotePrefix="0" xfId="0">
      <alignment horizontal="center"/>
    </xf>
    <xf numFmtId="1" fontId="2" fillId="2" borderId="3" applyAlignment="1" pivotButton="0" quotePrefix="0" xfId="0">
      <alignment horizontal="center" vertical="center"/>
    </xf>
    <xf numFmtId="14" fontId="2" fillId="2" borderId="3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 wrapText="1"/>
    </xf>
    <xf numFmtId="2" fontId="2" fillId="2" borderId="3" applyAlignment="1" pivotButton="0" quotePrefix="0" xfId="0">
      <alignment horizontal="center" vertical="center" wrapText="1"/>
    </xf>
    <xf numFmtId="164" fontId="3" fillId="2" borderId="3" applyAlignment="1" pivotButton="0" quotePrefix="0" xfId="1">
      <alignment horizontal="center" vertical="center" wrapText="1"/>
    </xf>
    <xf numFmtId="1" fontId="2" fillId="2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6" fillId="2" borderId="3" applyAlignment="1" pivotButton="0" quotePrefix="0" xfId="1">
      <alignment horizontal="center" vertical="center"/>
    </xf>
    <xf numFmtId="0" fontId="7" fillId="0" borderId="3" applyAlignment="1" pivotButton="0" quotePrefix="0" xfId="0">
      <alignment horizontal="center"/>
    </xf>
    <xf numFmtId="0" fontId="7" fillId="5" borderId="3" applyAlignment="1" pivotButton="0" quotePrefix="0" xfId="0">
      <alignment horizontal="center"/>
    </xf>
    <xf numFmtId="1" fontId="3" fillId="0" borderId="6" applyAlignment="1" pivotButton="0" quotePrefix="0" xfId="0">
      <alignment horizontal="center"/>
    </xf>
    <xf numFmtId="14" fontId="2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" fontId="2" fillId="2" borderId="2" applyAlignment="1" pivotButton="0" quotePrefix="0" xfId="0">
      <alignment horizontal="center" vertical="center"/>
    </xf>
    <xf numFmtId="0" fontId="6" fillId="2" borderId="5" applyAlignment="1" pivotButton="0" quotePrefix="0" xfId="1">
      <alignment horizontal="center" vertical="center"/>
    </xf>
    <xf numFmtId="0" fontId="7" fillId="0" borderId="4" applyAlignment="1" pivotButton="0" quotePrefix="0" xfId="0">
      <alignment horizontal="center"/>
    </xf>
    <xf numFmtId="0" fontId="5" fillId="8" borderId="8" pivotButton="0" quotePrefix="0" xfId="0"/>
    <xf numFmtId="165" fontId="5" fillId="6" borderId="6" applyAlignment="1" pivotButton="0" quotePrefix="0" xfId="1">
      <alignment horizontal="center"/>
    </xf>
    <xf numFmtId="22" fontId="2" fillId="0" borderId="6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9" fillId="7" borderId="7" applyAlignment="1" pivotButton="0" quotePrefix="0" xfId="0">
      <alignment horizontal="center"/>
    </xf>
    <xf numFmtId="14" fontId="5" fillId="0" borderId="6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/>
    </xf>
    <xf numFmtId="14" fontId="5" fillId="0" borderId="9" applyAlignment="1" pivotButton="0" quotePrefix="0" xfId="0">
      <alignment horizontal="center"/>
    </xf>
    <xf numFmtId="0" fontId="5" fillId="0" borderId="6" applyAlignment="1" pivotButton="0" quotePrefix="0" xfId="0">
      <alignment horizontal="center" shrinkToFit="1"/>
    </xf>
    <xf numFmtId="0" fontId="5" fillId="0" borderId="11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/>
    </xf>
    <xf numFmtId="1" fontId="2" fillId="9" borderId="3" applyAlignment="1" pivotButton="0" quotePrefix="0" xfId="0">
      <alignment horizontal="center" vertical="center"/>
    </xf>
    <xf numFmtId="14" fontId="2" fillId="9" borderId="3" applyAlignment="1" pivotButton="0" quotePrefix="0" xfId="0">
      <alignment horizontal="center" vertical="center"/>
    </xf>
    <xf numFmtId="2" fontId="2" fillId="9" borderId="3" applyAlignment="1" pivotButton="0" quotePrefix="0" xfId="0">
      <alignment horizontal="center" vertical="center" wrapText="1"/>
    </xf>
    <xf numFmtId="164" fontId="2" fillId="9" borderId="3" applyAlignment="1" pivotButton="0" quotePrefix="0" xfId="1">
      <alignment horizontal="center" vertical="center" wrapText="1"/>
    </xf>
    <xf numFmtId="164" fontId="3" fillId="9" borderId="3" applyAlignment="1" pivotButton="0" quotePrefix="0" xfId="1">
      <alignment horizontal="center" vertical="center" wrapText="1"/>
    </xf>
    <xf numFmtId="1" fontId="2" fillId="9" borderId="3" applyAlignment="1" pivotButton="0" quotePrefix="0" xfId="0">
      <alignment horizontal="center" vertical="center" wrapText="1"/>
    </xf>
    <xf numFmtId="0" fontId="2" fillId="9" borderId="3" applyAlignment="1" pivotButton="0" quotePrefix="0" xfId="0">
      <alignment horizontal="center" vertical="center" wrapText="1"/>
    </xf>
    <xf numFmtId="1" fontId="2" fillId="9" borderId="3" applyAlignment="1" pivotButton="0" quotePrefix="0" xfId="0">
      <alignment horizontal="center"/>
    </xf>
    <xf numFmtId="0" fontId="2" fillId="9" borderId="3" applyAlignment="1" pivotButton="0" quotePrefix="0" xfId="0">
      <alignment horizontal="left" vertical="center"/>
    </xf>
    <xf numFmtId="0" fontId="2" fillId="9" borderId="3" applyAlignment="1" pivotButton="0" quotePrefix="0" xfId="0">
      <alignment horizontal="center" vertical="center"/>
    </xf>
    <xf numFmtId="0" fontId="6" fillId="9" borderId="3" applyAlignment="1" pivotButton="0" quotePrefix="0" xfId="1">
      <alignment horizontal="center" vertical="center"/>
    </xf>
    <xf numFmtId="0" fontId="7" fillId="9" borderId="3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164" fontId="8" fillId="7" borderId="2" applyAlignment="1" pivotButton="0" quotePrefix="0" xfId="1">
      <alignment horizontal="center" vertical="center"/>
    </xf>
    <xf numFmtId="22" fontId="3" fillId="0" borderId="12" applyAlignment="1" pivotButton="0" quotePrefix="0" xfId="0">
      <alignment horizontal="center"/>
    </xf>
    <xf numFmtId="0" fontId="0" fillId="0" borderId="0" pivotButton="0" quotePrefix="0" xfId="0"/>
    <xf numFmtId="22" fontId="3" fillId="0" borderId="13" applyAlignment="1" pivotButton="0" quotePrefix="0" xfId="0">
      <alignment horizontal="center"/>
    </xf>
    <xf numFmtId="22" fontId="2" fillId="0" borderId="0" applyAlignment="1" pivotButton="0" quotePrefix="0" xfId="0">
      <alignment horizontal="center"/>
    </xf>
    <xf numFmtId="14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" fontId="3" fillId="0" borderId="0" applyAlignment="1" pivotButton="0" quotePrefix="0" xfId="1">
      <alignment horizontal="center"/>
    </xf>
    <xf numFmtId="0" fontId="12" fillId="0" borderId="0" pivotButton="0" quotePrefix="0" xfId="0"/>
    <xf numFmtId="0" fontId="2" fillId="8" borderId="1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8" fillId="0" borderId="10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/>
    </xf>
    <xf numFmtId="0" fontId="9" fillId="7" borderId="17" applyAlignment="1" pivotButton="0" quotePrefix="0" xfId="0">
      <alignment horizontal="center"/>
    </xf>
    <xf numFmtId="165" fontId="5" fillId="0" borderId="0" applyAlignment="1" pivotButton="0" quotePrefix="0" xfId="1">
      <alignment horizontal="center"/>
    </xf>
    <xf numFmtId="165" fontId="5" fillId="0" borderId="9" applyAlignment="1" pivotButton="0" quotePrefix="0" xfId="1">
      <alignment horizontal="center"/>
    </xf>
    <xf numFmtId="164" fontId="8" fillId="0" borderId="10" applyAlignment="1" pivotButton="0" quotePrefix="0" xfId="2">
      <alignment horizontal="center" vertical="center" shrinkToFit="1"/>
    </xf>
    <xf numFmtId="0" fontId="14" fillId="0" borderId="0" pivotButton="0" quotePrefix="0" xfId="0"/>
    <xf numFmtId="0" fontId="5" fillId="0" borderId="1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5" fillId="0" borderId="6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14" fontId="8" fillId="0" borderId="1" applyAlignment="1" pivotButton="0" quotePrefix="0" xfId="0">
      <alignment horizontal="center"/>
    </xf>
    <xf numFmtId="22" fontId="3" fillId="0" borderId="5" applyAlignment="1" pivotButton="0" quotePrefix="0" xfId="0">
      <alignment horizontal="center"/>
    </xf>
    <xf numFmtId="22" fontId="3" fillId="4" borderId="19" applyAlignment="1" pivotButton="0" quotePrefix="0" xfId="0">
      <alignment horizontal="center"/>
    </xf>
    <xf numFmtId="22" fontId="3" fillId="4" borderId="3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22" fontId="17" fillId="6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0" borderId="2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/>
    </xf>
    <xf numFmtId="22" fontId="3" fillId="10" borderId="3" applyAlignment="1" pivotButton="0" quotePrefix="0" xfId="0">
      <alignment horizontal="center"/>
    </xf>
    <xf numFmtId="14" fontId="3" fillId="0" borderId="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165" fontId="5" fillId="6" borderId="22" applyAlignment="1" pivotButton="0" quotePrefix="0" xfId="1">
      <alignment horizontal="center"/>
    </xf>
    <xf numFmtId="165" fontId="5" fillId="6" borderId="14" applyAlignment="1" pivotButton="0" quotePrefix="0" xfId="1">
      <alignment horizontal="center"/>
    </xf>
    <xf numFmtId="0" fontId="5" fillId="4" borderId="16" applyAlignment="1" pivotButton="0" quotePrefix="0" xfId="0">
      <alignment horizontal="center"/>
    </xf>
    <xf numFmtId="14" fontId="5" fillId="4" borderId="1" applyAlignment="1" pivotButton="0" quotePrefix="0" xfId="0">
      <alignment horizontal="center"/>
    </xf>
    <xf numFmtId="164" fontId="8" fillId="4" borderId="1" applyAlignment="1" pivotButton="0" quotePrefix="0" xfId="1">
      <alignment horizontal="center" vertical="center"/>
    </xf>
    <xf numFmtId="164" fontId="8" fillId="4" borderId="1" applyAlignment="1" pivotButton="0" quotePrefix="0" xfId="2">
      <alignment horizontal="center" vertical="center"/>
    </xf>
    <xf numFmtId="0" fontId="5" fillId="4" borderId="1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4" borderId="1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164" fontId="8" fillId="4" borderId="10" applyAlignment="1" pivotButton="0" quotePrefix="0" xfId="2">
      <alignment horizontal="center" vertical="center" shrinkToFit="1"/>
    </xf>
    <xf numFmtId="1" fontId="3" fillId="4" borderId="1" applyAlignment="1" pivotButton="0" quotePrefix="0" xfId="0">
      <alignment horizontal="center"/>
    </xf>
    <xf numFmtId="1" fontId="2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22" fontId="3" fillId="4" borderId="1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8" fillId="4" borderId="1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164" fontId="8" fillId="4" borderId="1" applyAlignment="1" pivotButton="0" quotePrefix="0" xfId="1">
      <alignment vertical="center"/>
    </xf>
    <xf numFmtId="0" fontId="3" fillId="4" borderId="10" applyAlignment="1" pivotButton="0" quotePrefix="0" xfId="0">
      <alignment horizontal="center"/>
    </xf>
    <xf numFmtId="0" fontId="12" fillId="4" borderId="0" pivotButton="0" quotePrefix="0" xfId="0"/>
    <xf numFmtId="0" fontId="5" fillId="4" borderId="11" applyAlignment="1" pivotButton="0" quotePrefix="0" xfId="0">
      <alignment horizontal="center" vertical="center"/>
    </xf>
    <xf numFmtId="0" fontId="11" fillId="4" borderId="0" pivotButton="0" quotePrefix="0" xfId="0"/>
    <xf numFmtId="0" fontId="5" fillId="4" borderId="16" applyAlignment="1" pivotButton="0" quotePrefix="0" xfId="0">
      <alignment horizontal="center" vertical="center"/>
    </xf>
    <xf numFmtId="0" fontId="14" fillId="4" borderId="0" pivotButton="0" quotePrefix="0" xfId="0"/>
    <xf numFmtId="22" fontId="3" fillId="4" borderId="5" applyAlignment="1" pivotButton="0" quotePrefix="0" xfId="0">
      <alignment horizontal="center"/>
    </xf>
    <xf numFmtId="0" fontId="15" fillId="4" borderId="0" pivotButton="0" quotePrefix="0" xfId="0"/>
    <xf numFmtId="14" fontId="5" fillId="11" borderId="1" applyAlignment="1" pivotButton="0" quotePrefix="0" xfId="0">
      <alignment horizontal="center"/>
    </xf>
    <xf numFmtId="1" fontId="3" fillId="0" borderId="0" applyAlignment="1" pivotButton="0" quotePrefix="0" xfId="1">
      <alignment horizontal="center"/>
    </xf>
    <xf numFmtId="0" fontId="3" fillId="0" borderId="10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0" borderId="1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0" borderId="11" applyAlignment="1" pivotButton="0" quotePrefix="0" xfId="0">
      <alignment horizontal="center" wrapText="1"/>
    </xf>
    <xf numFmtId="164" fontId="8" fillId="7" borderId="11" applyAlignment="1" pivotButton="0" quotePrefix="0" xfId="1">
      <alignment horizontal="center" vertical="center"/>
    </xf>
    <xf numFmtId="164" fontId="5" fillId="7" borderId="2" applyAlignment="1" pivotButton="0" quotePrefix="0" xfId="1">
      <alignment horizontal="center" vertical="center"/>
    </xf>
    <xf numFmtId="164" fontId="5" fillId="7" borderId="11" applyAlignment="1" pivotButton="0" quotePrefix="0" xfId="1">
      <alignment horizontal="center" vertical="center"/>
    </xf>
    <xf numFmtId="0" fontId="18" fillId="0" borderId="0" pivotButton="0" quotePrefix="0" xfId="0"/>
    <xf numFmtId="164" fontId="5" fillId="7" borderId="1" applyAlignment="1" pivotButton="0" quotePrefix="0" xfId="1">
      <alignment horizontal="center" vertical="center"/>
    </xf>
    <xf numFmtId="14" fontId="5" fillId="0" borderId="3" applyAlignment="1" pivotButton="0" quotePrefix="0" xfId="0">
      <alignment horizontal="center"/>
    </xf>
    <xf numFmtId="0" fontId="0" fillId="0" borderId="24" pivotButton="0" quotePrefix="0" xfId="0"/>
    <xf numFmtId="0" fontId="3" fillId="4" borderId="11" applyAlignment="1" pivotButton="0" quotePrefix="0" xfId="0">
      <alignment horizontal="center"/>
    </xf>
    <xf numFmtId="22" fontId="17" fillId="4" borderId="1" applyAlignment="1" pivotButton="0" quotePrefix="0" xfId="0">
      <alignment horizontal="center"/>
    </xf>
    <xf numFmtId="0" fontId="3" fillId="4" borderId="10" applyAlignment="1" pivotButton="0" quotePrefix="0" xfId="0">
      <alignment horizontal="center" vertical="center"/>
    </xf>
    <xf numFmtId="14" fontId="3" fillId="4" borderId="3" applyAlignment="1" pivotButton="0" quotePrefix="0" xfId="0">
      <alignment horizontal="center"/>
    </xf>
    <xf numFmtId="0" fontId="2" fillId="12" borderId="15" applyAlignment="1" pivotButton="0" quotePrefix="0" xfId="0">
      <alignment horizontal="center" vertical="center"/>
    </xf>
    <xf numFmtId="14" fontId="5" fillId="12" borderId="0" applyAlignment="1" pivotButton="0" quotePrefix="0" xfId="0">
      <alignment horizontal="center"/>
    </xf>
    <xf numFmtId="2" fontId="5" fillId="1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0" fillId="12" borderId="0" pivotButton="0" quotePrefix="0" xfId="0"/>
    <xf numFmtId="22" fontId="3" fillId="12" borderId="3" applyAlignment="1" pivotButton="0" quotePrefix="0" xfId="0">
      <alignment horizontal="center"/>
    </xf>
    <xf numFmtId="14" fontId="5" fillId="12" borderId="1" applyAlignment="1" pivotButton="0" quotePrefix="0" xfId="0">
      <alignment horizontal="center"/>
    </xf>
    <xf numFmtId="2" fontId="3" fillId="12" borderId="0" applyAlignment="1" pivotButton="0" quotePrefix="0" xfId="0">
      <alignment horizontal="center"/>
    </xf>
    <xf numFmtId="1" fontId="3" fillId="12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4" fontId="3" fillId="12" borderId="0" applyAlignment="1" pivotButton="0" quotePrefix="0" xfId="1">
      <alignment horizontal="center"/>
    </xf>
    <xf numFmtId="0" fontId="9" fillId="12" borderId="0" applyAlignment="1" pivotButton="0" quotePrefix="0" xfId="0">
      <alignment horizontal="center"/>
    </xf>
    <xf numFmtId="0" fontId="5" fillId="12" borderId="8" pivotButton="0" quotePrefix="0" xfId="0"/>
    <xf numFmtId="0" fontId="5" fillId="12" borderId="6" applyAlignment="1" pivotButton="0" quotePrefix="0" xfId="0">
      <alignment horizontal="center"/>
    </xf>
    <xf numFmtId="0" fontId="5" fillId="12" borderId="9" applyAlignment="1" pivotButton="0" quotePrefix="0" xfId="0">
      <alignment horizontal="center"/>
    </xf>
    <xf numFmtId="165" fontId="5" fillId="12" borderId="0" applyAlignment="1" pivotButton="0" quotePrefix="0" xfId="1">
      <alignment horizontal="center"/>
    </xf>
    <xf numFmtId="0" fontId="0" fillId="12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  <xf numFmtId="22" fontId="2" fillId="12" borderId="0" applyAlignment="1" pivotButton="0" quotePrefix="0" xfId="0">
      <alignment horizontal="center"/>
    </xf>
    <xf numFmtId="1" fontId="3" fillId="12" borderId="6" applyAlignment="1" pivotButton="0" quotePrefix="0" xfId="0">
      <alignment horizontal="center"/>
    </xf>
    <xf numFmtId="0" fontId="9" fillId="13" borderId="0" applyAlignment="1" pivotButton="0" quotePrefix="0" xfId="0">
      <alignment horizontal="center"/>
    </xf>
    <xf numFmtId="0" fontId="5" fillId="13" borderId="8" pivotButton="0" quotePrefix="0" xfId="0"/>
    <xf numFmtId="14" fontId="5" fillId="13" borderId="0" applyAlignment="1" pivotButton="0" quotePrefix="0" xfId="0">
      <alignment horizontal="center"/>
    </xf>
    <xf numFmtId="0" fontId="5" fillId="13" borderId="6" applyAlignment="1" pivotButton="0" quotePrefix="0" xfId="0">
      <alignment horizontal="center"/>
    </xf>
    <xf numFmtId="0" fontId="5" fillId="13" borderId="9" applyAlignment="1" pivotButton="0" quotePrefix="0" xfId="0">
      <alignment horizontal="center"/>
    </xf>
    <xf numFmtId="165" fontId="5" fillId="13" borderId="0" applyAlignment="1" pivotButton="0" quotePrefix="0" xfId="1">
      <alignment horizontal="center"/>
    </xf>
    <xf numFmtId="0" fontId="0" fillId="13" borderId="0" pivotButton="0" quotePrefix="0" xfId="0"/>
    <xf numFmtId="0" fontId="0" fillId="13" borderId="0" applyAlignment="1" pivotButton="0" quotePrefix="0" xfId="0">
      <alignment horizontal="center"/>
    </xf>
    <xf numFmtId="0" fontId="5" fillId="13" borderId="0" applyAlignment="1" pivotButton="0" quotePrefix="0" xfId="0">
      <alignment horizontal="center"/>
    </xf>
    <xf numFmtId="22" fontId="2" fillId="13" borderId="0" applyAlignment="1" pivotButton="0" quotePrefix="0" xfId="0">
      <alignment horizontal="center"/>
    </xf>
    <xf numFmtId="2" fontId="3" fillId="13" borderId="0" applyAlignment="1" pivotButton="0" quotePrefix="0" xfId="0">
      <alignment horizontal="center"/>
    </xf>
    <xf numFmtId="1" fontId="3" fillId="13" borderId="0" applyAlignment="1" pivotButton="0" quotePrefix="0" xfId="0">
      <alignment horizontal="center"/>
    </xf>
    <xf numFmtId="1" fontId="3" fillId="13" borderId="6" applyAlignment="1" pivotButton="0" quotePrefix="0" xfId="0">
      <alignment horizontal="center"/>
    </xf>
    <xf numFmtId="0" fontId="8" fillId="13" borderId="0" applyAlignment="1" pivotButton="0" quotePrefix="0" xfId="0">
      <alignment horizontal="center" vertical="center"/>
    </xf>
    <xf numFmtId="165" fontId="5" fillId="13" borderId="6" applyAlignment="1" pivotButton="0" quotePrefix="0" xfId="1">
      <alignment horizontal="center"/>
    </xf>
    <xf numFmtId="22" fontId="3" fillId="12" borderId="0" applyAlignment="1" pivotButton="0" quotePrefix="0" xfId="0">
      <alignment horizontal="center"/>
    </xf>
    <xf numFmtId="22" fontId="3" fillId="12" borderId="10" applyAlignment="1" pivotButton="0" quotePrefix="0" xfId="0">
      <alignment horizontal="center"/>
    </xf>
    <xf numFmtId="14" fontId="5" fillId="12" borderId="23" applyAlignment="1" pivotButton="0" quotePrefix="0" xfId="0">
      <alignment horizontal="center"/>
    </xf>
    <xf numFmtId="16" fontId="8" fillId="1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" fontId="5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21" fillId="0" borderId="0" pivotButton="0" quotePrefix="0" xfId="0"/>
    <xf numFmtId="22" fontId="22" fillId="0" borderId="3" applyAlignment="1" pivotButton="0" quotePrefix="0" xfId="0">
      <alignment horizontal="center"/>
    </xf>
    <xf numFmtId="2" fontId="5" fillId="4" borderId="0" applyAlignment="1" pivotButton="0" quotePrefix="0" xfId="0">
      <alignment horizontal="center" vertical="center"/>
    </xf>
    <xf numFmtId="0" fontId="0" fillId="4" borderId="10" pivotButton="0" quotePrefix="0" xfId="0"/>
    <xf numFmtId="0" fontId="0" fillId="4" borderId="16" pivotButton="0" quotePrefix="0" xfId="0"/>
    <xf numFmtId="0" fontId="0" fillId="0" borderId="10" pivotButton="0" quotePrefix="0" xfId="0"/>
    <xf numFmtId="0" fontId="5" fillId="0" borderId="0" applyAlignment="1" pivotButton="0" quotePrefix="0" xfId="0">
      <alignment horizontal="center" wrapText="1"/>
    </xf>
    <xf numFmtId="0" fontId="0" fillId="0" borderId="11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0" fillId="4" borderId="11" applyAlignment="1" pivotButton="0" quotePrefix="0" xfId="0">
      <alignment wrapText="1"/>
    </xf>
    <xf numFmtId="0" fontId="0" fillId="0" borderId="1" pivotButton="0" quotePrefix="0" xfId="0"/>
    <xf numFmtId="0" fontId="0" fillId="4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14" fillId="4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0" fillId="0" borderId="25" pivotButton="0" quotePrefix="0" xfId="0"/>
    <xf numFmtId="0" fontId="13" fillId="0" borderId="0" applyAlignment="1" pivotButton="0" quotePrefix="0" xfId="0">
      <alignment vertical="top" wrapText="1"/>
    </xf>
    <xf numFmtId="22" fontId="3" fillId="4" borderId="0" applyAlignment="1" pivotButton="0" quotePrefix="0" xfId="0">
      <alignment horizontal="center"/>
    </xf>
    <xf numFmtId="0" fontId="0" fillId="0" borderId="3" pivotButton="0" quotePrefix="0" xfId="0"/>
    <xf numFmtId="22" fontId="17" fillId="4" borderId="3" applyAlignment="1" pivotButton="0" quotePrefix="0" xfId="0">
      <alignment horizontal="center"/>
    </xf>
    <xf numFmtId="22" fontId="17" fillId="6" borderId="3" applyAlignment="1" pivotButton="0" quotePrefix="0" xfId="0">
      <alignment horizontal="center"/>
    </xf>
    <xf numFmtId="22" fontId="3" fillId="6" borderId="3" applyAlignment="1" pivotButton="0" quotePrefix="0" xfId="0">
      <alignment horizontal="center"/>
    </xf>
    <xf numFmtId="22" fontId="17" fillId="6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22" fontId="3" fillId="0" borderId="0" applyAlignment="1" pivotButton="0" quotePrefix="0" xfId="0">
      <alignment horizontal="center"/>
    </xf>
    <xf numFmtId="0" fontId="0" fillId="4" borderId="3" pivotButton="0" quotePrefix="0" xfId="0"/>
    <xf numFmtId="22" fontId="17" fillId="4" borderId="0" applyAlignment="1" pivotButton="0" quotePrefix="0" xfId="0">
      <alignment horizontal="center"/>
    </xf>
    <xf numFmtId="0" fontId="0" fillId="4" borderId="1" pivotButton="0" quotePrefix="0" xfId="0"/>
    <xf numFmtId="0" fontId="0" fillId="0" borderId="3" applyAlignment="1" pivotButton="0" quotePrefix="0" xfId="0">
      <alignment horizontal="center" vertical="center"/>
    </xf>
    <xf numFmtId="22" fontId="3" fillId="6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/>
    </xf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18" pivotButton="0" quotePrefix="0" xfId="0"/>
    <xf numFmtId="0" fontId="13" fillId="4" borderId="18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0" fillId="4" borderId="10" applyAlignment="1" pivotButton="0" quotePrefix="0" xfId="0">
      <alignment vertical="center"/>
    </xf>
    <xf numFmtId="0" fontId="20" fillId="4" borderId="0" pivotButton="0" quotePrefix="0" xfId="0"/>
    <xf numFmtId="0" fontId="3" fillId="0" borderId="11" applyAlignment="1" pivotButton="0" quotePrefix="0" xfId="0">
      <alignment horizontal="center"/>
    </xf>
    <xf numFmtId="14" fontId="5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8" fillId="7" borderId="10" applyAlignment="1" pivotButton="0" quotePrefix="0" xfId="1">
      <alignment horizontal="center" vertical="center"/>
    </xf>
    <xf numFmtId="164" fontId="8" fillId="0" borderId="1" applyAlignment="1" pivotButton="0" quotePrefix="0" xfId="1">
      <alignment horizontal="center" vertical="center"/>
    </xf>
    <xf numFmtId="164" fontId="8" fillId="0" borderId="10" applyAlignment="1" pivotButton="0" quotePrefix="0" xfId="1">
      <alignment horizontal="center" vertical="center"/>
    </xf>
    <xf numFmtId="0" fontId="3" fillId="0" borderId="16" applyAlignment="1" pivotButton="0" quotePrefix="0" xfId="0">
      <alignment horizontal="center"/>
    </xf>
    <xf numFmtId="0" fontId="3" fillId="0" borderId="11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22" fontId="17" fillId="6" borderId="1" applyAlignment="1" pivotButton="0" quotePrefix="0" xfId="0">
      <alignment horizontal="left"/>
    </xf>
    <xf numFmtId="20" fontId="0" fillId="4" borderId="0" pivotButton="0" quotePrefix="0" xfId="0"/>
    <xf numFmtId="0" fontId="5" fillId="0" borderId="1" applyAlignment="1" pivotButton="0" quotePrefix="0" xfId="0">
      <alignment horizontal="center" vertical="center"/>
    </xf>
    <xf numFmtId="166" fontId="2" fillId="2" borderId="1" applyAlignment="1" pivotButton="0" quotePrefix="0" xfId="1">
      <alignment horizontal="center" vertical="center" wrapText="1"/>
    </xf>
    <xf numFmtId="166" fontId="2" fillId="4" borderId="1" applyAlignment="1" pivotButton="0" quotePrefix="0" xfId="1">
      <alignment vertical="center" wrapText="1"/>
    </xf>
    <xf numFmtId="166" fontId="4" fillId="4" borderId="1" applyAlignment="1" pivotButton="0" quotePrefix="0" xfId="1">
      <alignment horizontal="center" vertical="center" wrapText="1"/>
    </xf>
    <xf numFmtId="167" fontId="2" fillId="4" borderId="1" pivotButton="0" quotePrefix="0" xfId="0"/>
    <xf numFmtId="166" fontId="8" fillId="4" borderId="1" applyAlignment="1" pivotButton="0" quotePrefix="0" xfId="1">
      <alignment horizontal="center" vertical="center" shrinkToFit="1"/>
    </xf>
    <xf numFmtId="166" fontId="8" fillId="4" borderId="1" applyAlignment="1" pivotButton="0" quotePrefix="0" xfId="2">
      <alignment horizontal="center" vertical="center" shrinkToFit="1"/>
    </xf>
    <xf numFmtId="166" fontId="3" fillId="4" borderId="1" applyAlignment="1" pivotButton="0" quotePrefix="0" xfId="1">
      <alignment vertical="top"/>
    </xf>
    <xf numFmtId="168" fontId="5" fillId="4" borderId="1" applyAlignment="1" pivotButton="0" quotePrefix="0" xfId="0">
      <alignment horizontal="center"/>
    </xf>
    <xf numFmtId="166" fontId="8" fillId="0" borderId="1" applyAlignment="1" pivotButton="0" quotePrefix="0" xfId="1">
      <alignment horizontal="center" vertical="center" shrinkToFit="1"/>
    </xf>
    <xf numFmtId="166" fontId="8" fillId="0" borderId="1" applyAlignment="1" pivotButton="0" quotePrefix="0" xfId="2">
      <alignment horizontal="center" vertical="center" shrinkToFit="1"/>
    </xf>
    <xf numFmtId="167" fontId="2" fillId="6" borderId="1" pivotButton="0" quotePrefix="0" xfId="0"/>
    <xf numFmtId="168" fontId="5" fillId="0" borderId="1" applyAlignment="1" pivotButton="0" quotePrefix="0" xfId="0">
      <alignment horizontal="center"/>
    </xf>
    <xf numFmtId="166" fontId="3" fillId="0" borderId="1" applyAlignment="1" pivotButton="0" quotePrefix="0" xfId="1">
      <alignment vertical="top"/>
    </xf>
    <xf numFmtId="166" fontId="8" fillId="0" borderId="10" applyAlignment="1" pivotButton="0" quotePrefix="0" xfId="2">
      <alignment horizontal="center" vertical="center" shrinkToFit="1"/>
    </xf>
    <xf numFmtId="166" fontId="8" fillId="0" borderId="10" applyAlignment="1" pivotButton="0" quotePrefix="0" xfId="1">
      <alignment horizontal="center" vertical="center" shrinkToFit="1"/>
    </xf>
    <xf numFmtId="166" fontId="8" fillId="4" borderId="10" applyAlignment="1" pivotButton="0" quotePrefix="0" xfId="1">
      <alignment horizontal="center" vertical="center" shrinkToFit="1"/>
    </xf>
    <xf numFmtId="166" fontId="8" fillId="4" borderId="10" applyAlignment="1" pivotButton="0" quotePrefix="0" xfId="2">
      <alignment horizontal="center" vertical="center" shrinkToFit="1"/>
    </xf>
    <xf numFmtId="168" fontId="5" fillId="4" borderId="0" applyAlignment="1" pivotButton="0" quotePrefix="0" xfId="0">
      <alignment horizontal="center"/>
    </xf>
    <xf numFmtId="167" fontId="2" fillId="11" borderId="1" pivotButton="0" quotePrefix="0" xfId="0"/>
    <xf numFmtId="166" fontId="8" fillId="0" borderId="16" applyAlignment="1" pivotButton="0" quotePrefix="0" xfId="1">
      <alignment horizontal="center" vertical="center" shrinkToFit="1"/>
    </xf>
    <xf numFmtId="167" fontId="2" fillId="4" borderId="10" pivotButton="0" quotePrefix="0" xfId="0"/>
    <xf numFmtId="167" fontId="2" fillId="6" borderId="10" pivotButton="0" quotePrefix="0" xfId="0"/>
    <xf numFmtId="168" fontId="5" fillId="0" borderId="0" applyAlignment="1" pivotButton="0" quotePrefix="0" xfId="0">
      <alignment horizontal="center"/>
    </xf>
    <xf numFmtId="167" fontId="2" fillId="6" borderId="10" applyAlignment="1" pivotButton="0" quotePrefix="0" xfId="0">
      <alignment horizontal="left" vertical="center"/>
    </xf>
    <xf numFmtId="167" fontId="2" fillId="6" borderId="0" applyAlignment="1" pivotButton="0" quotePrefix="0" xfId="0">
      <alignment horizontal="left" vertical="center"/>
    </xf>
    <xf numFmtId="166" fontId="2" fillId="9" borderId="3" applyAlignment="1" pivotButton="0" quotePrefix="0" xfId="1">
      <alignment horizontal="center" vertical="center" wrapText="1"/>
    </xf>
    <xf numFmtId="166" fontId="5" fillId="7" borderId="1" applyAlignment="1" pivotButton="0" quotePrefix="0" xfId="1">
      <alignment horizontal="center" vertical="center"/>
    </xf>
    <xf numFmtId="166" fontId="2" fillId="2" borderId="3" applyAlignment="1" pivotButton="0" quotePrefix="0" xfId="1">
      <alignment horizontal="center" vertical="center" wrapText="1"/>
    </xf>
    <xf numFmtId="166" fontId="2" fillId="4" borderId="3" applyAlignment="1" pivotButton="0" quotePrefix="0" xfId="1">
      <alignment horizontal="center" vertical="center" wrapText="1"/>
    </xf>
    <xf numFmtId="166" fontId="5" fillId="0" borderId="0" applyAlignment="1" pivotButton="0" quotePrefix="0" xfId="1">
      <alignment horizontal="center" vertical="center"/>
    </xf>
    <xf numFmtId="169" fontId="5" fillId="0" borderId="0" applyAlignment="1" pivotButton="0" quotePrefix="0" xfId="0">
      <alignment horizontal="center" vertical="center" shrinkToFit="1"/>
    </xf>
    <xf numFmtId="166" fontId="3" fillId="0" borderId="0" applyAlignment="1" pivotButton="0" quotePrefix="0" xfId="1">
      <alignment horizontal="center"/>
    </xf>
    <xf numFmtId="166" fontId="3" fillId="0" borderId="0" applyAlignment="1" pivotButton="0" quotePrefix="0" xfId="1">
      <alignment vertical="top"/>
    </xf>
    <xf numFmtId="170" fontId="5" fillId="0" borderId="0" applyAlignment="1" pivotButton="0" quotePrefix="0" xfId="0">
      <alignment horizontal="center" vertical="center"/>
    </xf>
    <xf numFmtId="166" fontId="3" fillId="0" borderId="14" applyAlignment="1" pivotButton="0" quotePrefix="0" xfId="1">
      <alignment vertical="top"/>
    </xf>
    <xf numFmtId="166" fontId="5" fillId="12" borderId="0" applyAlignment="1" pivotButton="0" quotePrefix="0" xfId="1">
      <alignment horizontal="center" vertical="center"/>
    </xf>
    <xf numFmtId="169" fontId="5" fillId="12" borderId="0" applyAlignment="1" pivotButton="0" quotePrefix="0" xfId="0">
      <alignment horizontal="center" vertical="center" shrinkToFit="1"/>
    </xf>
    <xf numFmtId="166" fontId="3" fillId="12" borderId="0" applyAlignment="1" pivotButton="0" quotePrefix="0" xfId="1">
      <alignment horizontal="center"/>
    </xf>
    <xf numFmtId="166" fontId="3" fillId="12" borderId="0" applyAlignment="1" pivotButton="0" quotePrefix="0" xfId="1">
      <alignment vertical="top"/>
    </xf>
    <xf numFmtId="170" fontId="5" fillId="12" borderId="0" applyAlignment="1" pivotButton="0" quotePrefix="0" xfId="0">
      <alignment horizontal="center" vertical="center"/>
    </xf>
    <xf numFmtId="166" fontId="2" fillId="4" borderId="1" applyAlignment="1" pivotButton="0" quotePrefix="0" xfId="1">
      <alignment horizontal="center" vertical="center" wrapText="1"/>
    </xf>
    <xf numFmtId="166" fontId="5" fillId="0" borderId="6" applyAlignment="1" pivotButton="0" quotePrefix="0" xfId="1">
      <alignment horizontal="center" shrinkToFit="1"/>
    </xf>
    <xf numFmtId="166" fontId="5" fillId="0" borderId="6" applyAlignment="1" pivotButton="0" quotePrefix="0" xfId="1">
      <alignment horizontal="center" vertical="center" shrinkToFit="1"/>
    </xf>
    <xf numFmtId="169" fontId="5" fillId="0" borderId="6" applyAlignment="1" pivotButton="0" quotePrefix="0" xfId="0">
      <alignment horizontal="center" shrinkToFit="1"/>
    </xf>
    <xf numFmtId="166" fontId="3" fillId="0" borderId="1" applyAlignment="1" pivotButton="0" quotePrefix="0" xfId="1">
      <alignment horizontal="left" vertical="top"/>
    </xf>
    <xf numFmtId="166" fontId="5" fillId="0" borderId="9" applyAlignment="1" pivotButton="0" quotePrefix="0" xfId="1">
      <alignment horizontal="center" vertical="center" shrinkToFit="1"/>
    </xf>
    <xf numFmtId="166" fontId="5" fillId="0" borderId="9" applyAlignment="1" pivotButton="0" quotePrefix="0" xfId="1">
      <alignment horizontal="center" shrinkToFit="1"/>
    </xf>
    <xf numFmtId="166" fontId="3" fillId="0" borderId="0" applyAlignment="1" pivotButton="0" quotePrefix="0" xfId="1">
      <alignment horizontal="left" vertical="top"/>
    </xf>
    <xf numFmtId="166" fontId="5" fillId="12" borderId="6" applyAlignment="1" pivotButton="0" quotePrefix="0" xfId="1">
      <alignment horizontal="center" shrinkToFit="1"/>
    </xf>
    <xf numFmtId="166" fontId="3" fillId="12" borderId="1" applyAlignment="1" pivotButton="0" quotePrefix="0" xfId="1">
      <alignment horizontal="left" vertical="top"/>
    </xf>
    <xf numFmtId="166" fontId="5" fillId="13" borderId="6" applyAlignment="1" pivotButton="0" quotePrefix="0" xfId="1">
      <alignment horizontal="center" shrinkToFit="1"/>
    </xf>
    <xf numFmtId="166" fontId="3" fillId="13" borderId="1" applyAlignment="1" pivotButton="0" quotePrefix="0" xfId="1">
      <alignment horizontal="left" vertical="top"/>
    </xf>
    <xf numFmtId="0" fontId="5" fillId="0" borderId="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4" pivotButton="0" quotePrefix="0" xfId="0"/>
    <xf numFmtId="0" fontId="5" fillId="9" borderId="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2" pivotButton="0" quotePrefix="0" xfId="0"/>
    <xf numFmtId="166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164" fontId="3" fillId="2" borderId="1" applyAlignment="1" pivotButton="0" quotePrefix="0" xfId="1">
      <alignment horizontal="center" vertical="center" wrapText="1"/>
    </xf>
    <xf numFmtId="166" fontId="2" fillId="4" borderId="1" applyAlignment="1" pivotButton="0" quotePrefix="0" xfId="1">
      <alignment vertical="center" wrapText="1"/>
    </xf>
    <xf numFmtId="166" fontId="4" fillId="4" borderId="1" applyAlignment="1" pivotButton="0" quotePrefix="0" xfId="1">
      <alignment horizontal="center" vertical="center" wrapText="1"/>
    </xf>
    <xf numFmtId="167" fontId="2" fillId="4" borderId="1" pivotButton="0" quotePrefix="0" xfId="0"/>
    <xf numFmtId="164" fontId="8" fillId="4" borderId="1" applyAlignment="1" pivotButton="0" quotePrefix="0" xfId="1">
      <alignment horizontal="center" vertical="center"/>
    </xf>
    <xf numFmtId="166" fontId="8" fillId="4" borderId="1" applyAlignment="1" pivotButton="0" quotePrefix="0" xfId="1">
      <alignment horizontal="center" vertical="center" shrinkToFit="1"/>
    </xf>
    <xf numFmtId="166" fontId="8" fillId="4" borderId="1" applyAlignment="1" pivotButton="0" quotePrefix="0" xfId="2">
      <alignment horizontal="center" vertical="center" shrinkToFit="1"/>
    </xf>
    <xf numFmtId="164" fontId="8" fillId="4" borderId="10" applyAlignment="1" pivotButton="0" quotePrefix="0" xfId="2">
      <alignment horizontal="center" vertical="center" shrinkToFit="1"/>
    </xf>
    <xf numFmtId="166" fontId="3" fillId="4" borderId="1" applyAlignment="1" pivotButton="0" quotePrefix="0" xfId="1">
      <alignment vertical="top"/>
    </xf>
    <xf numFmtId="168" fontId="5" fillId="4" borderId="1" applyAlignment="1" pivotButton="0" quotePrefix="0" xfId="0">
      <alignment horizontal="center"/>
    </xf>
    <xf numFmtId="164" fontId="8" fillId="4" borderId="1" applyAlignment="1" pivotButton="0" quotePrefix="0" xfId="2">
      <alignment horizontal="center" vertical="center"/>
    </xf>
    <xf numFmtId="164" fontId="8" fillId="4" borderId="1" applyAlignment="1" pivotButton="0" quotePrefix="0" xfId="1">
      <alignment vertical="center"/>
    </xf>
    <xf numFmtId="166" fontId="8" fillId="0" borderId="1" applyAlignment="1" pivotButton="0" quotePrefix="0" xfId="1">
      <alignment horizontal="center" vertical="center" shrinkToFit="1"/>
    </xf>
    <xf numFmtId="166" fontId="8" fillId="0" borderId="1" applyAlignment="1" pivotButton="0" quotePrefix="0" xfId="2">
      <alignment horizontal="center" vertical="center" shrinkToFit="1"/>
    </xf>
    <xf numFmtId="167" fontId="2" fillId="6" borderId="1" pivotButton="0" quotePrefix="0" xfId="0"/>
    <xf numFmtId="164" fontId="8" fillId="7" borderId="1" applyAlignment="1" pivotButton="0" quotePrefix="0" xfId="1">
      <alignment horizontal="center" vertical="center"/>
    </xf>
    <xf numFmtId="164" fontId="8" fillId="6" borderId="1" applyAlignment="1" pivotButton="0" quotePrefix="0" xfId="1">
      <alignment vertical="center"/>
    </xf>
    <xf numFmtId="164" fontId="8" fillId="0" borderId="10" applyAlignment="1" pivotButton="0" quotePrefix="0" xfId="2">
      <alignment horizontal="center" vertical="center" shrinkToFit="1"/>
    </xf>
    <xf numFmtId="168" fontId="5" fillId="0" borderId="1" applyAlignment="1" pivotButton="0" quotePrefix="0" xfId="0">
      <alignment horizontal="center"/>
    </xf>
    <xf numFmtId="164" fontId="8" fillId="0" borderId="1" applyAlignment="1" pivotButton="0" quotePrefix="0" xfId="2">
      <alignment horizontal="center" vertical="center"/>
    </xf>
    <xf numFmtId="166" fontId="3" fillId="0" borderId="1" applyAlignment="1" pivotButton="0" quotePrefix="0" xfId="1">
      <alignment vertical="top"/>
    </xf>
    <xf numFmtId="166" fontId="8" fillId="0" borderId="10" applyAlignment="1" pivotButton="0" quotePrefix="0" xfId="2">
      <alignment horizontal="center" vertical="center" shrinkToFit="1"/>
    </xf>
    <xf numFmtId="166" fontId="8" fillId="0" borderId="10" applyAlignment="1" pivotButton="0" quotePrefix="0" xfId="1">
      <alignment horizontal="center" vertical="center" shrinkToFit="1"/>
    </xf>
    <xf numFmtId="166" fontId="8" fillId="4" borderId="10" applyAlignment="1" pivotButton="0" quotePrefix="0" xfId="1">
      <alignment horizontal="center" vertical="center" shrinkToFit="1"/>
    </xf>
    <xf numFmtId="166" fontId="8" fillId="4" borderId="10" applyAlignment="1" pivotButton="0" quotePrefix="0" xfId="2">
      <alignment horizontal="center" vertical="center" shrinkToFit="1"/>
    </xf>
    <xf numFmtId="168" fontId="5" fillId="4" borderId="0" applyAlignment="1" pivotButton="0" quotePrefix="0" xfId="0">
      <alignment horizontal="center"/>
    </xf>
    <xf numFmtId="167" fontId="2" fillId="11" borderId="1" pivotButton="0" quotePrefix="0" xfId="0"/>
    <xf numFmtId="166" fontId="8" fillId="0" borderId="16" applyAlignment="1" pivotButton="0" quotePrefix="0" xfId="1">
      <alignment horizontal="center" vertical="center" shrinkToFit="1"/>
    </xf>
    <xf numFmtId="167" fontId="2" fillId="4" borderId="10" pivotButton="0" quotePrefix="0" xfId="0"/>
    <xf numFmtId="167" fontId="2" fillId="6" borderId="10" pivotButton="0" quotePrefix="0" xfId="0"/>
    <xf numFmtId="164" fontId="8" fillId="7" borderId="2" applyAlignment="1" pivotButton="0" quotePrefix="0" xfId="1">
      <alignment horizontal="center" vertical="center"/>
    </xf>
    <xf numFmtId="168" fontId="5" fillId="0" borderId="0" applyAlignment="1" pivotButton="0" quotePrefix="0" xfId="0">
      <alignment horizontal="center"/>
    </xf>
    <xf numFmtId="164" fontId="8" fillId="0" borderId="1" applyAlignment="1" pivotButton="0" quotePrefix="0" xfId="1">
      <alignment horizontal="center" vertical="center"/>
    </xf>
    <xf numFmtId="164" fontId="8" fillId="0" borderId="10" applyAlignment="1" pivotButton="0" quotePrefix="0" xfId="1">
      <alignment horizontal="center" vertical="center"/>
    </xf>
    <xf numFmtId="164" fontId="8" fillId="7" borderId="10" applyAlignment="1" pivotButton="0" quotePrefix="0" xfId="1">
      <alignment horizontal="center" vertical="center"/>
    </xf>
    <xf numFmtId="167" fontId="2" fillId="6" borderId="10" applyAlignment="1" pivotButton="0" quotePrefix="0" xfId="0">
      <alignment horizontal="left" vertical="center"/>
    </xf>
    <xf numFmtId="167" fontId="2" fillId="6" borderId="0" applyAlignment="1" pivotButton="0" quotePrefix="0" xfId="0">
      <alignment horizontal="left" vertical="center"/>
    </xf>
    <xf numFmtId="166" fontId="2" fillId="9" borderId="3" applyAlignment="1" pivotButton="0" quotePrefix="0" xfId="1">
      <alignment horizontal="center" vertical="center" wrapText="1"/>
    </xf>
    <xf numFmtId="164" fontId="2" fillId="9" borderId="3" applyAlignment="1" pivotButton="0" quotePrefix="0" xfId="1">
      <alignment horizontal="center" vertical="center" wrapText="1"/>
    </xf>
    <xf numFmtId="164" fontId="3" fillId="9" borderId="3" applyAlignment="1" pivotButton="0" quotePrefix="0" xfId="1">
      <alignment horizontal="center" vertical="center" wrapText="1"/>
    </xf>
    <xf numFmtId="164" fontId="5" fillId="7" borderId="1" applyAlignment="1" pivotButton="0" quotePrefix="0" xfId="1">
      <alignment horizontal="center" vertical="center"/>
    </xf>
    <xf numFmtId="166" fontId="5" fillId="7" borderId="1" applyAlignment="1" pivotButton="0" quotePrefix="0" xfId="1">
      <alignment horizontal="center" vertical="center"/>
    </xf>
    <xf numFmtId="164" fontId="5" fillId="7" borderId="2" applyAlignment="1" pivotButton="0" quotePrefix="0" xfId="1">
      <alignment horizontal="center" vertical="center"/>
    </xf>
    <xf numFmtId="164" fontId="5" fillId="7" borderId="11" applyAlignment="1" pivotButton="0" quotePrefix="0" xfId="1">
      <alignment horizontal="center" vertical="center"/>
    </xf>
    <xf numFmtId="164" fontId="8" fillId="7" borderId="11" applyAlignment="1" pivotButton="0" quotePrefix="0" xfId="1">
      <alignment horizontal="center" vertical="center"/>
    </xf>
    <xf numFmtId="166" fontId="2" fillId="2" borderId="3" applyAlignment="1" pivotButton="0" quotePrefix="0" xfId="1">
      <alignment horizontal="center" vertical="center" wrapText="1"/>
    </xf>
    <xf numFmtId="164" fontId="3" fillId="2" borderId="3" applyAlignment="1" pivotButton="0" quotePrefix="0" xfId="1">
      <alignment horizontal="center" vertical="center" wrapText="1"/>
    </xf>
    <xf numFmtId="166" fontId="2" fillId="4" borderId="3" applyAlignment="1" pivotButton="0" quotePrefix="0" xfId="1">
      <alignment horizontal="center" vertical="center" wrapText="1"/>
    </xf>
    <xf numFmtId="166" fontId="5" fillId="0" borderId="0" applyAlignment="1" pivotButton="0" quotePrefix="0" xfId="1">
      <alignment horizontal="center" vertical="center"/>
    </xf>
    <xf numFmtId="169" fontId="5" fillId="0" borderId="0" applyAlignment="1" pivotButton="0" quotePrefix="0" xfId="0">
      <alignment horizontal="center" vertical="center" shrinkToFit="1"/>
    </xf>
    <xf numFmtId="166" fontId="3" fillId="0" borderId="0" applyAlignment="1" pivotButton="0" quotePrefix="0" xfId="1">
      <alignment horizontal="center"/>
    </xf>
    <xf numFmtId="166" fontId="3" fillId="0" borderId="0" applyAlignment="1" pivotButton="0" quotePrefix="0" xfId="1">
      <alignment vertical="top"/>
    </xf>
    <xf numFmtId="170" fontId="5" fillId="0" borderId="0" applyAlignment="1" pivotButton="0" quotePrefix="0" xfId="0">
      <alignment horizontal="center" vertical="center"/>
    </xf>
    <xf numFmtId="166" fontId="3" fillId="0" borderId="14" applyAlignment="1" pivotButton="0" quotePrefix="0" xfId="1">
      <alignment vertical="top"/>
    </xf>
    <xf numFmtId="166" fontId="5" fillId="12" borderId="0" applyAlignment="1" pivotButton="0" quotePrefix="0" xfId="1">
      <alignment horizontal="center" vertical="center"/>
    </xf>
    <xf numFmtId="169" fontId="5" fillId="12" borderId="0" applyAlignment="1" pivotButton="0" quotePrefix="0" xfId="0">
      <alignment horizontal="center" vertical="center" shrinkToFit="1"/>
    </xf>
    <xf numFmtId="166" fontId="3" fillId="12" borderId="0" applyAlignment="1" pivotButton="0" quotePrefix="0" xfId="1">
      <alignment horizontal="center"/>
    </xf>
    <xf numFmtId="166" fontId="3" fillId="12" borderId="0" applyAlignment="1" pivotButton="0" quotePrefix="0" xfId="1">
      <alignment vertical="top"/>
    </xf>
    <xf numFmtId="170" fontId="5" fillId="12" borderId="0" applyAlignment="1" pivotButton="0" quotePrefix="0" xfId="0">
      <alignment horizontal="center" vertical="center"/>
    </xf>
    <xf numFmtId="166" fontId="2" fillId="4" borderId="1" applyAlignment="1" pivotButton="0" quotePrefix="0" xfId="1">
      <alignment horizontal="center" vertical="center" wrapText="1"/>
    </xf>
    <xf numFmtId="166" fontId="5" fillId="0" borderId="6" applyAlignment="1" pivotButton="0" quotePrefix="0" xfId="1">
      <alignment horizontal="center" shrinkToFit="1"/>
    </xf>
    <xf numFmtId="165" fontId="5" fillId="0" borderId="0" applyAlignment="1" pivotButton="0" quotePrefix="0" xfId="1">
      <alignment horizontal="center"/>
    </xf>
    <xf numFmtId="165" fontId="5" fillId="0" borderId="9" applyAlignment="1" pivotButton="0" quotePrefix="0" xfId="1">
      <alignment horizontal="center"/>
    </xf>
    <xf numFmtId="166" fontId="5" fillId="0" borderId="6" applyAlignment="1" pivotButton="0" quotePrefix="0" xfId="1">
      <alignment horizontal="center" vertical="center" shrinkToFit="1"/>
    </xf>
    <xf numFmtId="169" fontId="5" fillId="0" borderId="6" applyAlignment="1" pivotButton="0" quotePrefix="0" xfId="0">
      <alignment horizontal="center" shrinkToFit="1"/>
    </xf>
    <xf numFmtId="166" fontId="3" fillId="0" borderId="1" applyAlignment="1" pivotButton="0" quotePrefix="0" xfId="1">
      <alignment horizontal="left" vertical="top"/>
    </xf>
    <xf numFmtId="165" fontId="5" fillId="6" borderId="6" applyAlignment="1" pivotButton="0" quotePrefix="0" xfId="1">
      <alignment horizontal="center"/>
    </xf>
    <xf numFmtId="166" fontId="5" fillId="0" borderId="9" applyAlignment="1" pivotButton="0" quotePrefix="0" xfId="1">
      <alignment horizontal="center" vertical="center" shrinkToFit="1"/>
    </xf>
    <xf numFmtId="166" fontId="5" fillId="0" borderId="9" applyAlignment="1" pivotButton="0" quotePrefix="0" xfId="1">
      <alignment horizontal="center" shrinkToFit="1"/>
    </xf>
    <xf numFmtId="165" fontId="5" fillId="6" borderId="22" applyAlignment="1" pivotButton="0" quotePrefix="0" xfId="1">
      <alignment horizontal="center"/>
    </xf>
    <xf numFmtId="166" fontId="3" fillId="0" borderId="0" applyAlignment="1" pivotButton="0" quotePrefix="0" xfId="1">
      <alignment horizontal="left" vertical="top"/>
    </xf>
    <xf numFmtId="165" fontId="5" fillId="6" borderId="14" applyAlignment="1" pivotButton="0" quotePrefix="0" xfId="1">
      <alignment horizontal="center"/>
    </xf>
    <xf numFmtId="166" fontId="5" fillId="12" borderId="6" applyAlignment="1" pivotButton="0" quotePrefix="0" xfId="1">
      <alignment horizontal="center" shrinkToFit="1"/>
    </xf>
    <xf numFmtId="165" fontId="5" fillId="12" borderId="0" applyAlignment="1" pivotButton="0" quotePrefix="0" xfId="1">
      <alignment horizontal="center"/>
    </xf>
    <xf numFmtId="166" fontId="3" fillId="12" borderId="1" applyAlignment="1" pivotButton="0" quotePrefix="0" xfId="1">
      <alignment horizontal="left" vertical="top"/>
    </xf>
    <xf numFmtId="166" fontId="5" fillId="13" borderId="6" applyAlignment="1" pivotButton="0" quotePrefix="0" xfId="1">
      <alignment horizontal="center" shrinkToFit="1"/>
    </xf>
    <xf numFmtId="165" fontId="5" fillId="13" borderId="0" applyAlignment="1" pivotButton="0" quotePrefix="0" xfId="1">
      <alignment horizontal="center"/>
    </xf>
    <xf numFmtId="166" fontId="3" fillId="13" borderId="1" applyAlignment="1" pivotButton="0" quotePrefix="0" xfId="1">
      <alignment horizontal="left" vertical="top"/>
    </xf>
    <xf numFmtId="165" fontId="5" fillId="13" borderId="6" applyAlignment="1" pivotButton="0" quotePrefix="0" xfId="1">
      <alignment horizontal="center"/>
    </xf>
  </cellXfs>
  <cellStyles count="32909">
    <cellStyle name="Normal" xfId="0" builtinId="0"/>
    <cellStyle name="Milliers" xfId="1" builtinId="3"/>
    <cellStyle name="Milliers 10" xfId="2"/>
    <cellStyle name="Milliers 13 5 2" xfId="3"/>
    <cellStyle name="Normal 5" xfId="4"/>
    <cellStyle name="Normal 6" xfId="5"/>
    <cellStyle name="Euro" xfId="6"/>
    <cellStyle name="Milliers 2" xfId="7"/>
    <cellStyle name="Milliers 2 10" xfId="8"/>
    <cellStyle name="Milliers 2 10 2" xfId="9"/>
    <cellStyle name="Milliers 2 10 2 2" xfId="10"/>
    <cellStyle name="Milliers 2 10 2 2 2" xfId="11"/>
    <cellStyle name="Milliers 2 10 2 2 2 2" xfId="12"/>
    <cellStyle name="Milliers 2 10 2 2 2 2 2" xfId="13"/>
    <cellStyle name="Milliers 2 10 2 2 2 2 2 2" xfId="14"/>
    <cellStyle name="Milliers 2 10 2 2 2 2 3" xfId="15"/>
    <cellStyle name="Milliers 2 10 2 2 2 3" xfId="16"/>
    <cellStyle name="Milliers 2 10 2 2 2 3 2" xfId="17"/>
    <cellStyle name="Milliers 2 10 2 2 2 4" xfId="18"/>
    <cellStyle name="Milliers 2 10 2 2 3" xfId="19"/>
    <cellStyle name="Milliers 2 10 2 2 3 2" xfId="20"/>
    <cellStyle name="Milliers 2 10 2 2 3 2 2" xfId="21"/>
    <cellStyle name="Milliers 2 10 2 2 3 3" xfId="22"/>
    <cellStyle name="Milliers 2 10 2 2 4" xfId="23"/>
    <cellStyle name="Milliers 2 10 2 2 4 2" xfId="24"/>
    <cellStyle name="Milliers 2 10 2 2 5" xfId="25"/>
    <cellStyle name="Milliers 2 10 2 3" xfId="26"/>
    <cellStyle name="Milliers 2 10 2 3 2" xfId="27"/>
    <cellStyle name="Milliers 2 10 2 3 2 2" xfId="28"/>
    <cellStyle name="Milliers 2 10 2 3 2 2 2" xfId="29"/>
    <cellStyle name="Milliers 2 10 2 3 2 3" xfId="30"/>
    <cellStyle name="Milliers 2 10 2 3 3" xfId="31"/>
    <cellStyle name="Milliers 2 10 2 3 3 2" xfId="32"/>
    <cellStyle name="Milliers 2 10 2 3 4" xfId="33"/>
    <cellStyle name="Milliers 2 10 2 4" xfId="34"/>
    <cellStyle name="Milliers 2 10 2 4 2" xfId="35"/>
    <cellStyle name="Milliers 2 10 2 4 2 2" xfId="36"/>
    <cellStyle name="Milliers 2 10 2 4 3" xfId="37"/>
    <cellStyle name="Milliers 2 10 2 5" xfId="38"/>
    <cellStyle name="Milliers 2 10 2 5 2" xfId="39"/>
    <cellStyle name="Milliers 2 10 2 6" xfId="40"/>
    <cellStyle name="Milliers 2 10 3" xfId="41"/>
    <cellStyle name="Milliers 2 10 3 2" xfId="42"/>
    <cellStyle name="Milliers 2 10 3 2 2" xfId="43"/>
    <cellStyle name="Milliers 2 10 3 2 2 2" xfId="44"/>
    <cellStyle name="Milliers 2 10 3 2 2 2 2" xfId="45"/>
    <cellStyle name="Milliers 2 10 3 2 2 3" xfId="46"/>
    <cellStyle name="Milliers 2 10 3 2 3" xfId="47"/>
    <cellStyle name="Milliers 2 10 3 2 3 2" xfId="48"/>
    <cellStyle name="Milliers 2 10 3 2 4" xfId="49"/>
    <cellStyle name="Milliers 2 10 3 3" xfId="50"/>
    <cellStyle name="Milliers 2 10 3 3 2" xfId="51"/>
    <cellStyle name="Milliers 2 10 3 3 2 2" xfId="52"/>
    <cellStyle name="Milliers 2 10 3 3 3" xfId="53"/>
    <cellStyle name="Milliers 2 10 3 4" xfId="54"/>
    <cellStyle name="Milliers 2 10 3 4 2" xfId="55"/>
    <cellStyle name="Milliers 2 10 3 5" xfId="56"/>
    <cellStyle name="Milliers 2 10 4" xfId="57"/>
    <cellStyle name="Milliers 2 10 4 2" xfId="58"/>
    <cellStyle name="Milliers 2 10 4 2 2" xfId="59"/>
    <cellStyle name="Milliers 2 10 4 2 2 2" xfId="60"/>
    <cellStyle name="Milliers 2 10 4 2 3" xfId="61"/>
    <cellStyle name="Milliers 2 10 4 3" xfId="62"/>
    <cellStyle name="Milliers 2 10 4 3 2" xfId="63"/>
    <cellStyle name="Milliers 2 10 4 4" xfId="64"/>
    <cellStyle name="Milliers 2 10 5" xfId="65"/>
    <cellStyle name="Milliers 2 10 5 2" xfId="66"/>
    <cellStyle name="Milliers 2 10 5 2 2" xfId="67"/>
    <cellStyle name="Milliers 2 10 5 3" xfId="68"/>
    <cellStyle name="Milliers 2 10 6" xfId="69"/>
    <cellStyle name="Milliers 2 10 6 2" xfId="70"/>
    <cellStyle name="Milliers 2 10 7" xfId="71"/>
    <cellStyle name="Milliers 2 11" xfId="72"/>
    <cellStyle name="Milliers 2 11 2" xfId="73"/>
    <cellStyle name="Milliers 2 11 2 2" xfId="74"/>
    <cellStyle name="Milliers 2 11 2 2 2" xfId="75"/>
    <cellStyle name="Milliers 2 11 2 2 2 2" xfId="76"/>
    <cellStyle name="Milliers 2 11 2 2 2 2 2" xfId="77"/>
    <cellStyle name="Milliers 2 11 2 2 2 3" xfId="78"/>
    <cellStyle name="Milliers 2 11 2 2 3" xfId="79"/>
    <cellStyle name="Milliers 2 11 2 2 3 2" xfId="80"/>
    <cellStyle name="Milliers 2 11 2 2 4" xfId="81"/>
    <cellStyle name="Milliers 2 11 2 3" xfId="82"/>
    <cellStyle name="Milliers 2 11 2 3 2" xfId="83"/>
    <cellStyle name="Milliers 2 11 2 3 2 2" xfId="84"/>
    <cellStyle name="Milliers 2 11 2 3 3" xfId="85"/>
    <cellStyle name="Milliers 2 11 2 4" xfId="86"/>
    <cellStyle name="Milliers 2 11 2 4 2" xfId="87"/>
    <cellStyle name="Milliers 2 11 2 5" xfId="88"/>
    <cellStyle name="Milliers 2 11 3" xfId="89"/>
    <cellStyle name="Milliers 2 11 3 2" xfId="90"/>
    <cellStyle name="Milliers 2 11 3 2 2" xfId="91"/>
    <cellStyle name="Milliers 2 11 3 2 2 2" xfId="92"/>
    <cellStyle name="Milliers 2 11 3 2 3" xfId="93"/>
    <cellStyle name="Milliers 2 11 3 3" xfId="94"/>
    <cellStyle name="Milliers 2 11 3 3 2" xfId="95"/>
    <cellStyle name="Milliers 2 11 3 4" xfId="96"/>
    <cellStyle name="Milliers 2 11 4" xfId="97"/>
    <cellStyle name="Milliers 2 11 4 2" xfId="98"/>
    <cellStyle name="Milliers 2 11 4 2 2" xfId="99"/>
    <cellStyle name="Milliers 2 11 4 3" xfId="100"/>
    <cellStyle name="Milliers 2 11 5" xfId="101"/>
    <cellStyle name="Milliers 2 11 5 2" xfId="102"/>
    <cellStyle name="Milliers 2 11 6" xfId="103"/>
    <cellStyle name="Milliers 2 12" xfId="104"/>
    <cellStyle name="Milliers 2 12 2" xfId="105"/>
    <cellStyle name="Milliers 2 12 2 2" xfId="106"/>
    <cellStyle name="Milliers 2 12 2 2 2" xfId="107"/>
    <cellStyle name="Milliers 2 12 2 2 2 2" xfId="108"/>
    <cellStyle name="Milliers 2 12 2 2 3" xfId="109"/>
    <cellStyle name="Milliers 2 12 2 3" xfId="110"/>
    <cellStyle name="Milliers 2 12 2 3 2" xfId="111"/>
    <cellStyle name="Milliers 2 12 2 4" xfId="112"/>
    <cellStyle name="Milliers 2 12 3" xfId="113"/>
    <cellStyle name="Milliers 2 12 3 2" xfId="114"/>
    <cellStyle name="Milliers 2 12 3 2 2" xfId="115"/>
    <cellStyle name="Milliers 2 12 3 3" xfId="116"/>
    <cellStyle name="Milliers 2 12 4" xfId="117"/>
    <cellStyle name="Milliers 2 12 4 2" xfId="118"/>
    <cellStyle name="Milliers 2 12 5" xfId="119"/>
    <cellStyle name="Milliers 2 13" xfId="120"/>
    <cellStyle name="Milliers 2 13 2" xfId="121"/>
    <cellStyle name="Milliers 2 13 2 2" xfId="122"/>
    <cellStyle name="Milliers 2 13 2 2 2" xfId="123"/>
    <cellStyle name="Milliers 2 13 2 3" xfId="124"/>
    <cellStyle name="Milliers 2 13 3" xfId="125"/>
    <cellStyle name="Milliers 2 13 3 2" xfId="126"/>
    <cellStyle name="Milliers 2 13 4" xfId="127"/>
    <cellStyle name="Milliers 2 14" xfId="128"/>
    <cellStyle name="Milliers 2 14 2" xfId="129"/>
    <cellStyle name="Milliers 2 14 2 2" xfId="130"/>
    <cellStyle name="Milliers 2 14 3" xfId="131"/>
    <cellStyle name="Milliers 2 15" xfId="132"/>
    <cellStyle name="Milliers 2 15 2" xfId="133"/>
    <cellStyle name="Milliers 2 16" xfId="134"/>
    <cellStyle name="Milliers 2 2" xfId="135"/>
    <cellStyle name="Milliers 2 2 10" xfId="136"/>
    <cellStyle name="Milliers 2 2 10 2" xfId="137"/>
    <cellStyle name="Milliers 2 2 10 2 2" xfId="138"/>
    <cellStyle name="Milliers 2 2 10 2 2 2" xfId="139"/>
    <cellStyle name="Milliers 2 2 10 2 2 2 2" xfId="140"/>
    <cellStyle name="Milliers 2 2 10 2 2 2 2 2" xfId="141"/>
    <cellStyle name="Milliers 2 2 10 2 2 2 3" xfId="142"/>
    <cellStyle name="Milliers 2 2 10 2 2 3" xfId="143"/>
    <cellStyle name="Milliers 2 2 10 2 2 3 2" xfId="144"/>
    <cellStyle name="Milliers 2 2 10 2 2 4" xfId="145"/>
    <cellStyle name="Milliers 2 2 10 2 3" xfId="146"/>
    <cellStyle name="Milliers 2 2 10 2 3 2" xfId="147"/>
    <cellStyle name="Milliers 2 2 10 2 3 2 2" xfId="148"/>
    <cellStyle name="Milliers 2 2 10 2 3 3" xfId="149"/>
    <cellStyle name="Milliers 2 2 10 2 4" xfId="150"/>
    <cellStyle name="Milliers 2 2 10 2 4 2" xfId="151"/>
    <cellStyle name="Milliers 2 2 10 2 5" xfId="152"/>
    <cellStyle name="Milliers 2 2 10 3" xfId="153"/>
    <cellStyle name="Milliers 2 2 10 3 2" xfId="154"/>
    <cellStyle name="Milliers 2 2 10 3 2 2" xfId="155"/>
    <cellStyle name="Milliers 2 2 10 3 2 2 2" xfId="156"/>
    <cellStyle name="Milliers 2 2 10 3 2 3" xfId="157"/>
    <cellStyle name="Milliers 2 2 10 3 3" xfId="158"/>
    <cellStyle name="Milliers 2 2 10 3 3 2" xfId="159"/>
    <cellStyle name="Milliers 2 2 10 3 4" xfId="160"/>
    <cellStyle name="Milliers 2 2 10 4" xfId="161"/>
    <cellStyle name="Milliers 2 2 10 4 2" xfId="162"/>
    <cellStyle name="Milliers 2 2 10 4 2 2" xfId="163"/>
    <cellStyle name="Milliers 2 2 10 4 3" xfId="164"/>
    <cellStyle name="Milliers 2 2 10 5" xfId="165"/>
    <cellStyle name="Milliers 2 2 10 5 2" xfId="166"/>
    <cellStyle name="Milliers 2 2 10 6" xfId="167"/>
    <cellStyle name="Milliers 2 2 11" xfId="168"/>
    <cellStyle name="Milliers 2 2 11 2" xfId="169"/>
    <cellStyle name="Milliers 2 2 11 2 2" xfId="170"/>
    <cellStyle name="Milliers 2 2 11 2 2 2" xfId="171"/>
    <cellStyle name="Milliers 2 2 11 2 2 2 2" xfId="172"/>
    <cellStyle name="Milliers 2 2 11 2 2 3" xfId="173"/>
    <cellStyle name="Milliers 2 2 11 2 3" xfId="174"/>
    <cellStyle name="Milliers 2 2 11 2 3 2" xfId="175"/>
    <cellStyle name="Milliers 2 2 11 2 4" xfId="176"/>
    <cellStyle name="Milliers 2 2 11 3" xfId="177"/>
    <cellStyle name="Milliers 2 2 11 3 2" xfId="178"/>
    <cellStyle name="Milliers 2 2 11 3 2 2" xfId="179"/>
    <cellStyle name="Milliers 2 2 11 3 3" xfId="180"/>
    <cellStyle name="Milliers 2 2 11 4" xfId="181"/>
    <cellStyle name="Milliers 2 2 11 4 2" xfId="182"/>
    <cellStyle name="Milliers 2 2 11 5" xfId="183"/>
    <cellStyle name="Milliers 2 2 12" xfId="184"/>
    <cellStyle name="Milliers 2 2 12 2" xfId="185"/>
    <cellStyle name="Milliers 2 2 12 2 2" xfId="186"/>
    <cellStyle name="Milliers 2 2 12 2 2 2" xfId="187"/>
    <cellStyle name="Milliers 2 2 12 2 3" xfId="188"/>
    <cellStyle name="Milliers 2 2 12 3" xfId="189"/>
    <cellStyle name="Milliers 2 2 12 3 2" xfId="190"/>
    <cellStyle name="Milliers 2 2 12 4" xfId="191"/>
    <cellStyle name="Milliers 2 2 13" xfId="192"/>
    <cellStyle name="Milliers 2 2 13 2" xfId="193"/>
    <cellStyle name="Milliers 2 2 13 2 2" xfId="194"/>
    <cellStyle name="Milliers 2 2 13 3" xfId="195"/>
    <cellStyle name="Milliers 2 2 14" xfId="196"/>
    <cellStyle name="Milliers 2 2 14 2" xfId="197"/>
    <cellStyle name="Milliers 2 2 15" xfId="198"/>
    <cellStyle name="Milliers 2 2 2" xfId="199"/>
    <cellStyle name="Milliers 2 2 2 10" xfId="200"/>
    <cellStyle name="Milliers 2 2 2 10 2" xfId="201"/>
    <cellStyle name="Milliers 2 2 2 10 2 2" xfId="202"/>
    <cellStyle name="Milliers 2 2 2 10 2 2 2" xfId="203"/>
    <cellStyle name="Milliers 2 2 2 10 2 2 2 2" xfId="204"/>
    <cellStyle name="Milliers 2 2 2 10 2 2 3" xfId="205"/>
    <cellStyle name="Milliers 2 2 2 10 2 3" xfId="206"/>
    <cellStyle name="Milliers 2 2 2 10 2 3 2" xfId="207"/>
    <cellStyle name="Milliers 2 2 2 10 2 4" xfId="208"/>
    <cellStyle name="Milliers 2 2 2 10 3" xfId="209"/>
    <cellStyle name="Milliers 2 2 2 10 3 2" xfId="210"/>
    <cellStyle name="Milliers 2 2 2 10 3 2 2" xfId="211"/>
    <cellStyle name="Milliers 2 2 2 10 3 3" xfId="212"/>
    <cellStyle name="Milliers 2 2 2 10 4" xfId="213"/>
    <cellStyle name="Milliers 2 2 2 10 4 2" xfId="214"/>
    <cellStyle name="Milliers 2 2 2 10 5" xfId="215"/>
    <cellStyle name="Milliers 2 2 2 11" xfId="216"/>
    <cellStyle name="Milliers 2 2 2 11 2" xfId="217"/>
    <cellStyle name="Milliers 2 2 2 11 2 2" xfId="218"/>
    <cellStyle name="Milliers 2 2 2 11 2 2 2" xfId="219"/>
    <cellStyle name="Milliers 2 2 2 11 2 3" xfId="220"/>
    <cellStyle name="Milliers 2 2 2 11 3" xfId="221"/>
    <cellStyle name="Milliers 2 2 2 11 3 2" xfId="222"/>
    <cellStyle name="Milliers 2 2 2 11 4" xfId="223"/>
    <cellStyle name="Milliers 2 2 2 12" xfId="224"/>
    <cellStyle name="Milliers 2 2 2 12 2" xfId="225"/>
    <cellStyle name="Milliers 2 2 2 12 2 2" xfId="226"/>
    <cellStyle name="Milliers 2 2 2 12 3" xfId="227"/>
    <cellStyle name="Milliers 2 2 2 13" xfId="228"/>
    <cellStyle name="Milliers 2 2 2 13 2" xfId="229"/>
    <cellStyle name="Milliers 2 2 2 14" xfId="230"/>
    <cellStyle name="Milliers 2 2 2 2" xfId="231"/>
    <cellStyle name="Milliers 2 2 2 2 10" xfId="232"/>
    <cellStyle name="Milliers 2 2 2 2 10 2" xfId="233"/>
    <cellStyle name="Milliers 2 2 2 2 10 2 2" xfId="234"/>
    <cellStyle name="Milliers 2 2 2 2 10 2 2 2" xfId="235"/>
    <cellStyle name="Milliers 2 2 2 2 10 2 3" xfId="236"/>
    <cellStyle name="Milliers 2 2 2 2 10 3" xfId="237"/>
    <cellStyle name="Milliers 2 2 2 2 10 3 2" xfId="238"/>
    <cellStyle name="Milliers 2 2 2 2 10 4" xfId="239"/>
    <cellStyle name="Milliers 2 2 2 2 11" xfId="240"/>
    <cellStyle name="Milliers 2 2 2 2 11 2" xfId="241"/>
    <cellStyle name="Milliers 2 2 2 2 11 2 2" xfId="242"/>
    <cellStyle name="Milliers 2 2 2 2 11 3" xfId="243"/>
    <cellStyle name="Milliers 2 2 2 2 12" xfId="244"/>
    <cellStyle name="Milliers 2 2 2 2 12 2" xfId="245"/>
    <cellStyle name="Milliers 2 2 2 2 13" xfId="246"/>
    <cellStyle name="Milliers 2 2 2 2 2" xfId="247"/>
    <cellStyle name="Milliers 2 2 2 2 2 10" xfId="248"/>
    <cellStyle name="Milliers 2 2 2 2 2 10 2" xfId="249"/>
    <cellStyle name="Milliers 2 2 2 2 2 10 2 2" xfId="250"/>
    <cellStyle name="Milliers 2 2 2 2 2 10 3" xfId="251"/>
    <cellStyle name="Milliers 2 2 2 2 2 11" xfId="252"/>
    <cellStyle name="Milliers 2 2 2 2 2 11 2" xfId="253"/>
    <cellStyle name="Milliers 2 2 2 2 2 12" xfId="254"/>
    <cellStyle name="Milliers 2 2 2 2 2 2" xfId="255"/>
    <cellStyle name="Milliers 2 2 2 2 2 2 10" xfId="256"/>
    <cellStyle name="Milliers 2 2 2 2 2 2 10 2" xfId="257"/>
    <cellStyle name="Milliers 2 2 2 2 2 2 11" xfId="258"/>
    <cellStyle name="Milliers 2 2 2 2 2 2 2" xfId="259"/>
    <cellStyle name="Milliers 2 2 2 2 2 2 2 10" xfId="260"/>
    <cellStyle name="Milliers 2 2 2 2 2 2 2 2" xfId="261"/>
    <cellStyle name="Milliers 2 2 2 2 2 2 2 2 2" xfId="262"/>
    <cellStyle name="Milliers 2 2 2 2 2 2 2 2 2 2" xfId="263"/>
    <cellStyle name="Milliers 2 2 2 2 2 2 2 2 2 2 2" xfId="264"/>
    <cellStyle name="Milliers 2 2 2 2 2 2 2 2 2 2 2 2" xfId="265"/>
    <cellStyle name="Milliers 2 2 2 2 2 2 2 2 2 2 2 2 2" xfId="266"/>
    <cellStyle name="Milliers 2 2 2 2 2 2 2 2 2 2 2 2 2 2" xfId="267"/>
    <cellStyle name="Milliers 2 2 2 2 2 2 2 2 2 2 2 2 2 2 2" xfId="268"/>
    <cellStyle name="Milliers 2 2 2 2 2 2 2 2 2 2 2 2 2 2 2 2" xfId="269"/>
    <cellStyle name="Milliers 2 2 2 2 2 2 2 2 2 2 2 2 2 2 3" xfId="270"/>
    <cellStyle name="Milliers 2 2 2 2 2 2 2 2 2 2 2 2 2 3" xfId="271"/>
    <cellStyle name="Milliers 2 2 2 2 2 2 2 2 2 2 2 2 2 3 2" xfId="272"/>
    <cellStyle name="Milliers 2 2 2 2 2 2 2 2 2 2 2 2 2 4" xfId="273"/>
    <cellStyle name="Milliers 2 2 2 2 2 2 2 2 2 2 2 2 3" xfId="274"/>
    <cellStyle name="Milliers 2 2 2 2 2 2 2 2 2 2 2 2 3 2" xfId="275"/>
    <cellStyle name="Milliers 2 2 2 2 2 2 2 2 2 2 2 2 3 2 2" xfId="276"/>
    <cellStyle name="Milliers 2 2 2 2 2 2 2 2 2 2 2 2 3 3" xfId="277"/>
    <cellStyle name="Milliers 2 2 2 2 2 2 2 2 2 2 2 2 4" xfId="278"/>
    <cellStyle name="Milliers 2 2 2 2 2 2 2 2 2 2 2 2 4 2" xfId="279"/>
    <cellStyle name="Milliers 2 2 2 2 2 2 2 2 2 2 2 2 5" xfId="280"/>
    <cellStyle name="Milliers 2 2 2 2 2 2 2 2 2 2 2 3" xfId="281"/>
    <cellStyle name="Milliers 2 2 2 2 2 2 2 2 2 2 2 3 2" xfId="282"/>
    <cellStyle name="Milliers 2 2 2 2 2 2 2 2 2 2 2 3 2 2" xfId="283"/>
    <cellStyle name="Milliers 2 2 2 2 2 2 2 2 2 2 2 3 2 2 2" xfId="284"/>
    <cellStyle name="Milliers 2 2 2 2 2 2 2 2 2 2 2 3 2 3" xfId="285"/>
    <cellStyle name="Milliers 2 2 2 2 2 2 2 2 2 2 2 3 3" xfId="286"/>
    <cellStyle name="Milliers 2 2 2 2 2 2 2 2 2 2 2 3 3 2" xfId="287"/>
    <cellStyle name="Milliers 2 2 2 2 2 2 2 2 2 2 2 3 4" xfId="288"/>
    <cellStyle name="Milliers 2 2 2 2 2 2 2 2 2 2 2 4" xfId="289"/>
    <cellStyle name="Milliers 2 2 2 2 2 2 2 2 2 2 2 4 2" xfId="290"/>
    <cellStyle name="Milliers 2 2 2 2 2 2 2 2 2 2 2 4 2 2" xfId="291"/>
    <cellStyle name="Milliers 2 2 2 2 2 2 2 2 2 2 2 4 3" xfId="292"/>
    <cellStyle name="Milliers 2 2 2 2 2 2 2 2 2 2 2 5" xfId="293"/>
    <cellStyle name="Milliers 2 2 2 2 2 2 2 2 2 2 2 5 2" xfId="294"/>
    <cellStyle name="Milliers 2 2 2 2 2 2 2 2 2 2 2 6" xfId="295"/>
    <cellStyle name="Milliers 2 2 2 2 2 2 2 2 2 2 3" xfId="296"/>
    <cellStyle name="Milliers 2 2 2 2 2 2 2 2 2 2 3 2" xfId="297"/>
    <cellStyle name="Milliers 2 2 2 2 2 2 2 2 2 2 3 2 2" xfId="298"/>
    <cellStyle name="Milliers 2 2 2 2 2 2 2 2 2 2 3 2 2 2" xfId="299"/>
    <cellStyle name="Milliers 2 2 2 2 2 2 2 2 2 2 3 2 2 2 2" xfId="300"/>
    <cellStyle name="Milliers 2 2 2 2 2 2 2 2 2 2 3 2 2 3" xfId="301"/>
    <cellStyle name="Milliers 2 2 2 2 2 2 2 2 2 2 3 2 3" xfId="302"/>
    <cellStyle name="Milliers 2 2 2 2 2 2 2 2 2 2 3 2 3 2" xfId="303"/>
    <cellStyle name="Milliers 2 2 2 2 2 2 2 2 2 2 3 2 4" xfId="304"/>
    <cellStyle name="Milliers 2 2 2 2 2 2 2 2 2 2 3 3" xfId="305"/>
    <cellStyle name="Milliers 2 2 2 2 2 2 2 2 2 2 3 3 2" xfId="306"/>
    <cellStyle name="Milliers 2 2 2 2 2 2 2 2 2 2 3 3 2 2" xfId="307"/>
    <cellStyle name="Milliers 2 2 2 2 2 2 2 2 2 2 3 3 3" xfId="308"/>
    <cellStyle name="Milliers 2 2 2 2 2 2 2 2 2 2 3 4" xfId="309"/>
    <cellStyle name="Milliers 2 2 2 2 2 2 2 2 2 2 3 4 2" xfId="310"/>
    <cellStyle name="Milliers 2 2 2 2 2 2 2 2 2 2 3 5" xfId="311"/>
    <cellStyle name="Milliers 2 2 2 2 2 2 2 2 2 2 4" xfId="312"/>
    <cellStyle name="Milliers 2 2 2 2 2 2 2 2 2 2 4 2" xfId="313"/>
    <cellStyle name="Milliers 2 2 2 2 2 2 2 2 2 2 4 2 2" xfId="314"/>
    <cellStyle name="Milliers 2 2 2 2 2 2 2 2 2 2 4 2 2 2" xfId="315"/>
    <cellStyle name="Milliers 2 2 2 2 2 2 2 2 2 2 4 2 3" xfId="316"/>
    <cellStyle name="Milliers 2 2 2 2 2 2 2 2 2 2 4 3" xfId="317"/>
    <cellStyle name="Milliers 2 2 2 2 2 2 2 2 2 2 4 3 2" xfId="318"/>
    <cellStyle name="Milliers 2 2 2 2 2 2 2 2 2 2 4 4" xfId="319"/>
    <cellStyle name="Milliers 2 2 2 2 2 2 2 2 2 2 5" xfId="320"/>
    <cellStyle name="Milliers 2 2 2 2 2 2 2 2 2 2 5 2" xfId="321"/>
    <cellStyle name="Milliers 2 2 2 2 2 2 2 2 2 2 5 2 2" xfId="322"/>
    <cellStyle name="Milliers 2 2 2 2 2 2 2 2 2 2 5 3" xfId="323"/>
    <cellStyle name="Milliers 2 2 2 2 2 2 2 2 2 2 6" xfId="324"/>
    <cellStyle name="Milliers 2 2 2 2 2 2 2 2 2 2 6 2" xfId="325"/>
    <cellStyle name="Milliers 2 2 2 2 2 2 2 2 2 2 7" xfId="326"/>
    <cellStyle name="Milliers 2 2 2 2 2 2 2 2 2 3" xfId="327"/>
    <cellStyle name="Milliers 2 2 2 2 2 2 2 2 2 3 2" xfId="328"/>
    <cellStyle name="Milliers 2 2 2 2 2 2 2 2 2 3 2 2" xfId="329"/>
    <cellStyle name="Milliers 2 2 2 2 2 2 2 2 2 3 2 2 2" xfId="330"/>
    <cellStyle name="Milliers 2 2 2 2 2 2 2 2 2 3 2 2 2 2" xfId="331"/>
    <cellStyle name="Milliers 2 2 2 2 2 2 2 2 2 3 2 2 2 2 2" xfId="332"/>
    <cellStyle name="Milliers 2 2 2 2 2 2 2 2 2 3 2 2 2 3" xfId="333"/>
    <cellStyle name="Milliers 2 2 2 2 2 2 2 2 2 3 2 2 3" xfId="334"/>
    <cellStyle name="Milliers 2 2 2 2 2 2 2 2 2 3 2 2 3 2" xfId="335"/>
    <cellStyle name="Milliers 2 2 2 2 2 2 2 2 2 3 2 2 4" xfId="336"/>
    <cellStyle name="Milliers 2 2 2 2 2 2 2 2 2 3 2 3" xfId="337"/>
    <cellStyle name="Milliers 2 2 2 2 2 2 2 2 2 3 2 3 2" xfId="338"/>
    <cellStyle name="Milliers 2 2 2 2 2 2 2 2 2 3 2 3 2 2" xfId="339"/>
    <cellStyle name="Milliers 2 2 2 2 2 2 2 2 2 3 2 3 3" xfId="340"/>
    <cellStyle name="Milliers 2 2 2 2 2 2 2 2 2 3 2 4" xfId="341"/>
    <cellStyle name="Milliers 2 2 2 2 2 2 2 2 2 3 2 4 2" xfId="342"/>
    <cellStyle name="Milliers 2 2 2 2 2 2 2 2 2 3 2 5" xfId="343"/>
    <cellStyle name="Milliers 2 2 2 2 2 2 2 2 2 3 3" xfId="344"/>
    <cellStyle name="Milliers 2 2 2 2 2 2 2 2 2 3 3 2" xfId="345"/>
    <cellStyle name="Milliers 2 2 2 2 2 2 2 2 2 3 3 2 2" xfId="346"/>
    <cellStyle name="Milliers 2 2 2 2 2 2 2 2 2 3 3 2 2 2" xfId="347"/>
    <cellStyle name="Milliers 2 2 2 2 2 2 2 2 2 3 3 2 3" xfId="348"/>
    <cellStyle name="Milliers 2 2 2 2 2 2 2 2 2 3 3 3" xfId="349"/>
    <cellStyle name="Milliers 2 2 2 2 2 2 2 2 2 3 3 3 2" xfId="350"/>
    <cellStyle name="Milliers 2 2 2 2 2 2 2 2 2 3 3 4" xfId="351"/>
    <cellStyle name="Milliers 2 2 2 2 2 2 2 2 2 3 4" xfId="352"/>
    <cellStyle name="Milliers 2 2 2 2 2 2 2 2 2 3 4 2" xfId="353"/>
    <cellStyle name="Milliers 2 2 2 2 2 2 2 2 2 3 4 2 2" xfId="354"/>
    <cellStyle name="Milliers 2 2 2 2 2 2 2 2 2 3 4 3" xfId="355"/>
    <cellStyle name="Milliers 2 2 2 2 2 2 2 2 2 3 5" xfId="356"/>
    <cellStyle name="Milliers 2 2 2 2 2 2 2 2 2 3 5 2" xfId="357"/>
    <cellStyle name="Milliers 2 2 2 2 2 2 2 2 2 3 6" xfId="358"/>
    <cellStyle name="Milliers 2 2 2 2 2 2 2 2 2 4" xfId="359"/>
    <cellStyle name="Milliers 2 2 2 2 2 2 2 2 2 4 2" xfId="360"/>
    <cellStyle name="Milliers 2 2 2 2 2 2 2 2 2 4 2 2" xfId="361"/>
    <cellStyle name="Milliers 2 2 2 2 2 2 2 2 2 4 2 2 2" xfId="362"/>
    <cellStyle name="Milliers 2 2 2 2 2 2 2 2 2 4 2 2 2 2" xfId="363"/>
    <cellStyle name="Milliers 2 2 2 2 2 2 2 2 2 4 2 2 3" xfId="364"/>
    <cellStyle name="Milliers 2 2 2 2 2 2 2 2 2 4 2 3" xfId="365"/>
    <cellStyle name="Milliers 2 2 2 2 2 2 2 2 2 4 2 3 2" xfId="366"/>
    <cellStyle name="Milliers 2 2 2 2 2 2 2 2 2 4 2 4" xfId="367"/>
    <cellStyle name="Milliers 2 2 2 2 2 2 2 2 2 4 3" xfId="368"/>
    <cellStyle name="Milliers 2 2 2 2 2 2 2 2 2 4 3 2" xfId="369"/>
    <cellStyle name="Milliers 2 2 2 2 2 2 2 2 2 4 3 2 2" xfId="370"/>
    <cellStyle name="Milliers 2 2 2 2 2 2 2 2 2 4 3 3" xfId="371"/>
    <cellStyle name="Milliers 2 2 2 2 2 2 2 2 2 4 4" xfId="372"/>
    <cellStyle name="Milliers 2 2 2 2 2 2 2 2 2 4 4 2" xfId="373"/>
    <cellStyle name="Milliers 2 2 2 2 2 2 2 2 2 4 5" xfId="374"/>
    <cellStyle name="Milliers 2 2 2 2 2 2 2 2 2 5" xfId="375"/>
    <cellStyle name="Milliers 2 2 2 2 2 2 2 2 2 5 2" xfId="376"/>
    <cellStyle name="Milliers 2 2 2 2 2 2 2 2 2 5 2 2" xfId="377"/>
    <cellStyle name="Milliers 2 2 2 2 2 2 2 2 2 5 2 2 2" xfId="378"/>
    <cellStyle name="Milliers 2 2 2 2 2 2 2 2 2 5 2 3" xfId="379"/>
    <cellStyle name="Milliers 2 2 2 2 2 2 2 2 2 5 3" xfId="380"/>
    <cellStyle name="Milliers 2 2 2 2 2 2 2 2 2 5 3 2" xfId="381"/>
    <cellStyle name="Milliers 2 2 2 2 2 2 2 2 2 5 4" xfId="382"/>
    <cellStyle name="Milliers 2 2 2 2 2 2 2 2 2 6" xfId="383"/>
    <cellStyle name="Milliers 2 2 2 2 2 2 2 2 2 6 2" xfId="384"/>
    <cellStyle name="Milliers 2 2 2 2 2 2 2 2 2 6 2 2" xfId="385"/>
    <cellStyle name="Milliers 2 2 2 2 2 2 2 2 2 6 3" xfId="386"/>
    <cellStyle name="Milliers 2 2 2 2 2 2 2 2 2 7" xfId="387"/>
    <cellStyle name="Milliers 2 2 2 2 2 2 2 2 2 7 2" xfId="388"/>
    <cellStyle name="Milliers 2 2 2 2 2 2 2 2 2 8" xfId="389"/>
    <cellStyle name="Milliers 2 2 2 2 2 2 2 2 3" xfId="390"/>
    <cellStyle name="Milliers 2 2 2 2 2 2 2 2 3 2" xfId="391"/>
    <cellStyle name="Milliers 2 2 2 2 2 2 2 2 3 2 2" xfId="392"/>
    <cellStyle name="Milliers 2 2 2 2 2 2 2 2 3 2 2 2" xfId="393"/>
    <cellStyle name="Milliers 2 2 2 2 2 2 2 2 3 2 2 2 2" xfId="394"/>
    <cellStyle name="Milliers 2 2 2 2 2 2 2 2 3 2 2 2 2 2" xfId="395"/>
    <cellStyle name="Milliers 2 2 2 2 2 2 2 2 3 2 2 2 2 2 2" xfId="396"/>
    <cellStyle name="Milliers 2 2 2 2 2 2 2 2 3 2 2 2 2 3" xfId="397"/>
    <cellStyle name="Milliers 2 2 2 2 2 2 2 2 3 2 2 2 3" xfId="398"/>
    <cellStyle name="Milliers 2 2 2 2 2 2 2 2 3 2 2 2 3 2" xfId="399"/>
    <cellStyle name="Milliers 2 2 2 2 2 2 2 2 3 2 2 2 4" xfId="400"/>
    <cellStyle name="Milliers 2 2 2 2 2 2 2 2 3 2 2 3" xfId="401"/>
    <cellStyle name="Milliers 2 2 2 2 2 2 2 2 3 2 2 3 2" xfId="402"/>
    <cellStyle name="Milliers 2 2 2 2 2 2 2 2 3 2 2 3 2 2" xfId="403"/>
    <cellStyle name="Milliers 2 2 2 2 2 2 2 2 3 2 2 3 3" xfId="404"/>
    <cellStyle name="Milliers 2 2 2 2 2 2 2 2 3 2 2 4" xfId="405"/>
    <cellStyle name="Milliers 2 2 2 2 2 2 2 2 3 2 2 4 2" xfId="406"/>
    <cellStyle name="Milliers 2 2 2 2 2 2 2 2 3 2 2 5" xfId="407"/>
    <cellStyle name="Milliers 2 2 2 2 2 2 2 2 3 2 3" xfId="408"/>
    <cellStyle name="Milliers 2 2 2 2 2 2 2 2 3 2 3 2" xfId="409"/>
    <cellStyle name="Milliers 2 2 2 2 2 2 2 2 3 2 3 2 2" xfId="410"/>
    <cellStyle name="Milliers 2 2 2 2 2 2 2 2 3 2 3 2 2 2" xfId="411"/>
    <cellStyle name="Milliers 2 2 2 2 2 2 2 2 3 2 3 2 3" xfId="412"/>
    <cellStyle name="Milliers 2 2 2 2 2 2 2 2 3 2 3 3" xfId="413"/>
    <cellStyle name="Milliers 2 2 2 2 2 2 2 2 3 2 3 3 2" xfId="414"/>
    <cellStyle name="Milliers 2 2 2 2 2 2 2 2 3 2 3 4" xfId="415"/>
    <cellStyle name="Milliers 2 2 2 2 2 2 2 2 3 2 4" xfId="416"/>
    <cellStyle name="Milliers 2 2 2 2 2 2 2 2 3 2 4 2" xfId="417"/>
    <cellStyle name="Milliers 2 2 2 2 2 2 2 2 3 2 4 2 2" xfId="418"/>
    <cellStyle name="Milliers 2 2 2 2 2 2 2 2 3 2 4 3" xfId="419"/>
    <cellStyle name="Milliers 2 2 2 2 2 2 2 2 3 2 5" xfId="420"/>
    <cellStyle name="Milliers 2 2 2 2 2 2 2 2 3 2 5 2" xfId="421"/>
    <cellStyle name="Milliers 2 2 2 2 2 2 2 2 3 2 6" xfId="422"/>
    <cellStyle name="Milliers 2 2 2 2 2 2 2 2 3 3" xfId="423"/>
    <cellStyle name="Milliers 2 2 2 2 2 2 2 2 3 3 2" xfId="424"/>
    <cellStyle name="Milliers 2 2 2 2 2 2 2 2 3 3 2 2" xfId="425"/>
    <cellStyle name="Milliers 2 2 2 2 2 2 2 2 3 3 2 2 2" xfId="426"/>
    <cellStyle name="Milliers 2 2 2 2 2 2 2 2 3 3 2 2 2 2" xfId="427"/>
    <cellStyle name="Milliers 2 2 2 2 2 2 2 2 3 3 2 2 3" xfId="428"/>
    <cellStyle name="Milliers 2 2 2 2 2 2 2 2 3 3 2 3" xfId="429"/>
    <cellStyle name="Milliers 2 2 2 2 2 2 2 2 3 3 2 3 2" xfId="430"/>
    <cellStyle name="Milliers 2 2 2 2 2 2 2 2 3 3 2 4" xfId="431"/>
    <cellStyle name="Milliers 2 2 2 2 2 2 2 2 3 3 3" xfId="432"/>
    <cellStyle name="Milliers 2 2 2 2 2 2 2 2 3 3 3 2" xfId="433"/>
    <cellStyle name="Milliers 2 2 2 2 2 2 2 2 3 3 3 2 2" xfId="434"/>
    <cellStyle name="Milliers 2 2 2 2 2 2 2 2 3 3 3 3" xfId="435"/>
    <cellStyle name="Milliers 2 2 2 2 2 2 2 2 3 3 4" xfId="436"/>
    <cellStyle name="Milliers 2 2 2 2 2 2 2 2 3 3 4 2" xfId="437"/>
    <cellStyle name="Milliers 2 2 2 2 2 2 2 2 3 3 5" xfId="438"/>
    <cellStyle name="Milliers 2 2 2 2 2 2 2 2 3 4" xfId="439"/>
    <cellStyle name="Milliers 2 2 2 2 2 2 2 2 3 4 2" xfId="440"/>
    <cellStyle name="Milliers 2 2 2 2 2 2 2 2 3 4 2 2" xfId="441"/>
    <cellStyle name="Milliers 2 2 2 2 2 2 2 2 3 4 2 2 2" xfId="442"/>
    <cellStyle name="Milliers 2 2 2 2 2 2 2 2 3 4 2 3" xfId="443"/>
    <cellStyle name="Milliers 2 2 2 2 2 2 2 2 3 4 3" xfId="444"/>
    <cellStyle name="Milliers 2 2 2 2 2 2 2 2 3 4 3 2" xfId="445"/>
    <cellStyle name="Milliers 2 2 2 2 2 2 2 2 3 4 4" xfId="446"/>
    <cellStyle name="Milliers 2 2 2 2 2 2 2 2 3 5" xfId="447"/>
    <cellStyle name="Milliers 2 2 2 2 2 2 2 2 3 5 2" xfId="448"/>
    <cellStyle name="Milliers 2 2 2 2 2 2 2 2 3 5 2 2" xfId="449"/>
    <cellStyle name="Milliers 2 2 2 2 2 2 2 2 3 5 3" xfId="450"/>
    <cellStyle name="Milliers 2 2 2 2 2 2 2 2 3 6" xfId="451"/>
    <cellStyle name="Milliers 2 2 2 2 2 2 2 2 3 6 2" xfId="452"/>
    <cellStyle name="Milliers 2 2 2 2 2 2 2 2 3 7" xfId="453"/>
    <cellStyle name="Milliers 2 2 2 2 2 2 2 2 4" xfId="454"/>
    <cellStyle name="Milliers 2 2 2 2 2 2 2 2 4 2" xfId="455"/>
    <cellStyle name="Milliers 2 2 2 2 2 2 2 2 4 2 2" xfId="456"/>
    <cellStyle name="Milliers 2 2 2 2 2 2 2 2 4 2 2 2" xfId="457"/>
    <cellStyle name="Milliers 2 2 2 2 2 2 2 2 4 2 2 2 2" xfId="458"/>
    <cellStyle name="Milliers 2 2 2 2 2 2 2 2 4 2 2 2 2 2" xfId="459"/>
    <cellStyle name="Milliers 2 2 2 2 2 2 2 2 4 2 2 2 3" xfId="460"/>
    <cellStyle name="Milliers 2 2 2 2 2 2 2 2 4 2 2 3" xfId="461"/>
    <cellStyle name="Milliers 2 2 2 2 2 2 2 2 4 2 2 3 2" xfId="462"/>
    <cellStyle name="Milliers 2 2 2 2 2 2 2 2 4 2 2 4" xfId="463"/>
    <cellStyle name="Milliers 2 2 2 2 2 2 2 2 4 2 3" xfId="464"/>
    <cellStyle name="Milliers 2 2 2 2 2 2 2 2 4 2 3 2" xfId="465"/>
    <cellStyle name="Milliers 2 2 2 2 2 2 2 2 4 2 3 2 2" xfId="466"/>
    <cellStyle name="Milliers 2 2 2 2 2 2 2 2 4 2 3 3" xfId="467"/>
    <cellStyle name="Milliers 2 2 2 2 2 2 2 2 4 2 4" xfId="468"/>
    <cellStyle name="Milliers 2 2 2 2 2 2 2 2 4 2 4 2" xfId="469"/>
    <cellStyle name="Milliers 2 2 2 2 2 2 2 2 4 2 5" xfId="470"/>
    <cellStyle name="Milliers 2 2 2 2 2 2 2 2 4 3" xfId="471"/>
    <cellStyle name="Milliers 2 2 2 2 2 2 2 2 4 3 2" xfId="472"/>
    <cellStyle name="Milliers 2 2 2 2 2 2 2 2 4 3 2 2" xfId="473"/>
    <cellStyle name="Milliers 2 2 2 2 2 2 2 2 4 3 2 2 2" xfId="474"/>
    <cellStyle name="Milliers 2 2 2 2 2 2 2 2 4 3 2 3" xfId="475"/>
    <cellStyle name="Milliers 2 2 2 2 2 2 2 2 4 3 3" xfId="476"/>
    <cellStyle name="Milliers 2 2 2 2 2 2 2 2 4 3 3 2" xfId="477"/>
    <cellStyle name="Milliers 2 2 2 2 2 2 2 2 4 3 4" xfId="478"/>
    <cellStyle name="Milliers 2 2 2 2 2 2 2 2 4 4" xfId="479"/>
    <cellStyle name="Milliers 2 2 2 2 2 2 2 2 4 4 2" xfId="480"/>
    <cellStyle name="Milliers 2 2 2 2 2 2 2 2 4 4 2 2" xfId="481"/>
    <cellStyle name="Milliers 2 2 2 2 2 2 2 2 4 4 3" xfId="482"/>
    <cellStyle name="Milliers 2 2 2 2 2 2 2 2 4 5" xfId="483"/>
    <cellStyle name="Milliers 2 2 2 2 2 2 2 2 4 5 2" xfId="484"/>
    <cellStyle name="Milliers 2 2 2 2 2 2 2 2 4 6" xfId="485"/>
    <cellStyle name="Milliers 2 2 2 2 2 2 2 2 5" xfId="486"/>
    <cellStyle name="Milliers 2 2 2 2 2 2 2 2 5 2" xfId="487"/>
    <cellStyle name="Milliers 2 2 2 2 2 2 2 2 5 2 2" xfId="488"/>
    <cellStyle name="Milliers 2 2 2 2 2 2 2 2 5 2 2 2" xfId="489"/>
    <cellStyle name="Milliers 2 2 2 2 2 2 2 2 5 2 2 2 2" xfId="490"/>
    <cellStyle name="Milliers 2 2 2 2 2 2 2 2 5 2 2 3" xfId="491"/>
    <cellStyle name="Milliers 2 2 2 2 2 2 2 2 5 2 3" xfId="492"/>
    <cellStyle name="Milliers 2 2 2 2 2 2 2 2 5 2 3 2" xfId="493"/>
    <cellStyle name="Milliers 2 2 2 2 2 2 2 2 5 2 4" xfId="494"/>
    <cellStyle name="Milliers 2 2 2 2 2 2 2 2 5 3" xfId="495"/>
    <cellStyle name="Milliers 2 2 2 2 2 2 2 2 5 3 2" xfId="496"/>
    <cellStyle name="Milliers 2 2 2 2 2 2 2 2 5 3 2 2" xfId="497"/>
    <cellStyle name="Milliers 2 2 2 2 2 2 2 2 5 3 3" xfId="498"/>
    <cellStyle name="Milliers 2 2 2 2 2 2 2 2 5 4" xfId="499"/>
    <cellStyle name="Milliers 2 2 2 2 2 2 2 2 5 4 2" xfId="500"/>
    <cellStyle name="Milliers 2 2 2 2 2 2 2 2 5 5" xfId="501"/>
    <cellStyle name="Milliers 2 2 2 2 2 2 2 2 6" xfId="502"/>
    <cellStyle name="Milliers 2 2 2 2 2 2 2 2 6 2" xfId="503"/>
    <cellStyle name="Milliers 2 2 2 2 2 2 2 2 6 2 2" xfId="504"/>
    <cellStyle name="Milliers 2 2 2 2 2 2 2 2 6 2 2 2" xfId="505"/>
    <cellStyle name="Milliers 2 2 2 2 2 2 2 2 6 2 3" xfId="506"/>
    <cellStyle name="Milliers 2 2 2 2 2 2 2 2 6 3" xfId="507"/>
    <cellStyle name="Milliers 2 2 2 2 2 2 2 2 6 3 2" xfId="508"/>
    <cellStyle name="Milliers 2 2 2 2 2 2 2 2 6 4" xfId="509"/>
    <cellStyle name="Milliers 2 2 2 2 2 2 2 2 7" xfId="510"/>
    <cellStyle name="Milliers 2 2 2 2 2 2 2 2 7 2" xfId="511"/>
    <cellStyle name="Milliers 2 2 2 2 2 2 2 2 7 2 2" xfId="512"/>
    <cellStyle name="Milliers 2 2 2 2 2 2 2 2 7 3" xfId="513"/>
    <cellStyle name="Milliers 2 2 2 2 2 2 2 2 8" xfId="514"/>
    <cellStyle name="Milliers 2 2 2 2 2 2 2 2 8 2" xfId="515"/>
    <cellStyle name="Milliers 2 2 2 2 2 2 2 2 9" xfId="516"/>
    <cellStyle name="Milliers 2 2 2 2 2 2 2 3" xfId="517"/>
    <cellStyle name="Milliers 2 2 2 2 2 2 2 3 2" xfId="518"/>
    <cellStyle name="Milliers 2 2 2 2 2 2 2 3 2 2" xfId="519"/>
    <cellStyle name="Milliers 2 2 2 2 2 2 2 3 2 2 2" xfId="520"/>
    <cellStyle name="Milliers 2 2 2 2 2 2 2 3 2 2 2 2" xfId="521"/>
    <cellStyle name="Milliers 2 2 2 2 2 2 2 3 2 2 2 2 2" xfId="522"/>
    <cellStyle name="Milliers 2 2 2 2 2 2 2 3 2 2 2 2 2 2" xfId="523"/>
    <cellStyle name="Milliers 2 2 2 2 2 2 2 3 2 2 2 2 2 2 2" xfId="524"/>
    <cellStyle name="Milliers 2 2 2 2 2 2 2 3 2 2 2 2 2 3" xfId="525"/>
    <cellStyle name="Milliers 2 2 2 2 2 2 2 3 2 2 2 2 3" xfId="526"/>
    <cellStyle name="Milliers 2 2 2 2 2 2 2 3 2 2 2 2 3 2" xfId="527"/>
    <cellStyle name="Milliers 2 2 2 2 2 2 2 3 2 2 2 2 4" xfId="528"/>
    <cellStyle name="Milliers 2 2 2 2 2 2 2 3 2 2 2 3" xfId="529"/>
    <cellStyle name="Milliers 2 2 2 2 2 2 2 3 2 2 2 3 2" xfId="530"/>
    <cellStyle name="Milliers 2 2 2 2 2 2 2 3 2 2 2 3 2 2" xfId="531"/>
    <cellStyle name="Milliers 2 2 2 2 2 2 2 3 2 2 2 3 3" xfId="532"/>
    <cellStyle name="Milliers 2 2 2 2 2 2 2 3 2 2 2 4" xfId="533"/>
    <cellStyle name="Milliers 2 2 2 2 2 2 2 3 2 2 2 4 2" xfId="534"/>
    <cellStyle name="Milliers 2 2 2 2 2 2 2 3 2 2 2 5" xfId="535"/>
    <cellStyle name="Milliers 2 2 2 2 2 2 2 3 2 2 3" xfId="536"/>
    <cellStyle name="Milliers 2 2 2 2 2 2 2 3 2 2 3 2" xfId="537"/>
    <cellStyle name="Milliers 2 2 2 2 2 2 2 3 2 2 3 2 2" xfId="538"/>
    <cellStyle name="Milliers 2 2 2 2 2 2 2 3 2 2 3 2 2 2" xfId="539"/>
    <cellStyle name="Milliers 2 2 2 2 2 2 2 3 2 2 3 2 3" xfId="540"/>
    <cellStyle name="Milliers 2 2 2 2 2 2 2 3 2 2 3 3" xfId="541"/>
    <cellStyle name="Milliers 2 2 2 2 2 2 2 3 2 2 3 3 2" xfId="542"/>
    <cellStyle name="Milliers 2 2 2 2 2 2 2 3 2 2 3 4" xfId="543"/>
    <cellStyle name="Milliers 2 2 2 2 2 2 2 3 2 2 4" xfId="544"/>
    <cellStyle name="Milliers 2 2 2 2 2 2 2 3 2 2 4 2" xfId="545"/>
    <cellStyle name="Milliers 2 2 2 2 2 2 2 3 2 2 4 2 2" xfId="546"/>
    <cellStyle name="Milliers 2 2 2 2 2 2 2 3 2 2 4 3" xfId="547"/>
    <cellStyle name="Milliers 2 2 2 2 2 2 2 3 2 2 5" xfId="548"/>
    <cellStyle name="Milliers 2 2 2 2 2 2 2 3 2 2 5 2" xfId="549"/>
    <cellStyle name="Milliers 2 2 2 2 2 2 2 3 2 2 6" xfId="550"/>
    <cellStyle name="Milliers 2 2 2 2 2 2 2 3 2 3" xfId="551"/>
    <cellStyle name="Milliers 2 2 2 2 2 2 2 3 2 3 2" xfId="552"/>
    <cellStyle name="Milliers 2 2 2 2 2 2 2 3 2 3 2 2" xfId="553"/>
    <cellStyle name="Milliers 2 2 2 2 2 2 2 3 2 3 2 2 2" xfId="554"/>
    <cellStyle name="Milliers 2 2 2 2 2 2 2 3 2 3 2 2 2 2" xfId="555"/>
    <cellStyle name="Milliers 2 2 2 2 2 2 2 3 2 3 2 2 3" xfId="556"/>
    <cellStyle name="Milliers 2 2 2 2 2 2 2 3 2 3 2 3" xfId="557"/>
    <cellStyle name="Milliers 2 2 2 2 2 2 2 3 2 3 2 3 2" xfId="558"/>
    <cellStyle name="Milliers 2 2 2 2 2 2 2 3 2 3 2 4" xfId="559"/>
    <cellStyle name="Milliers 2 2 2 2 2 2 2 3 2 3 3" xfId="560"/>
    <cellStyle name="Milliers 2 2 2 2 2 2 2 3 2 3 3 2" xfId="561"/>
    <cellStyle name="Milliers 2 2 2 2 2 2 2 3 2 3 3 2 2" xfId="562"/>
    <cellStyle name="Milliers 2 2 2 2 2 2 2 3 2 3 3 3" xfId="563"/>
    <cellStyle name="Milliers 2 2 2 2 2 2 2 3 2 3 4" xfId="564"/>
    <cellStyle name="Milliers 2 2 2 2 2 2 2 3 2 3 4 2" xfId="565"/>
    <cellStyle name="Milliers 2 2 2 2 2 2 2 3 2 3 5" xfId="566"/>
    <cellStyle name="Milliers 2 2 2 2 2 2 2 3 2 4" xfId="567"/>
    <cellStyle name="Milliers 2 2 2 2 2 2 2 3 2 4 2" xfId="568"/>
    <cellStyle name="Milliers 2 2 2 2 2 2 2 3 2 4 2 2" xfId="569"/>
    <cellStyle name="Milliers 2 2 2 2 2 2 2 3 2 4 2 2 2" xfId="570"/>
    <cellStyle name="Milliers 2 2 2 2 2 2 2 3 2 4 2 3" xfId="571"/>
    <cellStyle name="Milliers 2 2 2 2 2 2 2 3 2 4 3" xfId="572"/>
    <cellStyle name="Milliers 2 2 2 2 2 2 2 3 2 4 3 2" xfId="573"/>
    <cellStyle name="Milliers 2 2 2 2 2 2 2 3 2 4 4" xfId="574"/>
    <cellStyle name="Milliers 2 2 2 2 2 2 2 3 2 5" xfId="575"/>
    <cellStyle name="Milliers 2 2 2 2 2 2 2 3 2 5 2" xfId="576"/>
    <cellStyle name="Milliers 2 2 2 2 2 2 2 3 2 5 2 2" xfId="577"/>
    <cellStyle name="Milliers 2 2 2 2 2 2 2 3 2 5 3" xfId="578"/>
    <cellStyle name="Milliers 2 2 2 2 2 2 2 3 2 6" xfId="579"/>
    <cellStyle name="Milliers 2 2 2 2 2 2 2 3 2 6 2" xfId="580"/>
    <cellStyle name="Milliers 2 2 2 2 2 2 2 3 2 7" xfId="581"/>
    <cellStyle name="Milliers 2 2 2 2 2 2 2 3 3" xfId="582"/>
    <cellStyle name="Milliers 2 2 2 2 2 2 2 3 3 2" xfId="583"/>
    <cellStyle name="Milliers 2 2 2 2 2 2 2 3 3 2 2" xfId="584"/>
    <cellStyle name="Milliers 2 2 2 2 2 2 2 3 3 2 2 2" xfId="585"/>
    <cellStyle name="Milliers 2 2 2 2 2 2 2 3 3 2 2 2 2" xfId="586"/>
    <cellStyle name="Milliers 2 2 2 2 2 2 2 3 3 2 2 2 2 2" xfId="587"/>
    <cellStyle name="Milliers 2 2 2 2 2 2 2 3 3 2 2 2 3" xfId="588"/>
    <cellStyle name="Milliers 2 2 2 2 2 2 2 3 3 2 2 3" xfId="589"/>
    <cellStyle name="Milliers 2 2 2 2 2 2 2 3 3 2 2 3 2" xfId="590"/>
    <cellStyle name="Milliers 2 2 2 2 2 2 2 3 3 2 2 4" xfId="591"/>
    <cellStyle name="Milliers 2 2 2 2 2 2 2 3 3 2 3" xfId="592"/>
    <cellStyle name="Milliers 2 2 2 2 2 2 2 3 3 2 3 2" xfId="593"/>
    <cellStyle name="Milliers 2 2 2 2 2 2 2 3 3 2 3 2 2" xfId="594"/>
    <cellStyle name="Milliers 2 2 2 2 2 2 2 3 3 2 3 3" xfId="595"/>
    <cellStyle name="Milliers 2 2 2 2 2 2 2 3 3 2 4" xfId="596"/>
    <cellStyle name="Milliers 2 2 2 2 2 2 2 3 3 2 4 2" xfId="597"/>
    <cellStyle name="Milliers 2 2 2 2 2 2 2 3 3 2 5" xfId="598"/>
    <cellStyle name="Milliers 2 2 2 2 2 2 2 3 3 3" xfId="599"/>
    <cellStyle name="Milliers 2 2 2 2 2 2 2 3 3 3 2" xfId="600"/>
    <cellStyle name="Milliers 2 2 2 2 2 2 2 3 3 3 2 2" xfId="601"/>
    <cellStyle name="Milliers 2 2 2 2 2 2 2 3 3 3 2 2 2" xfId="602"/>
    <cellStyle name="Milliers 2 2 2 2 2 2 2 3 3 3 2 3" xfId="603"/>
    <cellStyle name="Milliers 2 2 2 2 2 2 2 3 3 3 3" xfId="604"/>
    <cellStyle name="Milliers 2 2 2 2 2 2 2 3 3 3 3 2" xfId="605"/>
    <cellStyle name="Milliers 2 2 2 2 2 2 2 3 3 3 4" xfId="606"/>
    <cellStyle name="Milliers 2 2 2 2 2 2 2 3 3 4" xfId="607"/>
    <cellStyle name="Milliers 2 2 2 2 2 2 2 3 3 4 2" xfId="608"/>
    <cellStyle name="Milliers 2 2 2 2 2 2 2 3 3 4 2 2" xfId="609"/>
    <cellStyle name="Milliers 2 2 2 2 2 2 2 3 3 4 3" xfId="610"/>
    <cellStyle name="Milliers 2 2 2 2 2 2 2 3 3 5" xfId="611"/>
    <cellStyle name="Milliers 2 2 2 2 2 2 2 3 3 5 2" xfId="612"/>
    <cellStyle name="Milliers 2 2 2 2 2 2 2 3 3 6" xfId="613"/>
    <cellStyle name="Milliers 2 2 2 2 2 2 2 3 4" xfId="614"/>
    <cellStyle name="Milliers 2 2 2 2 2 2 2 3 4 2" xfId="615"/>
    <cellStyle name="Milliers 2 2 2 2 2 2 2 3 4 2 2" xfId="616"/>
    <cellStyle name="Milliers 2 2 2 2 2 2 2 3 4 2 2 2" xfId="617"/>
    <cellStyle name="Milliers 2 2 2 2 2 2 2 3 4 2 2 2 2" xfId="618"/>
    <cellStyle name="Milliers 2 2 2 2 2 2 2 3 4 2 2 3" xfId="619"/>
    <cellStyle name="Milliers 2 2 2 2 2 2 2 3 4 2 3" xfId="620"/>
    <cellStyle name="Milliers 2 2 2 2 2 2 2 3 4 2 3 2" xfId="621"/>
    <cellStyle name="Milliers 2 2 2 2 2 2 2 3 4 2 4" xfId="622"/>
    <cellStyle name="Milliers 2 2 2 2 2 2 2 3 4 3" xfId="623"/>
    <cellStyle name="Milliers 2 2 2 2 2 2 2 3 4 3 2" xfId="624"/>
    <cellStyle name="Milliers 2 2 2 2 2 2 2 3 4 3 2 2" xfId="625"/>
    <cellStyle name="Milliers 2 2 2 2 2 2 2 3 4 3 3" xfId="626"/>
    <cellStyle name="Milliers 2 2 2 2 2 2 2 3 4 4" xfId="627"/>
    <cellStyle name="Milliers 2 2 2 2 2 2 2 3 4 4 2" xfId="628"/>
    <cellStyle name="Milliers 2 2 2 2 2 2 2 3 4 5" xfId="629"/>
    <cellStyle name="Milliers 2 2 2 2 2 2 2 3 5" xfId="630"/>
    <cellStyle name="Milliers 2 2 2 2 2 2 2 3 5 2" xfId="631"/>
    <cellStyle name="Milliers 2 2 2 2 2 2 2 3 5 2 2" xfId="632"/>
    <cellStyle name="Milliers 2 2 2 2 2 2 2 3 5 2 2 2" xfId="633"/>
    <cellStyle name="Milliers 2 2 2 2 2 2 2 3 5 2 3" xfId="634"/>
    <cellStyle name="Milliers 2 2 2 2 2 2 2 3 5 3" xfId="635"/>
    <cellStyle name="Milliers 2 2 2 2 2 2 2 3 5 3 2" xfId="636"/>
    <cellStyle name="Milliers 2 2 2 2 2 2 2 3 5 4" xfId="637"/>
    <cellStyle name="Milliers 2 2 2 2 2 2 2 3 6" xfId="638"/>
    <cellStyle name="Milliers 2 2 2 2 2 2 2 3 6 2" xfId="639"/>
    <cellStyle name="Milliers 2 2 2 2 2 2 2 3 6 2 2" xfId="640"/>
    <cellStyle name="Milliers 2 2 2 2 2 2 2 3 6 3" xfId="641"/>
    <cellStyle name="Milliers 2 2 2 2 2 2 2 3 7" xfId="642"/>
    <cellStyle name="Milliers 2 2 2 2 2 2 2 3 7 2" xfId="643"/>
    <cellStyle name="Milliers 2 2 2 2 2 2 2 3 8" xfId="644"/>
    <cellStyle name="Milliers 2 2 2 2 2 2 2 4" xfId="645"/>
    <cellStyle name="Milliers 2 2 2 2 2 2 2 4 2" xfId="646"/>
    <cellStyle name="Milliers 2 2 2 2 2 2 2 4 2 2" xfId="647"/>
    <cellStyle name="Milliers 2 2 2 2 2 2 2 4 2 2 2" xfId="648"/>
    <cellStyle name="Milliers 2 2 2 2 2 2 2 4 2 2 2 2" xfId="649"/>
    <cellStyle name="Milliers 2 2 2 2 2 2 2 4 2 2 2 2 2" xfId="650"/>
    <cellStyle name="Milliers 2 2 2 2 2 2 2 4 2 2 2 2 2 2" xfId="651"/>
    <cellStyle name="Milliers 2 2 2 2 2 2 2 4 2 2 2 2 3" xfId="652"/>
    <cellStyle name="Milliers 2 2 2 2 2 2 2 4 2 2 2 3" xfId="653"/>
    <cellStyle name="Milliers 2 2 2 2 2 2 2 4 2 2 2 3 2" xfId="654"/>
    <cellStyle name="Milliers 2 2 2 2 2 2 2 4 2 2 2 4" xfId="655"/>
    <cellStyle name="Milliers 2 2 2 2 2 2 2 4 2 2 3" xfId="656"/>
    <cellStyle name="Milliers 2 2 2 2 2 2 2 4 2 2 3 2" xfId="657"/>
    <cellStyle name="Milliers 2 2 2 2 2 2 2 4 2 2 3 2 2" xfId="658"/>
    <cellStyle name="Milliers 2 2 2 2 2 2 2 4 2 2 3 3" xfId="659"/>
    <cellStyle name="Milliers 2 2 2 2 2 2 2 4 2 2 4" xfId="660"/>
    <cellStyle name="Milliers 2 2 2 2 2 2 2 4 2 2 4 2" xfId="661"/>
    <cellStyle name="Milliers 2 2 2 2 2 2 2 4 2 2 5" xfId="662"/>
    <cellStyle name="Milliers 2 2 2 2 2 2 2 4 2 3" xfId="663"/>
    <cellStyle name="Milliers 2 2 2 2 2 2 2 4 2 3 2" xfId="664"/>
    <cellStyle name="Milliers 2 2 2 2 2 2 2 4 2 3 2 2" xfId="665"/>
    <cellStyle name="Milliers 2 2 2 2 2 2 2 4 2 3 2 2 2" xfId="666"/>
    <cellStyle name="Milliers 2 2 2 2 2 2 2 4 2 3 2 3" xfId="667"/>
    <cellStyle name="Milliers 2 2 2 2 2 2 2 4 2 3 3" xfId="668"/>
    <cellStyle name="Milliers 2 2 2 2 2 2 2 4 2 3 3 2" xfId="669"/>
    <cellStyle name="Milliers 2 2 2 2 2 2 2 4 2 3 4" xfId="670"/>
    <cellStyle name="Milliers 2 2 2 2 2 2 2 4 2 4" xfId="671"/>
    <cellStyle name="Milliers 2 2 2 2 2 2 2 4 2 4 2" xfId="672"/>
    <cellStyle name="Milliers 2 2 2 2 2 2 2 4 2 4 2 2" xfId="673"/>
    <cellStyle name="Milliers 2 2 2 2 2 2 2 4 2 4 3" xfId="674"/>
    <cellStyle name="Milliers 2 2 2 2 2 2 2 4 2 5" xfId="675"/>
    <cellStyle name="Milliers 2 2 2 2 2 2 2 4 2 5 2" xfId="676"/>
    <cellStyle name="Milliers 2 2 2 2 2 2 2 4 2 6" xfId="677"/>
    <cellStyle name="Milliers 2 2 2 2 2 2 2 4 3" xfId="678"/>
    <cellStyle name="Milliers 2 2 2 2 2 2 2 4 3 2" xfId="679"/>
    <cellStyle name="Milliers 2 2 2 2 2 2 2 4 3 2 2" xfId="680"/>
    <cellStyle name="Milliers 2 2 2 2 2 2 2 4 3 2 2 2" xfId="681"/>
    <cellStyle name="Milliers 2 2 2 2 2 2 2 4 3 2 2 2 2" xfId="682"/>
    <cellStyle name="Milliers 2 2 2 2 2 2 2 4 3 2 2 3" xfId="683"/>
    <cellStyle name="Milliers 2 2 2 2 2 2 2 4 3 2 3" xfId="684"/>
    <cellStyle name="Milliers 2 2 2 2 2 2 2 4 3 2 3 2" xfId="685"/>
    <cellStyle name="Milliers 2 2 2 2 2 2 2 4 3 2 4" xfId="686"/>
    <cellStyle name="Milliers 2 2 2 2 2 2 2 4 3 3" xfId="687"/>
    <cellStyle name="Milliers 2 2 2 2 2 2 2 4 3 3 2" xfId="688"/>
    <cellStyle name="Milliers 2 2 2 2 2 2 2 4 3 3 2 2" xfId="689"/>
    <cellStyle name="Milliers 2 2 2 2 2 2 2 4 3 3 3" xfId="690"/>
    <cellStyle name="Milliers 2 2 2 2 2 2 2 4 3 4" xfId="691"/>
    <cellStyle name="Milliers 2 2 2 2 2 2 2 4 3 4 2" xfId="692"/>
    <cellStyle name="Milliers 2 2 2 2 2 2 2 4 3 5" xfId="693"/>
    <cellStyle name="Milliers 2 2 2 2 2 2 2 4 4" xfId="694"/>
    <cellStyle name="Milliers 2 2 2 2 2 2 2 4 4 2" xfId="695"/>
    <cellStyle name="Milliers 2 2 2 2 2 2 2 4 4 2 2" xfId="696"/>
    <cellStyle name="Milliers 2 2 2 2 2 2 2 4 4 2 2 2" xfId="697"/>
    <cellStyle name="Milliers 2 2 2 2 2 2 2 4 4 2 3" xfId="698"/>
    <cellStyle name="Milliers 2 2 2 2 2 2 2 4 4 3" xfId="699"/>
    <cellStyle name="Milliers 2 2 2 2 2 2 2 4 4 3 2" xfId="700"/>
    <cellStyle name="Milliers 2 2 2 2 2 2 2 4 4 4" xfId="701"/>
    <cellStyle name="Milliers 2 2 2 2 2 2 2 4 5" xfId="702"/>
    <cellStyle name="Milliers 2 2 2 2 2 2 2 4 5 2" xfId="703"/>
    <cellStyle name="Milliers 2 2 2 2 2 2 2 4 5 2 2" xfId="704"/>
    <cellStyle name="Milliers 2 2 2 2 2 2 2 4 5 3" xfId="705"/>
    <cellStyle name="Milliers 2 2 2 2 2 2 2 4 6" xfId="706"/>
    <cellStyle name="Milliers 2 2 2 2 2 2 2 4 6 2" xfId="707"/>
    <cellStyle name="Milliers 2 2 2 2 2 2 2 4 7" xfId="708"/>
    <cellStyle name="Milliers 2 2 2 2 2 2 2 5" xfId="709"/>
    <cellStyle name="Milliers 2 2 2 2 2 2 2 5 2" xfId="710"/>
    <cellStyle name="Milliers 2 2 2 2 2 2 2 5 2 2" xfId="711"/>
    <cellStyle name="Milliers 2 2 2 2 2 2 2 5 2 2 2" xfId="712"/>
    <cellStyle name="Milliers 2 2 2 2 2 2 2 5 2 2 2 2" xfId="713"/>
    <cellStyle name="Milliers 2 2 2 2 2 2 2 5 2 2 2 2 2" xfId="714"/>
    <cellStyle name="Milliers 2 2 2 2 2 2 2 5 2 2 2 3" xfId="715"/>
    <cellStyle name="Milliers 2 2 2 2 2 2 2 5 2 2 3" xfId="716"/>
    <cellStyle name="Milliers 2 2 2 2 2 2 2 5 2 2 3 2" xfId="717"/>
    <cellStyle name="Milliers 2 2 2 2 2 2 2 5 2 2 4" xfId="718"/>
    <cellStyle name="Milliers 2 2 2 2 2 2 2 5 2 3" xfId="719"/>
    <cellStyle name="Milliers 2 2 2 2 2 2 2 5 2 3 2" xfId="720"/>
    <cellStyle name="Milliers 2 2 2 2 2 2 2 5 2 3 2 2" xfId="721"/>
    <cellStyle name="Milliers 2 2 2 2 2 2 2 5 2 3 3" xfId="722"/>
    <cellStyle name="Milliers 2 2 2 2 2 2 2 5 2 4" xfId="723"/>
    <cellStyle name="Milliers 2 2 2 2 2 2 2 5 2 4 2" xfId="724"/>
    <cellStyle name="Milliers 2 2 2 2 2 2 2 5 2 5" xfId="725"/>
    <cellStyle name="Milliers 2 2 2 2 2 2 2 5 3" xfId="726"/>
    <cellStyle name="Milliers 2 2 2 2 2 2 2 5 3 2" xfId="727"/>
    <cellStyle name="Milliers 2 2 2 2 2 2 2 5 3 2 2" xfId="728"/>
    <cellStyle name="Milliers 2 2 2 2 2 2 2 5 3 2 2 2" xfId="729"/>
    <cellStyle name="Milliers 2 2 2 2 2 2 2 5 3 2 3" xfId="730"/>
    <cellStyle name="Milliers 2 2 2 2 2 2 2 5 3 3" xfId="731"/>
    <cellStyle name="Milliers 2 2 2 2 2 2 2 5 3 3 2" xfId="732"/>
    <cellStyle name="Milliers 2 2 2 2 2 2 2 5 3 4" xfId="733"/>
    <cellStyle name="Milliers 2 2 2 2 2 2 2 5 4" xfId="734"/>
    <cellStyle name="Milliers 2 2 2 2 2 2 2 5 4 2" xfId="735"/>
    <cellStyle name="Milliers 2 2 2 2 2 2 2 5 4 2 2" xfId="736"/>
    <cellStyle name="Milliers 2 2 2 2 2 2 2 5 4 3" xfId="737"/>
    <cellStyle name="Milliers 2 2 2 2 2 2 2 5 5" xfId="738"/>
    <cellStyle name="Milliers 2 2 2 2 2 2 2 5 5 2" xfId="739"/>
    <cellStyle name="Milliers 2 2 2 2 2 2 2 5 6" xfId="740"/>
    <cellStyle name="Milliers 2 2 2 2 2 2 2 6" xfId="741"/>
    <cellStyle name="Milliers 2 2 2 2 2 2 2 6 2" xfId="742"/>
    <cellStyle name="Milliers 2 2 2 2 2 2 2 6 2 2" xfId="743"/>
    <cellStyle name="Milliers 2 2 2 2 2 2 2 6 2 2 2" xfId="744"/>
    <cellStyle name="Milliers 2 2 2 2 2 2 2 6 2 2 2 2" xfId="745"/>
    <cellStyle name="Milliers 2 2 2 2 2 2 2 6 2 2 3" xfId="746"/>
    <cellStyle name="Milliers 2 2 2 2 2 2 2 6 2 3" xfId="747"/>
    <cellStyle name="Milliers 2 2 2 2 2 2 2 6 2 3 2" xfId="748"/>
    <cellStyle name="Milliers 2 2 2 2 2 2 2 6 2 4" xfId="749"/>
    <cellStyle name="Milliers 2 2 2 2 2 2 2 6 3" xfId="750"/>
    <cellStyle name="Milliers 2 2 2 2 2 2 2 6 3 2" xfId="751"/>
    <cellStyle name="Milliers 2 2 2 2 2 2 2 6 3 2 2" xfId="752"/>
    <cellStyle name="Milliers 2 2 2 2 2 2 2 6 3 3" xfId="753"/>
    <cellStyle name="Milliers 2 2 2 2 2 2 2 6 4" xfId="754"/>
    <cellStyle name="Milliers 2 2 2 2 2 2 2 6 4 2" xfId="755"/>
    <cellStyle name="Milliers 2 2 2 2 2 2 2 6 5" xfId="756"/>
    <cellStyle name="Milliers 2 2 2 2 2 2 2 7" xfId="757"/>
    <cellStyle name="Milliers 2 2 2 2 2 2 2 7 2" xfId="758"/>
    <cellStyle name="Milliers 2 2 2 2 2 2 2 7 2 2" xfId="759"/>
    <cellStyle name="Milliers 2 2 2 2 2 2 2 7 2 2 2" xfId="760"/>
    <cellStyle name="Milliers 2 2 2 2 2 2 2 7 2 3" xfId="761"/>
    <cellStyle name="Milliers 2 2 2 2 2 2 2 7 3" xfId="762"/>
    <cellStyle name="Milliers 2 2 2 2 2 2 2 7 3 2" xfId="763"/>
    <cellStyle name="Milliers 2 2 2 2 2 2 2 7 4" xfId="764"/>
    <cellStyle name="Milliers 2 2 2 2 2 2 2 8" xfId="765"/>
    <cellStyle name="Milliers 2 2 2 2 2 2 2 8 2" xfId="766"/>
    <cellStyle name="Milliers 2 2 2 2 2 2 2 8 2 2" xfId="767"/>
    <cellStyle name="Milliers 2 2 2 2 2 2 2 8 3" xfId="768"/>
    <cellStyle name="Milliers 2 2 2 2 2 2 2 9" xfId="769"/>
    <cellStyle name="Milliers 2 2 2 2 2 2 2 9 2" xfId="770"/>
    <cellStyle name="Milliers 2 2 2 2 2 2 3" xfId="771"/>
    <cellStyle name="Milliers 2 2 2 2 2 2 3 2" xfId="772"/>
    <cellStyle name="Milliers 2 2 2 2 2 2 3 2 2" xfId="773"/>
    <cellStyle name="Milliers 2 2 2 2 2 2 3 2 2 2" xfId="774"/>
    <cellStyle name="Milliers 2 2 2 2 2 2 3 2 2 2 2" xfId="775"/>
    <cellStyle name="Milliers 2 2 2 2 2 2 3 2 2 2 2 2" xfId="776"/>
    <cellStyle name="Milliers 2 2 2 2 2 2 3 2 2 2 2 2 2" xfId="777"/>
    <cellStyle name="Milliers 2 2 2 2 2 2 3 2 2 2 2 2 2 2" xfId="778"/>
    <cellStyle name="Milliers 2 2 2 2 2 2 3 2 2 2 2 2 2 2 2" xfId="779"/>
    <cellStyle name="Milliers 2 2 2 2 2 2 3 2 2 2 2 2 2 3" xfId="780"/>
    <cellStyle name="Milliers 2 2 2 2 2 2 3 2 2 2 2 2 3" xfId="781"/>
    <cellStyle name="Milliers 2 2 2 2 2 2 3 2 2 2 2 2 3 2" xfId="782"/>
    <cellStyle name="Milliers 2 2 2 2 2 2 3 2 2 2 2 2 4" xfId="783"/>
    <cellStyle name="Milliers 2 2 2 2 2 2 3 2 2 2 2 3" xfId="784"/>
    <cellStyle name="Milliers 2 2 2 2 2 2 3 2 2 2 2 3 2" xfId="785"/>
    <cellStyle name="Milliers 2 2 2 2 2 2 3 2 2 2 2 3 2 2" xfId="786"/>
    <cellStyle name="Milliers 2 2 2 2 2 2 3 2 2 2 2 3 3" xfId="787"/>
    <cellStyle name="Milliers 2 2 2 2 2 2 3 2 2 2 2 4" xfId="788"/>
    <cellStyle name="Milliers 2 2 2 2 2 2 3 2 2 2 2 4 2" xfId="789"/>
    <cellStyle name="Milliers 2 2 2 2 2 2 3 2 2 2 2 5" xfId="790"/>
    <cellStyle name="Milliers 2 2 2 2 2 2 3 2 2 2 3" xfId="791"/>
    <cellStyle name="Milliers 2 2 2 2 2 2 3 2 2 2 3 2" xfId="792"/>
    <cellStyle name="Milliers 2 2 2 2 2 2 3 2 2 2 3 2 2" xfId="793"/>
    <cellStyle name="Milliers 2 2 2 2 2 2 3 2 2 2 3 2 2 2" xfId="794"/>
    <cellStyle name="Milliers 2 2 2 2 2 2 3 2 2 2 3 2 3" xfId="795"/>
    <cellStyle name="Milliers 2 2 2 2 2 2 3 2 2 2 3 3" xfId="796"/>
    <cellStyle name="Milliers 2 2 2 2 2 2 3 2 2 2 3 3 2" xfId="797"/>
    <cellStyle name="Milliers 2 2 2 2 2 2 3 2 2 2 3 4" xfId="798"/>
    <cellStyle name="Milliers 2 2 2 2 2 2 3 2 2 2 4" xfId="799"/>
    <cellStyle name="Milliers 2 2 2 2 2 2 3 2 2 2 4 2" xfId="800"/>
    <cellStyle name="Milliers 2 2 2 2 2 2 3 2 2 2 4 2 2" xfId="801"/>
    <cellStyle name="Milliers 2 2 2 2 2 2 3 2 2 2 4 3" xfId="802"/>
    <cellStyle name="Milliers 2 2 2 2 2 2 3 2 2 2 5" xfId="803"/>
    <cellStyle name="Milliers 2 2 2 2 2 2 3 2 2 2 5 2" xfId="804"/>
    <cellStyle name="Milliers 2 2 2 2 2 2 3 2 2 2 6" xfId="805"/>
    <cellStyle name="Milliers 2 2 2 2 2 2 3 2 2 3" xfId="806"/>
    <cellStyle name="Milliers 2 2 2 2 2 2 3 2 2 3 2" xfId="807"/>
    <cellStyle name="Milliers 2 2 2 2 2 2 3 2 2 3 2 2" xfId="808"/>
    <cellStyle name="Milliers 2 2 2 2 2 2 3 2 2 3 2 2 2" xfId="809"/>
    <cellStyle name="Milliers 2 2 2 2 2 2 3 2 2 3 2 2 2 2" xfId="810"/>
    <cellStyle name="Milliers 2 2 2 2 2 2 3 2 2 3 2 2 3" xfId="811"/>
    <cellStyle name="Milliers 2 2 2 2 2 2 3 2 2 3 2 3" xfId="812"/>
    <cellStyle name="Milliers 2 2 2 2 2 2 3 2 2 3 2 3 2" xfId="813"/>
    <cellStyle name="Milliers 2 2 2 2 2 2 3 2 2 3 2 4" xfId="814"/>
    <cellStyle name="Milliers 2 2 2 2 2 2 3 2 2 3 3" xfId="815"/>
    <cellStyle name="Milliers 2 2 2 2 2 2 3 2 2 3 3 2" xfId="816"/>
    <cellStyle name="Milliers 2 2 2 2 2 2 3 2 2 3 3 2 2" xfId="817"/>
    <cellStyle name="Milliers 2 2 2 2 2 2 3 2 2 3 3 3" xfId="818"/>
    <cellStyle name="Milliers 2 2 2 2 2 2 3 2 2 3 4" xfId="819"/>
    <cellStyle name="Milliers 2 2 2 2 2 2 3 2 2 3 4 2" xfId="820"/>
    <cellStyle name="Milliers 2 2 2 2 2 2 3 2 2 3 5" xfId="821"/>
    <cellStyle name="Milliers 2 2 2 2 2 2 3 2 2 4" xfId="822"/>
    <cellStyle name="Milliers 2 2 2 2 2 2 3 2 2 4 2" xfId="823"/>
    <cellStyle name="Milliers 2 2 2 2 2 2 3 2 2 4 2 2" xfId="824"/>
    <cellStyle name="Milliers 2 2 2 2 2 2 3 2 2 4 2 2 2" xfId="825"/>
    <cellStyle name="Milliers 2 2 2 2 2 2 3 2 2 4 2 3" xfId="826"/>
    <cellStyle name="Milliers 2 2 2 2 2 2 3 2 2 4 3" xfId="827"/>
    <cellStyle name="Milliers 2 2 2 2 2 2 3 2 2 4 3 2" xfId="828"/>
    <cellStyle name="Milliers 2 2 2 2 2 2 3 2 2 4 4" xfId="829"/>
    <cellStyle name="Milliers 2 2 2 2 2 2 3 2 2 5" xfId="830"/>
    <cellStyle name="Milliers 2 2 2 2 2 2 3 2 2 5 2" xfId="831"/>
    <cellStyle name="Milliers 2 2 2 2 2 2 3 2 2 5 2 2" xfId="832"/>
    <cellStyle name="Milliers 2 2 2 2 2 2 3 2 2 5 3" xfId="833"/>
    <cellStyle name="Milliers 2 2 2 2 2 2 3 2 2 6" xfId="834"/>
    <cellStyle name="Milliers 2 2 2 2 2 2 3 2 2 6 2" xfId="835"/>
    <cellStyle name="Milliers 2 2 2 2 2 2 3 2 2 7" xfId="836"/>
    <cellStyle name="Milliers 2 2 2 2 2 2 3 2 3" xfId="837"/>
    <cellStyle name="Milliers 2 2 2 2 2 2 3 2 3 2" xfId="838"/>
    <cellStyle name="Milliers 2 2 2 2 2 2 3 2 3 2 2" xfId="839"/>
    <cellStyle name="Milliers 2 2 2 2 2 2 3 2 3 2 2 2" xfId="840"/>
    <cellStyle name="Milliers 2 2 2 2 2 2 3 2 3 2 2 2 2" xfId="841"/>
    <cellStyle name="Milliers 2 2 2 2 2 2 3 2 3 2 2 2 2 2" xfId="842"/>
    <cellStyle name="Milliers 2 2 2 2 2 2 3 2 3 2 2 2 3" xfId="843"/>
    <cellStyle name="Milliers 2 2 2 2 2 2 3 2 3 2 2 3" xfId="844"/>
    <cellStyle name="Milliers 2 2 2 2 2 2 3 2 3 2 2 3 2" xfId="845"/>
    <cellStyle name="Milliers 2 2 2 2 2 2 3 2 3 2 2 4" xfId="846"/>
    <cellStyle name="Milliers 2 2 2 2 2 2 3 2 3 2 3" xfId="847"/>
    <cellStyle name="Milliers 2 2 2 2 2 2 3 2 3 2 3 2" xfId="848"/>
    <cellStyle name="Milliers 2 2 2 2 2 2 3 2 3 2 3 2 2" xfId="849"/>
    <cellStyle name="Milliers 2 2 2 2 2 2 3 2 3 2 3 3" xfId="850"/>
    <cellStyle name="Milliers 2 2 2 2 2 2 3 2 3 2 4" xfId="851"/>
    <cellStyle name="Milliers 2 2 2 2 2 2 3 2 3 2 4 2" xfId="852"/>
    <cellStyle name="Milliers 2 2 2 2 2 2 3 2 3 2 5" xfId="853"/>
    <cellStyle name="Milliers 2 2 2 2 2 2 3 2 3 3" xfId="854"/>
    <cellStyle name="Milliers 2 2 2 2 2 2 3 2 3 3 2" xfId="855"/>
    <cellStyle name="Milliers 2 2 2 2 2 2 3 2 3 3 2 2" xfId="856"/>
    <cellStyle name="Milliers 2 2 2 2 2 2 3 2 3 3 2 2 2" xfId="857"/>
    <cellStyle name="Milliers 2 2 2 2 2 2 3 2 3 3 2 3" xfId="858"/>
    <cellStyle name="Milliers 2 2 2 2 2 2 3 2 3 3 3" xfId="859"/>
    <cellStyle name="Milliers 2 2 2 2 2 2 3 2 3 3 3 2" xfId="860"/>
    <cellStyle name="Milliers 2 2 2 2 2 2 3 2 3 3 4" xfId="861"/>
    <cellStyle name="Milliers 2 2 2 2 2 2 3 2 3 4" xfId="862"/>
    <cellStyle name="Milliers 2 2 2 2 2 2 3 2 3 4 2" xfId="863"/>
    <cellStyle name="Milliers 2 2 2 2 2 2 3 2 3 4 2 2" xfId="864"/>
    <cellStyle name="Milliers 2 2 2 2 2 2 3 2 3 4 3" xfId="865"/>
    <cellStyle name="Milliers 2 2 2 2 2 2 3 2 3 5" xfId="866"/>
    <cellStyle name="Milliers 2 2 2 2 2 2 3 2 3 5 2" xfId="867"/>
    <cellStyle name="Milliers 2 2 2 2 2 2 3 2 3 6" xfId="868"/>
    <cellStyle name="Milliers 2 2 2 2 2 2 3 2 4" xfId="869"/>
    <cellStyle name="Milliers 2 2 2 2 2 2 3 2 4 2" xfId="870"/>
    <cellStyle name="Milliers 2 2 2 2 2 2 3 2 4 2 2" xfId="871"/>
    <cellStyle name="Milliers 2 2 2 2 2 2 3 2 4 2 2 2" xfId="872"/>
    <cellStyle name="Milliers 2 2 2 2 2 2 3 2 4 2 2 2 2" xfId="873"/>
    <cellStyle name="Milliers 2 2 2 2 2 2 3 2 4 2 2 3" xfId="874"/>
    <cellStyle name="Milliers 2 2 2 2 2 2 3 2 4 2 3" xfId="875"/>
    <cellStyle name="Milliers 2 2 2 2 2 2 3 2 4 2 3 2" xfId="876"/>
    <cellStyle name="Milliers 2 2 2 2 2 2 3 2 4 2 4" xfId="877"/>
    <cellStyle name="Milliers 2 2 2 2 2 2 3 2 4 3" xfId="878"/>
    <cellStyle name="Milliers 2 2 2 2 2 2 3 2 4 3 2" xfId="879"/>
    <cellStyle name="Milliers 2 2 2 2 2 2 3 2 4 3 2 2" xfId="880"/>
    <cellStyle name="Milliers 2 2 2 2 2 2 3 2 4 3 3" xfId="881"/>
    <cellStyle name="Milliers 2 2 2 2 2 2 3 2 4 4" xfId="882"/>
    <cellStyle name="Milliers 2 2 2 2 2 2 3 2 4 4 2" xfId="883"/>
    <cellStyle name="Milliers 2 2 2 2 2 2 3 2 4 5" xfId="884"/>
    <cellStyle name="Milliers 2 2 2 2 2 2 3 2 5" xfId="885"/>
    <cellStyle name="Milliers 2 2 2 2 2 2 3 2 5 2" xfId="886"/>
    <cellStyle name="Milliers 2 2 2 2 2 2 3 2 5 2 2" xfId="887"/>
    <cellStyle name="Milliers 2 2 2 2 2 2 3 2 5 2 2 2" xfId="888"/>
    <cellStyle name="Milliers 2 2 2 2 2 2 3 2 5 2 3" xfId="889"/>
    <cellStyle name="Milliers 2 2 2 2 2 2 3 2 5 3" xfId="890"/>
    <cellStyle name="Milliers 2 2 2 2 2 2 3 2 5 3 2" xfId="891"/>
    <cellStyle name="Milliers 2 2 2 2 2 2 3 2 5 4" xfId="892"/>
    <cellStyle name="Milliers 2 2 2 2 2 2 3 2 6" xfId="893"/>
    <cellStyle name="Milliers 2 2 2 2 2 2 3 2 6 2" xfId="894"/>
    <cellStyle name="Milliers 2 2 2 2 2 2 3 2 6 2 2" xfId="895"/>
    <cellStyle name="Milliers 2 2 2 2 2 2 3 2 6 3" xfId="896"/>
    <cellStyle name="Milliers 2 2 2 2 2 2 3 2 7" xfId="897"/>
    <cellStyle name="Milliers 2 2 2 2 2 2 3 2 7 2" xfId="898"/>
    <cellStyle name="Milliers 2 2 2 2 2 2 3 2 8" xfId="899"/>
    <cellStyle name="Milliers 2 2 2 2 2 2 3 3" xfId="900"/>
    <cellStyle name="Milliers 2 2 2 2 2 2 3 3 2" xfId="901"/>
    <cellStyle name="Milliers 2 2 2 2 2 2 3 3 2 2" xfId="902"/>
    <cellStyle name="Milliers 2 2 2 2 2 2 3 3 2 2 2" xfId="903"/>
    <cellStyle name="Milliers 2 2 2 2 2 2 3 3 2 2 2 2" xfId="904"/>
    <cellStyle name="Milliers 2 2 2 2 2 2 3 3 2 2 2 2 2" xfId="905"/>
    <cellStyle name="Milliers 2 2 2 2 2 2 3 3 2 2 2 2 2 2" xfId="906"/>
    <cellStyle name="Milliers 2 2 2 2 2 2 3 3 2 2 2 2 3" xfId="907"/>
    <cellStyle name="Milliers 2 2 2 2 2 2 3 3 2 2 2 3" xfId="908"/>
    <cellStyle name="Milliers 2 2 2 2 2 2 3 3 2 2 2 3 2" xfId="909"/>
    <cellStyle name="Milliers 2 2 2 2 2 2 3 3 2 2 2 4" xfId="910"/>
    <cellStyle name="Milliers 2 2 2 2 2 2 3 3 2 2 3" xfId="911"/>
    <cellStyle name="Milliers 2 2 2 2 2 2 3 3 2 2 3 2" xfId="912"/>
    <cellStyle name="Milliers 2 2 2 2 2 2 3 3 2 2 3 2 2" xfId="913"/>
    <cellStyle name="Milliers 2 2 2 2 2 2 3 3 2 2 3 3" xfId="914"/>
    <cellStyle name="Milliers 2 2 2 2 2 2 3 3 2 2 4" xfId="915"/>
    <cellStyle name="Milliers 2 2 2 2 2 2 3 3 2 2 4 2" xfId="916"/>
    <cellStyle name="Milliers 2 2 2 2 2 2 3 3 2 2 5" xfId="917"/>
    <cellStyle name="Milliers 2 2 2 2 2 2 3 3 2 3" xfId="918"/>
    <cellStyle name="Milliers 2 2 2 2 2 2 3 3 2 3 2" xfId="919"/>
    <cellStyle name="Milliers 2 2 2 2 2 2 3 3 2 3 2 2" xfId="920"/>
    <cellStyle name="Milliers 2 2 2 2 2 2 3 3 2 3 2 2 2" xfId="921"/>
    <cellStyle name="Milliers 2 2 2 2 2 2 3 3 2 3 2 3" xfId="922"/>
    <cellStyle name="Milliers 2 2 2 2 2 2 3 3 2 3 3" xfId="923"/>
    <cellStyle name="Milliers 2 2 2 2 2 2 3 3 2 3 3 2" xfId="924"/>
    <cellStyle name="Milliers 2 2 2 2 2 2 3 3 2 3 4" xfId="925"/>
    <cellStyle name="Milliers 2 2 2 2 2 2 3 3 2 4" xfId="926"/>
    <cellStyle name="Milliers 2 2 2 2 2 2 3 3 2 4 2" xfId="927"/>
    <cellStyle name="Milliers 2 2 2 2 2 2 3 3 2 4 2 2" xfId="928"/>
    <cellStyle name="Milliers 2 2 2 2 2 2 3 3 2 4 3" xfId="929"/>
    <cellStyle name="Milliers 2 2 2 2 2 2 3 3 2 5" xfId="930"/>
    <cellStyle name="Milliers 2 2 2 2 2 2 3 3 2 5 2" xfId="931"/>
    <cellStyle name="Milliers 2 2 2 2 2 2 3 3 2 6" xfId="932"/>
    <cellStyle name="Milliers 2 2 2 2 2 2 3 3 3" xfId="933"/>
    <cellStyle name="Milliers 2 2 2 2 2 2 3 3 3 2" xfId="934"/>
    <cellStyle name="Milliers 2 2 2 2 2 2 3 3 3 2 2" xfId="935"/>
    <cellStyle name="Milliers 2 2 2 2 2 2 3 3 3 2 2 2" xfId="936"/>
    <cellStyle name="Milliers 2 2 2 2 2 2 3 3 3 2 2 2 2" xfId="937"/>
    <cellStyle name="Milliers 2 2 2 2 2 2 3 3 3 2 2 3" xfId="938"/>
    <cellStyle name="Milliers 2 2 2 2 2 2 3 3 3 2 3" xfId="939"/>
    <cellStyle name="Milliers 2 2 2 2 2 2 3 3 3 2 3 2" xfId="940"/>
    <cellStyle name="Milliers 2 2 2 2 2 2 3 3 3 2 4" xfId="941"/>
    <cellStyle name="Milliers 2 2 2 2 2 2 3 3 3 3" xfId="942"/>
    <cellStyle name="Milliers 2 2 2 2 2 2 3 3 3 3 2" xfId="943"/>
    <cellStyle name="Milliers 2 2 2 2 2 2 3 3 3 3 2 2" xfId="944"/>
    <cellStyle name="Milliers 2 2 2 2 2 2 3 3 3 3 3" xfId="945"/>
    <cellStyle name="Milliers 2 2 2 2 2 2 3 3 3 4" xfId="946"/>
    <cellStyle name="Milliers 2 2 2 2 2 2 3 3 3 4 2" xfId="947"/>
    <cellStyle name="Milliers 2 2 2 2 2 2 3 3 3 5" xfId="948"/>
    <cellStyle name="Milliers 2 2 2 2 2 2 3 3 4" xfId="949"/>
    <cellStyle name="Milliers 2 2 2 2 2 2 3 3 4 2" xfId="950"/>
    <cellStyle name="Milliers 2 2 2 2 2 2 3 3 4 2 2" xfId="951"/>
    <cellStyle name="Milliers 2 2 2 2 2 2 3 3 4 2 2 2" xfId="952"/>
    <cellStyle name="Milliers 2 2 2 2 2 2 3 3 4 2 3" xfId="953"/>
    <cellStyle name="Milliers 2 2 2 2 2 2 3 3 4 3" xfId="954"/>
    <cellStyle name="Milliers 2 2 2 2 2 2 3 3 4 3 2" xfId="955"/>
    <cellStyle name="Milliers 2 2 2 2 2 2 3 3 4 4" xfId="956"/>
    <cellStyle name="Milliers 2 2 2 2 2 2 3 3 5" xfId="957"/>
    <cellStyle name="Milliers 2 2 2 2 2 2 3 3 5 2" xfId="958"/>
    <cellStyle name="Milliers 2 2 2 2 2 2 3 3 5 2 2" xfId="959"/>
    <cellStyle name="Milliers 2 2 2 2 2 2 3 3 5 3" xfId="960"/>
    <cellStyle name="Milliers 2 2 2 2 2 2 3 3 6" xfId="961"/>
    <cellStyle name="Milliers 2 2 2 2 2 2 3 3 6 2" xfId="962"/>
    <cellStyle name="Milliers 2 2 2 2 2 2 3 3 7" xfId="963"/>
    <cellStyle name="Milliers 2 2 2 2 2 2 3 4" xfId="964"/>
    <cellStyle name="Milliers 2 2 2 2 2 2 3 4 2" xfId="965"/>
    <cellStyle name="Milliers 2 2 2 2 2 2 3 4 2 2" xfId="966"/>
    <cellStyle name="Milliers 2 2 2 2 2 2 3 4 2 2 2" xfId="967"/>
    <cellStyle name="Milliers 2 2 2 2 2 2 3 4 2 2 2 2" xfId="968"/>
    <cellStyle name="Milliers 2 2 2 2 2 2 3 4 2 2 2 2 2" xfId="969"/>
    <cellStyle name="Milliers 2 2 2 2 2 2 3 4 2 2 2 3" xfId="970"/>
    <cellStyle name="Milliers 2 2 2 2 2 2 3 4 2 2 3" xfId="971"/>
    <cellStyle name="Milliers 2 2 2 2 2 2 3 4 2 2 3 2" xfId="972"/>
    <cellStyle name="Milliers 2 2 2 2 2 2 3 4 2 2 4" xfId="973"/>
    <cellStyle name="Milliers 2 2 2 2 2 2 3 4 2 3" xfId="974"/>
    <cellStyle name="Milliers 2 2 2 2 2 2 3 4 2 3 2" xfId="975"/>
    <cellStyle name="Milliers 2 2 2 2 2 2 3 4 2 3 2 2" xfId="976"/>
    <cellStyle name="Milliers 2 2 2 2 2 2 3 4 2 3 3" xfId="977"/>
    <cellStyle name="Milliers 2 2 2 2 2 2 3 4 2 4" xfId="978"/>
    <cellStyle name="Milliers 2 2 2 2 2 2 3 4 2 4 2" xfId="979"/>
    <cellStyle name="Milliers 2 2 2 2 2 2 3 4 2 5" xfId="980"/>
    <cellStyle name="Milliers 2 2 2 2 2 2 3 4 3" xfId="981"/>
    <cellStyle name="Milliers 2 2 2 2 2 2 3 4 3 2" xfId="982"/>
    <cellStyle name="Milliers 2 2 2 2 2 2 3 4 3 2 2" xfId="983"/>
    <cellStyle name="Milliers 2 2 2 2 2 2 3 4 3 2 2 2" xfId="984"/>
    <cellStyle name="Milliers 2 2 2 2 2 2 3 4 3 2 3" xfId="985"/>
    <cellStyle name="Milliers 2 2 2 2 2 2 3 4 3 3" xfId="986"/>
    <cellStyle name="Milliers 2 2 2 2 2 2 3 4 3 3 2" xfId="987"/>
    <cellStyle name="Milliers 2 2 2 2 2 2 3 4 3 4" xfId="988"/>
    <cellStyle name="Milliers 2 2 2 2 2 2 3 4 4" xfId="989"/>
    <cellStyle name="Milliers 2 2 2 2 2 2 3 4 4 2" xfId="990"/>
    <cellStyle name="Milliers 2 2 2 2 2 2 3 4 4 2 2" xfId="991"/>
    <cellStyle name="Milliers 2 2 2 2 2 2 3 4 4 3" xfId="992"/>
    <cellStyle name="Milliers 2 2 2 2 2 2 3 4 5" xfId="993"/>
    <cellStyle name="Milliers 2 2 2 2 2 2 3 4 5 2" xfId="994"/>
    <cellStyle name="Milliers 2 2 2 2 2 2 3 4 6" xfId="995"/>
    <cellStyle name="Milliers 2 2 2 2 2 2 3 5" xfId="996"/>
    <cellStyle name="Milliers 2 2 2 2 2 2 3 5 2" xfId="997"/>
    <cellStyle name="Milliers 2 2 2 2 2 2 3 5 2 2" xfId="998"/>
    <cellStyle name="Milliers 2 2 2 2 2 2 3 5 2 2 2" xfId="999"/>
    <cellStyle name="Milliers 2 2 2 2 2 2 3 5 2 2 2 2" xfId="1000"/>
    <cellStyle name="Milliers 2 2 2 2 2 2 3 5 2 2 3" xfId="1001"/>
    <cellStyle name="Milliers 2 2 2 2 2 2 3 5 2 3" xfId="1002"/>
    <cellStyle name="Milliers 2 2 2 2 2 2 3 5 2 3 2" xfId="1003"/>
    <cellStyle name="Milliers 2 2 2 2 2 2 3 5 2 4" xfId="1004"/>
    <cellStyle name="Milliers 2 2 2 2 2 2 3 5 3" xfId="1005"/>
    <cellStyle name="Milliers 2 2 2 2 2 2 3 5 3 2" xfId="1006"/>
    <cellStyle name="Milliers 2 2 2 2 2 2 3 5 3 2 2" xfId="1007"/>
    <cellStyle name="Milliers 2 2 2 2 2 2 3 5 3 3" xfId="1008"/>
    <cellStyle name="Milliers 2 2 2 2 2 2 3 5 4" xfId="1009"/>
    <cellStyle name="Milliers 2 2 2 2 2 2 3 5 4 2" xfId="1010"/>
    <cellStyle name="Milliers 2 2 2 2 2 2 3 5 5" xfId="1011"/>
    <cellStyle name="Milliers 2 2 2 2 2 2 3 6" xfId="1012"/>
    <cellStyle name="Milliers 2 2 2 2 2 2 3 6 2" xfId="1013"/>
    <cellStyle name="Milliers 2 2 2 2 2 2 3 6 2 2" xfId="1014"/>
    <cellStyle name="Milliers 2 2 2 2 2 2 3 6 2 2 2" xfId="1015"/>
    <cellStyle name="Milliers 2 2 2 2 2 2 3 6 2 3" xfId="1016"/>
    <cellStyle name="Milliers 2 2 2 2 2 2 3 6 3" xfId="1017"/>
    <cellStyle name="Milliers 2 2 2 2 2 2 3 6 3 2" xfId="1018"/>
    <cellStyle name="Milliers 2 2 2 2 2 2 3 6 4" xfId="1019"/>
    <cellStyle name="Milliers 2 2 2 2 2 2 3 7" xfId="1020"/>
    <cellStyle name="Milliers 2 2 2 2 2 2 3 7 2" xfId="1021"/>
    <cellStyle name="Milliers 2 2 2 2 2 2 3 7 2 2" xfId="1022"/>
    <cellStyle name="Milliers 2 2 2 2 2 2 3 7 3" xfId="1023"/>
    <cellStyle name="Milliers 2 2 2 2 2 2 3 8" xfId="1024"/>
    <cellStyle name="Milliers 2 2 2 2 2 2 3 8 2" xfId="1025"/>
    <cellStyle name="Milliers 2 2 2 2 2 2 3 9" xfId="1026"/>
    <cellStyle name="Milliers 2 2 2 2 2 2 4" xfId="1027"/>
    <cellStyle name="Milliers 2 2 2 2 2 2 4 2" xfId="1028"/>
    <cellStyle name="Milliers 2 2 2 2 2 2 4 2 2" xfId="1029"/>
    <cellStyle name="Milliers 2 2 2 2 2 2 4 2 2 2" xfId="1030"/>
    <cellStyle name="Milliers 2 2 2 2 2 2 4 2 2 2 2" xfId="1031"/>
    <cellStyle name="Milliers 2 2 2 2 2 2 4 2 2 2 2 2" xfId="1032"/>
    <cellStyle name="Milliers 2 2 2 2 2 2 4 2 2 2 2 2 2" xfId="1033"/>
    <cellStyle name="Milliers 2 2 2 2 2 2 4 2 2 2 2 2 2 2" xfId="1034"/>
    <cellStyle name="Milliers 2 2 2 2 2 2 4 2 2 2 2 2 3" xfId="1035"/>
    <cellStyle name="Milliers 2 2 2 2 2 2 4 2 2 2 2 3" xfId="1036"/>
    <cellStyle name="Milliers 2 2 2 2 2 2 4 2 2 2 2 3 2" xfId="1037"/>
    <cellStyle name="Milliers 2 2 2 2 2 2 4 2 2 2 2 4" xfId="1038"/>
    <cellStyle name="Milliers 2 2 2 2 2 2 4 2 2 2 3" xfId="1039"/>
    <cellStyle name="Milliers 2 2 2 2 2 2 4 2 2 2 3 2" xfId="1040"/>
    <cellStyle name="Milliers 2 2 2 2 2 2 4 2 2 2 3 2 2" xfId="1041"/>
    <cellStyle name="Milliers 2 2 2 2 2 2 4 2 2 2 3 3" xfId="1042"/>
    <cellStyle name="Milliers 2 2 2 2 2 2 4 2 2 2 4" xfId="1043"/>
    <cellStyle name="Milliers 2 2 2 2 2 2 4 2 2 2 4 2" xfId="1044"/>
    <cellStyle name="Milliers 2 2 2 2 2 2 4 2 2 2 5" xfId="1045"/>
    <cellStyle name="Milliers 2 2 2 2 2 2 4 2 2 3" xfId="1046"/>
    <cellStyle name="Milliers 2 2 2 2 2 2 4 2 2 3 2" xfId="1047"/>
    <cellStyle name="Milliers 2 2 2 2 2 2 4 2 2 3 2 2" xfId="1048"/>
    <cellStyle name="Milliers 2 2 2 2 2 2 4 2 2 3 2 2 2" xfId="1049"/>
    <cellStyle name="Milliers 2 2 2 2 2 2 4 2 2 3 2 3" xfId="1050"/>
    <cellStyle name="Milliers 2 2 2 2 2 2 4 2 2 3 3" xfId="1051"/>
    <cellStyle name="Milliers 2 2 2 2 2 2 4 2 2 3 3 2" xfId="1052"/>
    <cellStyle name="Milliers 2 2 2 2 2 2 4 2 2 3 4" xfId="1053"/>
    <cellStyle name="Milliers 2 2 2 2 2 2 4 2 2 4" xfId="1054"/>
    <cellStyle name="Milliers 2 2 2 2 2 2 4 2 2 4 2" xfId="1055"/>
    <cellStyle name="Milliers 2 2 2 2 2 2 4 2 2 4 2 2" xfId="1056"/>
    <cellStyle name="Milliers 2 2 2 2 2 2 4 2 2 4 3" xfId="1057"/>
    <cellStyle name="Milliers 2 2 2 2 2 2 4 2 2 5" xfId="1058"/>
    <cellStyle name="Milliers 2 2 2 2 2 2 4 2 2 5 2" xfId="1059"/>
    <cellStyle name="Milliers 2 2 2 2 2 2 4 2 2 6" xfId="1060"/>
    <cellStyle name="Milliers 2 2 2 2 2 2 4 2 3" xfId="1061"/>
    <cellStyle name="Milliers 2 2 2 2 2 2 4 2 3 2" xfId="1062"/>
    <cellStyle name="Milliers 2 2 2 2 2 2 4 2 3 2 2" xfId="1063"/>
    <cellStyle name="Milliers 2 2 2 2 2 2 4 2 3 2 2 2" xfId="1064"/>
    <cellStyle name="Milliers 2 2 2 2 2 2 4 2 3 2 2 2 2" xfId="1065"/>
    <cellStyle name="Milliers 2 2 2 2 2 2 4 2 3 2 2 3" xfId="1066"/>
    <cellStyle name="Milliers 2 2 2 2 2 2 4 2 3 2 3" xfId="1067"/>
    <cellStyle name="Milliers 2 2 2 2 2 2 4 2 3 2 3 2" xfId="1068"/>
    <cellStyle name="Milliers 2 2 2 2 2 2 4 2 3 2 4" xfId="1069"/>
    <cellStyle name="Milliers 2 2 2 2 2 2 4 2 3 3" xfId="1070"/>
    <cellStyle name="Milliers 2 2 2 2 2 2 4 2 3 3 2" xfId="1071"/>
    <cellStyle name="Milliers 2 2 2 2 2 2 4 2 3 3 2 2" xfId="1072"/>
    <cellStyle name="Milliers 2 2 2 2 2 2 4 2 3 3 3" xfId="1073"/>
    <cellStyle name="Milliers 2 2 2 2 2 2 4 2 3 4" xfId="1074"/>
    <cellStyle name="Milliers 2 2 2 2 2 2 4 2 3 4 2" xfId="1075"/>
    <cellStyle name="Milliers 2 2 2 2 2 2 4 2 3 5" xfId="1076"/>
    <cellStyle name="Milliers 2 2 2 2 2 2 4 2 4" xfId="1077"/>
    <cellStyle name="Milliers 2 2 2 2 2 2 4 2 4 2" xfId="1078"/>
    <cellStyle name="Milliers 2 2 2 2 2 2 4 2 4 2 2" xfId="1079"/>
    <cellStyle name="Milliers 2 2 2 2 2 2 4 2 4 2 2 2" xfId="1080"/>
    <cellStyle name="Milliers 2 2 2 2 2 2 4 2 4 2 3" xfId="1081"/>
    <cellStyle name="Milliers 2 2 2 2 2 2 4 2 4 3" xfId="1082"/>
    <cellStyle name="Milliers 2 2 2 2 2 2 4 2 4 3 2" xfId="1083"/>
    <cellStyle name="Milliers 2 2 2 2 2 2 4 2 4 4" xfId="1084"/>
    <cellStyle name="Milliers 2 2 2 2 2 2 4 2 5" xfId="1085"/>
    <cellStyle name="Milliers 2 2 2 2 2 2 4 2 5 2" xfId="1086"/>
    <cellStyle name="Milliers 2 2 2 2 2 2 4 2 5 2 2" xfId="1087"/>
    <cellStyle name="Milliers 2 2 2 2 2 2 4 2 5 3" xfId="1088"/>
    <cellStyle name="Milliers 2 2 2 2 2 2 4 2 6" xfId="1089"/>
    <cellStyle name="Milliers 2 2 2 2 2 2 4 2 6 2" xfId="1090"/>
    <cellStyle name="Milliers 2 2 2 2 2 2 4 2 7" xfId="1091"/>
    <cellStyle name="Milliers 2 2 2 2 2 2 4 3" xfId="1092"/>
    <cellStyle name="Milliers 2 2 2 2 2 2 4 3 2" xfId="1093"/>
    <cellStyle name="Milliers 2 2 2 2 2 2 4 3 2 2" xfId="1094"/>
    <cellStyle name="Milliers 2 2 2 2 2 2 4 3 2 2 2" xfId="1095"/>
    <cellStyle name="Milliers 2 2 2 2 2 2 4 3 2 2 2 2" xfId="1096"/>
    <cellStyle name="Milliers 2 2 2 2 2 2 4 3 2 2 2 2 2" xfId="1097"/>
    <cellStyle name="Milliers 2 2 2 2 2 2 4 3 2 2 2 3" xfId="1098"/>
    <cellStyle name="Milliers 2 2 2 2 2 2 4 3 2 2 3" xfId="1099"/>
    <cellStyle name="Milliers 2 2 2 2 2 2 4 3 2 2 3 2" xfId="1100"/>
    <cellStyle name="Milliers 2 2 2 2 2 2 4 3 2 2 4" xfId="1101"/>
    <cellStyle name="Milliers 2 2 2 2 2 2 4 3 2 3" xfId="1102"/>
    <cellStyle name="Milliers 2 2 2 2 2 2 4 3 2 3 2" xfId="1103"/>
    <cellStyle name="Milliers 2 2 2 2 2 2 4 3 2 3 2 2" xfId="1104"/>
    <cellStyle name="Milliers 2 2 2 2 2 2 4 3 2 3 3" xfId="1105"/>
    <cellStyle name="Milliers 2 2 2 2 2 2 4 3 2 4" xfId="1106"/>
    <cellStyle name="Milliers 2 2 2 2 2 2 4 3 2 4 2" xfId="1107"/>
    <cellStyle name="Milliers 2 2 2 2 2 2 4 3 2 5" xfId="1108"/>
    <cellStyle name="Milliers 2 2 2 2 2 2 4 3 3" xfId="1109"/>
    <cellStyle name="Milliers 2 2 2 2 2 2 4 3 3 2" xfId="1110"/>
    <cellStyle name="Milliers 2 2 2 2 2 2 4 3 3 2 2" xfId="1111"/>
    <cellStyle name="Milliers 2 2 2 2 2 2 4 3 3 2 2 2" xfId="1112"/>
    <cellStyle name="Milliers 2 2 2 2 2 2 4 3 3 2 3" xfId="1113"/>
    <cellStyle name="Milliers 2 2 2 2 2 2 4 3 3 3" xfId="1114"/>
    <cellStyle name="Milliers 2 2 2 2 2 2 4 3 3 3 2" xfId="1115"/>
    <cellStyle name="Milliers 2 2 2 2 2 2 4 3 3 4" xfId="1116"/>
    <cellStyle name="Milliers 2 2 2 2 2 2 4 3 4" xfId="1117"/>
    <cellStyle name="Milliers 2 2 2 2 2 2 4 3 4 2" xfId="1118"/>
    <cellStyle name="Milliers 2 2 2 2 2 2 4 3 4 2 2" xfId="1119"/>
    <cellStyle name="Milliers 2 2 2 2 2 2 4 3 4 3" xfId="1120"/>
    <cellStyle name="Milliers 2 2 2 2 2 2 4 3 5" xfId="1121"/>
    <cellStyle name="Milliers 2 2 2 2 2 2 4 3 5 2" xfId="1122"/>
    <cellStyle name="Milliers 2 2 2 2 2 2 4 3 6" xfId="1123"/>
    <cellStyle name="Milliers 2 2 2 2 2 2 4 4" xfId="1124"/>
    <cellStyle name="Milliers 2 2 2 2 2 2 4 4 2" xfId="1125"/>
    <cellStyle name="Milliers 2 2 2 2 2 2 4 4 2 2" xfId="1126"/>
    <cellStyle name="Milliers 2 2 2 2 2 2 4 4 2 2 2" xfId="1127"/>
    <cellStyle name="Milliers 2 2 2 2 2 2 4 4 2 2 2 2" xfId="1128"/>
    <cellStyle name="Milliers 2 2 2 2 2 2 4 4 2 2 3" xfId="1129"/>
    <cellStyle name="Milliers 2 2 2 2 2 2 4 4 2 3" xfId="1130"/>
    <cellStyle name="Milliers 2 2 2 2 2 2 4 4 2 3 2" xfId="1131"/>
    <cellStyle name="Milliers 2 2 2 2 2 2 4 4 2 4" xfId="1132"/>
    <cellStyle name="Milliers 2 2 2 2 2 2 4 4 3" xfId="1133"/>
    <cellStyle name="Milliers 2 2 2 2 2 2 4 4 3 2" xfId="1134"/>
    <cellStyle name="Milliers 2 2 2 2 2 2 4 4 3 2 2" xfId="1135"/>
    <cellStyle name="Milliers 2 2 2 2 2 2 4 4 3 3" xfId="1136"/>
    <cellStyle name="Milliers 2 2 2 2 2 2 4 4 4" xfId="1137"/>
    <cellStyle name="Milliers 2 2 2 2 2 2 4 4 4 2" xfId="1138"/>
    <cellStyle name="Milliers 2 2 2 2 2 2 4 4 5" xfId="1139"/>
    <cellStyle name="Milliers 2 2 2 2 2 2 4 5" xfId="1140"/>
    <cellStyle name="Milliers 2 2 2 2 2 2 4 5 2" xfId="1141"/>
    <cellStyle name="Milliers 2 2 2 2 2 2 4 5 2 2" xfId="1142"/>
    <cellStyle name="Milliers 2 2 2 2 2 2 4 5 2 2 2" xfId="1143"/>
    <cellStyle name="Milliers 2 2 2 2 2 2 4 5 2 3" xfId="1144"/>
    <cellStyle name="Milliers 2 2 2 2 2 2 4 5 3" xfId="1145"/>
    <cellStyle name="Milliers 2 2 2 2 2 2 4 5 3 2" xfId="1146"/>
    <cellStyle name="Milliers 2 2 2 2 2 2 4 5 4" xfId="1147"/>
    <cellStyle name="Milliers 2 2 2 2 2 2 4 6" xfId="1148"/>
    <cellStyle name="Milliers 2 2 2 2 2 2 4 6 2" xfId="1149"/>
    <cellStyle name="Milliers 2 2 2 2 2 2 4 6 2 2" xfId="1150"/>
    <cellStyle name="Milliers 2 2 2 2 2 2 4 6 3" xfId="1151"/>
    <cellStyle name="Milliers 2 2 2 2 2 2 4 7" xfId="1152"/>
    <cellStyle name="Milliers 2 2 2 2 2 2 4 7 2" xfId="1153"/>
    <cellStyle name="Milliers 2 2 2 2 2 2 4 8" xfId="1154"/>
    <cellStyle name="Milliers 2 2 2 2 2 2 5" xfId="1155"/>
    <cellStyle name="Milliers 2 2 2 2 2 2 5 2" xfId="1156"/>
    <cellStyle name="Milliers 2 2 2 2 2 2 5 2 2" xfId="1157"/>
    <cellStyle name="Milliers 2 2 2 2 2 2 5 2 2 2" xfId="1158"/>
    <cellStyle name="Milliers 2 2 2 2 2 2 5 2 2 2 2" xfId="1159"/>
    <cellStyle name="Milliers 2 2 2 2 2 2 5 2 2 2 2 2" xfId="1160"/>
    <cellStyle name="Milliers 2 2 2 2 2 2 5 2 2 2 2 2 2" xfId="1161"/>
    <cellStyle name="Milliers 2 2 2 2 2 2 5 2 2 2 2 3" xfId="1162"/>
    <cellStyle name="Milliers 2 2 2 2 2 2 5 2 2 2 3" xfId="1163"/>
    <cellStyle name="Milliers 2 2 2 2 2 2 5 2 2 2 3 2" xfId="1164"/>
    <cellStyle name="Milliers 2 2 2 2 2 2 5 2 2 2 4" xfId="1165"/>
    <cellStyle name="Milliers 2 2 2 2 2 2 5 2 2 3" xfId="1166"/>
    <cellStyle name="Milliers 2 2 2 2 2 2 5 2 2 3 2" xfId="1167"/>
    <cellStyle name="Milliers 2 2 2 2 2 2 5 2 2 3 2 2" xfId="1168"/>
    <cellStyle name="Milliers 2 2 2 2 2 2 5 2 2 3 3" xfId="1169"/>
    <cellStyle name="Milliers 2 2 2 2 2 2 5 2 2 4" xfId="1170"/>
    <cellStyle name="Milliers 2 2 2 2 2 2 5 2 2 4 2" xfId="1171"/>
    <cellStyle name="Milliers 2 2 2 2 2 2 5 2 2 5" xfId="1172"/>
    <cellStyle name="Milliers 2 2 2 2 2 2 5 2 3" xfId="1173"/>
    <cellStyle name="Milliers 2 2 2 2 2 2 5 2 3 2" xfId="1174"/>
    <cellStyle name="Milliers 2 2 2 2 2 2 5 2 3 2 2" xfId="1175"/>
    <cellStyle name="Milliers 2 2 2 2 2 2 5 2 3 2 2 2" xfId="1176"/>
    <cellStyle name="Milliers 2 2 2 2 2 2 5 2 3 2 3" xfId="1177"/>
    <cellStyle name="Milliers 2 2 2 2 2 2 5 2 3 3" xfId="1178"/>
    <cellStyle name="Milliers 2 2 2 2 2 2 5 2 3 3 2" xfId="1179"/>
    <cellStyle name="Milliers 2 2 2 2 2 2 5 2 3 4" xfId="1180"/>
    <cellStyle name="Milliers 2 2 2 2 2 2 5 2 4" xfId="1181"/>
    <cellStyle name="Milliers 2 2 2 2 2 2 5 2 4 2" xfId="1182"/>
    <cellStyle name="Milliers 2 2 2 2 2 2 5 2 4 2 2" xfId="1183"/>
    <cellStyle name="Milliers 2 2 2 2 2 2 5 2 4 3" xfId="1184"/>
    <cellStyle name="Milliers 2 2 2 2 2 2 5 2 5" xfId="1185"/>
    <cellStyle name="Milliers 2 2 2 2 2 2 5 2 5 2" xfId="1186"/>
    <cellStyle name="Milliers 2 2 2 2 2 2 5 2 6" xfId="1187"/>
    <cellStyle name="Milliers 2 2 2 2 2 2 5 3" xfId="1188"/>
    <cellStyle name="Milliers 2 2 2 2 2 2 5 3 2" xfId="1189"/>
    <cellStyle name="Milliers 2 2 2 2 2 2 5 3 2 2" xfId="1190"/>
    <cellStyle name="Milliers 2 2 2 2 2 2 5 3 2 2 2" xfId="1191"/>
    <cellStyle name="Milliers 2 2 2 2 2 2 5 3 2 2 2 2" xfId="1192"/>
    <cellStyle name="Milliers 2 2 2 2 2 2 5 3 2 2 3" xfId="1193"/>
    <cellStyle name="Milliers 2 2 2 2 2 2 5 3 2 3" xfId="1194"/>
    <cellStyle name="Milliers 2 2 2 2 2 2 5 3 2 3 2" xfId="1195"/>
    <cellStyle name="Milliers 2 2 2 2 2 2 5 3 2 4" xfId="1196"/>
    <cellStyle name="Milliers 2 2 2 2 2 2 5 3 3" xfId="1197"/>
    <cellStyle name="Milliers 2 2 2 2 2 2 5 3 3 2" xfId="1198"/>
    <cellStyle name="Milliers 2 2 2 2 2 2 5 3 3 2 2" xfId="1199"/>
    <cellStyle name="Milliers 2 2 2 2 2 2 5 3 3 3" xfId="1200"/>
    <cellStyle name="Milliers 2 2 2 2 2 2 5 3 4" xfId="1201"/>
    <cellStyle name="Milliers 2 2 2 2 2 2 5 3 4 2" xfId="1202"/>
    <cellStyle name="Milliers 2 2 2 2 2 2 5 3 5" xfId="1203"/>
    <cellStyle name="Milliers 2 2 2 2 2 2 5 4" xfId="1204"/>
    <cellStyle name="Milliers 2 2 2 2 2 2 5 4 2" xfId="1205"/>
    <cellStyle name="Milliers 2 2 2 2 2 2 5 4 2 2" xfId="1206"/>
    <cellStyle name="Milliers 2 2 2 2 2 2 5 4 2 2 2" xfId="1207"/>
    <cellStyle name="Milliers 2 2 2 2 2 2 5 4 2 3" xfId="1208"/>
    <cellStyle name="Milliers 2 2 2 2 2 2 5 4 3" xfId="1209"/>
    <cellStyle name="Milliers 2 2 2 2 2 2 5 4 3 2" xfId="1210"/>
    <cellStyle name="Milliers 2 2 2 2 2 2 5 4 4" xfId="1211"/>
    <cellStyle name="Milliers 2 2 2 2 2 2 5 5" xfId="1212"/>
    <cellStyle name="Milliers 2 2 2 2 2 2 5 5 2" xfId="1213"/>
    <cellStyle name="Milliers 2 2 2 2 2 2 5 5 2 2" xfId="1214"/>
    <cellStyle name="Milliers 2 2 2 2 2 2 5 5 3" xfId="1215"/>
    <cellStyle name="Milliers 2 2 2 2 2 2 5 6" xfId="1216"/>
    <cellStyle name="Milliers 2 2 2 2 2 2 5 6 2" xfId="1217"/>
    <cellStyle name="Milliers 2 2 2 2 2 2 5 7" xfId="1218"/>
    <cellStyle name="Milliers 2 2 2 2 2 2 6" xfId="1219"/>
    <cellStyle name="Milliers 2 2 2 2 2 2 6 2" xfId="1220"/>
    <cellStyle name="Milliers 2 2 2 2 2 2 6 2 2" xfId="1221"/>
    <cellStyle name="Milliers 2 2 2 2 2 2 6 2 2 2" xfId="1222"/>
    <cellStyle name="Milliers 2 2 2 2 2 2 6 2 2 2 2" xfId="1223"/>
    <cellStyle name="Milliers 2 2 2 2 2 2 6 2 2 2 2 2" xfId="1224"/>
    <cellStyle name="Milliers 2 2 2 2 2 2 6 2 2 2 3" xfId="1225"/>
    <cellStyle name="Milliers 2 2 2 2 2 2 6 2 2 3" xfId="1226"/>
    <cellStyle name="Milliers 2 2 2 2 2 2 6 2 2 3 2" xfId="1227"/>
    <cellStyle name="Milliers 2 2 2 2 2 2 6 2 2 4" xfId="1228"/>
    <cellStyle name="Milliers 2 2 2 2 2 2 6 2 3" xfId="1229"/>
    <cellStyle name="Milliers 2 2 2 2 2 2 6 2 3 2" xfId="1230"/>
    <cellStyle name="Milliers 2 2 2 2 2 2 6 2 3 2 2" xfId="1231"/>
    <cellStyle name="Milliers 2 2 2 2 2 2 6 2 3 3" xfId="1232"/>
    <cellStyle name="Milliers 2 2 2 2 2 2 6 2 4" xfId="1233"/>
    <cellStyle name="Milliers 2 2 2 2 2 2 6 2 4 2" xfId="1234"/>
    <cellStyle name="Milliers 2 2 2 2 2 2 6 2 5" xfId="1235"/>
    <cellStyle name="Milliers 2 2 2 2 2 2 6 3" xfId="1236"/>
    <cellStyle name="Milliers 2 2 2 2 2 2 6 3 2" xfId="1237"/>
    <cellStyle name="Milliers 2 2 2 2 2 2 6 3 2 2" xfId="1238"/>
    <cellStyle name="Milliers 2 2 2 2 2 2 6 3 2 2 2" xfId="1239"/>
    <cellStyle name="Milliers 2 2 2 2 2 2 6 3 2 3" xfId="1240"/>
    <cellStyle name="Milliers 2 2 2 2 2 2 6 3 3" xfId="1241"/>
    <cellStyle name="Milliers 2 2 2 2 2 2 6 3 3 2" xfId="1242"/>
    <cellStyle name="Milliers 2 2 2 2 2 2 6 3 4" xfId="1243"/>
    <cellStyle name="Milliers 2 2 2 2 2 2 6 4" xfId="1244"/>
    <cellStyle name="Milliers 2 2 2 2 2 2 6 4 2" xfId="1245"/>
    <cellStyle name="Milliers 2 2 2 2 2 2 6 4 2 2" xfId="1246"/>
    <cellStyle name="Milliers 2 2 2 2 2 2 6 4 3" xfId="1247"/>
    <cellStyle name="Milliers 2 2 2 2 2 2 6 5" xfId="1248"/>
    <cellStyle name="Milliers 2 2 2 2 2 2 6 5 2" xfId="1249"/>
    <cellStyle name="Milliers 2 2 2 2 2 2 6 6" xfId="1250"/>
    <cellStyle name="Milliers 2 2 2 2 2 2 7" xfId="1251"/>
    <cellStyle name="Milliers 2 2 2 2 2 2 7 2" xfId="1252"/>
    <cellStyle name="Milliers 2 2 2 2 2 2 7 2 2" xfId="1253"/>
    <cellStyle name="Milliers 2 2 2 2 2 2 7 2 2 2" xfId="1254"/>
    <cellStyle name="Milliers 2 2 2 2 2 2 7 2 2 2 2" xfId="1255"/>
    <cellStyle name="Milliers 2 2 2 2 2 2 7 2 2 3" xfId="1256"/>
    <cellStyle name="Milliers 2 2 2 2 2 2 7 2 3" xfId="1257"/>
    <cellStyle name="Milliers 2 2 2 2 2 2 7 2 3 2" xfId="1258"/>
    <cellStyle name="Milliers 2 2 2 2 2 2 7 2 4" xfId="1259"/>
    <cellStyle name="Milliers 2 2 2 2 2 2 7 3" xfId="1260"/>
    <cellStyle name="Milliers 2 2 2 2 2 2 7 3 2" xfId="1261"/>
    <cellStyle name="Milliers 2 2 2 2 2 2 7 3 2 2" xfId="1262"/>
    <cellStyle name="Milliers 2 2 2 2 2 2 7 3 3" xfId="1263"/>
    <cellStyle name="Milliers 2 2 2 2 2 2 7 4" xfId="1264"/>
    <cellStyle name="Milliers 2 2 2 2 2 2 7 4 2" xfId="1265"/>
    <cellStyle name="Milliers 2 2 2 2 2 2 7 5" xfId="1266"/>
    <cellStyle name="Milliers 2 2 2 2 2 2 8" xfId="1267"/>
    <cellStyle name="Milliers 2 2 2 2 2 2 8 2" xfId="1268"/>
    <cellStyle name="Milliers 2 2 2 2 2 2 8 2 2" xfId="1269"/>
    <cellStyle name="Milliers 2 2 2 2 2 2 8 2 2 2" xfId="1270"/>
    <cellStyle name="Milliers 2 2 2 2 2 2 8 2 3" xfId="1271"/>
    <cellStyle name="Milliers 2 2 2 2 2 2 8 3" xfId="1272"/>
    <cellStyle name="Milliers 2 2 2 2 2 2 8 3 2" xfId="1273"/>
    <cellStyle name="Milliers 2 2 2 2 2 2 8 4" xfId="1274"/>
    <cellStyle name="Milliers 2 2 2 2 2 2 9" xfId="1275"/>
    <cellStyle name="Milliers 2 2 2 2 2 2 9 2" xfId="1276"/>
    <cellStyle name="Milliers 2 2 2 2 2 2 9 2 2" xfId="1277"/>
    <cellStyle name="Milliers 2 2 2 2 2 2 9 3" xfId="1278"/>
    <cellStyle name="Milliers 2 2 2 2 2 3" xfId="1279"/>
    <cellStyle name="Milliers 2 2 2 2 2 3 10" xfId="1280"/>
    <cellStyle name="Milliers 2 2 2 2 2 3 2" xfId="1281"/>
    <cellStyle name="Milliers 2 2 2 2 2 3 2 2" xfId="1282"/>
    <cellStyle name="Milliers 2 2 2 2 2 3 2 2 2" xfId="1283"/>
    <cellStyle name="Milliers 2 2 2 2 2 3 2 2 2 2" xfId="1284"/>
    <cellStyle name="Milliers 2 2 2 2 2 3 2 2 2 2 2" xfId="1285"/>
    <cellStyle name="Milliers 2 2 2 2 2 3 2 2 2 2 2 2" xfId="1286"/>
    <cellStyle name="Milliers 2 2 2 2 2 3 2 2 2 2 2 2 2" xfId="1287"/>
    <cellStyle name="Milliers 2 2 2 2 2 3 2 2 2 2 2 2 2 2" xfId="1288"/>
    <cellStyle name="Milliers 2 2 2 2 2 3 2 2 2 2 2 2 2 2 2" xfId="1289"/>
    <cellStyle name="Milliers 2 2 2 2 2 3 2 2 2 2 2 2 2 3" xfId="1290"/>
    <cellStyle name="Milliers 2 2 2 2 2 3 2 2 2 2 2 2 3" xfId="1291"/>
    <cellStyle name="Milliers 2 2 2 2 2 3 2 2 2 2 2 2 3 2" xfId="1292"/>
    <cellStyle name="Milliers 2 2 2 2 2 3 2 2 2 2 2 2 4" xfId="1293"/>
    <cellStyle name="Milliers 2 2 2 2 2 3 2 2 2 2 2 3" xfId="1294"/>
    <cellStyle name="Milliers 2 2 2 2 2 3 2 2 2 2 2 3 2" xfId="1295"/>
    <cellStyle name="Milliers 2 2 2 2 2 3 2 2 2 2 2 3 2 2" xfId="1296"/>
    <cellStyle name="Milliers 2 2 2 2 2 3 2 2 2 2 2 3 3" xfId="1297"/>
    <cellStyle name="Milliers 2 2 2 2 2 3 2 2 2 2 2 4" xfId="1298"/>
    <cellStyle name="Milliers 2 2 2 2 2 3 2 2 2 2 2 4 2" xfId="1299"/>
    <cellStyle name="Milliers 2 2 2 2 2 3 2 2 2 2 2 5" xfId="1300"/>
    <cellStyle name="Milliers 2 2 2 2 2 3 2 2 2 2 3" xfId="1301"/>
    <cellStyle name="Milliers 2 2 2 2 2 3 2 2 2 2 3 2" xfId="1302"/>
    <cellStyle name="Milliers 2 2 2 2 2 3 2 2 2 2 3 2 2" xfId="1303"/>
    <cellStyle name="Milliers 2 2 2 2 2 3 2 2 2 2 3 2 2 2" xfId="1304"/>
    <cellStyle name="Milliers 2 2 2 2 2 3 2 2 2 2 3 2 3" xfId="1305"/>
    <cellStyle name="Milliers 2 2 2 2 2 3 2 2 2 2 3 3" xfId="1306"/>
    <cellStyle name="Milliers 2 2 2 2 2 3 2 2 2 2 3 3 2" xfId="1307"/>
    <cellStyle name="Milliers 2 2 2 2 2 3 2 2 2 2 3 4" xfId="1308"/>
    <cellStyle name="Milliers 2 2 2 2 2 3 2 2 2 2 4" xfId="1309"/>
    <cellStyle name="Milliers 2 2 2 2 2 3 2 2 2 2 4 2" xfId="1310"/>
    <cellStyle name="Milliers 2 2 2 2 2 3 2 2 2 2 4 2 2" xfId="1311"/>
    <cellStyle name="Milliers 2 2 2 2 2 3 2 2 2 2 4 3" xfId="1312"/>
    <cellStyle name="Milliers 2 2 2 2 2 3 2 2 2 2 5" xfId="1313"/>
    <cellStyle name="Milliers 2 2 2 2 2 3 2 2 2 2 5 2" xfId="1314"/>
    <cellStyle name="Milliers 2 2 2 2 2 3 2 2 2 2 6" xfId="1315"/>
    <cellStyle name="Milliers 2 2 2 2 2 3 2 2 2 3" xfId="1316"/>
    <cellStyle name="Milliers 2 2 2 2 2 3 2 2 2 3 2" xfId="1317"/>
    <cellStyle name="Milliers 2 2 2 2 2 3 2 2 2 3 2 2" xfId="1318"/>
    <cellStyle name="Milliers 2 2 2 2 2 3 2 2 2 3 2 2 2" xfId="1319"/>
    <cellStyle name="Milliers 2 2 2 2 2 3 2 2 2 3 2 2 2 2" xfId="1320"/>
    <cellStyle name="Milliers 2 2 2 2 2 3 2 2 2 3 2 2 3" xfId="1321"/>
    <cellStyle name="Milliers 2 2 2 2 2 3 2 2 2 3 2 3" xfId="1322"/>
    <cellStyle name="Milliers 2 2 2 2 2 3 2 2 2 3 2 3 2" xfId="1323"/>
    <cellStyle name="Milliers 2 2 2 2 2 3 2 2 2 3 2 4" xfId="1324"/>
    <cellStyle name="Milliers 2 2 2 2 2 3 2 2 2 3 3" xfId="1325"/>
    <cellStyle name="Milliers 2 2 2 2 2 3 2 2 2 3 3 2" xfId="1326"/>
    <cellStyle name="Milliers 2 2 2 2 2 3 2 2 2 3 3 2 2" xfId="1327"/>
    <cellStyle name="Milliers 2 2 2 2 2 3 2 2 2 3 3 3" xfId="1328"/>
    <cellStyle name="Milliers 2 2 2 2 2 3 2 2 2 3 4" xfId="1329"/>
    <cellStyle name="Milliers 2 2 2 2 2 3 2 2 2 3 4 2" xfId="1330"/>
    <cellStyle name="Milliers 2 2 2 2 2 3 2 2 2 3 5" xfId="1331"/>
    <cellStyle name="Milliers 2 2 2 2 2 3 2 2 2 4" xfId="1332"/>
    <cellStyle name="Milliers 2 2 2 2 2 3 2 2 2 4 2" xfId="1333"/>
    <cellStyle name="Milliers 2 2 2 2 2 3 2 2 2 4 2 2" xfId="1334"/>
    <cellStyle name="Milliers 2 2 2 2 2 3 2 2 2 4 2 2 2" xfId="1335"/>
    <cellStyle name="Milliers 2 2 2 2 2 3 2 2 2 4 2 3" xfId="1336"/>
    <cellStyle name="Milliers 2 2 2 2 2 3 2 2 2 4 3" xfId="1337"/>
    <cellStyle name="Milliers 2 2 2 2 2 3 2 2 2 4 3 2" xfId="1338"/>
    <cellStyle name="Milliers 2 2 2 2 2 3 2 2 2 4 4" xfId="1339"/>
    <cellStyle name="Milliers 2 2 2 2 2 3 2 2 2 5" xfId="1340"/>
    <cellStyle name="Milliers 2 2 2 2 2 3 2 2 2 5 2" xfId="1341"/>
    <cellStyle name="Milliers 2 2 2 2 2 3 2 2 2 5 2 2" xfId="1342"/>
    <cellStyle name="Milliers 2 2 2 2 2 3 2 2 2 5 3" xfId="1343"/>
    <cellStyle name="Milliers 2 2 2 2 2 3 2 2 2 6" xfId="1344"/>
    <cellStyle name="Milliers 2 2 2 2 2 3 2 2 2 6 2" xfId="1345"/>
    <cellStyle name="Milliers 2 2 2 2 2 3 2 2 2 7" xfId="1346"/>
    <cellStyle name="Milliers 2 2 2 2 2 3 2 2 3" xfId="1347"/>
    <cellStyle name="Milliers 2 2 2 2 2 3 2 2 3 2" xfId="1348"/>
    <cellStyle name="Milliers 2 2 2 2 2 3 2 2 3 2 2" xfId="1349"/>
    <cellStyle name="Milliers 2 2 2 2 2 3 2 2 3 2 2 2" xfId="1350"/>
    <cellStyle name="Milliers 2 2 2 2 2 3 2 2 3 2 2 2 2" xfId="1351"/>
    <cellStyle name="Milliers 2 2 2 2 2 3 2 2 3 2 2 2 2 2" xfId="1352"/>
    <cellStyle name="Milliers 2 2 2 2 2 3 2 2 3 2 2 2 3" xfId="1353"/>
    <cellStyle name="Milliers 2 2 2 2 2 3 2 2 3 2 2 3" xfId="1354"/>
    <cellStyle name="Milliers 2 2 2 2 2 3 2 2 3 2 2 3 2" xfId="1355"/>
    <cellStyle name="Milliers 2 2 2 2 2 3 2 2 3 2 2 4" xfId="1356"/>
    <cellStyle name="Milliers 2 2 2 2 2 3 2 2 3 2 3" xfId="1357"/>
    <cellStyle name="Milliers 2 2 2 2 2 3 2 2 3 2 3 2" xfId="1358"/>
    <cellStyle name="Milliers 2 2 2 2 2 3 2 2 3 2 3 2 2" xfId="1359"/>
    <cellStyle name="Milliers 2 2 2 2 2 3 2 2 3 2 3 3" xfId="1360"/>
    <cellStyle name="Milliers 2 2 2 2 2 3 2 2 3 2 4" xfId="1361"/>
    <cellStyle name="Milliers 2 2 2 2 2 3 2 2 3 2 4 2" xfId="1362"/>
    <cellStyle name="Milliers 2 2 2 2 2 3 2 2 3 2 5" xfId="1363"/>
    <cellStyle name="Milliers 2 2 2 2 2 3 2 2 3 3" xfId="1364"/>
    <cellStyle name="Milliers 2 2 2 2 2 3 2 2 3 3 2" xfId="1365"/>
    <cellStyle name="Milliers 2 2 2 2 2 3 2 2 3 3 2 2" xfId="1366"/>
    <cellStyle name="Milliers 2 2 2 2 2 3 2 2 3 3 2 2 2" xfId="1367"/>
    <cellStyle name="Milliers 2 2 2 2 2 3 2 2 3 3 2 3" xfId="1368"/>
    <cellStyle name="Milliers 2 2 2 2 2 3 2 2 3 3 3" xfId="1369"/>
    <cellStyle name="Milliers 2 2 2 2 2 3 2 2 3 3 3 2" xfId="1370"/>
    <cellStyle name="Milliers 2 2 2 2 2 3 2 2 3 3 4" xfId="1371"/>
    <cellStyle name="Milliers 2 2 2 2 2 3 2 2 3 4" xfId="1372"/>
    <cellStyle name="Milliers 2 2 2 2 2 3 2 2 3 4 2" xfId="1373"/>
    <cellStyle name="Milliers 2 2 2 2 2 3 2 2 3 4 2 2" xfId="1374"/>
    <cellStyle name="Milliers 2 2 2 2 2 3 2 2 3 4 3" xfId="1375"/>
    <cellStyle name="Milliers 2 2 2 2 2 3 2 2 3 5" xfId="1376"/>
    <cellStyle name="Milliers 2 2 2 2 2 3 2 2 3 5 2" xfId="1377"/>
    <cellStyle name="Milliers 2 2 2 2 2 3 2 2 3 6" xfId="1378"/>
    <cellStyle name="Milliers 2 2 2 2 2 3 2 2 4" xfId="1379"/>
    <cellStyle name="Milliers 2 2 2 2 2 3 2 2 4 2" xfId="1380"/>
    <cellStyle name="Milliers 2 2 2 2 2 3 2 2 4 2 2" xfId="1381"/>
    <cellStyle name="Milliers 2 2 2 2 2 3 2 2 4 2 2 2" xfId="1382"/>
    <cellStyle name="Milliers 2 2 2 2 2 3 2 2 4 2 2 2 2" xfId="1383"/>
    <cellStyle name="Milliers 2 2 2 2 2 3 2 2 4 2 2 3" xfId="1384"/>
    <cellStyle name="Milliers 2 2 2 2 2 3 2 2 4 2 3" xfId="1385"/>
    <cellStyle name="Milliers 2 2 2 2 2 3 2 2 4 2 3 2" xfId="1386"/>
    <cellStyle name="Milliers 2 2 2 2 2 3 2 2 4 2 4" xfId="1387"/>
    <cellStyle name="Milliers 2 2 2 2 2 3 2 2 4 3" xfId="1388"/>
    <cellStyle name="Milliers 2 2 2 2 2 3 2 2 4 3 2" xfId="1389"/>
    <cellStyle name="Milliers 2 2 2 2 2 3 2 2 4 3 2 2" xfId="1390"/>
    <cellStyle name="Milliers 2 2 2 2 2 3 2 2 4 3 3" xfId="1391"/>
    <cellStyle name="Milliers 2 2 2 2 2 3 2 2 4 4" xfId="1392"/>
    <cellStyle name="Milliers 2 2 2 2 2 3 2 2 4 4 2" xfId="1393"/>
    <cellStyle name="Milliers 2 2 2 2 2 3 2 2 4 5" xfId="1394"/>
    <cellStyle name="Milliers 2 2 2 2 2 3 2 2 5" xfId="1395"/>
    <cellStyle name="Milliers 2 2 2 2 2 3 2 2 5 2" xfId="1396"/>
    <cellStyle name="Milliers 2 2 2 2 2 3 2 2 5 2 2" xfId="1397"/>
    <cellStyle name="Milliers 2 2 2 2 2 3 2 2 5 2 2 2" xfId="1398"/>
    <cellStyle name="Milliers 2 2 2 2 2 3 2 2 5 2 3" xfId="1399"/>
    <cellStyle name="Milliers 2 2 2 2 2 3 2 2 5 3" xfId="1400"/>
    <cellStyle name="Milliers 2 2 2 2 2 3 2 2 5 3 2" xfId="1401"/>
    <cellStyle name="Milliers 2 2 2 2 2 3 2 2 5 4" xfId="1402"/>
    <cellStyle name="Milliers 2 2 2 2 2 3 2 2 6" xfId="1403"/>
    <cellStyle name="Milliers 2 2 2 2 2 3 2 2 6 2" xfId="1404"/>
    <cellStyle name="Milliers 2 2 2 2 2 3 2 2 6 2 2" xfId="1405"/>
    <cellStyle name="Milliers 2 2 2 2 2 3 2 2 6 3" xfId="1406"/>
    <cellStyle name="Milliers 2 2 2 2 2 3 2 2 7" xfId="1407"/>
    <cellStyle name="Milliers 2 2 2 2 2 3 2 2 7 2" xfId="1408"/>
    <cellStyle name="Milliers 2 2 2 2 2 3 2 2 8" xfId="1409"/>
    <cellStyle name="Milliers 2 2 2 2 2 3 2 3" xfId="1410"/>
    <cellStyle name="Milliers 2 2 2 2 2 3 2 3 2" xfId="1411"/>
    <cellStyle name="Milliers 2 2 2 2 2 3 2 3 2 2" xfId="1412"/>
    <cellStyle name="Milliers 2 2 2 2 2 3 2 3 2 2 2" xfId="1413"/>
    <cellStyle name="Milliers 2 2 2 2 2 3 2 3 2 2 2 2" xfId="1414"/>
    <cellStyle name="Milliers 2 2 2 2 2 3 2 3 2 2 2 2 2" xfId="1415"/>
    <cellStyle name="Milliers 2 2 2 2 2 3 2 3 2 2 2 2 2 2" xfId="1416"/>
    <cellStyle name="Milliers 2 2 2 2 2 3 2 3 2 2 2 2 3" xfId="1417"/>
    <cellStyle name="Milliers 2 2 2 2 2 3 2 3 2 2 2 3" xfId="1418"/>
    <cellStyle name="Milliers 2 2 2 2 2 3 2 3 2 2 2 3 2" xfId="1419"/>
    <cellStyle name="Milliers 2 2 2 2 2 3 2 3 2 2 2 4" xfId="1420"/>
    <cellStyle name="Milliers 2 2 2 2 2 3 2 3 2 2 3" xfId="1421"/>
    <cellStyle name="Milliers 2 2 2 2 2 3 2 3 2 2 3 2" xfId="1422"/>
    <cellStyle name="Milliers 2 2 2 2 2 3 2 3 2 2 3 2 2" xfId="1423"/>
    <cellStyle name="Milliers 2 2 2 2 2 3 2 3 2 2 3 3" xfId="1424"/>
    <cellStyle name="Milliers 2 2 2 2 2 3 2 3 2 2 4" xfId="1425"/>
    <cellStyle name="Milliers 2 2 2 2 2 3 2 3 2 2 4 2" xfId="1426"/>
    <cellStyle name="Milliers 2 2 2 2 2 3 2 3 2 2 5" xfId="1427"/>
    <cellStyle name="Milliers 2 2 2 2 2 3 2 3 2 3" xfId="1428"/>
    <cellStyle name="Milliers 2 2 2 2 2 3 2 3 2 3 2" xfId="1429"/>
    <cellStyle name="Milliers 2 2 2 2 2 3 2 3 2 3 2 2" xfId="1430"/>
    <cellStyle name="Milliers 2 2 2 2 2 3 2 3 2 3 2 2 2" xfId="1431"/>
    <cellStyle name="Milliers 2 2 2 2 2 3 2 3 2 3 2 3" xfId="1432"/>
    <cellStyle name="Milliers 2 2 2 2 2 3 2 3 2 3 3" xfId="1433"/>
    <cellStyle name="Milliers 2 2 2 2 2 3 2 3 2 3 3 2" xfId="1434"/>
    <cellStyle name="Milliers 2 2 2 2 2 3 2 3 2 3 4" xfId="1435"/>
    <cellStyle name="Milliers 2 2 2 2 2 3 2 3 2 4" xfId="1436"/>
    <cellStyle name="Milliers 2 2 2 2 2 3 2 3 2 4 2" xfId="1437"/>
    <cellStyle name="Milliers 2 2 2 2 2 3 2 3 2 4 2 2" xfId="1438"/>
    <cellStyle name="Milliers 2 2 2 2 2 3 2 3 2 4 3" xfId="1439"/>
    <cellStyle name="Milliers 2 2 2 2 2 3 2 3 2 5" xfId="1440"/>
    <cellStyle name="Milliers 2 2 2 2 2 3 2 3 2 5 2" xfId="1441"/>
    <cellStyle name="Milliers 2 2 2 2 2 3 2 3 2 6" xfId="1442"/>
    <cellStyle name="Milliers 2 2 2 2 2 3 2 3 3" xfId="1443"/>
    <cellStyle name="Milliers 2 2 2 2 2 3 2 3 3 2" xfId="1444"/>
    <cellStyle name="Milliers 2 2 2 2 2 3 2 3 3 2 2" xfId="1445"/>
    <cellStyle name="Milliers 2 2 2 2 2 3 2 3 3 2 2 2" xfId="1446"/>
    <cellStyle name="Milliers 2 2 2 2 2 3 2 3 3 2 2 2 2" xfId="1447"/>
    <cellStyle name="Milliers 2 2 2 2 2 3 2 3 3 2 2 3" xfId="1448"/>
    <cellStyle name="Milliers 2 2 2 2 2 3 2 3 3 2 3" xfId="1449"/>
    <cellStyle name="Milliers 2 2 2 2 2 3 2 3 3 2 3 2" xfId="1450"/>
    <cellStyle name="Milliers 2 2 2 2 2 3 2 3 3 2 4" xfId="1451"/>
    <cellStyle name="Milliers 2 2 2 2 2 3 2 3 3 3" xfId="1452"/>
    <cellStyle name="Milliers 2 2 2 2 2 3 2 3 3 3 2" xfId="1453"/>
    <cellStyle name="Milliers 2 2 2 2 2 3 2 3 3 3 2 2" xfId="1454"/>
    <cellStyle name="Milliers 2 2 2 2 2 3 2 3 3 3 3" xfId="1455"/>
    <cellStyle name="Milliers 2 2 2 2 2 3 2 3 3 4" xfId="1456"/>
    <cellStyle name="Milliers 2 2 2 2 2 3 2 3 3 4 2" xfId="1457"/>
    <cellStyle name="Milliers 2 2 2 2 2 3 2 3 3 5" xfId="1458"/>
    <cellStyle name="Milliers 2 2 2 2 2 3 2 3 4" xfId="1459"/>
    <cellStyle name="Milliers 2 2 2 2 2 3 2 3 4 2" xfId="1460"/>
    <cellStyle name="Milliers 2 2 2 2 2 3 2 3 4 2 2" xfId="1461"/>
    <cellStyle name="Milliers 2 2 2 2 2 3 2 3 4 2 2 2" xfId="1462"/>
    <cellStyle name="Milliers 2 2 2 2 2 3 2 3 4 2 3" xfId="1463"/>
    <cellStyle name="Milliers 2 2 2 2 2 3 2 3 4 3" xfId="1464"/>
    <cellStyle name="Milliers 2 2 2 2 2 3 2 3 4 3 2" xfId="1465"/>
    <cellStyle name="Milliers 2 2 2 2 2 3 2 3 4 4" xfId="1466"/>
    <cellStyle name="Milliers 2 2 2 2 2 3 2 3 5" xfId="1467"/>
    <cellStyle name="Milliers 2 2 2 2 2 3 2 3 5 2" xfId="1468"/>
    <cellStyle name="Milliers 2 2 2 2 2 3 2 3 5 2 2" xfId="1469"/>
    <cellStyle name="Milliers 2 2 2 2 2 3 2 3 5 3" xfId="1470"/>
    <cellStyle name="Milliers 2 2 2 2 2 3 2 3 6" xfId="1471"/>
    <cellStyle name="Milliers 2 2 2 2 2 3 2 3 6 2" xfId="1472"/>
    <cellStyle name="Milliers 2 2 2 2 2 3 2 3 7" xfId="1473"/>
    <cellStyle name="Milliers 2 2 2 2 2 3 2 4" xfId="1474"/>
    <cellStyle name="Milliers 2 2 2 2 2 3 2 4 2" xfId="1475"/>
    <cellStyle name="Milliers 2 2 2 2 2 3 2 4 2 2" xfId="1476"/>
    <cellStyle name="Milliers 2 2 2 2 2 3 2 4 2 2 2" xfId="1477"/>
    <cellStyle name="Milliers 2 2 2 2 2 3 2 4 2 2 2 2" xfId="1478"/>
    <cellStyle name="Milliers 2 2 2 2 2 3 2 4 2 2 2 2 2" xfId="1479"/>
    <cellStyle name="Milliers 2 2 2 2 2 3 2 4 2 2 2 3" xfId="1480"/>
    <cellStyle name="Milliers 2 2 2 2 2 3 2 4 2 2 3" xfId="1481"/>
    <cellStyle name="Milliers 2 2 2 2 2 3 2 4 2 2 3 2" xfId="1482"/>
    <cellStyle name="Milliers 2 2 2 2 2 3 2 4 2 2 4" xfId="1483"/>
    <cellStyle name="Milliers 2 2 2 2 2 3 2 4 2 3" xfId="1484"/>
    <cellStyle name="Milliers 2 2 2 2 2 3 2 4 2 3 2" xfId="1485"/>
    <cellStyle name="Milliers 2 2 2 2 2 3 2 4 2 3 2 2" xfId="1486"/>
    <cellStyle name="Milliers 2 2 2 2 2 3 2 4 2 3 3" xfId="1487"/>
    <cellStyle name="Milliers 2 2 2 2 2 3 2 4 2 4" xfId="1488"/>
    <cellStyle name="Milliers 2 2 2 2 2 3 2 4 2 4 2" xfId="1489"/>
    <cellStyle name="Milliers 2 2 2 2 2 3 2 4 2 5" xfId="1490"/>
    <cellStyle name="Milliers 2 2 2 2 2 3 2 4 3" xfId="1491"/>
    <cellStyle name="Milliers 2 2 2 2 2 3 2 4 3 2" xfId="1492"/>
    <cellStyle name="Milliers 2 2 2 2 2 3 2 4 3 2 2" xfId="1493"/>
    <cellStyle name="Milliers 2 2 2 2 2 3 2 4 3 2 2 2" xfId="1494"/>
    <cellStyle name="Milliers 2 2 2 2 2 3 2 4 3 2 3" xfId="1495"/>
    <cellStyle name="Milliers 2 2 2 2 2 3 2 4 3 3" xfId="1496"/>
    <cellStyle name="Milliers 2 2 2 2 2 3 2 4 3 3 2" xfId="1497"/>
    <cellStyle name="Milliers 2 2 2 2 2 3 2 4 3 4" xfId="1498"/>
    <cellStyle name="Milliers 2 2 2 2 2 3 2 4 4" xfId="1499"/>
    <cellStyle name="Milliers 2 2 2 2 2 3 2 4 4 2" xfId="1500"/>
    <cellStyle name="Milliers 2 2 2 2 2 3 2 4 4 2 2" xfId="1501"/>
    <cellStyle name="Milliers 2 2 2 2 2 3 2 4 4 3" xfId="1502"/>
    <cellStyle name="Milliers 2 2 2 2 2 3 2 4 5" xfId="1503"/>
    <cellStyle name="Milliers 2 2 2 2 2 3 2 4 5 2" xfId="1504"/>
    <cellStyle name="Milliers 2 2 2 2 2 3 2 4 6" xfId="1505"/>
    <cellStyle name="Milliers 2 2 2 2 2 3 2 5" xfId="1506"/>
    <cellStyle name="Milliers 2 2 2 2 2 3 2 5 2" xfId="1507"/>
    <cellStyle name="Milliers 2 2 2 2 2 3 2 5 2 2" xfId="1508"/>
    <cellStyle name="Milliers 2 2 2 2 2 3 2 5 2 2 2" xfId="1509"/>
    <cellStyle name="Milliers 2 2 2 2 2 3 2 5 2 2 2 2" xfId="1510"/>
    <cellStyle name="Milliers 2 2 2 2 2 3 2 5 2 2 3" xfId="1511"/>
    <cellStyle name="Milliers 2 2 2 2 2 3 2 5 2 3" xfId="1512"/>
    <cellStyle name="Milliers 2 2 2 2 2 3 2 5 2 3 2" xfId="1513"/>
    <cellStyle name="Milliers 2 2 2 2 2 3 2 5 2 4" xfId="1514"/>
    <cellStyle name="Milliers 2 2 2 2 2 3 2 5 3" xfId="1515"/>
    <cellStyle name="Milliers 2 2 2 2 2 3 2 5 3 2" xfId="1516"/>
    <cellStyle name="Milliers 2 2 2 2 2 3 2 5 3 2 2" xfId="1517"/>
    <cellStyle name="Milliers 2 2 2 2 2 3 2 5 3 3" xfId="1518"/>
    <cellStyle name="Milliers 2 2 2 2 2 3 2 5 4" xfId="1519"/>
    <cellStyle name="Milliers 2 2 2 2 2 3 2 5 4 2" xfId="1520"/>
    <cellStyle name="Milliers 2 2 2 2 2 3 2 5 5" xfId="1521"/>
    <cellStyle name="Milliers 2 2 2 2 2 3 2 6" xfId="1522"/>
    <cellStyle name="Milliers 2 2 2 2 2 3 2 6 2" xfId="1523"/>
    <cellStyle name="Milliers 2 2 2 2 2 3 2 6 2 2" xfId="1524"/>
    <cellStyle name="Milliers 2 2 2 2 2 3 2 6 2 2 2" xfId="1525"/>
    <cellStyle name="Milliers 2 2 2 2 2 3 2 6 2 3" xfId="1526"/>
    <cellStyle name="Milliers 2 2 2 2 2 3 2 6 3" xfId="1527"/>
    <cellStyle name="Milliers 2 2 2 2 2 3 2 6 3 2" xfId="1528"/>
    <cellStyle name="Milliers 2 2 2 2 2 3 2 6 4" xfId="1529"/>
    <cellStyle name="Milliers 2 2 2 2 2 3 2 7" xfId="1530"/>
    <cellStyle name="Milliers 2 2 2 2 2 3 2 7 2" xfId="1531"/>
    <cellStyle name="Milliers 2 2 2 2 2 3 2 7 2 2" xfId="1532"/>
    <cellStyle name="Milliers 2 2 2 2 2 3 2 7 3" xfId="1533"/>
    <cellStyle name="Milliers 2 2 2 2 2 3 2 8" xfId="1534"/>
    <cellStyle name="Milliers 2 2 2 2 2 3 2 8 2" xfId="1535"/>
    <cellStyle name="Milliers 2 2 2 2 2 3 2 9" xfId="1536"/>
    <cellStyle name="Milliers 2 2 2 2 2 3 3" xfId="1537"/>
    <cellStyle name="Milliers 2 2 2 2 2 3 3 2" xfId="1538"/>
    <cellStyle name="Milliers 2 2 2 2 2 3 3 2 2" xfId="1539"/>
    <cellStyle name="Milliers 2 2 2 2 2 3 3 2 2 2" xfId="1540"/>
    <cellStyle name="Milliers 2 2 2 2 2 3 3 2 2 2 2" xfId="1541"/>
    <cellStyle name="Milliers 2 2 2 2 2 3 3 2 2 2 2 2" xfId="1542"/>
    <cellStyle name="Milliers 2 2 2 2 2 3 3 2 2 2 2 2 2" xfId="1543"/>
    <cellStyle name="Milliers 2 2 2 2 2 3 3 2 2 2 2 2 2 2" xfId="1544"/>
    <cellStyle name="Milliers 2 2 2 2 2 3 3 2 2 2 2 2 3" xfId="1545"/>
    <cellStyle name="Milliers 2 2 2 2 2 3 3 2 2 2 2 3" xfId="1546"/>
    <cellStyle name="Milliers 2 2 2 2 2 3 3 2 2 2 2 3 2" xfId="1547"/>
    <cellStyle name="Milliers 2 2 2 2 2 3 3 2 2 2 2 4" xfId="1548"/>
    <cellStyle name="Milliers 2 2 2 2 2 3 3 2 2 2 3" xfId="1549"/>
    <cellStyle name="Milliers 2 2 2 2 2 3 3 2 2 2 3 2" xfId="1550"/>
    <cellStyle name="Milliers 2 2 2 2 2 3 3 2 2 2 3 2 2" xfId="1551"/>
    <cellStyle name="Milliers 2 2 2 2 2 3 3 2 2 2 3 3" xfId="1552"/>
    <cellStyle name="Milliers 2 2 2 2 2 3 3 2 2 2 4" xfId="1553"/>
    <cellStyle name="Milliers 2 2 2 2 2 3 3 2 2 2 4 2" xfId="1554"/>
    <cellStyle name="Milliers 2 2 2 2 2 3 3 2 2 2 5" xfId="1555"/>
    <cellStyle name="Milliers 2 2 2 2 2 3 3 2 2 3" xfId="1556"/>
    <cellStyle name="Milliers 2 2 2 2 2 3 3 2 2 3 2" xfId="1557"/>
    <cellStyle name="Milliers 2 2 2 2 2 3 3 2 2 3 2 2" xfId="1558"/>
    <cellStyle name="Milliers 2 2 2 2 2 3 3 2 2 3 2 2 2" xfId="1559"/>
    <cellStyle name="Milliers 2 2 2 2 2 3 3 2 2 3 2 3" xfId="1560"/>
    <cellStyle name="Milliers 2 2 2 2 2 3 3 2 2 3 3" xfId="1561"/>
    <cellStyle name="Milliers 2 2 2 2 2 3 3 2 2 3 3 2" xfId="1562"/>
    <cellStyle name="Milliers 2 2 2 2 2 3 3 2 2 3 4" xfId="1563"/>
    <cellStyle name="Milliers 2 2 2 2 2 3 3 2 2 4" xfId="1564"/>
    <cellStyle name="Milliers 2 2 2 2 2 3 3 2 2 4 2" xfId="1565"/>
    <cellStyle name="Milliers 2 2 2 2 2 3 3 2 2 4 2 2" xfId="1566"/>
    <cellStyle name="Milliers 2 2 2 2 2 3 3 2 2 4 3" xfId="1567"/>
    <cellStyle name="Milliers 2 2 2 2 2 3 3 2 2 5" xfId="1568"/>
    <cellStyle name="Milliers 2 2 2 2 2 3 3 2 2 5 2" xfId="1569"/>
    <cellStyle name="Milliers 2 2 2 2 2 3 3 2 2 6" xfId="1570"/>
    <cellStyle name="Milliers 2 2 2 2 2 3 3 2 3" xfId="1571"/>
    <cellStyle name="Milliers 2 2 2 2 2 3 3 2 3 2" xfId="1572"/>
    <cellStyle name="Milliers 2 2 2 2 2 3 3 2 3 2 2" xfId="1573"/>
    <cellStyle name="Milliers 2 2 2 2 2 3 3 2 3 2 2 2" xfId="1574"/>
    <cellStyle name="Milliers 2 2 2 2 2 3 3 2 3 2 2 2 2" xfId="1575"/>
    <cellStyle name="Milliers 2 2 2 2 2 3 3 2 3 2 2 3" xfId="1576"/>
    <cellStyle name="Milliers 2 2 2 2 2 3 3 2 3 2 3" xfId="1577"/>
    <cellStyle name="Milliers 2 2 2 2 2 3 3 2 3 2 3 2" xfId="1578"/>
    <cellStyle name="Milliers 2 2 2 2 2 3 3 2 3 2 4" xfId="1579"/>
    <cellStyle name="Milliers 2 2 2 2 2 3 3 2 3 3" xfId="1580"/>
    <cellStyle name="Milliers 2 2 2 2 2 3 3 2 3 3 2" xfId="1581"/>
    <cellStyle name="Milliers 2 2 2 2 2 3 3 2 3 3 2 2" xfId="1582"/>
    <cellStyle name="Milliers 2 2 2 2 2 3 3 2 3 3 3" xfId="1583"/>
    <cellStyle name="Milliers 2 2 2 2 2 3 3 2 3 4" xfId="1584"/>
    <cellStyle name="Milliers 2 2 2 2 2 3 3 2 3 4 2" xfId="1585"/>
    <cellStyle name="Milliers 2 2 2 2 2 3 3 2 3 5" xfId="1586"/>
    <cellStyle name="Milliers 2 2 2 2 2 3 3 2 4" xfId="1587"/>
    <cellStyle name="Milliers 2 2 2 2 2 3 3 2 4 2" xfId="1588"/>
    <cellStyle name="Milliers 2 2 2 2 2 3 3 2 4 2 2" xfId="1589"/>
    <cellStyle name="Milliers 2 2 2 2 2 3 3 2 4 2 2 2" xfId="1590"/>
    <cellStyle name="Milliers 2 2 2 2 2 3 3 2 4 2 3" xfId="1591"/>
    <cellStyle name="Milliers 2 2 2 2 2 3 3 2 4 3" xfId="1592"/>
    <cellStyle name="Milliers 2 2 2 2 2 3 3 2 4 3 2" xfId="1593"/>
    <cellStyle name="Milliers 2 2 2 2 2 3 3 2 4 4" xfId="1594"/>
    <cellStyle name="Milliers 2 2 2 2 2 3 3 2 5" xfId="1595"/>
    <cellStyle name="Milliers 2 2 2 2 2 3 3 2 5 2" xfId="1596"/>
    <cellStyle name="Milliers 2 2 2 2 2 3 3 2 5 2 2" xfId="1597"/>
    <cellStyle name="Milliers 2 2 2 2 2 3 3 2 5 3" xfId="1598"/>
    <cellStyle name="Milliers 2 2 2 2 2 3 3 2 6" xfId="1599"/>
    <cellStyle name="Milliers 2 2 2 2 2 3 3 2 6 2" xfId="1600"/>
    <cellStyle name="Milliers 2 2 2 2 2 3 3 2 7" xfId="1601"/>
    <cellStyle name="Milliers 2 2 2 2 2 3 3 3" xfId="1602"/>
    <cellStyle name="Milliers 2 2 2 2 2 3 3 3 2" xfId="1603"/>
    <cellStyle name="Milliers 2 2 2 2 2 3 3 3 2 2" xfId="1604"/>
    <cellStyle name="Milliers 2 2 2 2 2 3 3 3 2 2 2" xfId="1605"/>
    <cellStyle name="Milliers 2 2 2 2 2 3 3 3 2 2 2 2" xfId="1606"/>
    <cellStyle name="Milliers 2 2 2 2 2 3 3 3 2 2 2 2 2" xfId="1607"/>
    <cellStyle name="Milliers 2 2 2 2 2 3 3 3 2 2 2 3" xfId="1608"/>
    <cellStyle name="Milliers 2 2 2 2 2 3 3 3 2 2 3" xfId="1609"/>
    <cellStyle name="Milliers 2 2 2 2 2 3 3 3 2 2 3 2" xfId="1610"/>
    <cellStyle name="Milliers 2 2 2 2 2 3 3 3 2 2 4" xfId="1611"/>
    <cellStyle name="Milliers 2 2 2 2 2 3 3 3 2 3" xfId="1612"/>
    <cellStyle name="Milliers 2 2 2 2 2 3 3 3 2 3 2" xfId="1613"/>
    <cellStyle name="Milliers 2 2 2 2 2 3 3 3 2 3 2 2" xfId="1614"/>
    <cellStyle name="Milliers 2 2 2 2 2 3 3 3 2 3 3" xfId="1615"/>
    <cellStyle name="Milliers 2 2 2 2 2 3 3 3 2 4" xfId="1616"/>
    <cellStyle name="Milliers 2 2 2 2 2 3 3 3 2 4 2" xfId="1617"/>
    <cellStyle name="Milliers 2 2 2 2 2 3 3 3 2 5" xfId="1618"/>
    <cellStyle name="Milliers 2 2 2 2 2 3 3 3 3" xfId="1619"/>
    <cellStyle name="Milliers 2 2 2 2 2 3 3 3 3 2" xfId="1620"/>
    <cellStyle name="Milliers 2 2 2 2 2 3 3 3 3 2 2" xfId="1621"/>
    <cellStyle name="Milliers 2 2 2 2 2 3 3 3 3 2 2 2" xfId="1622"/>
    <cellStyle name="Milliers 2 2 2 2 2 3 3 3 3 2 3" xfId="1623"/>
    <cellStyle name="Milliers 2 2 2 2 2 3 3 3 3 3" xfId="1624"/>
    <cellStyle name="Milliers 2 2 2 2 2 3 3 3 3 3 2" xfId="1625"/>
    <cellStyle name="Milliers 2 2 2 2 2 3 3 3 3 4" xfId="1626"/>
    <cellStyle name="Milliers 2 2 2 2 2 3 3 3 4" xfId="1627"/>
    <cellStyle name="Milliers 2 2 2 2 2 3 3 3 4 2" xfId="1628"/>
    <cellStyle name="Milliers 2 2 2 2 2 3 3 3 4 2 2" xfId="1629"/>
    <cellStyle name="Milliers 2 2 2 2 2 3 3 3 4 3" xfId="1630"/>
    <cellStyle name="Milliers 2 2 2 2 2 3 3 3 5" xfId="1631"/>
    <cellStyle name="Milliers 2 2 2 2 2 3 3 3 5 2" xfId="1632"/>
    <cellStyle name="Milliers 2 2 2 2 2 3 3 3 6" xfId="1633"/>
    <cellStyle name="Milliers 2 2 2 2 2 3 3 4" xfId="1634"/>
    <cellStyle name="Milliers 2 2 2 2 2 3 3 4 2" xfId="1635"/>
    <cellStyle name="Milliers 2 2 2 2 2 3 3 4 2 2" xfId="1636"/>
    <cellStyle name="Milliers 2 2 2 2 2 3 3 4 2 2 2" xfId="1637"/>
    <cellStyle name="Milliers 2 2 2 2 2 3 3 4 2 2 2 2" xfId="1638"/>
    <cellStyle name="Milliers 2 2 2 2 2 3 3 4 2 2 3" xfId="1639"/>
    <cellStyle name="Milliers 2 2 2 2 2 3 3 4 2 3" xfId="1640"/>
    <cellStyle name="Milliers 2 2 2 2 2 3 3 4 2 3 2" xfId="1641"/>
    <cellStyle name="Milliers 2 2 2 2 2 3 3 4 2 4" xfId="1642"/>
    <cellStyle name="Milliers 2 2 2 2 2 3 3 4 3" xfId="1643"/>
    <cellStyle name="Milliers 2 2 2 2 2 3 3 4 3 2" xfId="1644"/>
    <cellStyle name="Milliers 2 2 2 2 2 3 3 4 3 2 2" xfId="1645"/>
    <cellStyle name="Milliers 2 2 2 2 2 3 3 4 3 3" xfId="1646"/>
    <cellStyle name="Milliers 2 2 2 2 2 3 3 4 4" xfId="1647"/>
    <cellStyle name="Milliers 2 2 2 2 2 3 3 4 4 2" xfId="1648"/>
    <cellStyle name="Milliers 2 2 2 2 2 3 3 4 5" xfId="1649"/>
    <cellStyle name="Milliers 2 2 2 2 2 3 3 5" xfId="1650"/>
    <cellStyle name="Milliers 2 2 2 2 2 3 3 5 2" xfId="1651"/>
    <cellStyle name="Milliers 2 2 2 2 2 3 3 5 2 2" xfId="1652"/>
    <cellStyle name="Milliers 2 2 2 2 2 3 3 5 2 2 2" xfId="1653"/>
    <cellStyle name="Milliers 2 2 2 2 2 3 3 5 2 3" xfId="1654"/>
    <cellStyle name="Milliers 2 2 2 2 2 3 3 5 3" xfId="1655"/>
    <cellStyle name="Milliers 2 2 2 2 2 3 3 5 3 2" xfId="1656"/>
    <cellStyle name="Milliers 2 2 2 2 2 3 3 5 4" xfId="1657"/>
    <cellStyle name="Milliers 2 2 2 2 2 3 3 6" xfId="1658"/>
    <cellStyle name="Milliers 2 2 2 2 2 3 3 6 2" xfId="1659"/>
    <cellStyle name="Milliers 2 2 2 2 2 3 3 6 2 2" xfId="1660"/>
    <cellStyle name="Milliers 2 2 2 2 2 3 3 6 3" xfId="1661"/>
    <cellStyle name="Milliers 2 2 2 2 2 3 3 7" xfId="1662"/>
    <cellStyle name="Milliers 2 2 2 2 2 3 3 7 2" xfId="1663"/>
    <cellStyle name="Milliers 2 2 2 2 2 3 3 8" xfId="1664"/>
    <cellStyle name="Milliers 2 2 2 2 2 3 4" xfId="1665"/>
    <cellStyle name="Milliers 2 2 2 2 2 3 4 2" xfId="1666"/>
    <cellStyle name="Milliers 2 2 2 2 2 3 4 2 2" xfId="1667"/>
    <cellStyle name="Milliers 2 2 2 2 2 3 4 2 2 2" xfId="1668"/>
    <cellStyle name="Milliers 2 2 2 2 2 3 4 2 2 2 2" xfId="1669"/>
    <cellStyle name="Milliers 2 2 2 2 2 3 4 2 2 2 2 2" xfId="1670"/>
    <cellStyle name="Milliers 2 2 2 2 2 3 4 2 2 2 2 2 2" xfId="1671"/>
    <cellStyle name="Milliers 2 2 2 2 2 3 4 2 2 2 2 3" xfId="1672"/>
    <cellStyle name="Milliers 2 2 2 2 2 3 4 2 2 2 3" xfId="1673"/>
    <cellStyle name="Milliers 2 2 2 2 2 3 4 2 2 2 3 2" xfId="1674"/>
    <cellStyle name="Milliers 2 2 2 2 2 3 4 2 2 2 4" xfId="1675"/>
    <cellStyle name="Milliers 2 2 2 2 2 3 4 2 2 3" xfId="1676"/>
    <cellStyle name="Milliers 2 2 2 2 2 3 4 2 2 3 2" xfId="1677"/>
    <cellStyle name="Milliers 2 2 2 2 2 3 4 2 2 3 2 2" xfId="1678"/>
    <cellStyle name="Milliers 2 2 2 2 2 3 4 2 2 3 3" xfId="1679"/>
    <cellStyle name="Milliers 2 2 2 2 2 3 4 2 2 4" xfId="1680"/>
    <cellStyle name="Milliers 2 2 2 2 2 3 4 2 2 4 2" xfId="1681"/>
    <cellStyle name="Milliers 2 2 2 2 2 3 4 2 2 5" xfId="1682"/>
    <cellStyle name="Milliers 2 2 2 2 2 3 4 2 3" xfId="1683"/>
    <cellStyle name="Milliers 2 2 2 2 2 3 4 2 3 2" xfId="1684"/>
    <cellStyle name="Milliers 2 2 2 2 2 3 4 2 3 2 2" xfId="1685"/>
    <cellStyle name="Milliers 2 2 2 2 2 3 4 2 3 2 2 2" xfId="1686"/>
    <cellStyle name="Milliers 2 2 2 2 2 3 4 2 3 2 3" xfId="1687"/>
    <cellStyle name="Milliers 2 2 2 2 2 3 4 2 3 3" xfId="1688"/>
    <cellStyle name="Milliers 2 2 2 2 2 3 4 2 3 3 2" xfId="1689"/>
    <cellStyle name="Milliers 2 2 2 2 2 3 4 2 3 4" xfId="1690"/>
    <cellStyle name="Milliers 2 2 2 2 2 3 4 2 4" xfId="1691"/>
    <cellStyle name="Milliers 2 2 2 2 2 3 4 2 4 2" xfId="1692"/>
    <cellStyle name="Milliers 2 2 2 2 2 3 4 2 4 2 2" xfId="1693"/>
    <cellStyle name="Milliers 2 2 2 2 2 3 4 2 4 3" xfId="1694"/>
    <cellStyle name="Milliers 2 2 2 2 2 3 4 2 5" xfId="1695"/>
    <cellStyle name="Milliers 2 2 2 2 2 3 4 2 5 2" xfId="1696"/>
    <cellStyle name="Milliers 2 2 2 2 2 3 4 2 6" xfId="1697"/>
    <cellStyle name="Milliers 2 2 2 2 2 3 4 3" xfId="1698"/>
    <cellStyle name="Milliers 2 2 2 2 2 3 4 3 2" xfId="1699"/>
    <cellStyle name="Milliers 2 2 2 2 2 3 4 3 2 2" xfId="1700"/>
    <cellStyle name="Milliers 2 2 2 2 2 3 4 3 2 2 2" xfId="1701"/>
    <cellStyle name="Milliers 2 2 2 2 2 3 4 3 2 2 2 2" xfId="1702"/>
    <cellStyle name="Milliers 2 2 2 2 2 3 4 3 2 2 3" xfId="1703"/>
    <cellStyle name="Milliers 2 2 2 2 2 3 4 3 2 3" xfId="1704"/>
    <cellStyle name="Milliers 2 2 2 2 2 3 4 3 2 3 2" xfId="1705"/>
    <cellStyle name="Milliers 2 2 2 2 2 3 4 3 2 4" xfId="1706"/>
    <cellStyle name="Milliers 2 2 2 2 2 3 4 3 3" xfId="1707"/>
    <cellStyle name="Milliers 2 2 2 2 2 3 4 3 3 2" xfId="1708"/>
    <cellStyle name="Milliers 2 2 2 2 2 3 4 3 3 2 2" xfId="1709"/>
    <cellStyle name="Milliers 2 2 2 2 2 3 4 3 3 3" xfId="1710"/>
    <cellStyle name="Milliers 2 2 2 2 2 3 4 3 4" xfId="1711"/>
    <cellStyle name="Milliers 2 2 2 2 2 3 4 3 4 2" xfId="1712"/>
    <cellStyle name="Milliers 2 2 2 2 2 3 4 3 5" xfId="1713"/>
    <cellStyle name="Milliers 2 2 2 2 2 3 4 4" xfId="1714"/>
    <cellStyle name="Milliers 2 2 2 2 2 3 4 4 2" xfId="1715"/>
    <cellStyle name="Milliers 2 2 2 2 2 3 4 4 2 2" xfId="1716"/>
    <cellStyle name="Milliers 2 2 2 2 2 3 4 4 2 2 2" xfId="1717"/>
    <cellStyle name="Milliers 2 2 2 2 2 3 4 4 2 3" xfId="1718"/>
    <cellStyle name="Milliers 2 2 2 2 2 3 4 4 3" xfId="1719"/>
    <cellStyle name="Milliers 2 2 2 2 2 3 4 4 3 2" xfId="1720"/>
    <cellStyle name="Milliers 2 2 2 2 2 3 4 4 4" xfId="1721"/>
    <cellStyle name="Milliers 2 2 2 2 2 3 4 5" xfId="1722"/>
    <cellStyle name="Milliers 2 2 2 2 2 3 4 5 2" xfId="1723"/>
    <cellStyle name="Milliers 2 2 2 2 2 3 4 5 2 2" xfId="1724"/>
    <cellStyle name="Milliers 2 2 2 2 2 3 4 5 3" xfId="1725"/>
    <cellStyle name="Milliers 2 2 2 2 2 3 4 6" xfId="1726"/>
    <cellStyle name="Milliers 2 2 2 2 2 3 4 6 2" xfId="1727"/>
    <cellStyle name="Milliers 2 2 2 2 2 3 4 7" xfId="1728"/>
    <cellStyle name="Milliers 2 2 2 2 2 3 5" xfId="1729"/>
    <cellStyle name="Milliers 2 2 2 2 2 3 5 2" xfId="1730"/>
    <cellStyle name="Milliers 2 2 2 2 2 3 5 2 2" xfId="1731"/>
    <cellStyle name="Milliers 2 2 2 2 2 3 5 2 2 2" xfId="1732"/>
    <cellStyle name="Milliers 2 2 2 2 2 3 5 2 2 2 2" xfId="1733"/>
    <cellStyle name="Milliers 2 2 2 2 2 3 5 2 2 2 2 2" xfId="1734"/>
    <cellStyle name="Milliers 2 2 2 2 2 3 5 2 2 2 3" xfId="1735"/>
    <cellStyle name="Milliers 2 2 2 2 2 3 5 2 2 3" xfId="1736"/>
    <cellStyle name="Milliers 2 2 2 2 2 3 5 2 2 3 2" xfId="1737"/>
    <cellStyle name="Milliers 2 2 2 2 2 3 5 2 2 4" xfId="1738"/>
    <cellStyle name="Milliers 2 2 2 2 2 3 5 2 3" xfId="1739"/>
    <cellStyle name="Milliers 2 2 2 2 2 3 5 2 3 2" xfId="1740"/>
    <cellStyle name="Milliers 2 2 2 2 2 3 5 2 3 2 2" xfId="1741"/>
    <cellStyle name="Milliers 2 2 2 2 2 3 5 2 3 3" xfId="1742"/>
    <cellStyle name="Milliers 2 2 2 2 2 3 5 2 4" xfId="1743"/>
    <cellStyle name="Milliers 2 2 2 2 2 3 5 2 4 2" xfId="1744"/>
    <cellStyle name="Milliers 2 2 2 2 2 3 5 2 5" xfId="1745"/>
    <cellStyle name="Milliers 2 2 2 2 2 3 5 3" xfId="1746"/>
    <cellStyle name="Milliers 2 2 2 2 2 3 5 3 2" xfId="1747"/>
    <cellStyle name="Milliers 2 2 2 2 2 3 5 3 2 2" xfId="1748"/>
    <cellStyle name="Milliers 2 2 2 2 2 3 5 3 2 2 2" xfId="1749"/>
    <cellStyle name="Milliers 2 2 2 2 2 3 5 3 2 3" xfId="1750"/>
    <cellStyle name="Milliers 2 2 2 2 2 3 5 3 3" xfId="1751"/>
    <cellStyle name="Milliers 2 2 2 2 2 3 5 3 3 2" xfId="1752"/>
    <cellStyle name="Milliers 2 2 2 2 2 3 5 3 4" xfId="1753"/>
    <cellStyle name="Milliers 2 2 2 2 2 3 5 4" xfId="1754"/>
    <cellStyle name="Milliers 2 2 2 2 2 3 5 4 2" xfId="1755"/>
    <cellStyle name="Milliers 2 2 2 2 2 3 5 4 2 2" xfId="1756"/>
    <cellStyle name="Milliers 2 2 2 2 2 3 5 4 3" xfId="1757"/>
    <cellStyle name="Milliers 2 2 2 2 2 3 5 5" xfId="1758"/>
    <cellStyle name="Milliers 2 2 2 2 2 3 5 5 2" xfId="1759"/>
    <cellStyle name="Milliers 2 2 2 2 2 3 5 6" xfId="1760"/>
    <cellStyle name="Milliers 2 2 2 2 2 3 6" xfId="1761"/>
    <cellStyle name="Milliers 2 2 2 2 2 3 6 2" xfId="1762"/>
    <cellStyle name="Milliers 2 2 2 2 2 3 6 2 2" xfId="1763"/>
    <cellStyle name="Milliers 2 2 2 2 2 3 6 2 2 2" xfId="1764"/>
    <cellStyle name="Milliers 2 2 2 2 2 3 6 2 2 2 2" xfId="1765"/>
    <cellStyle name="Milliers 2 2 2 2 2 3 6 2 2 3" xfId="1766"/>
    <cellStyle name="Milliers 2 2 2 2 2 3 6 2 3" xfId="1767"/>
    <cellStyle name="Milliers 2 2 2 2 2 3 6 2 3 2" xfId="1768"/>
    <cellStyle name="Milliers 2 2 2 2 2 3 6 2 4" xfId="1769"/>
    <cellStyle name="Milliers 2 2 2 2 2 3 6 3" xfId="1770"/>
    <cellStyle name="Milliers 2 2 2 2 2 3 6 3 2" xfId="1771"/>
    <cellStyle name="Milliers 2 2 2 2 2 3 6 3 2 2" xfId="1772"/>
    <cellStyle name="Milliers 2 2 2 2 2 3 6 3 3" xfId="1773"/>
    <cellStyle name="Milliers 2 2 2 2 2 3 6 4" xfId="1774"/>
    <cellStyle name="Milliers 2 2 2 2 2 3 6 4 2" xfId="1775"/>
    <cellStyle name="Milliers 2 2 2 2 2 3 6 5" xfId="1776"/>
    <cellStyle name="Milliers 2 2 2 2 2 3 7" xfId="1777"/>
    <cellStyle name="Milliers 2 2 2 2 2 3 7 2" xfId="1778"/>
    <cellStyle name="Milliers 2 2 2 2 2 3 7 2 2" xfId="1779"/>
    <cellStyle name="Milliers 2 2 2 2 2 3 7 2 2 2" xfId="1780"/>
    <cellStyle name="Milliers 2 2 2 2 2 3 7 2 3" xfId="1781"/>
    <cellStyle name="Milliers 2 2 2 2 2 3 7 3" xfId="1782"/>
    <cellStyle name="Milliers 2 2 2 2 2 3 7 3 2" xfId="1783"/>
    <cellStyle name="Milliers 2 2 2 2 2 3 7 4" xfId="1784"/>
    <cellStyle name="Milliers 2 2 2 2 2 3 8" xfId="1785"/>
    <cellStyle name="Milliers 2 2 2 2 2 3 8 2" xfId="1786"/>
    <cellStyle name="Milliers 2 2 2 2 2 3 8 2 2" xfId="1787"/>
    <cellStyle name="Milliers 2 2 2 2 2 3 8 3" xfId="1788"/>
    <cellStyle name="Milliers 2 2 2 2 2 3 9" xfId="1789"/>
    <cellStyle name="Milliers 2 2 2 2 2 3 9 2" xfId="1790"/>
    <cellStyle name="Milliers 2 2 2 2 2 4" xfId="1791"/>
    <cellStyle name="Milliers 2 2 2 2 2 4 2" xfId="1792"/>
    <cellStyle name="Milliers 2 2 2 2 2 4 2 2" xfId="1793"/>
    <cellStyle name="Milliers 2 2 2 2 2 4 2 2 2" xfId="1794"/>
    <cellStyle name="Milliers 2 2 2 2 2 4 2 2 2 2" xfId="1795"/>
    <cellStyle name="Milliers 2 2 2 2 2 4 2 2 2 2 2" xfId="1796"/>
    <cellStyle name="Milliers 2 2 2 2 2 4 2 2 2 2 2 2" xfId="1797"/>
    <cellStyle name="Milliers 2 2 2 2 2 4 2 2 2 2 2 2 2" xfId="1798"/>
    <cellStyle name="Milliers 2 2 2 2 2 4 2 2 2 2 2 2 2 2" xfId="1799"/>
    <cellStyle name="Milliers 2 2 2 2 2 4 2 2 2 2 2 2 3" xfId="1800"/>
    <cellStyle name="Milliers 2 2 2 2 2 4 2 2 2 2 2 3" xfId="1801"/>
    <cellStyle name="Milliers 2 2 2 2 2 4 2 2 2 2 2 3 2" xfId="1802"/>
    <cellStyle name="Milliers 2 2 2 2 2 4 2 2 2 2 2 4" xfId="1803"/>
    <cellStyle name="Milliers 2 2 2 2 2 4 2 2 2 2 3" xfId="1804"/>
    <cellStyle name="Milliers 2 2 2 2 2 4 2 2 2 2 3 2" xfId="1805"/>
    <cellStyle name="Milliers 2 2 2 2 2 4 2 2 2 2 3 2 2" xfId="1806"/>
    <cellStyle name="Milliers 2 2 2 2 2 4 2 2 2 2 3 3" xfId="1807"/>
    <cellStyle name="Milliers 2 2 2 2 2 4 2 2 2 2 4" xfId="1808"/>
    <cellStyle name="Milliers 2 2 2 2 2 4 2 2 2 2 4 2" xfId="1809"/>
    <cellStyle name="Milliers 2 2 2 2 2 4 2 2 2 2 5" xfId="1810"/>
    <cellStyle name="Milliers 2 2 2 2 2 4 2 2 2 3" xfId="1811"/>
    <cellStyle name="Milliers 2 2 2 2 2 4 2 2 2 3 2" xfId="1812"/>
    <cellStyle name="Milliers 2 2 2 2 2 4 2 2 2 3 2 2" xfId="1813"/>
    <cellStyle name="Milliers 2 2 2 2 2 4 2 2 2 3 2 2 2" xfId="1814"/>
    <cellStyle name="Milliers 2 2 2 2 2 4 2 2 2 3 2 3" xfId="1815"/>
    <cellStyle name="Milliers 2 2 2 2 2 4 2 2 2 3 3" xfId="1816"/>
    <cellStyle name="Milliers 2 2 2 2 2 4 2 2 2 3 3 2" xfId="1817"/>
    <cellStyle name="Milliers 2 2 2 2 2 4 2 2 2 3 4" xfId="1818"/>
    <cellStyle name="Milliers 2 2 2 2 2 4 2 2 2 4" xfId="1819"/>
    <cellStyle name="Milliers 2 2 2 2 2 4 2 2 2 4 2" xfId="1820"/>
    <cellStyle name="Milliers 2 2 2 2 2 4 2 2 2 4 2 2" xfId="1821"/>
    <cellStyle name="Milliers 2 2 2 2 2 4 2 2 2 4 3" xfId="1822"/>
    <cellStyle name="Milliers 2 2 2 2 2 4 2 2 2 5" xfId="1823"/>
    <cellStyle name="Milliers 2 2 2 2 2 4 2 2 2 5 2" xfId="1824"/>
    <cellStyle name="Milliers 2 2 2 2 2 4 2 2 2 6" xfId="1825"/>
    <cellStyle name="Milliers 2 2 2 2 2 4 2 2 3" xfId="1826"/>
    <cellStyle name="Milliers 2 2 2 2 2 4 2 2 3 2" xfId="1827"/>
    <cellStyle name="Milliers 2 2 2 2 2 4 2 2 3 2 2" xfId="1828"/>
    <cellStyle name="Milliers 2 2 2 2 2 4 2 2 3 2 2 2" xfId="1829"/>
    <cellStyle name="Milliers 2 2 2 2 2 4 2 2 3 2 2 2 2" xfId="1830"/>
    <cellStyle name="Milliers 2 2 2 2 2 4 2 2 3 2 2 3" xfId="1831"/>
    <cellStyle name="Milliers 2 2 2 2 2 4 2 2 3 2 3" xfId="1832"/>
    <cellStyle name="Milliers 2 2 2 2 2 4 2 2 3 2 3 2" xfId="1833"/>
    <cellStyle name="Milliers 2 2 2 2 2 4 2 2 3 2 4" xfId="1834"/>
    <cellStyle name="Milliers 2 2 2 2 2 4 2 2 3 3" xfId="1835"/>
    <cellStyle name="Milliers 2 2 2 2 2 4 2 2 3 3 2" xfId="1836"/>
    <cellStyle name="Milliers 2 2 2 2 2 4 2 2 3 3 2 2" xfId="1837"/>
    <cellStyle name="Milliers 2 2 2 2 2 4 2 2 3 3 3" xfId="1838"/>
    <cellStyle name="Milliers 2 2 2 2 2 4 2 2 3 4" xfId="1839"/>
    <cellStyle name="Milliers 2 2 2 2 2 4 2 2 3 4 2" xfId="1840"/>
    <cellStyle name="Milliers 2 2 2 2 2 4 2 2 3 5" xfId="1841"/>
    <cellStyle name="Milliers 2 2 2 2 2 4 2 2 4" xfId="1842"/>
    <cellStyle name="Milliers 2 2 2 2 2 4 2 2 4 2" xfId="1843"/>
    <cellStyle name="Milliers 2 2 2 2 2 4 2 2 4 2 2" xfId="1844"/>
    <cellStyle name="Milliers 2 2 2 2 2 4 2 2 4 2 2 2" xfId="1845"/>
    <cellStyle name="Milliers 2 2 2 2 2 4 2 2 4 2 3" xfId="1846"/>
    <cellStyle name="Milliers 2 2 2 2 2 4 2 2 4 3" xfId="1847"/>
    <cellStyle name="Milliers 2 2 2 2 2 4 2 2 4 3 2" xfId="1848"/>
    <cellStyle name="Milliers 2 2 2 2 2 4 2 2 4 4" xfId="1849"/>
    <cellStyle name="Milliers 2 2 2 2 2 4 2 2 5" xfId="1850"/>
    <cellStyle name="Milliers 2 2 2 2 2 4 2 2 5 2" xfId="1851"/>
    <cellStyle name="Milliers 2 2 2 2 2 4 2 2 5 2 2" xfId="1852"/>
    <cellStyle name="Milliers 2 2 2 2 2 4 2 2 5 3" xfId="1853"/>
    <cellStyle name="Milliers 2 2 2 2 2 4 2 2 6" xfId="1854"/>
    <cellStyle name="Milliers 2 2 2 2 2 4 2 2 6 2" xfId="1855"/>
    <cellStyle name="Milliers 2 2 2 2 2 4 2 2 7" xfId="1856"/>
    <cellStyle name="Milliers 2 2 2 2 2 4 2 3" xfId="1857"/>
    <cellStyle name="Milliers 2 2 2 2 2 4 2 3 2" xfId="1858"/>
    <cellStyle name="Milliers 2 2 2 2 2 4 2 3 2 2" xfId="1859"/>
    <cellStyle name="Milliers 2 2 2 2 2 4 2 3 2 2 2" xfId="1860"/>
    <cellStyle name="Milliers 2 2 2 2 2 4 2 3 2 2 2 2" xfId="1861"/>
    <cellStyle name="Milliers 2 2 2 2 2 4 2 3 2 2 2 2 2" xfId="1862"/>
    <cellStyle name="Milliers 2 2 2 2 2 4 2 3 2 2 2 3" xfId="1863"/>
    <cellStyle name="Milliers 2 2 2 2 2 4 2 3 2 2 3" xfId="1864"/>
    <cellStyle name="Milliers 2 2 2 2 2 4 2 3 2 2 3 2" xfId="1865"/>
    <cellStyle name="Milliers 2 2 2 2 2 4 2 3 2 2 4" xfId="1866"/>
    <cellStyle name="Milliers 2 2 2 2 2 4 2 3 2 3" xfId="1867"/>
    <cellStyle name="Milliers 2 2 2 2 2 4 2 3 2 3 2" xfId="1868"/>
    <cellStyle name="Milliers 2 2 2 2 2 4 2 3 2 3 2 2" xfId="1869"/>
    <cellStyle name="Milliers 2 2 2 2 2 4 2 3 2 3 3" xfId="1870"/>
    <cellStyle name="Milliers 2 2 2 2 2 4 2 3 2 4" xfId="1871"/>
    <cellStyle name="Milliers 2 2 2 2 2 4 2 3 2 4 2" xfId="1872"/>
    <cellStyle name="Milliers 2 2 2 2 2 4 2 3 2 5" xfId="1873"/>
    <cellStyle name="Milliers 2 2 2 2 2 4 2 3 3" xfId="1874"/>
    <cellStyle name="Milliers 2 2 2 2 2 4 2 3 3 2" xfId="1875"/>
    <cellStyle name="Milliers 2 2 2 2 2 4 2 3 3 2 2" xfId="1876"/>
    <cellStyle name="Milliers 2 2 2 2 2 4 2 3 3 2 2 2" xfId="1877"/>
    <cellStyle name="Milliers 2 2 2 2 2 4 2 3 3 2 3" xfId="1878"/>
    <cellStyle name="Milliers 2 2 2 2 2 4 2 3 3 3" xfId="1879"/>
    <cellStyle name="Milliers 2 2 2 2 2 4 2 3 3 3 2" xfId="1880"/>
    <cellStyle name="Milliers 2 2 2 2 2 4 2 3 3 4" xfId="1881"/>
    <cellStyle name="Milliers 2 2 2 2 2 4 2 3 4" xfId="1882"/>
    <cellStyle name="Milliers 2 2 2 2 2 4 2 3 4 2" xfId="1883"/>
    <cellStyle name="Milliers 2 2 2 2 2 4 2 3 4 2 2" xfId="1884"/>
    <cellStyle name="Milliers 2 2 2 2 2 4 2 3 4 3" xfId="1885"/>
    <cellStyle name="Milliers 2 2 2 2 2 4 2 3 5" xfId="1886"/>
    <cellStyle name="Milliers 2 2 2 2 2 4 2 3 5 2" xfId="1887"/>
    <cellStyle name="Milliers 2 2 2 2 2 4 2 3 6" xfId="1888"/>
    <cellStyle name="Milliers 2 2 2 2 2 4 2 4" xfId="1889"/>
    <cellStyle name="Milliers 2 2 2 2 2 4 2 4 2" xfId="1890"/>
    <cellStyle name="Milliers 2 2 2 2 2 4 2 4 2 2" xfId="1891"/>
    <cellStyle name="Milliers 2 2 2 2 2 4 2 4 2 2 2" xfId="1892"/>
    <cellStyle name="Milliers 2 2 2 2 2 4 2 4 2 2 2 2" xfId="1893"/>
    <cellStyle name="Milliers 2 2 2 2 2 4 2 4 2 2 3" xfId="1894"/>
    <cellStyle name="Milliers 2 2 2 2 2 4 2 4 2 3" xfId="1895"/>
    <cellStyle name="Milliers 2 2 2 2 2 4 2 4 2 3 2" xfId="1896"/>
    <cellStyle name="Milliers 2 2 2 2 2 4 2 4 2 4" xfId="1897"/>
    <cellStyle name="Milliers 2 2 2 2 2 4 2 4 3" xfId="1898"/>
    <cellStyle name="Milliers 2 2 2 2 2 4 2 4 3 2" xfId="1899"/>
    <cellStyle name="Milliers 2 2 2 2 2 4 2 4 3 2 2" xfId="1900"/>
    <cellStyle name="Milliers 2 2 2 2 2 4 2 4 3 3" xfId="1901"/>
    <cellStyle name="Milliers 2 2 2 2 2 4 2 4 4" xfId="1902"/>
    <cellStyle name="Milliers 2 2 2 2 2 4 2 4 4 2" xfId="1903"/>
    <cellStyle name="Milliers 2 2 2 2 2 4 2 4 5" xfId="1904"/>
    <cellStyle name="Milliers 2 2 2 2 2 4 2 5" xfId="1905"/>
    <cellStyle name="Milliers 2 2 2 2 2 4 2 5 2" xfId="1906"/>
    <cellStyle name="Milliers 2 2 2 2 2 4 2 5 2 2" xfId="1907"/>
    <cellStyle name="Milliers 2 2 2 2 2 4 2 5 2 2 2" xfId="1908"/>
    <cellStyle name="Milliers 2 2 2 2 2 4 2 5 2 3" xfId="1909"/>
    <cellStyle name="Milliers 2 2 2 2 2 4 2 5 3" xfId="1910"/>
    <cellStyle name="Milliers 2 2 2 2 2 4 2 5 3 2" xfId="1911"/>
    <cellStyle name="Milliers 2 2 2 2 2 4 2 5 4" xfId="1912"/>
    <cellStyle name="Milliers 2 2 2 2 2 4 2 6" xfId="1913"/>
    <cellStyle name="Milliers 2 2 2 2 2 4 2 6 2" xfId="1914"/>
    <cellStyle name="Milliers 2 2 2 2 2 4 2 6 2 2" xfId="1915"/>
    <cellStyle name="Milliers 2 2 2 2 2 4 2 6 3" xfId="1916"/>
    <cellStyle name="Milliers 2 2 2 2 2 4 2 7" xfId="1917"/>
    <cellStyle name="Milliers 2 2 2 2 2 4 2 7 2" xfId="1918"/>
    <cellStyle name="Milliers 2 2 2 2 2 4 2 8" xfId="1919"/>
    <cellStyle name="Milliers 2 2 2 2 2 4 3" xfId="1920"/>
    <cellStyle name="Milliers 2 2 2 2 2 4 3 2" xfId="1921"/>
    <cellStyle name="Milliers 2 2 2 2 2 4 3 2 2" xfId="1922"/>
    <cellStyle name="Milliers 2 2 2 2 2 4 3 2 2 2" xfId="1923"/>
    <cellStyle name="Milliers 2 2 2 2 2 4 3 2 2 2 2" xfId="1924"/>
    <cellStyle name="Milliers 2 2 2 2 2 4 3 2 2 2 2 2" xfId="1925"/>
    <cellStyle name="Milliers 2 2 2 2 2 4 3 2 2 2 2 2 2" xfId="1926"/>
    <cellStyle name="Milliers 2 2 2 2 2 4 3 2 2 2 2 3" xfId="1927"/>
    <cellStyle name="Milliers 2 2 2 2 2 4 3 2 2 2 3" xfId="1928"/>
    <cellStyle name="Milliers 2 2 2 2 2 4 3 2 2 2 3 2" xfId="1929"/>
    <cellStyle name="Milliers 2 2 2 2 2 4 3 2 2 2 4" xfId="1930"/>
    <cellStyle name="Milliers 2 2 2 2 2 4 3 2 2 3" xfId="1931"/>
    <cellStyle name="Milliers 2 2 2 2 2 4 3 2 2 3 2" xfId="1932"/>
    <cellStyle name="Milliers 2 2 2 2 2 4 3 2 2 3 2 2" xfId="1933"/>
    <cellStyle name="Milliers 2 2 2 2 2 4 3 2 2 3 3" xfId="1934"/>
    <cellStyle name="Milliers 2 2 2 2 2 4 3 2 2 4" xfId="1935"/>
    <cellStyle name="Milliers 2 2 2 2 2 4 3 2 2 4 2" xfId="1936"/>
    <cellStyle name="Milliers 2 2 2 2 2 4 3 2 2 5" xfId="1937"/>
    <cellStyle name="Milliers 2 2 2 2 2 4 3 2 3" xfId="1938"/>
    <cellStyle name="Milliers 2 2 2 2 2 4 3 2 3 2" xfId="1939"/>
    <cellStyle name="Milliers 2 2 2 2 2 4 3 2 3 2 2" xfId="1940"/>
    <cellStyle name="Milliers 2 2 2 2 2 4 3 2 3 2 2 2" xfId="1941"/>
    <cellStyle name="Milliers 2 2 2 2 2 4 3 2 3 2 3" xfId="1942"/>
    <cellStyle name="Milliers 2 2 2 2 2 4 3 2 3 3" xfId="1943"/>
    <cellStyle name="Milliers 2 2 2 2 2 4 3 2 3 3 2" xfId="1944"/>
    <cellStyle name="Milliers 2 2 2 2 2 4 3 2 3 4" xfId="1945"/>
    <cellStyle name="Milliers 2 2 2 2 2 4 3 2 4" xfId="1946"/>
    <cellStyle name="Milliers 2 2 2 2 2 4 3 2 4 2" xfId="1947"/>
    <cellStyle name="Milliers 2 2 2 2 2 4 3 2 4 2 2" xfId="1948"/>
    <cellStyle name="Milliers 2 2 2 2 2 4 3 2 4 3" xfId="1949"/>
    <cellStyle name="Milliers 2 2 2 2 2 4 3 2 5" xfId="1950"/>
    <cellStyle name="Milliers 2 2 2 2 2 4 3 2 5 2" xfId="1951"/>
    <cellStyle name="Milliers 2 2 2 2 2 4 3 2 6" xfId="1952"/>
    <cellStyle name="Milliers 2 2 2 2 2 4 3 3" xfId="1953"/>
    <cellStyle name="Milliers 2 2 2 2 2 4 3 3 2" xfId="1954"/>
    <cellStyle name="Milliers 2 2 2 2 2 4 3 3 2 2" xfId="1955"/>
    <cellStyle name="Milliers 2 2 2 2 2 4 3 3 2 2 2" xfId="1956"/>
    <cellStyle name="Milliers 2 2 2 2 2 4 3 3 2 2 2 2" xfId="1957"/>
    <cellStyle name="Milliers 2 2 2 2 2 4 3 3 2 2 3" xfId="1958"/>
    <cellStyle name="Milliers 2 2 2 2 2 4 3 3 2 3" xfId="1959"/>
    <cellStyle name="Milliers 2 2 2 2 2 4 3 3 2 3 2" xfId="1960"/>
    <cellStyle name="Milliers 2 2 2 2 2 4 3 3 2 4" xfId="1961"/>
    <cellStyle name="Milliers 2 2 2 2 2 4 3 3 3" xfId="1962"/>
    <cellStyle name="Milliers 2 2 2 2 2 4 3 3 3 2" xfId="1963"/>
    <cellStyle name="Milliers 2 2 2 2 2 4 3 3 3 2 2" xfId="1964"/>
    <cellStyle name="Milliers 2 2 2 2 2 4 3 3 3 3" xfId="1965"/>
    <cellStyle name="Milliers 2 2 2 2 2 4 3 3 4" xfId="1966"/>
    <cellStyle name="Milliers 2 2 2 2 2 4 3 3 4 2" xfId="1967"/>
    <cellStyle name="Milliers 2 2 2 2 2 4 3 3 5" xfId="1968"/>
    <cellStyle name="Milliers 2 2 2 2 2 4 3 4" xfId="1969"/>
    <cellStyle name="Milliers 2 2 2 2 2 4 3 4 2" xfId="1970"/>
    <cellStyle name="Milliers 2 2 2 2 2 4 3 4 2 2" xfId="1971"/>
    <cellStyle name="Milliers 2 2 2 2 2 4 3 4 2 2 2" xfId="1972"/>
    <cellStyle name="Milliers 2 2 2 2 2 4 3 4 2 3" xfId="1973"/>
    <cellStyle name="Milliers 2 2 2 2 2 4 3 4 3" xfId="1974"/>
    <cellStyle name="Milliers 2 2 2 2 2 4 3 4 3 2" xfId="1975"/>
    <cellStyle name="Milliers 2 2 2 2 2 4 3 4 4" xfId="1976"/>
    <cellStyle name="Milliers 2 2 2 2 2 4 3 5" xfId="1977"/>
    <cellStyle name="Milliers 2 2 2 2 2 4 3 5 2" xfId="1978"/>
    <cellStyle name="Milliers 2 2 2 2 2 4 3 5 2 2" xfId="1979"/>
    <cellStyle name="Milliers 2 2 2 2 2 4 3 5 3" xfId="1980"/>
    <cellStyle name="Milliers 2 2 2 2 2 4 3 6" xfId="1981"/>
    <cellStyle name="Milliers 2 2 2 2 2 4 3 6 2" xfId="1982"/>
    <cellStyle name="Milliers 2 2 2 2 2 4 3 7" xfId="1983"/>
    <cellStyle name="Milliers 2 2 2 2 2 4 4" xfId="1984"/>
    <cellStyle name="Milliers 2 2 2 2 2 4 4 2" xfId="1985"/>
    <cellStyle name="Milliers 2 2 2 2 2 4 4 2 2" xfId="1986"/>
    <cellStyle name="Milliers 2 2 2 2 2 4 4 2 2 2" xfId="1987"/>
    <cellStyle name="Milliers 2 2 2 2 2 4 4 2 2 2 2" xfId="1988"/>
    <cellStyle name="Milliers 2 2 2 2 2 4 4 2 2 2 2 2" xfId="1989"/>
    <cellStyle name="Milliers 2 2 2 2 2 4 4 2 2 2 3" xfId="1990"/>
    <cellStyle name="Milliers 2 2 2 2 2 4 4 2 2 3" xfId="1991"/>
    <cellStyle name="Milliers 2 2 2 2 2 4 4 2 2 3 2" xfId="1992"/>
    <cellStyle name="Milliers 2 2 2 2 2 4 4 2 2 4" xfId="1993"/>
    <cellStyle name="Milliers 2 2 2 2 2 4 4 2 3" xfId="1994"/>
    <cellStyle name="Milliers 2 2 2 2 2 4 4 2 3 2" xfId="1995"/>
    <cellStyle name="Milliers 2 2 2 2 2 4 4 2 3 2 2" xfId="1996"/>
    <cellStyle name="Milliers 2 2 2 2 2 4 4 2 3 3" xfId="1997"/>
    <cellStyle name="Milliers 2 2 2 2 2 4 4 2 4" xfId="1998"/>
    <cellStyle name="Milliers 2 2 2 2 2 4 4 2 4 2" xfId="1999"/>
    <cellStyle name="Milliers 2 2 2 2 2 4 4 2 5" xfId="2000"/>
    <cellStyle name="Milliers 2 2 2 2 2 4 4 3" xfId="2001"/>
    <cellStyle name="Milliers 2 2 2 2 2 4 4 3 2" xfId="2002"/>
    <cellStyle name="Milliers 2 2 2 2 2 4 4 3 2 2" xfId="2003"/>
    <cellStyle name="Milliers 2 2 2 2 2 4 4 3 2 2 2" xfId="2004"/>
    <cellStyle name="Milliers 2 2 2 2 2 4 4 3 2 3" xfId="2005"/>
    <cellStyle name="Milliers 2 2 2 2 2 4 4 3 3" xfId="2006"/>
    <cellStyle name="Milliers 2 2 2 2 2 4 4 3 3 2" xfId="2007"/>
    <cellStyle name="Milliers 2 2 2 2 2 4 4 3 4" xfId="2008"/>
    <cellStyle name="Milliers 2 2 2 2 2 4 4 4" xfId="2009"/>
    <cellStyle name="Milliers 2 2 2 2 2 4 4 4 2" xfId="2010"/>
    <cellStyle name="Milliers 2 2 2 2 2 4 4 4 2 2" xfId="2011"/>
    <cellStyle name="Milliers 2 2 2 2 2 4 4 4 3" xfId="2012"/>
    <cellStyle name="Milliers 2 2 2 2 2 4 4 5" xfId="2013"/>
    <cellStyle name="Milliers 2 2 2 2 2 4 4 5 2" xfId="2014"/>
    <cellStyle name="Milliers 2 2 2 2 2 4 4 6" xfId="2015"/>
    <cellStyle name="Milliers 2 2 2 2 2 4 5" xfId="2016"/>
    <cellStyle name="Milliers 2 2 2 2 2 4 5 2" xfId="2017"/>
    <cellStyle name="Milliers 2 2 2 2 2 4 5 2 2" xfId="2018"/>
    <cellStyle name="Milliers 2 2 2 2 2 4 5 2 2 2" xfId="2019"/>
    <cellStyle name="Milliers 2 2 2 2 2 4 5 2 2 2 2" xfId="2020"/>
    <cellStyle name="Milliers 2 2 2 2 2 4 5 2 2 3" xfId="2021"/>
    <cellStyle name="Milliers 2 2 2 2 2 4 5 2 3" xfId="2022"/>
    <cellStyle name="Milliers 2 2 2 2 2 4 5 2 3 2" xfId="2023"/>
    <cellStyle name="Milliers 2 2 2 2 2 4 5 2 4" xfId="2024"/>
    <cellStyle name="Milliers 2 2 2 2 2 4 5 3" xfId="2025"/>
    <cellStyle name="Milliers 2 2 2 2 2 4 5 3 2" xfId="2026"/>
    <cellStyle name="Milliers 2 2 2 2 2 4 5 3 2 2" xfId="2027"/>
    <cellStyle name="Milliers 2 2 2 2 2 4 5 3 3" xfId="2028"/>
    <cellStyle name="Milliers 2 2 2 2 2 4 5 4" xfId="2029"/>
    <cellStyle name="Milliers 2 2 2 2 2 4 5 4 2" xfId="2030"/>
    <cellStyle name="Milliers 2 2 2 2 2 4 5 5" xfId="2031"/>
    <cellStyle name="Milliers 2 2 2 2 2 4 6" xfId="2032"/>
    <cellStyle name="Milliers 2 2 2 2 2 4 6 2" xfId="2033"/>
    <cellStyle name="Milliers 2 2 2 2 2 4 6 2 2" xfId="2034"/>
    <cellStyle name="Milliers 2 2 2 2 2 4 6 2 2 2" xfId="2035"/>
    <cellStyle name="Milliers 2 2 2 2 2 4 6 2 3" xfId="2036"/>
    <cellStyle name="Milliers 2 2 2 2 2 4 6 3" xfId="2037"/>
    <cellStyle name="Milliers 2 2 2 2 2 4 6 3 2" xfId="2038"/>
    <cellStyle name="Milliers 2 2 2 2 2 4 6 4" xfId="2039"/>
    <cellStyle name="Milliers 2 2 2 2 2 4 7" xfId="2040"/>
    <cellStyle name="Milliers 2 2 2 2 2 4 7 2" xfId="2041"/>
    <cellStyle name="Milliers 2 2 2 2 2 4 7 2 2" xfId="2042"/>
    <cellStyle name="Milliers 2 2 2 2 2 4 7 3" xfId="2043"/>
    <cellStyle name="Milliers 2 2 2 2 2 4 8" xfId="2044"/>
    <cellStyle name="Milliers 2 2 2 2 2 4 8 2" xfId="2045"/>
    <cellStyle name="Milliers 2 2 2 2 2 4 9" xfId="2046"/>
    <cellStyle name="Milliers 2 2 2 2 2 5" xfId="2047"/>
    <cellStyle name="Milliers 2 2 2 2 2 5 2" xfId="2048"/>
    <cellStyle name="Milliers 2 2 2 2 2 5 2 2" xfId="2049"/>
    <cellStyle name="Milliers 2 2 2 2 2 5 2 2 2" xfId="2050"/>
    <cellStyle name="Milliers 2 2 2 2 2 5 2 2 2 2" xfId="2051"/>
    <cellStyle name="Milliers 2 2 2 2 2 5 2 2 2 2 2" xfId="2052"/>
    <cellStyle name="Milliers 2 2 2 2 2 5 2 2 2 2 2 2" xfId="2053"/>
    <cellStyle name="Milliers 2 2 2 2 2 5 2 2 2 2 2 2 2" xfId="2054"/>
    <cellStyle name="Milliers 2 2 2 2 2 5 2 2 2 2 2 3" xfId="2055"/>
    <cellStyle name="Milliers 2 2 2 2 2 5 2 2 2 2 3" xfId="2056"/>
    <cellStyle name="Milliers 2 2 2 2 2 5 2 2 2 2 3 2" xfId="2057"/>
    <cellStyle name="Milliers 2 2 2 2 2 5 2 2 2 2 4" xfId="2058"/>
    <cellStyle name="Milliers 2 2 2 2 2 5 2 2 2 3" xfId="2059"/>
    <cellStyle name="Milliers 2 2 2 2 2 5 2 2 2 3 2" xfId="2060"/>
    <cellStyle name="Milliers 2 2 2 2 2 5 2 2 2 3 2 2" xfId="2061"/>
    <cellStyle name="Milliers 2 2 2 2 2 5 2 2 2 3 3" xfId="2062"/>
    <cellStyle name="Milliers 2 2 2 2 2 5 2 2 2 4" xfId="2063"/>
    <cellStyle name="Milliers 2 2 2 2 2 5 2 2 2 4 2" xfId="2064"/>
    <cellStyle name="Milliers 2 2 2 2 2 5 2 2 2 5" xfId="2065"/>
    <cellStyle name="Milliers 2 2 2 2 2 5 2 2 3" xfId="2066"/>
    <cellStyle name="Milliers 2 2 2 2 2 5 2 2 3 2" xfId="2067"/>
    <cellStyle name="Milliers 2 2 2 2 2 5 2 2 3 2 2" xfId="2068"/>
    <cellStyle name="Milliers 2 2 2 2 2 5 2 2 3 2 2 2" xfId="2069"/>
    <cellStyle name="Milliers 2 2 2 2 2 5 2 2 3 2 3" xfId="2070"/>
    <cellStyle name="Milliers 2 2 2 2 2 5 2 2 3 3" xfId="2071"/>
    <cellStyle name="Milliers 2 2 2 2 2 5 2 2 3 3 2" xfId="2072"/>
    <cellStyle name="Milliers 2 2 2 2 2 5 2 2 3 4" xfId="2073"/>
    <cellStyle name="Milliers 2 2 2 2 2 5 2 2 4" xfId="2074"/>
    <cellStyle name="Milliers 2 2 2 2 2 5 2 2 4 2" xfId="2075"/>
    <cellStyle name="Milliers 2 2 2 2 2 5 2 2 4 2 2" xfId="2076"/>
    <cellStyle name="Milliers 2 2 2 2 2 5 2 2 4 3" xfId="2077"/>
    <cellStyle name="Milliers 2 2 2 2 2 5 2 2 5" xfId="2078"/>
    <cellStyle name="Milliers 2 2 2 2 2 5 2 2 5 2" xfId="2079"/>
    <cellStyle name="Milliers 2 2 2 2 2 5 2 2 6" xfId="2080"/>
    <cellStyle name="Milliers 2 2 2 2 2 5 2 3" xfId="2081"/>
    <cellStyle name="Milliers 2 2 2 2 2 5 2 3 2" xfId="2082"/>
    <cellStyle name="Milliers 2 2 2 2 2 5 2 3 2 2" xfId="2083"/>
    <cellStyle name="Milliers 2 2 2 2 2 5 2 3 2 2 2" xfId="2084"/>
    <cellStyle name="Milliers 2 2 2 2 2 5 2 3 2 2 2 2" xfId="2085"/>
    <cellStyle name="Milliers 2 2 2 2 2 5 2 3 2 2 3" xfId="2086"/>
    <cellStyle name="Milliers 2 2 2 2 2 5 2 3 2 3" xfId="2087"/>
    <cellStyle name="Milliers 2 2 2 2 2 5 2 3 2 3 2" xfId="2088"/>
    <cellStyle name="Milliers 2 2 2 2 2 5 2 3 2 4" xfId="2089"/>
    <cellStyle name="Milliers 2 2 2 2 2 5 2 3 3" xfId="2090"/>
    <cellStyle name="Milliers 2 2 2 2 2 5 2 3 3 2" xfId="2091"/>
    <cellStyle name="Milliers 2 2 2 2 2 5 2 3 3 2 2" xfId="2092"/>
    <cellStyle name="Milliers 2 2 2 2 2 5 2 3 3 3" xfId="2093"/>
    <cellStyle name="Milliers 2 2 2 2 2 5 2 3 4" xfId="2094"/>
    <cellStyle name="Milliers 2 2 2 2 2 5 2 3 4 2" xfId="2095"/>
    <cellStyle name="Milliers 2 2 2 2 2 5 2 3 5" xfId="2096"/>
    <cellStyle name="Milliers 2 2 2 2 2 5 2 4" xfId="2097"/>
    <cellStyle name="Milliers 2 2 2 2 2 5 2 4 2" xfId="2098"/>
    <cellStyle name="Milliers 2 2 2 2 2 5 2 4 2 2" xfId="2099"/>
    <cellStyle name="Milliers 2 2 2 2 2 5 2 4 2 2 2" xfId="2100"/>
    <cellStyle name="Milliers 2 2 2 2 2 5 2 4 2 3" xfId="2101"/>
    <cellStyle name="Milliers 2 2 2 2 2 5 2 4 3" xfId="2102"/>
    <cellStyle name="Milliers 2 2 2 2 2 5 2 4 3 2" xfId="2103"/>
    <cellStyle name="Milliers 2 2 2 2 2 5 2 4 4" xfId="2104"/>
    <cellStyle name="Milliers 2 2 2 2 2 5 2 5" xfId="2105"/>
    <cellStyle name="Milliers 2 2 2 2 2 5 2 5 2" xfId="2106"/>
    <cellStyle name="Milliers 2 2 2 2 2 5 2 5 2 2" xfId="2107"/>
    <cellStyle name="Milliers 2 2 2 2 2 5 2 5 3" xfId="2108"/>
    <cellStyle name="Milliers 2 2 2 2 2 5 2 6" xfId="2109"/>
    <cellStyle name="Milliers 2 2 2 2 2 5 2 6 2" xfId="2110"/>
    <cellStyle name="Milliers 2 2 2 2 2 5 2 7" xfId="2111"/>
    <cellStyle name="Milliers 2 2 2 2 2 5 3" xfId="2112"/>
    <cellStyle name="Milliers 2 2 2 2 2 5 3 2" xfId="2113"/>
    <cellStyle name="Milliers 2 2 2 2 2 5 3 2 2" xfId="2114"/>
    <cellStyle name="Milliers 2 2 2 2 2 5 3 2 2 2" xfId="2115"/>
    <cellStyle name="Milliers 2 2 2 2 2 5 3 2 2 2 2" xfId="2116"/>
    <cellStyle name="Milliers 2 2 2 2 2 5 3 2 2 2 2 2" xfId="2117"/>
    <cellStyle name="Milliers 2 2 2 2 2 5 3 2 2 2 3" xfId="2118"/>
    <cellStyle name="Milliers 2 2 2 2 2 5 3 2 2 3" xfId="2119"/>
    <cellStyle name="Milliers 2 2 2 2 2 5 3 2 2 3 2" xfId="2120"/>
    <cellStyle name="Milliers 2 2 2 2 2 5 3 2 2 4" xfId="2121"/>
    <cellStyle name="Milliers 2 2 2 2 2 5 3 2 3" xfId="2122"/>
    <cellStyle name="Milliers 2 2 2 2 2 5 3 2 3 2" xfId="2123"/>
    <cellStyle name="Milliers 2 2 2 2 2 5 3 2 3 2 2" xfId="2124"/>
    <cellStyle name="Milliers 2 2 2 2 2 5 3 2 3 3" xfId="2125"/>
    <cellStyle name="Milliers 2 2 2 2 2 5 3 2 4" xfId="2126"/>
    <cellStyle name="Milliers 2 2 2 2 2 5 3 2 4 2" xfId="2127"/>
    <cellStyle name="Milliers 2 2 2 2 2 5 3 2 5" xfId="2128"/>
    <cellStyle name="Milliers 2 2 2 2 2 5 3 3" xfId="2129"/>
    <cellStyle name="Milliers 2 2 2 2 2 5 3 3 2" xfId="2130"/>
    <cellStyle name="Milliers 2 2 2 2 2 5 3 3 2 2" xfId="2131"/>
    <cellStyle name="Milliers 2 2 2 2 2 5 3 3 2 2 2" xfId="2132"/>
    <cellStyle name="Milliers 2 2 2 2 2 5 3 3 2 3" xfId="2133"/>
    <cellStyle name="Milliers 2 2 2 2 2 5 3 3 3" xfId="2134"/>
    <cellStyle name="Milliers 2 2 2 2 2 5 3 3 3 2" xfId="2135"/>
    <cellStyle name="Milliers 2 2 2 2 2 5 3 3 4" xfId="2136"/>
    <cellStyle name="Milliers 2 2 2 2 2 5 3 4" xfId="2137"/>
    <cellStyle name="Milliers 2 2 2 2 2 5 3 4 2" xfId="2138"/>
    <cellStyle name="Milliers 2 2 2 2 2 5 3 4 2 2" xfId="2139"/>
    <cellStyle name="Milliers 2 2 2 2 2 5 3 4 3" xfId="2140"/>
    <cellStyle name="Milliers 2 2 2 2 2 5 3 5" xfId="2141"/>
    <cellStyle name="Milliers 2 2 2 2 2 5 3 5 2" xfId="2142"/>
    <cellStyle name="Milliers 2 2 2 2 2 5 3 6" xfId="2143"/>
    <cellStyle name="Milliers 2 2 2 2 2 5 4" xfId="2144"/>
    <cellStyle name="Milliers 2 2 2 2 2 5 4 2" xfId="2145"/>
    <cellStyle name="Milliers 2 2 2 2 2 5 4 2 2" xfId="2146"/>
    <cellStyle name="Milliers 2 2 2 2 2 5 4 2 2 2" xfId="2147"/>
    <cellStyle name="Milliers 2 2 2 2 2 5 4 2 2 2 2" xfId="2148"/>
    <cellStyle name="Milliers 2 2 2 2 2 5 4 2 2 3" xfId="2149"/>
    <cellStyle name="Milliers 2 2 2 2 2 5 4 2 3" xfId="2150"/>
    <cellStyle name="Milliers 2 2 2 2 2 5 4 2 3 2" xfId="2151"/>
    <cellStyle name="Milliers 2 2 2 2 2 5 4 2 4" xfId="2152"/>
    <cellStyle name="Milliers 2 2 2 2 2 5 4 3" xfId="2153"/>
    <cellStyle name="Milliers 2 2 2 2 2 5 4 3 2" xfId="2154"/>
    <cellStyle name="Milliers 2 2 2 2 2 5 4 3 2 2" xfId="2155"/>
    <cellStyle name="Milliers 2 2 2 2 2 5 4 3 3" xfId="2156"/>
    <cellStyle name="Milliers 2 2 2 2 2 5 4 4" xfId="2157"/>
    <cellStyle name="Milliers 2 2 2 2 2 5 4 4 2" xfId="2158"/>
    <cellStyle name="Milliers 2 2 2 2 2 5 4 5" xfId="2159"/>
    <cellStyle name="Milliers 2 2 2 2 2 5 5" xfId="2160"/>
    <cellStyle name="Milliers 2 2 2 2 2 5 5 2" xfId="2161"/>
    <cellStyle name="Milliers 2 2 2 2 2 5 5 2 2" xfId="2162"/>
    <cellStyle name="Milliers 2 2 2 2 2 5 5 2 2 2" xfId="2163"/>
    <cellStyle name="Milliers 2 2 2 2 2 5 5 2 3" xfId="2164"/>
    <cellStyle name="Milliers 2 2 2 2 2 5 5 3" xfId="2165"/>
    <cellStyle name="Milliers 2 2 2 2 2 5 5 3 2" xfId="2166"/>
    <cellStyle name="Milliers 2 2 2 2 2 5 5 4" xfId="2167"/>
    <cellStyle name="Milliers 2 2 2 2 2 5 6" xfId="2168"/>
    <cellStyle name="Milliers 2 2 2 2 2 5 6 2" xfId="2169"/>
    <cellStyle name="Milliers 2 2 2 2 2 5 6 2 2" xfId="2170"/>
    <cellStyle name="Milliers 2 2 2 2 2 5 6 3" xfId="2171"/>
    <cellStyle name="Milliers 2 2 2 2 2 5 7" xfId="2172"/>
    <cellStyle name="Milliers 2 2 2 2 2 5 7 2" xfId="2173"/>
    <cellStyle name="Milliers 2 2 2 2 2 5 8" xfId="2174"/>
    <cellStyle name="Milliers 2 2 2 2 2 6" xfId="2175"/>
    <cellStyle name="Milliers 2 2 2 2 2 6 2" xfId="2176"/>
    <cellStyle name="Milliers 2 2 2 2 2 6 2 2" xfId="2177"/>
    <cellStyle name="Milliers 2 2 2 2 2 6 2 2 2" xfId="2178"/>
    <cellStyle name="Milliers 2 2 2 2 2 6 2 2 2 2" xfId="2179"/>
    <cellStyle name="Milliers 2 2 2 2 2 6 2 2 2 2 2" xfId="2180"/>
    <cellStyle name="Milliers 2 2 2 2 2 6 2 2 2 2 2 2" xfId="2181"/>
    <cellStyle name="Milliers 2 2 2 2 2 6 2 2 2 2 3" xfId="2182"/>
    <cellStyle name="Milliers 2 2 2 2 2 6 2 2 2 3" xfId="2183"/>
    <cellStyle name="Milliers 2 2 2 2 2 6 2 2 2 3 2" xfId="2184"/>
    <cellStyle name="Milliers 2 2 2 2 2 6 2 2 2 4" xfId="2185"/>
    <cellStyle name="Milliers 2 2 2 2 2 6 2 2 3" xfId="2186"/>
    <cellStyle name="Milliers 2 2 2 2 2 6 2 2 3 2" xfId="2187"/>
    <cellStyle name="Milliers 2 2 2 2 2 6 2 2 3 2 2" xfId="2188"/>
    <cellStyle name="Milliers 2 2 2 2 2 6 2 2 3 3" xfId="2189"/>
    <cellStyle name="Milliers 2 2 2 2 2 6 2 2 4" xfId="2190"/>
    <cellStyle name="Milliers 2 2 2 2 2 6 2 2 4 2" xfId="2191"/>
    <cellStyle name="Milliers 2 2 2 2 2 6 2 2 5" xfId="2192"/>
    <cellStyle name="Milliers 2 2 2 2 2 6 2 3" xfId="2193"/>
    <cellStyle name="Milliers 2 2 2 2 2 6 2 3 2" xfId="2194"/>
    <cellStyle name="Milliers 2 2 2 2 2 6 2 3 2 2" xfId="2195"/>
    <cellStyle name="Milliers 2 2 2 2 2 6 2 3 2 2 2" xfId="2196"/>
    <cellStyle name="Milliers 2 2 2 2 2 6 2 3 2 3" xfId="2197"/>
    <cellStyle name="Milliers 2 2 2 2 2 6 2 3 3" xfId="2198"/>
    <cellStyle name="Milliers 2 2 2 2 2 6 2 3 3 2" xfId="2199"/>
    <cellStyle name="Milliers 2 2 2 2 2 6 2 3 4" xfId="2200"/>
    <cellStyle name="Milliers 2 2 2 2 2 6 2 4" xfId="2201"/>
    <cellStyle name="Milliers 2 2 2 2 2 6 2 4 2" xfId="2202"/>
    <cellStyle name="Milliers 2 2 2 2 2 6 2 4 2 2" xfId="2203"/>
    <cellStyle name="Milliers 2 2 2 2 2 6 2 4 3" xfId="2204"/>
    <cellStyle name="Milliers 2 2 2 2 2 6 2 5" xfId="2205"/>
    <cellStyle name="Milliers 2 2 2 2 2 6 2 5 2" xfId="2206"/>
    <cellStyle name="Milliers 2 2 2 2 2 6 2 6" xfId="2207"/>
    <cellStyle name="Milliers 2 2 2 2 2 6 3" xfId="2208"/>
    <cellStyle name="Milliers 2 2 2 2 2 6 3 2" xfId="2209"/>
    <cellStyle name="Milliers 2 2 2 2 2 6 3 2 2" xfId="2210"/>
    <cellStyle name="Milliers 2 2 2 2 2 6 3 2 2 2" xfId="2211"/>
    <cellStyle name="Milliers 2 2 2 2 2 6 3 2 2 2 2" xfId="2212"/>
    <cellStyle name="Milliers 2 2 2 2 2 6 3 2 2 3" xfId="2213"/>
    <cellStyle name="Milliers 2 2 2 2 2 6 3 2 3" xfId="2214"/>
    <cellStyle name="Milliers 2 2 2 2 2 6 3 2 3 2" xfId="2215"/>
    <cellStyle name="Milliers 2 2 2 2 2 6 3 2 4" xfId="2216"/>
    <cellStyle name="Milliers 2 2 2 2 2 6 3 3" xfId="2217"/>
    <cellStyle name="Milliers 2 2 2 2 2 6 3 3 2" xfId="2218"/>
    <cellStyle name="Milliers 2 2 2 2 2 6 3 3 2 2" xfId="2219"/>
    <cellStyle name="Milliers 2 2 2 2 2 6 3 3 3" xfId="2220"/>
    <cellStyle name="Milliers 2 2 2 2 2 6 3 4" xfId="2221"/>
    <cellStyle name="Milliers 2 2 2 2 2 6 3 4 2" xfId="2222"/>
    <cellStyle name="Milliers 2 2 2 2 2 6 3 5" xfId="2223"/>
    <cellStyle name="Milliers 2 2 2 2 2 6 4" xfId="2224"/>
    <cellStyle name="Milliers 2 2 2 2 2 6 4 2" xfId="2225"/>
    <cellStyle name="Milliers 2 2 2 2 2 6 4 2 2" xfId="2226"/>
    <cellStyle name="Milliers 2 2 2 2 2 6 4 2 2 2" xfId="2227"/>
    <cellStyle name="Milliers 2 2 2 2 2 6 4 2 3" xfId="2228"/>
    <cellStyle name="Milliers 2 2 2 2 2 6 4 3" xfId="2229"/>
    <cellStyle name="Milliers 2 2 2 2 2 6 4 3 2" xfId="2230"/>
    <cellStyle name="Milliers 2 2 2 2 2 6 4 4" xfId="2231"/>
    <cellStyle name="Milliers 2 2 2 2 2 6 5" xfId="2232"/>
    <cellStyle name="Milliers 2 2 2 2 2 6 5 2" xfId="2233"/>
    <cellStyle name="Milliers 2 2 2 2 2 6 5 2 2" xfId="2234"/>
    <cellStyle name="Milliers 2 2 2 2 2 6 5 3" xfId="2235"/>
    <cellStyle name="Milliers 2 2 2 2 2 6 6" xfId="2236"/>
    <cellStyle name="Milliers 2 2 2 2 2 6 6 2" xfId="2237"/>
    <cellStyle name="Milliers 2 2 2 2 2 6 7" xfId="2238"/>
    <cellStyle name="Milliers 2 2 2 2 2 7" xfId="2239"/>
    <cellStyle name="Milliers 2 2 2 2 2 7 2" xfId="2240"/>
    <cellStyle name="Milliers 2 2 2 2 2 7 2 2" xfId="2241"/>
    <cellStyle name="Milliers 2 2 2 2 2 7 2 2 2" xfId="2242"/>
    <cellStyle name="Milliers 2 2 2 2 2 7 2 2 2 2" xfId="2243"/>
    <cellStyle name="Milliers 2 2 2 2 2 7 2 2 2 2 2" xfId="2244"/>
    <cellStyle name="Milliers 2 2 2 2 2 7 2 2 2 3" xfId="2245"/>
    <cellStyle name="Milliers 2 2 2 2 2 7 2 2 3" xfId="2246"/>
    <cellStyle name="Milliers 2 2 2 2 2 7 2 2 3 2" xfId="2247"/>
    <cellStyle name="Milliers 2 2 2 2 2 7 2 2 4" xfId="2248"/>
    <cellStyle name="Milliers 2 2 2 2 2 7 2 3" xfId="2249"/>
    <cellStyle name="Milliers 2 2 2 2 2 7 2 3 2" xfId="2250"/>
    <cellStyle name="Milliers 2 2 2 2 2 7 2 3 2 2" xfId="2251"/>
    <cellStyle name="Milliers 2 2 2 2 2 7 2 3 3" xfId="2252"/>
    <cellStyle name="Milliers 2 2 2 2 2 7 2 4" xfId="2253"/>
    <cellStyle name="Milliers 2 2 2 2 2 7 2 4 2" xfId="2254"/>
    <cellStyle name="Milliers 2 2 2 2 2 7 2 5" xfId="2255"/>
    <cellStyle name="Milliers 2 2 2 2 2 7 3" xfId="2256"/>
    <cellStyle name="Milliers 2 2 2 2 2 7 3 2" xfId="2257"/>
    <cellStyle name="Milliers 2 2 2 2 2 7 3 2 2" xfId="2258"/>
    <cellStyle name="Milliers 2 2 2 2 2 7 3 2 2 2" xfId="2259"/>
    <cellStyle name="Milliers 2 2 2 2 2 7 3 2 3" xfId="2260"/>
    <cellStyle name="Milliers 2 2 2 2 2 7 3 3" xfId="2261"/>
    <cellStyle name="Milliers 2 2 2 2 2 7 3 3 2" xfId="2262"/>
    <cellStyle name="Milliers 2 2 2 2 2 7 3 4" xfId="2263"/>
    <cellStyle name="Milliers 2 2 2 2 2 7 4" xfId="2264"/>
    <cellStyle name="Milliers 2 2 2 2 2 7 4 2" xfId="2265"/>
    <cellStyle name="Milliers 2 2 2 2 2 7 4 2 2" xfId="2266"/>
    <cellStyle name="Milliers 2 2 2 2 2 7 4 3" xfId="2267"/>
    <cellStyle name="Milliers 2 2 2 2 2 7 5" xfId="2268"/>
    <cellStyle name="Milliers 2 2 2 2 2 7 5 2" xfId="2269"/>
    <cellStyle name="Milliers 2 2 2 2 2 7 6" xfId="2270"/>
    <cellStyle name="Milliers 2 2 2 2 2 8" xfId="2271"/>
    <cellStyle name="Milliers 2 2 2 2 2 8 2" xfId="2272"/>
    <cellStyle name="Milliers 2 2 2 2 2 8 2 2" xfId="2273"/>
    <cellStyle name="Milliers 2 2 2 2 2 8 2 2 2" xfId="2274"/>
    <cellStyle name="Milliers 2 2 2 2 2 8 2 2 2 2" xfId="2275"/>
    <cellStyle name="Milliers 2 2 2 2 2 8 2 2 3" xfId="2276"/>
    <cellStyle name="Milliers 2 2 2 2 2 8 2 3" xfId="2277"/>
    <cellStyle name="Milliers 2 2 2 2 2 8 2 3 2" xfId="2278"/>
    <cellStyle name="Milliers 2 2 2 2 2 8 2 4" xfId="2279"/>
    <cellStyle name="Milliers 2 2 2 2 2 8 3" xfId="2280"/>
    <cellStyle name="Milliers 2 2 2 2 2 8 3 2" xfId="2281"/>
    <cellStyle name="Milliers 2 2 2 2 2 8 3 2 2" xfId="2282"/>
    <cellStyle name="Milliers 2 2 2 2 2 8 3 3" xfId="2283"/>
    <cellStyle name="Milliers 2 2 2 2 2 8 4" xfId="2284"/>
    <cellStyle name="Milliers 2 2 2 2 2 8 4 2" xfId="2285"/>
    <cellStyle name="Milliers 2 2 2 2 2 8 5" xfId="2286"/>
    <cellStyle name="Milliers 2 2 2 2 2 9" xfId="2287"/>
    <cellStyle name="Milliers 2 2 2 2 2 9 2" xfId="2288"/>
    <cellStyle name="Milliers 2 2 2 2 2 9 2 2" xfId="2289"/>
    <cellStyle name="Milliers 2 2 2 2 2 9 2 2 2" xfId="2290"/>
    <cellStyle name="Milliers 2 2 2 2 2 9 2 3" xfId="2291"/>
    <cellStyle name="Milliers 2 2 2 2 2 9 3" xfId="2292"/>
    <cellStyle name="Milliers 2 2 2 2 2 9 3 2" xfId="2293"/>
    <cellStyle name="Milliers 2 2 2 2 2 9 4" xfId="2294"/>
    <cellStyle name="Milliers 2 2 2 2 3" xfId="2295"/>
    <cellStyle name="Milliers 2 2 2 2 3 10" xfId="2296"/>
    <cellStyle name="Milliers 2 2 2 2 3 10 2" xfId="2297"/>
    <cellStyle name="Milliers 2 2 2 2 3 11" xfId="2298"/>
    <cellStyle name="Milliers 2 2 2 2 3 2" xfId="2299"/>
    <cellStyle name="Milliers 2 2 2 2 3 2 10" xfId="2300"/>
    <cellStyle name="Milliers 2 2 2 2 3 2 2" xfId="2301"/>
    <cellStyle name="Milliers 2 2 2 2 3 2 2 2" xfId="2302"/>
    <cellStyle name="Milliers 2 2 2 2 3 2 2 2 2" xfId="2303"/>
    <cellStyle name="Milliers 2 2 2 2 3 2 2 2 2 2" xfId="2304"/>
    <cellStyle name="Milliers 2 2 2 2 3 2 2 2 2 2 2" xfId="2305"/>
    <cellStyle name="Milliers 2 2 2 2 3 2 2 2 2 2 2 2" xfId="2306"/>
    <cellStyle name="Milliers 2 2 2 2 3 2 2 2 2 2 2 2 2" xfId="2307"/>
    <cellStyle name="Milliers 2 2 2 2 3 2 2 2 2 2 2 2 2 2" xfId="2308"/>
    <cellStyle name="Milliers 2 2 2 2 3 2 2 2 2 2 2 2 2 2 2" xfId="2309"/>
    <cellStyle name="Milliers 2 2 2 2 3 2 2 2 2 2 2 2 2 3" xfId="2310"/>
    <cellStyle name="Milliers 2 2 2 2 3 2 2 2 2 2 2 2 3" xfId="2311"/>
    <cellStyle name="Milliers 2 2 2 2 3 2 2 2 2 2 2 2 3 2" xfId="2312"/>
    <cellStyle name="Milliers 2 2 2 2 3 2 2 2 2 2 2 2 4" xfId="2313"/>
    <cellStyle name="Milliers 2 2 2 2 3 2 2 2 2 2 2 3" xfId="2314"/>
    <cellStyle name="Milliers 2 2 2 2 3 2 2 2 2 2 2 3 2" xfId="2315"/>
    <cellStyle name="Milliers 2 2 2 2 3 2 2 2 2 2 2 3 2 2" xfId="2316"/>
    <cellStyle name="Milliers 2 2 2 2 3 2 2 2 2 2 2 3 3" xfId="2317"/>
    <cellStyle name="Milliers 2 2 2 2 3 2 2 2 2 2 2 4" xfId="2318"/>
    <cellStyle name="Milliers 2 2 2 2 3 2 2 2 2 2 2 4 2" xfId="2319"/>
    <cellStyle name="Milliers 2 2 2 2 3 2 2 2 2 2 2 5" xfId="2320"/>
    <cellStyle name="Milliers 2 2 2 2 3 2 2 2 2 2 3" xfId="2321"/>
    <cellStyle name="Milliers 2 2 2 2 3 2 2 2 2 2 3 2" xfId="2322"/>
    <cellStyle name="Milliers 2 2 2 2 3 2 2 2 2 2 3 2 2" xfId="2323"/>
    <cellStyle name="Milliers 2 2 2 2 3 2 2 2 2 2 3 2 2 2" xfId="2324"/>
    <cellStyle name="Milliers 2 2 2 2 3 2 2 2 2 2 3 2 3" xfId="2325"/>
    <cellStyle name="Milliers 2 2 2 2 3 2 2 2 2 2 3 3" xfId="2326"/>
    <cellStyle name="Milliers 2 2 2 2 3 2 2 2 2 2 3 3 2" xfId="2327"/>
    <cellStyle name="Milliers 2 2 2 2 3 2 2 2 2 2 3 4" xfId="2328"/>
    <cellStyle name="Milliers 2 2 2 2 3 2 2 2 2 2 4" xfId="2329"/>
    <cellStyle name="Milliers 2 2 2 2 3 2 2 2 2 2 4 2" xfId="2330"/>
    <cellStyle name="Milliers 2 2 2 2 3 2 2 2 2 2 4 2 2" xfId="2331"/>
    <cellStyle name="Milliers 2 2 2 2 3 2 2 2 2 2 4 3" xfId="2332"/>
    <cellStyle name="Milliers 2 2 2 2 3 2 2 2 2 2 5" xfId="2333"/>
    <cellStyle name="Milliers 2 2 2 2 3 2 2 2 2 2 5 2" xfId="2334"/>
    <cellStyle name="Milliers 2 2 2 2 3 2 2 2 2 2 6" xfId="2335"/>
    <cellStyle name="Milliers 2 2 2 2 3 2 2 2 2 3" xfId="2336"/>
    <cellStyle name="Milliers 2 2 2 2 3 2 2 2 2 3 2" xfId="2337"/>
    <cellStyle name="Milliers 2 2 2 2 3 2 2 2 2 3 2 2" xfId="2338"/>
    <cellStyle name="Milliers 2 2 2 2 3 2 2 2 2 3 2 2 2" xfId="2339"/>
    <cellStyle name="Milliers 2 2 2 2 3 2 2 2 2 3 2 2 2 2" xfId="2340"/>
    <cellStyle name="Milliers 2 2 2 2 3 2 2 2 2 3 2 2 3" xfId="2341"/>
    <cellStyle name="Milliers 2 2 2 2 3 2 2 2 2 3 2 3" xfId="2342"/>
    <cellStyle name="Milliers 2 2 2 2 3 2 2 2 2 3 2 3 2" xfId="2343"/>
    <cellStyle name="Milliers 2 2 2 2 3 2 2 2 2 3 2 4" xfId="2344"/>
    <cellStyle name="Milliers 2 2 2 2 3 2 2 2 2 3 3" xfId="2345"/>
    <cellStyle name="Milliers 2 2 2 2 3 2 2 2 2 3 3 2" xfId="2346"/>
    <cellStyle name="Milliers 2 2 2 2 3 2 2 2 2 3 3 2 2" xfId="2347"/>
    <cellStyle name="Milliers 2 2 2 2 3 2 2 2 2 3 3 3" xfId="2348"/>
    <cellStyle name="Milliers 2 2 2 2 3 2 2 2 2 3 4" xfId="2349"/>
    <cellStyle name="Milliers 2 2 2 2 3 2 2 2 2 3 4 2" xfId="2350"/>
    <cellStyle name="Milliers 2 2 2 2 3 2 2 2 2 3 5" xfId="2351"/>
    <cellStyle name="Milliers 2 2 2 2 3 2 2 2 2 4" xfId="2352"/>
    <cellStyle name="Milliers 2 2 2 2 3 2 2 2 2 4 2" xfId="2353"/>
    <cellStyle name="Milliers 2 2 2 2 3 2 2 2 2 4 2 2" xfId="2354"/>
    <cellStyle name="Milliers 2 2 2 2 3 2 2 2 2 4 2 2 2" xfId="2355"/>
    <cellStyle name="Milliers 2 2 2 2 3 2 2 2 2 4 2 3" xfId="2356"/>
    <cellStyle name="Milliers 2 2 2 2 3 2 2 2 2 4 3" xfId="2357"/>
    <cellStyle name="Milliers 2 2 2 2 3 2 2 2 2 4 3 2" xfId="2358"/>
    <cellStyle name="Milliers 2 2 2 2 3 2 2 2 2 4 4" xfId="2359"/>
    <cellStyle name="Milliers 2 2 2 2 3 2 2 2 2 5" xfId="2360"/>
    <cellStyle name="Milliers 2 2 2 2 3 2 2 2 2 5 2" xfId="2361"/>
    <cellStyle name="Milliers 2 2 2 2 3 2 2 2 2 5 2 2" xfId="2362"/>
    <cellStyle name="Milliers 2 2 2 2 3 2 2 2 2 5 3" xfId="2363"/>
    <cellStyle name="Milliers 2 2 2 2 3 2 2 2 2 6" xfId="2364"/>
    <cellStyle name="Milliers 2 2 2 2 3 2 2 2 2 6 2" xfId="2365"/>
    <cellStyle name="Milliers 2 2 2 2 3 2 2 2 2 7" xfId="2366"/>
    <cellStyle name="Milliers 2 2 2 2 3 2 2 2 3" xfId="2367"/>
    <cellStyle name="Milliers 2 2 2 2 3 2 2 2 3 2" xfId="2368"/>
    <cellStyle name="Milliers 2 2 2 2 3 2 2 2 3 2 2" xfId="2369"/>
    <cellStyle name="Milliers 2 2 2 2 3 2 2 2 3 2 2 2" xfId="2370"/>
    <cellStyle name="Milliers 2 2 2 2 3 2 2 2 3 2 2 2 2" xfId="2371"/>
    <cellStyle name="Milliers 2 2 2 2 3 2 2 2 3 2 2 2 2 2" xfId="2372"/>
    <cellStyle name="Milliers 2 2 2 2 3 2 2 2 3 2 2 2 3" xfId="2373"/>
    <cellStyle name="Milliers 2 2 2 2 3 2 2 2 3 2 2 3" xfId="2374"/>
    <cellStyle name="Milliers 2 2 2 2 3 2 2 2 3 2 2 3 2" xfId="2375"/>
    <cellStyle name="Milliers 2 2 2 2 3 2 2 2 3 2 2 4" xfId="2376"/>
    <cellStyle name="Milliers 2 2 2 2 3 2 2 2 3 2 3" xfId="2377"/>
    <cellStyle name="Milliers 2 2 2 2 3 2 2 2 3 2 3 2" xfId="2378"/>
    <cellStyle name="Milliers 2 2 2 2 3 2 2 2 3 2 3 2 2" xfId="2379"/>
    <cellStyle name="Milliers 2 2 2 2 3 2 2 2 3 2 3 3" xfId="2380"/>
    <cellStyle name="Milliers 2 2 2 2 3 2 2 2 3 2 4" xfId="2381"/>
    <cellStyle name="Milliers 2 2 2 2 3 2 2 2 3 2 4 2" xfId="2382"/>
    <cellStyle name="Milliers 2 2 2 2 3 2 2 2 3 2 5" xfId="2383"/>
    <cellStyle name="Milliers 2 2 2 2 3 2 2 2 3 3" xfId="2384"/>
    <cellStyle name="Milliers 2 2 2 2 3 2 2 2 3 3 2" xfId="2385"/>
    <cellStyle name="Milliers 2 2 2 2 3 2 2 2 3 3 2 2" xfId="2386"/>
    <cellStyle name="Milliers 2 2 2 2 3 2 2 2 3 3 2 2 2" xfId="2387"/>
    <cellStyle name="Milliers 2 2 2 2 3 2 2 2 3 3 2 3" xfId="2388"/>
    <cellStyle name="Milliers 2 2 2 2 3 2 2 2 3 3 3" xfId="2389"/>
    <cellStyle name="Milliers 2 2 2 2 3 2 2 2 3 3 3 2" xfId="2390"/>
    <cellStyle name="Milliers 2 2 2 2 3 2 2 2 3 3 4" xfId="2391"/>
    <cellStyle name="Milliers 2 2 2 2 3 2 2 2 3 4" xfId="2392"/>
    <cellStyle name="Milliers 2 2 2 2 3 2 2 2 3 4 2" xfId="2393"/>
    <cellStyle name="Milliers 2 2 2 2 3 2 2 2 3 4 2 2" xfId="2394"/>
    <cellStyle name="Milliers 2 2 2 2 3 2 2 2 3 4 3" xfId="2395"/>
    <cellStyle name="Milliers 2 2 2 2 3 2 2 2 3 5" xfId="2396"/>
    <cellStyle name="Milliers 2 2 2 2 3 2 2 2 3 5 2" xfId="2397"/>
    <cellStyle name="Milliers 2 2 2 2 3 2 2 2 3 6" xfId="2398"/>
    <cellStyle name="Milliers 2 2 2 2 3 2 2 2 4" xfId="2399"/>
    <cellStyle name="Milliers 2 2 2 2 3 2 2 2 4 2" xfId="2400"/>
    <cellStyle name="Milliers 2 2 2 2 3 2 2 2 4 2 2" xfId="2401"/>
    <cellStyle name="Milliers 2 2 2 2 3 2 2 2 4 2 2 2" xfId="2402"/>
    <cellStyle name="Milliers 2 2 2 2 3 2 2 2 4 2 2 2 2" xfId="2403"/>
    <cellStyle name="Milliers 2 2 2 2 3 2 2 2 4 2 2 3" xfId="2404"/>
    <cellStyle name="Milliers 2 2 2 2 3 2 2 2 4 2 3" xfId="2405"/>
    <cellStyle name="Milliers 2 2 2 2 3 2 2 2 4 2 3 2" xfId="2406"/>
    <cellStyle name="Milliers 2 2 2 2 3 2 2 2 4 2 4" xfId="2407"/>
    <cellStyle name="Milliers 2 2 2 2 3 2 2 2 4 3" xfId="2408"/>
    <cellStyle name="Milliers 2 2 2 2 3 2 2 2 4 3 2" xfId="2409"/>
    <cellStyle name="Milliers 2 2 2 2 3 2 2 2 4 3 2 2" xfId="2410"/>
    <cellStyle name="Milliers 2 2 2 2 3 2 2 2 4 3 3" xfId="2411"/>
    <cellStyle name="Milliers 2 2 2 2 3 2 2 2 4 4" xfId="2412"/>
    <cellStyle name="Milliers 2 2 2 2 3 2 2 2 4 4 2" xfId="2413"/>
    <cellStyle name="Milliers 2 2 2 2 3 2 2 2 4 5" xfId="2414"/>
    <cellStyle name="Milliers 2 2 2 2 3 2 2 2 5" xfId="2415"/>
    <cellStyle name="Milliers 2 2 2 2 3 2 2 2 5 2" xfId="2416"/>
    <cellStyle name="Milliers 2 2 2 2 3 2 2 2 5 2 2" xfId="2417"/>
    <cellStyle name="Milliers 2 2 2 2 3 2 2 2 5 2 2 2" xfId="2418"/>
    <cellStyle name="Milliers 2 2 2 2 3 2 2 2 5 2 3" xfId="2419"/>
    <cellStyle name="Milliers 2 2 2 2 3 2 2 2 5 3" xfId="2420"/>
    <cellStyle name="Milliers 2 2 2 2 3 2 2 2 5 3 2" xfId="2421"/>
    <cellStyle name="Milliers 2 2 2 2 3 2 2 2 5 4" xfId="2422"/>
    <cellStyle name="Milliers 2 2 2 2 3 2 2 2 6" xfId="2423"/>
    <cellStyle name="Milliers 2 2 2 2 3 2 2 2 6 2" xfId="2424"/>
    <cellStyle name="Milliers 2 2 2 2 3 2 2 2 6 2 2" xfId="2425"/>
    <cellStyle name="Milliers 2 2 2 2 3 2 2 2 6 3" xfId="2426"/>
    <cellStyle name="Milliers 2 2 2 2 3 2 2 2 7" xfId="2427"/>
    <cellStyle name="Milliers 2 2 2 2 3 2 2 2 7 2" xfId="2428"/>
    <cellStyle name="Milliers 2 2 2 2 3 2 2 2 8" xfId="2429"/>
    <cellStyle name="Milliers 2 2 2 2 3 2 2 3" xfId="2430"/>
    <cellStyle name="Milliers 2 2 2 2 3 2 2 3 2" xfId="2431"/>
    <cellStyle name="Milliers 2 2 2 2 3 2 2 3 2 2" xfId="2432"/>
    <cellStyle name="Milliers 2 2 2 2 3 2 2 3 2 2 2" xfId="2433"/>
    <cellStyle name="Milliers 2 2 2 2 3 2 2 3 2 2 2 2" xfId="2434"/>
    <cellStyle name="Milliers 2 2 2 2 3 2 2 3 2 2 2 2 2" xfId="2435"/>
    <cellStyle name="Milliers 2 2 2 2 3 2 2 3 2 2 2 2 2 2" xfId="2436"/>
    <cellStyle name="Milliers 2 2 2 2 3 2 2 3 2 2 2 2 3" xfId="2437"/>
    <cellStyle name="Milliers 2 2 2 2 3 2 2 3 2 2 2 3" xfId="2438"/>
    <cellStyle name="Milliers 2 2 2 2 3 2 2 3 2 2 2 3 2" xfId="2439"/>
    <cellStyle name="Milliers 2 2 2 2 3 2 2 3 2 2 2 4" xfId="2440"/>
    <cellStyle name="Milliers 2 2 2 2 3 2 2 3 2 2 3" xfId="2441"/>
    <cellStyle name="Milliers 2 2 2 2 3 2 2 3 2 2 3 2" xfId="2442"/>
    <cellStyle name="Milliers 2 2 2 2 3 2 2 3 2 2 3 2 2" xfId="2443"/>
    <cellStyle name="Milliers 2 2 2 2 3 2 2 3 2 2 3 3" xfId="2444"/>
    <cellStyle name="Milliers 2 2 2 2 3 2 2 3 2 2 4" xfId="2445"/>
    <cellStyle name="Milliers 2 2 2 2 3 2 2 3 2 2 4 2" xfId="2446"/>
    <cellStyle name="Milliers 2 2 2 2 3 2 2 3 2 2 5" xfId="2447"/>
    <cellStyle name="Milliers 2 2 2 2 3 2 2 3 2 3" xfId="2448"/>
    <cellStyle name="Milliers 2 2 2 2 3 2 2 3 2 3 2" xfId="2449"/>
    <cellStyle name="Milliers 2 2 2 2 3 2 2 3 2 3 2 2" xfId="2450"/>
    <cellStyle name="Milliers 2 2 2 2 3 2 2 3 2 3 2 2 2" xfId="2451"/>
    <cellStyle name="Milliers 2 2 2 2 3 2 2 3 2 3 2 3" xfId="2452"/>
    <cellStyle name="Milliers 2 2 2 2 3 2 2 3 2 3 3" xfId="2453"/>
    <cellStyle name="Milliers 2 2 2 2 3 2 2 3 2 3 3 2" xfId="2454"/>
    <cellStyle name="Milliers 2 2 2 2 3 2 2 3 2 3 4" xfId="2455"/>
    <cellStyle name="Milliers 2 2 2 2 3 2 2 3 2 4" xfId="2456"/>
    <cellStyle name="Milliers 2 2 2 2 3 2 2 3 2 4 2" xfId="2457"/>
    <cellStyle name="Milliers 2 2 2 2 3 2 2 3 2 4 2 2" xfId="2458"/>
    <cellStyle name="Milliers 2 2 2 2 3 2 2 3 2 4 3" xfId="2459"/>
    <cellStyle name="Milliers 2 2 2 2 3 2 2 3 2 5" xfId="2460"/>
    <cellStyle name="Milliers 2 2 2 2 3 2 2 3 2 5 2" xfId="2461"/>
    <cellStyle name="Milliers 2 2 2 2 3 2 2 3 2 6" xfId="2462"/>
    <cellStyle name="Milliers 2 2 2 2 3 2 2 3 3" xfId="2463"/>
    <cellStyle name="Milliers 2 2 2 2 3 2 2 3 3 2" xfId="2464"/>
    <cellStyle name="Milliers 2 2 2 2 3 2 2 3 3 2 2" xfId="2465"/>
    <cellStyle name="Milliers 2 2 2 2 3 2 2 3 3 2 2 2" xfId="2466"/>
    <cellStyle name="Milliers 2 2 2 2 3 2 2 3 3 2 2 2 2" xfId="2467"/>
    <cellStyle name="Milliers 2 2 2 2 3 2 2 3 3 2 2 3" xfId="2468"/>
    <cellStyle name="Milliers 2 2 2 2 3 2 2 3 3 2 3" xfId="2469"/>
    <cellStyle name="Milliers 2 2 2 2 3 2 2 3 3 2 3 2" xfId="2470"/>
    <cellStyle name="Milliers 2 2 2 2 3 2 2 3 3 2 4" xfId="2471"/>
    <cellStyle name="Milliers 2 2 2 2 3 2 2 3 3 3" xfId="2472"/>
    <cellStyle name="Milliers 2 2 2 2 3 2 2 3 3 3 2" xfId="2473"/>
    <cellStyle name="Milliers 2 2 2 2 3 2 2 3 3 3 2 2" xfId="2474"/>
    <cellStyle name="Milliers 2 2 2 2 3 2 2 3 3 3 3" xfId="2475"/>
    <cellStyle name="Milliers 2 2 2 2 3 2 2 3 3 4" xfId="2476"/>
    <cellStyle name="Milliers 2 2 2 2 3 2 2 3 3 4 2" xfId="2477"/>
    <cellStyle name="Milliers 2 2 2 2 3 2 2 3 3 5" xfId="2478"/>
    <cellStyle name="Milliers 2 2 2 2 3 2 2 3 4" xfId="2479"/>
    <cellStyle name="Milliers 2 2 2 2 3 2 2 3 4 2" xfId="2480"/>
    <cellStyle name="Milliers 2 2 2 2 3 2 2 3 4 2 2" xfId="2481"/>
    <cellStyle name="Milliers 2 2 2 2 3 2 2 3 4 2 2 2" xfId="2482"/>
    <cellStyle name="Milliers 2 2 2 2 3 2 2 3 4 2 3" xfId="2483"/>
    <cellStyle name="Milliers 2 2 2 2 3 2 2 3 4 3" xfId="2484"/>
    <cellStyle name="Milliers 2 2 2 2 3 2 2 3 4 3 2" xfId="2485"/>
    <cellStyle name="Milliers 2 2 2 2 3 2 2 3 4 4" xfId="2486"/>
    <cellStyle name="Milliers 2 2 2 2 3 2 2 3 5" xfId="2487"/>
    <cellStyle name="Milliers 2 2 2 2 3 2 2 3 5 2" xfId="2488"/>
    <cellStyle name="Milliers 2 2 2 2 3 2 2 3 5 2 2" xfId="2489"/>
    <cellStyle name="Milliers 2 2 2 2 3 2 2 3 5 3" xfId="2490"/>
    <cellStyle name="Milliers 2 2 2 2 3 2 2 3 6" xfId="2491"/>
    <cellStyle name="Milliers 2 2 2 2 3 2 2 3 6 2" xfId="2492"/>
    <cellStyle name="Milliers 2 2 2 2 3 2 2 3 7" xfId="2493"/>
    <cellStyle name="Milliers 2 2 2 2 3 2 2 4" xfId="2494"/>
    <cellStyle name="Milliers 2 2 2 2 3 2 2 4 2" xfId="2495"/>
    <cellStyle name="Milliers 2 2 2 2 3 2 2 4 2 2" xfId="2496"/>
    <cellStyle name="Milliers 2 2 2 2 3 2 2 4 2 2 2" xfId="2497"/>
    <cellStyle name="Milliers 2 2 2 2 3 2 2 4 2 2 2 2" xfId="2498"/>
    <cellStyle name="Milliers 2 2 2 2 3 2 2 4 2 2 2 2 2" xfId="2499"/>
    <cellStyle name="Milliers 2 2 2 2 3 2 2 4 2 2 2 3" xfId="2500"/>
    <cellStyle name="Milliers 2 2 2 2 3 2 2 4 2 2 3" xfId="2501"/>
    <cellStyle name="Milliers 2 2 2 2 3 2 2 4 2 2 3 2" xfId="2502"/>
    <cellStyle name="Milliers 2 2 2 2 3 2 2 4 2 2 4" xfId="2503"/>
    <cellStyle name="Milliers 2 2 2 2 3 2 2 4 2 3" xfId="2504"/>
    <cellStyle name="Milliers 2 2 2 2 3 2 2 4 2 3 2" xfId="2505"/>
    <cellStyle name="Milliers 2 2 2 2 3 2 2 4 2 3 2 2" xfId="2506"/>
    <cellStyle name="Milliers 2 2 2 2 3 2 2 4 2 3 3" xfId="2507"/>
    <cellStyle name="Milliers 2 2 2 2 3 2 2 4 2 4" xfId="2508"/>
    <cellStyle name="Milliers 2 2 2 2 3 2 2 4 2 4 2" xfId="2509"/>
    <cellStyle name="Milliers 2 2 2 2 3 2 2 4 2 5" xfId="2510"/>
    <cellStyle name="Milliers 2 2 2 2 3 2 2 4 3" xfId="2511"/>
    <cellStyle name="Milliers 2 2 2 2 3 2 2 4 3 2" xfId="2512"/>
    <cellStyle name="Milliers 2 2 2 2 3 2 2 4 3 2 2" xfId="2513"/>
    <cellStyle name="Milliers 2 2 2 2 3 2 2 4 3 2 2 2" xfId="2514"/>
    <cellStyle name="Milliers 2 2 2 2 3 2 2 4 3 2 3" xfId="2515"/>
    <cellStyle name="Milliers 2 2 2 2 3 2 2 4 3 3" xfId="2516"/>
    <cellStyle name="Milliers 2 2 2 2 3 2 2 4 3 3 2" xfId="2517"/>
    <cellStyle name="Milliers 2 2 2 2 3 2 2 4 3 4" xfId="2518"/>
    <cellStyle name="Milliers 2 2 2 2 3 2 2 4 4" xfId="2519"/>
    <cellStyle name="Milliers 2 2 2 2 3 2 2 4 4 2" xfId="2520"/>
    <cellStyle name="Milliers 2 2 2 2 3 2 2 4 4 2 2" xfId="2521"/>
    <cellStyle name="Milliers 2 2 2 2 3 2 2 4 4 3" xfId="2522"/>
    <cellStyle name="Milliers 2 2 2 2 3 2 2 4 5" xfId="2523"/>
    <cellStyle name="Milliers 2 2 2 2 3 2 2 4 5 2" xfId="2524"/>
    <cellStyle name="Milliers 2 2 2 2 3 2 2 4 6" xfId="2525"/>
    <cellStyle name="Milliers 2 2 2 2 3 2 2 5" xfId="2526"/>
    <cellStyle name="Milliers 2 2 2 2 3 2 2 5 2" xfId="2527"/>
    <cellStyle name="Milliers 2 2 2 2 3 2 2 5 2 2" xfId="2528"/>
    <cellStyle name="Milliers 2 2 2 2 3 2 2 5 2 2 2" xfId="2529"/>
    <cellStyle name="Milliers 2 2 2 2 3 2 2 5 2 2 2 2" xfId="2530"/>
    <cellStyle name="Milliers 2 2 2 2 3 2 2 5 2 2 3" xfId="2531"/>
    <cellStyle name="Milliers 2 2 2 2 3 2 2 5 2 3" xfId="2532"/>
    <cellStyle name="Milliers 2 2 2 2 3 2 2 5 2 3 2" xfId="2533"/>
    <cellStyle name="Milliers 2 2 2 2 3 2 2 5 2 4" xfId="2534"/>
    <cellStyle name="Milliers 2 2 2 2 3 2 2 5 3" xfId="2535"/>
    <cellStyle name="Milliers 2 2 2 2 3 2 2 5 3 2" xfId="2536"/>
    <cellStyle name="Milliers 2 2 2 2 3 2 2 5 3 2 2" xfId="2537"/>
    <cellStyle name="Milliers 2 2 2 2 3 2 2 5 3 3" xfId="2538"/>
    <cellStyle name="Milliers 2 2 2 2 3 2 2 5 4" xfId="2539"/>
    <cellStyle name="Milliers 2 2 2 2 3 2 2 5 4 2" xfId="2540"/>
    <cellStyle name="Milliers 2 2 2 2 3 2 2 5 5" xfId="2541"/>
    <cellStyle name="Milliers 2 2 2 2 3 2 2 6" xfId="2542"/>
    <cellStyle name="Milliers 2 2 2 2 3 2 2 6 2" xfId="2543"/>
    <cellStyle name="Milliers 2 2 2 2 3 2 2 6 2 2" xfId="2544"/>
    <cellStyle name="Milliers 2 2 2 2 3 2 2 6 2 2 2" xfId="2545"/>
    <cellStyle name="Milliers 2 2 2 2 3 2 2 6 2 3" xfId="2546"/>
    <cellStyle name="Milliers 2 2 2 2 3 2 2 6 3" xfId="2547"/>
    <cellStyle name="Milliers 2 2 2 2 3 2 2 6 3 2" xfId="2548"/>
    <cellStyle name="Milliers 2 2 2 2 3 2 2 6 4" xfId="2549"/>
    <cellStyle name="Milliers 2 2 2 2 3 2 2 7" xfId="2550"/>
    <cellStyle name="Milliers 2 2 2 2 3 2 2 7 2" xfId="2551"/>
    <cellStyle name="Milliers 2 2 2 2 3 2 2 7 2 2" xfId="2552"/>
    <cellStyle name="Milliers 2 2 2 2 3 2 2 7 3" xfId="2553"/>
    <cellStyle name="Milliers 2 2 2 2 3 2 2 8" xfId="2554"/>
    <cellStyle name="Milliers 2 2 2 2 3 2 2 8 2" xfId="2555"/>
    <cellStyle name="Milliers 2 2 2 2 3 2 2 9" xfId="2556"/>
    <cellStyle name="Milliers 2 2 2 2 3 2 3" xfId="2557"/>
    <cellStyle name="Milliers 2 2 2 2 3 2 3 2" xfId="2558"/>
    <cellStyle name="Milliers 2 2 2 2 3 2 3 2 2" xfId="2559"/>
    <cellStyle name="Milliers 2 2 2 2 3 2 3 2 2 2" xfId="2560"/>
    <cellStyle name="Milliers 2 2 2 2 3 2 3 2 2 2 2" xfId="2561"/>
    <cellStyle name="Milliers 2 2 2 2 3 2 3 2 2 2 2 2" xfId="2562"/>
    <cellStyle name="Milliers 2 2 2 2 3 2 3 2 2 2 2 2 2" xfId="2563"/>
    <cellStyle name="Milliers 2 2 2 2 3 2 3 2 2 2 2 2 2 2" xfId="2564"/>
    <cellStyle name="Milliers 2 2 2 2 3 2 3 2 2 2 2 2 3" xfId="2565"/>
    <cellStyle name="Milliers 2 2 2 2 3 2 3 2 2 2 2 3" xfId="2566"/>
    <cellStyle name="Milliers 2 2 2 2 3 2 3 2 2 2 2 3 2" xfId="2567"/>
    <cellStyle name="Milliers 2 2 2 2 3 2 3 2 2 2 2 4" xfId="2568"/>
    <cellStyle name="Milliers 2 2 2 2 3 2 3 2 2 2 3" xfId="2569"/>
    <cellStyle name="Milliers 2 2 2 2 3 2 3 2 2 2 3 2" xfId="2570"/>
    <cellStyle name="Milliers 2 2 2 2 3 2 3 2 2 2 3 2 2" xfId="2571"/>
    <cellStyle name="Milliers 2 2 2 2 3 2 3 2 2 2 3 3" xfId="2572"/>
    <cellStyle name="Milliers 2 2 2 2 3 2 3 2 2 2 4" xfId="2573"/>
    <cellStyle name="Milliers 2 2 2 2 3 2 3 2 2 2 4 2" xfId="2574"/>
    <cellStyle name="Milliers 2 2 2 2 3 2 3 2 2 2 5" xfId="2575"/>
    <cellStyle name="Milliers 2 2 2 2 3 2 3 2 2 3" xfId="2576"/>
    <cellStyle name="Milliers 2 2 2 2 3 2 3 2 2 3 2" xfId="2577"/>
    <cellStyle name="Milliers 2 2 2 2 3 2 3 2 2 3 2 2" xfId="2578"/>
    <cellStyle name="Milliers 2 2 2 2 3 2 3 2 2 3 2 2 2" xfId="2579"/>
    <cellStyle name="Milliers 2 2 2 2 3 2 3 2 2 3 2 3" xfId="2580"/>
    <cellStyle name="Milliers 2 2 2 2 3 2 3 2 2 3 3" xfId="2581"/>
    <cellStyle name="Milliers 2 2 2 2 3 2 3 2 2 3 3 2" xfId="2582"/>
    <cellStyle name="Milliers 2 2 2 2 3 2 3 2 2 3 4" xfId="2583"/>
    <cellStyle name="Milliers 2 2 2 2 3 2 3 2 2 4" xfId="2584"/>
    <cellStyle name="Milliers 2 2 2 2 3 2 3 2 2 4 2" xfId="2585"/>
    <cellStyle name="Milliers 2 2 2 2 3 2 3 2 2 4 2 2" xfId="2586"/>
    <cellStyle name="Milliers 2 2 2 2 3 2 3 2 2 4 3" xfId="2587"/>
    <cellStyle name="Milliers 2 2 2 2 3 2 3 2 2 5" xfId="2588"/>
    <cellStyle name="Milliers 2 2 2 2 3 2 3 2 2 5 2" xfId="2589"/>
    <cellStyle name="Milliers 2 2 2 2 3 2 3 2 2 6" xfId="2590"/>
    <cellStyle name="Milliers 2 2 2 2 3 2 3 2 3" xfId="2591"/>
    <cellStyle name="Milliers 2 2 2 2 3 2 3 2 3 2" xfId="2592"/>
    <cellStyle name="Milliers 2 2 2 2 3 2 3 2 3 2 2" xfId="2593"/>
    <cellStyle name="Milliers 2 2 2 2 3 2 3 2 3 2 2 2" xfId="2594"/>
    <cellStyle name="Milliers 2 2 2 2 3 2 3 2 3 2 2 2 2" xfId="2595"/>
    <cellStyle name="Milliers 2 2 2 2 3 2 3 2 3 2 2 3" xfId="2596"/>
    <cellStyle name="Milliers 2 2 2 2 3 2 3 2 3 2 3" xfId="2597"/>
    <cellStyle name="Milliers 2 2 2 2 3 2 3 2 3 2 3 2" xfId="2598"/>
    <cellStyle name="Milliers 2 2 2 2 3 2 3 2 3 2 4" xfId="2599"/>
    <cellStyle name="Milliers 2 2 2 2 3 2 3 2 3 3" xfId="2600"/>
    <cellStyle name="Milliers 2 2 2 2 3 2 3 2 3 3 2" xfId="2601"/>
    <cellStyle name="Milliers 2 2 2 2 3 2 3 2 3 3 2 2" xfId="2602"/>
    <cellStyle name="Milliers 2 2 2 2 3 2 3 2 3 3 3" xfId="2603"/>
    <cellStyle name="Milliers 2 2 2 2 3 2 3 2 3 4" xfId="2604"/>
    <cellStyle name="Milliers 2 2 2 2 3 2 3 2 3 4 2" xfId="2605"/>
    <cellStyle name="Milliers 2 2 2 2 3 2 3 2 3 5" xfId="2606"/>
    <cellStyle name="Milliers 2 2 2 2 3 2 3 2 4" xfId="2607"/>
    <cellStyle name="Milliers 2 2 2 2 3 2 3 2 4 2" xfId="2608"/>
    <cellStyle name="Milliers 2 2 2 2 3 2 3 2 4 2 2" xfId="2609"/>
    <cellStyle name="Milliers 2 2 2 2 3 2 3 2 4 2 2 2" xfId="2610"/>
    <cellStyle name="Milliers 2 2 2 2 3 2 3 2 4 2 3" xfId="2611"/>
    <cellStyle name="Milliers 2 2 2 2 3 2 3 2 4 3" xfId="2612"/>
    <cellStyle name="Milliers 2 2 2 2 3 2 3 2 4 3 2" xfId="2613"/>
    <cellStyle name="Milliers 2 2 2 2 3 2 3 2 4 4" xfId="2614"/>
    <cellStyle name="Milliers 2 2 2 2 3 2 3 2 5" xfId="2615"/>
    <cellStyle name="Milliers 2 2 2 2 3 2 3 2 5 2" xfId="2616"/>
    <cellStyle name="Milliers 2 2 2 2 3 2 3 2 5 2 2" xfId="2617"/>
    <cellStyle name="Milliers 2 2 2 2 3 2 3 2 5 3" xfId="2618"/>
    <cellStyle name="Milliers 2 2 2 2 3 2 3 2 6" xfId="2619"/>
    <cellStyle name="Milliers 2 2 2 2 3 2 3 2 6 2" xfId="2620"/>
    <cellStyle name="Milliers 2 2 2 2 3 2 3 2 7" xfId="2621"/>
    <cellStyle name="Milliers 2 2 2 2 3 2 3 3" xfId="2622"/>
    <cellStyle name="Milliers 2 2 2 2 3 2 3 3 2" xfId="2623"/>
    <cellStyle name="Milliers 2 2 2 2 3 2 3 3 2 2" xfId="2624"/>
    <cellStyle name="Milliers 2 2 2 2 3 2 3 3 2 2 2" xfId="2625"/>
    <cellStyle name="Milliers 2 2 2 2 3 2 3 3 2 2 2 2" xfId="2626"/>
    <cellStyle name="Milliers 2 2 2 2 3 2 3 3 2 2 2 2 2" xfId="2627"/>
    <cellStyle name="Milliers 2 2 2 2 3 2 3 3 2 2 2 3" xfId="2628"/>
    <cellStyle name="Milliers 2 2 2 2 3 2 3 3 2 2 3" xfId="2629"/>
    <cellStyle name="Milliers 2 2 2 2 3 2 3 3 2 2 3 2" xfId="2630"/>
    <cellStyle name="Milliers 2 2 2 2 3 2 3 3 2 2 4" xfId="2631"/>
    <cellStyle name="Milliers 2 2 2 2 3 2 3 3 2 3" xfId="2632"/>
    <cellStyle name="Milliers 2 2 2 2 3 2 3 3 2 3 2" xfId="2633"/>
    <cellStyle name="Milliers 2 2 2 2 3 2 3 3 2 3 2 2" xfId="2634"/>
    <cellStyle name="Milliers 2 2 2 2 3 2 3 3 2 3 3" xfId="2635"/>
    <cellStyle name="Milliers 2 2 2 2 3 2 3 3 2 4" xfId="2636"/>
    <cellStyle name="Milliers 2 2 2 2 3 2 3 3 2 4 2" xfId="2637"/>
    <cellStyle name="Milliers 2 2 2 2 3 2 3 3 2 5" xfId="2638"/>
    <cellStyle name="Milliers 2 2 2 2 3 2 3 3 3" xfId="2639"/>
    <cellStyle name="Milliers 2 2 2 2 3 2 3 3 3 2" xfId="2640"/>
    <cellStyle name="Milliers 2 2 2 2 3 2 3 3 3 2 2" xfId="2641"/>
    <cellStyle name="Milliers 2 2 2 2 3 2 3 3 3 2 2 2" xfId="2642"/>
    <cellStyle name="Milliers 2 2 2 2 3 2 3 3 3 2 3" xfId="2643"/>
    <cellStyle name="Milliers 2 2 2 2 3 2 3 3 3 3" xfId="2644"/>
    <cellStyle name="Milliers 2 2 2 2 3 2 3 3 3 3 2" xfId="2645"/>
    <cellStyle name="Milliers 2 2 2 2 3 2 3 3 3 4" xfId="2646"/>
    <cellStyle name="Milliers 2 2 2 2 3 2 3 3 4" xfId="2647"/>
    <cellStyle name="Milliers 2 2 2 2 3 2 3 3 4 2" xfId="2648"/>
    <cellStyle name="Milliers 2 2 2 2 3 2 3 3 4 2 2" xfId="2649"/>
    <cellStyle name="Milliers 2 2 2 2 3 2 3 3 4 3" xfId="2650"/>
    <cellStyle name="Milliers 2 2 2 2 3 2 3 3 5" xfId="2651"/>
    <cellStyle name="Milliers 2 2 2 2 3 2 3 3 5 2" xfId="2652"/>
    <cellStyle name="Milliers 2 2 2 2 3 2 3 3 6" xfId="2653"/>
    <cellStyle name="Milliers 2 2 2 2 3 2 3 4" xfId="2654"/>
    <cellStyle name="Milliers 2 2 2 2 3 2 3 4 2" xfId="2655"/>
    <cellStyle name="Milliers 2 2 2 2 3 2 3 4 2 2" xfId="2656"/>
    <cellStyle name="Milliers 2 2 2 2 3 2 3 4 2 2 2" xfId="2657"/>
    <cellStyle name="Milliers 2 2 2 2 3 2 3 4 2 2 2 2" xfId="2658"/>
    <cellStyle name="Milliers 2 2 2 2 3 2 3 4 2 2 3" xfId="2659"/>
    <cellStyle name="Milliers 2 2 2 2 3 2 3 4 2 3" xfId="2660"/>
    <cellStyle name="Milliers 2 2 2 2 3 2 3 4 2 3 2" xfId="2661"/>
    <cellStyle name="Milliers 2 2 2 2 3 2 3 4 2 4" xfId="2662"/>
    <cellStyle name="Milliers 2 2 2 2 3 2 3 4 3" xfId="2663"/>
    <cellStyle name="Milliers 2 2 2 2 3 2 3 4 3 2" xfId="2664"/>
    <cellStyle name="Milliers 2 2 2 2 3 2 3 4 3 2 2" xfId="2665"/>
    <cellStyle name="Milliers 2 2 2 2 3 2 3 4 3 3" xfId="2666"/>
    <cellStyle name="Milliers 2 2 2 2 3 2 3 4 4" xfId="2667"/>
    <cellStyle name="Milliers 2 2 2 2 3 2 3 4 4 2" xfId="2668"/>
    <cellStyle name="Milliers 2 2 2 2 3 2 3 4 5" xfId="2669"/>
    <cellStyle name="Milliers 2 2 2 2 3 2 3 5" xfId="2670"/>
    <cellStyle name="Milliers 2 2 2 2 3 2 3 5 2" xfId="2671"/>
    <cellStyle name="Milliers 2 2 2 2 3 2 3 5 2 2" xfId="2672"/>
    <cellStyle name="Milliers 2 2 2 2 3 2 3 5 2 2 2" xfId="2673"/>
    <cellStyle name="Milliers 2 2 2 2 3 2 3 5 2 3" xfId="2674"/>
    <cellStyle name="Milliers 2 2 2 2 3 2 3 5 3" xfId="2675"/>
    <cellStyle name="Milliers 2 2 2 2 3 2 3 5 3 2" xfId="2676"/>
    <cellStyle name="Milliers 2 2 2 2 3 2 3 5 4" xfId="2677"/>
    <cellStyle name="Milliers 2 2 2 2 3 2 3 6" xfId="2678"/>
    <cellStyle name="Milliers 2 2 2 2 3 2 3 6 2" xfId="2679"/>
    <cellStyle name="Milliers 2 2 2 2 3 2 3 6 2 2" xfId="2680"/>
    <cellStyle name="Milliers 2 2 2 2 3 2 3 6 3" xfId="2681"/>
    <cellStyle name="Milliers 2 2 2 2 3 2 3 7" xfId="2682"/>
    <cellStyle name="Milliers 2 2 2 2 3 2 3 7 2" xfId="2683"/>
    <cellStyle name="Milliers 2 2 2 2 3 2 3 8" xfId="2684"/>
    <cellStyle name="Milliers 2 2 2 2 3 2 4" xfId="2685"/>
    <cellStyle name="Milliers 2 2 2 2 3 2 4 2" xfId="2686"/>
    <cellStyle name="Milliers 2 2 2 2 3 2 4 2 2" xfId="2687"/>
    <cellStyle name="Milliers 2 2 2 2 3 2 4 2 2 2" xfId="2688"/>
    <cellStyle name="Milliers 2 2 2 2 3 2 4 2 2 2 2" xfId="2689"/>
    <cellStyle name="Milliers 2 2 2 2 3 2 4 2 2 2 2 2" xfId="2690"/>
    <cellStyle name="Milliers 2 2 2 2 3 2 4 2 2 2 2 2 2" xfId="2691"/>
    <cellStyle name="Milliers 2 2 2 2 3 2 4 2 2 2 2 3" xfId="2692"/>
    <cellStyle name="Milliers 2 2 2 2 3 2 4 2 2 2 3" xfId="2693"/>
    <cellStyle name="Milliers 2 2 2 2 3 2 4 2 2 2 3 2" xfId="2694"/>
    <cellStyle name="Milliers 2 2 2 2 3 2 4 2 2 2 4" xfId="2695"/>
    <cellStyle name="Milliers 2 2 2 2 3 2 4 2 2 3" xfId="2696"/>
    <cellStyle name="Milliers 2 2 2 2 3 2 4 2 2 3 2" xfId="2697"/>
    <cellStyle name="Milliers 2 2 2 2 3 2 4 2 2 3 2 2" xfId="2698"/>
    <cellStyle name="Milliers 2 2 2 2 3 2 4 2 2 3 3" xfId="2699"/>
    <cellStyle name="Milliers 2 2 2 2 3 2 4 2 2 4" xfId="2700"/>
    <cellStyle name="Milliers 2 2 2 2 3 2 4 2 2 4 2" xfId="2701"/>
    <cellStyle name="Milliers 2 2 2 2 3 2 4 2 2 5" xfId="2702"/>
    <cellStyle name="Milliers 2 2 2 2 3 2 4 2 3" xfId="2703"/>
    <cellStyle name="Milliers 2 2 2 2 3 2 4 2 3 2" xfId="2704"/>
    <cellStyle name="Milliers 2 2 2 2 3 2 4 2 3 2 2" xfId="2705"/>
    <cellStyle name="Milliers 2 2 2 2 3 2 4 2 3 2 2 2" xfId="2706"/>
    <cellStyle name="Milliers 2 2 2 2 3 2 4 2 3 2 3" xfId="2707"/>
    <cellStyle name="Milliers 2 2 2 2 3 2 4 2 3 3" xfId="2708"/>
    <cellStyle name="Milliers 2 2 2 2 3 2 4 2 3 3 2" xfId="2709"/>
    <cellStyle name="Milliers 2 2 2 2 3 2 4 2 3 4" xfId="2710"/>
    <cellStyle name="Milliers 2 2 2 2 3 2 4 2 4" xfId="2711"/>
    <cellStyle name="Milliers 2 2 2 2 3 2 4 2 4 2" xfId="2712"/>
    <cellStyle name="Milliers 2 2 2 2 3 2 4 2 4 2 2" xfId="2713"/>
    <cellStyle name="Milliers 2 2 2 2 3 2 4 2 4 3" xfId="2714"/>
    <cellStyle name="Milliers 2 2 2 2 3 2 4 2 5" xfId="2715"/>
    <cellStyle name="Milliers 2 2 2 2 3 2 4 2 5 2" xfId="2716"/>
    <cellStyle name="Milliers 2 2 2 2 3 2 4 2 6" xfId="2717"/>
    <cellStyle name="Milliers 2 2 2 2 3 2 4 3" xfId="2718"/>
    <cellStyle name="Milliers 2 2 2 2 3 2 4 3 2" xfId="2719"/>
    <cellStyle name="Milliers 2 2 2 2 3 2 4 3 2 2" xfId="2720"/>
    <cellStyle name="Milliers 2 2 2 2 3 2 4 3 2 2 2" xfId="2721"/>
    <cellStyle name="Milliers 2 2 2 2 3 2 4 3 2 2 2 2" xfId="2722"/>
    <cellStyle name="Milliers 2 2 2 2 3 2 4 3 2 2 3" xfId="2723"/>
    <cellStyle name="Milliers 2 2 2 2 3 2 4 3 2 3" xfId="2724"/>
    <cellStyle name="Milliers 2 2 2 2 3 2 4 3 2 3 2" xfId="2725"/>
    <cellStyle name="Milliers 2 2 2 2 3 2 4 3 2 4" xfId="2726"/>
    <cellStyle name="Milliers 2 2 2 2 3 2 4 3 3" xfId="2727"/>
    <cellStyle name="Milliers 2 2 2 2 3 2 4 3 3 2" xfId="2728"/>
    <cellStyle name="Milliers 2 2 2 2 3 2 4 3 3 2 2" xfId="2729"/>
    <cellStyle name="Milliers 2 2 2 2 3 2 4 3 3 3" xfId="2730"/>
    <cellStyle name="Milliers 2 2 2 2 3 2 4 3 4" xfId="2731"/>
    <cellStyle name="Milliers 2 2 2 2 3 2 4 3 4 2" xfId="2732"/>
    <cellStyle name="Milliers 2 2 2 2 3 2 4 3 5" xfId="2733"/>
    <cellStyle name="Milliers 2 2 2 2 3 2 4 4" xfId="2734"/>
    <cellStyle name="Milliers 2 2 2 2 3 2 4 4 2" xfId="2735"/>
    <cellStyle name="Milliers 2 2 2 2 3 2 4 4 2 2" xfId="2736"/>
    <cellStyle name="Milliers 2 2 2 2 3 2 4 4 2 2 2" xfId="2737"/>
    <cellStyle name="Milliers 2 2 2 2 3 2 4 4 2 3" xfId="2738"/>
    <cellStyle name="Milliers 2 2 2 2 3 2 4 4 3" xfId="2739"/>
    <cellStyle name="Milliers 2 2 2 2 3 2 4 4 3 2" xfId="2740"/>
    <cellStyle name="Milliers 2 2 2 2 3 2 4 4 4" xfId="2741"/>
    <cellStyle name="Milliers 2 2 2 2 3 2 4 5" xfId="2742"/>
    <cellStyle name="Milliers 2 2 2 2 3 2 4 5 2" xfId="2743"/>
    <cellStyle name="Milliers 2 2 2 2 3 2 4 5 2 2" xfId="2744"/>
    <cellStyle name="Milliers 2 2 2 2 3 2 4 5 3" xfId="2745"/>
    <cellStyle name="Milliers 2 2 2 2 3 2 4 6" xfId="2746"/>
    <cellStyle name="Milliers 2 2 2 2 3 2 4 6 2" xfId="2747"/>
    <cellStyle name="Milliers 2 2 2 2 3 2 4 7" xfId="2748"/>
    <cellStyle name="Milliers 2 2 2 2 3 2 5" xfId="2749"/>
    <cellStyle name="Milliers 2 2 2 2 3 2 5 2" xfId="2750"/>
    <cellStyle name="Milliers 2 2 2 2 3 2 5 2 2" xfId="2751"/>
    <cellStyle name="Milliers 2 2 2 2 3 2 5 2 2 2" xfId="2752"/>
    <cellStyle name="Milliers 2 2 2 2 3 2 5 2 2 2 2" xfId="2753"/>
    <cellStyle name="Milliers 2 2 2 2 3 2 5 2 2 2 2 2" xfId="2754"/>
    <cellStyle name="Milliers 2 2 2 2 3 2 5 2 2 2 3" xfId="2755"/>
    <cellStyle name="Milliers 2 2 2 2 3 2 5 2 2 3" xfId="2756"/>
    <cellStyle name="Milliers 2 2 2 2 3 2 5 2 2 3 2" xfId="2757"/>
    <cellStyle name="Milliers 2 2 2 2 3 2 5 2 2 4" xfId="2758"/>
    <cellStyle name="Milliers 2 2 2 2 3 2 5 2 3" xfId="2759"/>
    <cellStyle name="Milliers 2 2 2 2 3 2 5 2 3 2" xfId="2760"/>
    <cellStyle name="Milliers 2 2 2 2 3 2 5 2 3 2 2" xfId="2761"/>
    <cellStyle name="Milliers 2 2 2 2 3 2 5 2 3 3" xfId="2762"/>
    <cellStyle name="Milliers 2 2 2 2 3 2 5 2 4" xfId="2763"/>
    <cellStyle name="Milliers 2 2 2 2 3 2 5 2 4 2" xfId="2764"/>
    <cellStyle name="Milliers 2 2 2 2 3 2 5 2 5" xfId="2765"/>
    <cellStyle name="Milliers 2 2 2 2 3 2 5 3" xfId="2766"/>
    <cellStyle name="Milliers 2 2 2 2 3 2 5 3 2" xfId="2767"/>
    <cellStyle name="Milliers 2 2 2 2 3 2 5 3 2 2" xfId="2768"/>
    <cellStyle name="Milliers 2 2 2 2 3 2 5 3 2 2 2" xfId="2769"/>
    <cellStyle name="Milliers 2 2 2 2 3 2 5 3 2 3" xfId="2770"/>
    <cellStyle name="Milliers 2 2 2 2 3 2 5 3 3" xfId="2771"/>
    <cellStyle name="Milliers 2 2 2 2 3 2 5 3 3 2" xfId="2772"/>
    <cellStyle name="Milliers 2 2 2 2 3 2 5 3 4" xfId="2773"/>
    <cellStyle name="Milliers 2 2 2 2 3 2 5 4" xfId="2774"/>
    <cellStyle name="Milliers 2 2 2 2 3 2 5 4 2" xfId="2775"/>
    <cellStyle name="Milliers 2 2 2 2 3 2 5 4 2 2" xfId="2776"/>
    <cellStyle name="Milliers 2 2 2 2 3 2 5 4 3" xfId="2777"/>
    <cellStyle name="Milliers 2 2 2 2 3 2 5 5" xfId="2778"/>
    <cellStyle name="Milliers 2 2 2 2 3 2 5 5 2" xfId="2779"/>
    <cellStyle name="Milliers 2 2 2 2 3 2 5 6" xfId="2780"/>
    <cellStyle name="Milliers 2 2 2 2 3 2 6" xfId="2781"/>
    <cellStyle name="Milliers 2 2 2 2 3 2 6 2" xfId="2782"/>
    <cellStyle name="Milliers 2 2 2 2 3 2 6 2 2" xfId="2783"/>
    <cellStyle name="Milliers 2 2 2 2 3 2 6 2 2 2" xfId="2784"/>
    <cellStyle name="Milliers 2 2 2 2 3 2 6 2 2 2 2" xfId="2785"/>
    <cellStyle name="Milliers 2 2 2 2 3 2 6 2 2 3" xfId="2786"/>
    <cellStyle name="Milliers 2 2 2 2 3 2 6 2 3" xfId="2787"/>
    <cellStyle name="Milliers 2 2 2 2 3 2 6 2 3 2" xfId="2788"/>
    <cellStyle name="Milliers 2 2 2 2 3 2 6 2 4" xfId="2789"/>
    <cellStyle name="Milliers 2 2 2 2 3 2 6 3" xfId="2790"/>
    <cellStyle name="Milliers 2 2 2 2 3 2 6 3 2" xfId="2791"/>
    <cellStyle name="Milliers 2 2 2 2 3 2 6 3 2 2" xfId="2792"/>
    <cellStyle name="Milliers 2 2 2 2 3 2 6 3 3" xfId="2793"/>
    <cellStyle name="Milliers 2 2 2 2 3 2 6 4" xfId="2794"/>
    <cellStyle name="Milliers 2 2 2 2 3 2 6 4 2" xfId="2795"/>
    <cellStyle name="Milliers 2 2 2 2 3 2 6 5" xfId="2796"/>
    <cellStyle name="Milliers 2 2 2 2 3 2 7" xfId="2797"/>
    <cellStyle name="Milliers 2 2 2 2 3 2 7 2" xfId="2798"/>
    <cellStyle name="Milliers 2 2 2 2 3 2 7 2 2" xfId="2799"/>
    <cellStyle name="Milliers 2 2 2 2 3 2 7 2 2 2" xfId="2800"/>
    <cellStyle name="Milliers 2 2 2 2 3 2 7 2 3" xfId="2801"/>
    <cellStyle name="Milliers 2 2 2 2 3 2 7 3" xfId="2802"/>
    <cellStyle name="Milliers 2 2 2 2 3 2 7 3 2" xfId="2803"/>
    <cellStyle name="Milliers 2 2 2 2 3 2 7 4" xfId="2804"/>
    <cellStyle name="Milliers 2 2 2 2 3 2 8" xfId="2805"/>
    <cellStyle name="Milliers 2 2 2 2 3 2 8 2" xfId="2806"/>
    <cellStyle name="Milliers 2 2 2 2 3 2 8 2 2" xfId="2807"/>
    <cellStyle name="Milliers 2 2 2 2 3 2 8 3" xfId="2808"/>
    <cellStyle name="Milliers 2 2 2 2 3 2 9" xfId="2809"/>
    <cellStyle name="Milliers 2 2 2 2 3 2 9 2" xfId="2810"/>
    <cellStyle name="Milliers 2 2 2 2 3 3" xfId="2811"/>
    <cellStyle name="Milliers 2 2 2 2 3 3 2" xfId="2812"/>
    <cellStyle name="Milliers 2 2 2 2 3 3 2 2" xfId="2813"/>
    <cellStyle name="Milliers 2 2 2 2 3 3 2 2 2" xfId="2814"/>
    <cellStyle name="Milliers 2 2 2 2 3 3 2 2 2 2" xfId="2815"/>
    <cellStyle name="Milliers 2 2 2 2 3 3 2 2 2 2 2" xfId="2816"/>
    <cellStyle name="Milliers 2 2 2 2 3 3 2 2 2 2 2 2" xfId="2817"/>
    <cellStyle name="Milliers 2 2 2 2 3 3 2 2 2 2 2 2 2" xfId="2818"/>
    <cellStyle name="Milliers 2 2 2 2 3 3 2 2 2 2 2 2 2 2" xfId="2819"/>
    <cellStyle name="Milliers 2 2 2 2 3 3 2 2 2 2 2 2 3" xfId="2820"/>
    <cellStyle name="Milliers 2 2 2 2 3 3 2 2 2 2 2 3" xfId="2821"/>
    <cellStyle name="Milliers 2 2 2 2 3 3 2 2 2 2 2 3 2" xfId="2822"/>
    <cellStyle name="Milliers 2 2 2 2 3 3 2 2 2 2 2 4" xfId="2823"/>
    <cellStyle name="Milliers 2 2 2 2 3 3 2 2 2 2 3" xfId="2824"/>
    <cellStyle name="Milliers 2 2 2 2 3 3 2 2 2 2 3 2" xfId="2825"/>
    <cellStyle name="Milliers 2 2 2 2 3 3 2 2 2 2 3 2 2" xfId="2826"/>
    <cellStyle name="Milliers 2 2 2 2 3 3 2 2 2 2 3 3" xfId="2827"/>
    <cellStyle name="Milliers 2 2 2 2 3 3 2 2 2 2 4" xfId="2828"/>
    <cellStyle name="Milliers 2 2 2 2 3 3 2 2 2 2 4 2" xfId="2829"/>
    <cellStyle name="Milliers 2 2 2 2 3 3 2 2 2 2 5" xfId="2830"/>
    <cellStyle name="Milliers 2 2 2 2 3 3 2 2 2 3" xfId="2831"/>
    <cellStyle name="Milliers 2 2 2 2 3 3 2 2 2 3 2" xfId="2832"/>
    <cellStyle name="Milliers 2 2 2 2 3 3 2 2 2 3 2 2" xfId="2833"/>
    <cellStyle name="Milliers 2 2 2 2 3 3 2 2 2 3 2 2 2" xfId="2834"/>
    <cellStyle name="Milliers 2 2 2 2 3 3 2 2 2 3 2 3" xfId="2835"/>
    <cellStyle name="Milliers 2 2 2 2 3 3 2 2 2 3 3" xfId="2836"/>
    <cellStyle name="Milliers 2 2 2 2 3 3 2 2 2 3 3 2" xfId="2837"/>
    <cellStyle name="Milliers 2 2 2 2 3 3 2 2 2 3 4" xfId="2838"/>
    <cellStyle name="Milliers 2 2 2 2 3 3 2 2 2 4" xfId="2839"/>
    <cellStyle name="Milliers 2 2 2 2 3 3 2 2 2 4 2" xfId="2840"/>
    <cellStyle name="Milliers 2 2 2 2 3 3 2 2 2 4 2 2" xfId="2841"/>
    <cellStyle name="Milliers 2 2 2 2 3 3 2 2 2 4 3" xfId="2842"/>
    <cellStyle name="Milliers 2 2 2 2 3 3 2 2 2 5" xfId="2843"/>
    <cellStyle name="Milliers 2 2 2 2 3 3 2 2 2 5 2" xfId="2844"/>
    <cellStyle name="Milliers 2 2 2 2 3 3 2 2 2 6" xfId="2845"/>
    <cellStyle name="Milliers 2 2 2 2 3 3 2 2 3" xfId="2846"/>
    <cellStyle name="Milliers 2 2 2 2 3 3 2 2 3 2" xfId="2847"/>
    <cellStyle name="Milliers 2 2 2 2 3 3 2 2 3 2 2" xfId="2848"/>
    <cellStyle name="Milliers 2 2 2 2 3 3 2 2 3 2 2 2" xfId="2849"/>
    <cellStyle name="Milliers 2 2 2 2 3 3 2 2 3 2 2 2 2" xfId="2850"/>
    <cellStyle name="Milliers 2 2 2 2 3 3 2 2 3 2 2 3" xfId="2851"/>
    <cellStyle name="Milliers 2 2 2 2 3 3 2 2 3 2 3" xfId="2852"/>
    <cellStyle name="Milliers 2 2 2 2 3 3 2 2 3 2 3 2" xfId="2853"/>
    <cellStyle name="Milliers 2 2 2 2 3 3 2 2 3 2 4" xfId="2854"/>
    <cellStyle name="Milliers 2 2 2 2 3 3 2 2 3 3" xfId="2855"/>
    <cellStyle name="Milliers 2 2 2 2 3 3 2 2 3 3 2" xfId="2856"/>
    <cellStyle name="Milliers 2 2 2 2 3 3 2 2 3 3 2 2" xfId="2857"/>
    <cellStyle name="Milliers 2 2 2 2 3 3 2 2 3 3 3" xfId="2858"/>
    <cellStyle name="Milliers 2 2 2 2 3 3 2 2 3 4" xfId="2859"/>
    <cellStyle name="Milliers 2 2 2 2 3 3 2 2 3 4 2" xfId="2860"/>
    <cellStyle name="Milliers 2 2 2 2 3 3 2 2 3 5" xfId="2861"/>
    <cellStyle name="Milliers 2 2 2 2 3 3 2 2 4" xfId="2862"/>
    <cellStyle name="Milliers 2 2 2 2 3 3 2 2 4 2" xfId="2863"/>
    <cellStyle name="Milliers 2 2 2 2 3 3 2 2 4 2 2" xfId="2864"/>
    <cellStyle name="Milliers 2 2 2 2 3 3 2 2 4 2 2 2" xfId="2865"/>
    <cellStyle name="Milliers 2 2 2 2 3 3 2 2 4 2 3" xfId="2866"/>
    <cellStyle name="Milliers 2 2 2 2 3 3 2 2 4 3" xfId="2867"/>
    <cellStyle name="Milliers 2 2 2 2 3 3 2 2 4 3 2" xfId="2868"/>
    <cellStyle name="Milliers 2 2 2 2 3 3 2 2 4 4" xfId="2869"/>
    <cellStyle name="Milliers 2 2 2 2 3 3 2 2 5" xfId="2870"/>
    <cellStyle name="Milliers 2 2 2 2 3 3 2 2 5 2" xfId="2871"/>
    <cellStyle name="Milliers 2 2 2 2 3 3 2 2 5 2 2" xfId="2872"/>
    <cellStyle name="Milliers 2 2 2 2 3 3 2 2 5 3" xfId="2873"/>
    <cellStyle name="Milliers 2 2 2 2 3 3 2 2 6" xfId="2874"/>
    <cellStyle name="Milliers 2 2 2 2 3 3 2 2 6 2" xfId="2875"/>
    <cellStyle name="Milliers 2 2 2 2 3 3 2 2 7" xfId="2876"/>
    <cellStyle name="Milliers 2 2 2 2 3 3 2 3" xfId="2877"/>
    <cellStyle name="Milliers 2 2 2 2 3 3 2 3 2" xfId="2878"/>
    <cellStyle name="Milliers 2 2 2 2 3 3 2 3 2 2" xfId="2879"/>
    <cellStyle name="Milliers 2 2 2 2 3 3 2 3 2 2 2" xfId="2880"/>
    <cellStyle name="Milliers 2 2 2 2 3 3 2 3 2 2 2 2" xfId="2881"/>
    <cellStyle name="Milliers 2 2 2 2 3 3 2 3 2 2 2 2 2" xfId="2882"/>
    <cellStyle name="Milliers 2 2 2 2 3 3 2 3 2 2 2 3" xfId="2883"/>
    <cellStyle name="Milliers 2 2 2 2 3 3 2 3 2 2 3" xfId="2884"/>
    <cellStyle name="Milliers 2 2 2 2 3 3 2 3 2 2 3 2" xfId="2885"/>
    <cellStyle name="Milliers 2 2 2 2 3 3 2 3 2 2 4" xfId="2886"/>
    <cellStyle name="Milliers 2 2 2 2 3 3 2 3 2 3" xfId="2887"/>
    <cellStyle name="Milliers 2 2 2 2 3 3 2 3 2 3 2" xfId="2888"/>
    <cellStyle name="Milliers 2 2 2 2 3 3 2 3 2 3 2 2" xfId="2889"/>
    <cellStyle name="Milliers 2 2 2 2 3 3 2 3 2 3 3" xfId="2890"/>
    <cellStyle name="Milliers 2 2 2 2 3 3 2 3 2 4" xfId="2891"/>
    <cellStyle name="Milliers 2 2 2 2 3 3 2 3 2 4 2" xfId="2892"/>
    <cellStyle name="Milliers 2 2 2 2 3 3 2 3 2 5" xfId="2893"/>
    <cellStyle name="Milliers 2 2 2 2 3 3 2 3 3" xfId="2894"/>
    <cellStyle name="Milliers 2 2 2 2 3 3 2 3 3 2" xfId="2895"/>
    <cellStyle name="Milliers 2 2 2 2 3 3 2 3 3 2 2" xfId="2896"/>
    <cellStyle name="Milliers 2 2 2 2 3 3 2 3 3 2 2 2" xfId="2897"/>
    <cellStyle name="Milliers 2 2 2 2 3 3 2 3 3 2 3" xfId="2898"/>
    <cellStyle name="Milliers 2 2 2 2 3 3 2 3 3 3" xfId="2899"/>
    <cellStyle name="Milliers 2 2 2 2 3 3 2 3 3 3 2" xfId="2900"/>
    <cellStyle name="Milliers 2 2 2 2 3 3 2 3 3 4" xfId="2901"/>
    <cellStyle name="Milliers 2 2 2 2 3 3 2 3 4" xfId="2902"/>
    <cellStyle name="Milliers 2 2 2 2 3 3 2 3 4 2" xfId="2903"/>
    <cellStyle name="Milliers 2 2 2 2 3 3 2 3 4 2 2" xfId="2904"/>
    <cellStyle name="Milliers 2 2 2 2 3 3 2 3 4 3" xfId="2905"/>
    <cellStyle name="Milliers 2 2 2 2 3 3 2 3 5" xfId="2906"/>
    <cellStyle name="Milliers 2 2 2 2 3 3 2 3 5 2" xfId="2907"/>
    <cellStyle name="Milliers 2 2 2 2 3 3 2 3 6" xfId="2908"/>
    <cellStyle name="Milliers 2 2 2 2 3 3 2 4" xfId="2909"/>
    <cellStyle name="Milliers 2 2 2 2 3 3 2 4 2" xfId="2910"/>
    <cellStyle name="Milliers 2 2 2 2 3 3 2 4 2 2" xfId="2911"/>
    <cellStyle name="Milliers 2 2 2 2 3 3 2 4 2 2 2" xfId="2912"/>
    <cellStyle name="Milliers 2 2 2 2 3 3 2 4 2 2 2 2" xfId="2913"/>
    <cellStyle name="Milliers 2 2 2 2 3 3 2 4 2 2 3" xfId="2914"/>
    <cellStyle name="Milliers 2 2 2 2 3 3 2 4 2 3" xfId="2915"/>
    <cellStyle name="Milliers 2 2 2 2 3 3 2 4 2 3 2" xfId="2916"/>
    <cellStyle name="Milliers 2 2 2 2 3 3 2 4 2 4" xfId="2917"/>
    <cellStyle name="Milliers 2 2 2 2 3 3 2 4 3" xfId="2918"/>
    <cellStyle name="Milliers 2 2 2 2 3 3 2 4 3 2" xfId="2919"/>
    <cellStyle name="Milliers 2 2 2 2 3 3 2 4 3 2 2" xfId="2920"/>
    <cellStyle name="Milliers 2 2 2 2 3 3 2 4 3 3" xfId="2921"/>
    <cellStyle name="Milliers 2 2 2 2 3 3 2 4 4" xfId="2922"/>
    <cellStyle name="Milliers 2 2 2 2 3 3 2 4 4 2" xfId="2923"/>
    <cellStyle name="Milliers 2 2 2 2 3 3 2 4 5" xfId="2924"/>
    <cellStyle name="Milliers 2 2 2 2 3 3 2 5" xfId="2925"/>
    <cellStyle name="Milliers 2 2 2 2 3 3 2 5 2" xfId="2926"/>
    <cellStyle name="Milliers 2 2 2 2 3 3 2 5 2 2" xfId="2927"/>
    <cellStyle name="Milliers 2 2 2 2 3 3 2 5 2 2 2" xfId="2928"/>
    <cellStyle name="Milliers 2 2 2 2 3 3 2 5 2 3" xfId="2929"/>
    <cellStyle name="Milliers 2 2 2 2 3 3 2 5 3" xfId="2930"/>
    <cellStyle name="Milliers 2 2 2 2 3 3 2 5 3 2" xfId="2931"/>
    <cellStyle name="Milliers 2 2 2 2 3 3 2 5 4" xfId="2932"/>
    <cellStyle name="Milliers 2 2 2 2 3 3 2 6" xfId="2933"/>
    <cellStyle name="Milliers 2 2 2 2 3 3 2 6 2" xfId="2934"/>
    <cellStyle name="Milliers 2 2 2 2 3 3 2 6 2 2" xfId="2935"/>
    <cellStyle name="Milliers 2 2 2 2 3 3 2 6 3" xfId="2936"/>
    <cellStyle name="Milliers 2 2 2 2 3 3 2 7" xfId="2937"/>
    <cellStyle name="Milliers 2 2 2 2 3 3 2 7 2" xfId="2938"/>
    <cellStyle name="Milliers 2 2 2 2 3 3 2 8" xfId="2939"/>
    <cellStyle name="Milliers 2 2 2 2 3 3 3" xfId="2940"/>
    <cellStyle name="Milliers 2 2 2 2 3 3 3 2" xfId="2941"/>
    <cellStyle name="Milliers 2 2 2 2 3 3 3 2 2" xfId="2942"/>
    <cellStyle name="Milliers 2 2 2 2 3 3 3 2 2 2" xfId="2943"/>
    <cellStyle name="Milliers 2 2 2 2 3 3 3 2 2 2 2" xfId="2944"/>
    <cellStyle name="Milliers 2 2 2 2 3 3 3 2 2 2 2 2" xfId="2945"/>
    <cellStyle name="Milliers 2 2 2 2 3 3 3 2 2 2 2 2 2" xfId="2946"/>
    <cellStyle name="Milliers 2 2 2 2 3 3 3 2 2 2 2 3" xfId="2947"/>
    <cellStyle name="Milliers 2 2 2 2 3 3 3 2 2 2 3" xfId="2948"/>
    <cellStyle name="Milliers 2 2 2 2 3 3 3 2 2 2 3 2" xfId="2949"/>
    <cellStyle name="Milliers 2 2 2 2 3 3 3 2 2 2 4" xfId="2950"/>
    <cellStyle name="Milliers 2 2 2 2 3 3 3 2 2 3" xfId="2951"/>
    <cellStyle name="Milliers 2 2 2 2 3 3 3 2 2 3 2" xfId="2952"/>
    <cellStyle name="Milliers 2 2 2 2 3 3 3 2 2 3 2 2" xfId="2953"/>
    <cellStyle name="Milliers 2 2 2 2 3 3 3 2 2 3 3" xfId="2954"/>
    <cellStyle name="Milliers 2 2 2 2 3 3 3 2 2 4" xfId="2955"/>
    <cellStyle name="Milliers 2 2 2 2 3 3 3 2 2 4 2" xfId="2956"/>
    <cellStyle name="Milliers 2 2 2 2 3 3 3 2 2 5" xfId="2957"/>
    <cellStyle name="Milliers 2 2 2 2 3 3 3 2 3" xfId="2958"/>
    <cellStyle name="Milliers 2 2 2 2 3 3 3 2 3 2" xfId="2959"/>
    <cellStyle name="Milliers 2 2 2 2 3 3 3 2 3 2 2" xfId="2960"/>
    <cellStyle name="Milliers 2 2 2 2 3 3 3 2 3 2 2 2" xfId="2961"/>
    <cellStyle name="Milliers 2 2 2 2 3 3 3 2 3 2 3" xfId="2962"/>
    <cellStyle name="Milliers 2 2 2 2 3 3 3 2 3 3" xfId="2963"/>
    <cellStyle name="Milliers 2 2 2 2 3 3 3 2 3 3 2" xfId="2964"/>
    <cellStyle name="Milliers 2 2 2 2 3 3 3 2 3 4" xfId="2965"/>
    <cellStyle name="Milliers 2 2 2 2 3 3 3 2 4" xfId="2966"/>
    <cellStyle name="Milliers 2 2 2 2 3 3 3 2 4 2" xfId="2967"/>
    <cellStyle name="Milliers 2 2 2 2 3 3 3 2 4 2 2" xfId="2968"/>
    <cellStyle name="Milliers 2 2 2 2 3 3 3 2 4 3" xfId="2969"/>
    <cellStyle name="Milliers 2 2 2 2 3 3 3 2 5" xfId="2970"/>
    <cellStyle name="Milliers 2 2 2 2 3 3 3 2 5 2" xfId="2971"/>
    <cellStyle name="Milliers 2 2 2 2 3 3 3 2 6" xfId="2972"/>
    <cellStyle name="Milliers 2 2 2 2 3 3 3 3" xfId="2973"/>
    <cellStyle name="Milliers 2 2 2 2 3 3 3 3 2" xfId="2974"/>
    <cellStyle name="Milliers 2 2 2 2 3 3 3 3 2 2" xfId="2975"/>
    <cellStyle name="Milliers 2 2 2 2 3 3 3 3 2 2 2" xfId="2976"/>
    <cellStyle name="Milliers 2 2 2 2 3 3 3 3 2 2 2 2" xfId="2977"/>
    <cellStyle name="Milliers 2 2 2 2 3 3 3 3 2 2 3" xfId="2978"/>
    <cellStyle name="Milliers 2 2 2 2 3 3 3 3 2 3" xfId="2979"/>
    <cellStyle name="Milliers 2 2 2 2 3 3 3 3 2 3 2" xfId="2980"/>
    <cellStyle name="Milliers 2 2 2 2 3 3 3 3 2 4" xfId="2981"/>
    <cellStyle name="Milliers 2 2 2 2 3 3 3 3 3" xfId="2982"/>
    <cellStyle name="Milliers 2 2 2 2 3 3 3 3 3 2" xfId="2983"/>
    <cellStyle name="Milliers 2 2 2 2 3 3 3 3 3 2 2" xfId="2984"/>
    <cellStyle name="Milliers 2 2 2 2 3 3 3 3 3 3" xfId="2985"/>
    <cellStyle name="Milliers 2 2 2 2 3 3 3 3 4" xfId="2986"/>
    <cellStyle name="Milliers 2 2 2 2 3 3 3 3 4 2" xfId="2987"/>
    <cellStyle name="Milliers 2 2 2 2 3 3 3 3 5" xfId="2988"/>
    <cellStyle name="Milliers 2 2 2 2 3 3 3 4" xfId="2989"/>
    <cellStyle name="Milliers 2 2 2 2 3 3 3 4 2" xfId="2990"/>
    <cellStyle name="Milliers 2 2 2 2 3 3 3 4 2 2" xfId="2991"/>
    <cellStyle name="Milliers 2 2 2 2 3 3 3 4 2 2 2" xfId="2992"/>
    <cellStyle name="Milliers 2 2 2 2 3 3 3 4 2 3" xfId="2993"/>
    <cellStyle name="Milliers 2 2 2 2 3 3 3 4 3" xfId="2994"/>
    <cellStyle name="Milliers 2 2 2 2 3 3 3 4 3 2" xfId="2995"/>
    <cellStyle name="Milliers 2 2 2 2 3 3 3 4 4" xfId="2996"/>
    <cellStyle name="Milliers 2 2 2 2 3 3 3 5" xfId="2997"/>
    <cellStyle name="Milliers 2 2 2 2 3 3 3 5 2" xfId="2998"/>
    <cellStyle name="Milliers 2 2 2 2 3 3 3 5 2 2" xfId="2999"/>
    <cellStyle name="Milliers 2 2 2 2 3 3 3 5 3" xfId="3000"/>
    <cellStyle name="Milliers 2 2 2 2 3 3 3 6" xfId="3001"/>
    <cellStyle name="Milliers 2 2 2 2 3 3 3 6 2" xfId="3002"/>
    <cellStyle name="Milliers 2 2 2 2 3 3 3 7" xfId="3003"/>
    <cellStyle name="Milliers 2 2 2 2 3 3 4" xfId="3004"/>
    <cellStyle name="Milliers 2 2 2 2 3 3 4 2" xfId="3005"/>
    <cellStyle name="Milliers 2 2 2 2 3 3 4 2 2" xfId="3006"/>
    <cellStyle name="Milliers 2 2 2 2 3 3 4 2 2 2" xfId="3007"/>
    <cellStyle name="Milliers 2 2 2 2 3 3 4 2 2 2 2" xfId="3008"/>
    <cellStyle name="Milliers 2 2 2 2 3 3 4 2 2 2 2 2" xfId="3009"/>
    <cellStyle name="Milliers 2 2 2 2 3 3 4 2 2 2 3" xfId="3010"/>
    <cellStyle name="Milliers 2 2 2 2 3 3 4 2 2 3" xfId="3011"/>
    <cellStyle name="Milliers 2 2 2 2 3 3 4 2 2 3 2" xfId="3012"/>
    <cellStyle name="Milliers 2 2 2 2 3 3 4 2 2 4" xfId="3013"/>
    <cellStyle name="Milliers 2 2 2 2 3 3 4 2 3" xfId="3014"/>
    <cellStyle name="Milliers 2 2 2 2 3 3 4 2 3 2" xfId="3015"/>
    <cellStyle name="Milliers 2 2 2 2 3 3 4 2 3 2 2" xfId="3016"/>
    <cellStyle name="Milliers 2 2 2 2 3 3 4 2 3 3" xfId="3017"/>
    <cellStyle name="Milliers 2 2 2 2 3 3 4 2 4" xfId="3018"/>
    <cellStyle name="Milliers 2 2 2 2 3 3 4 2 4 2" xfId="3019"/>
    <cellStyle name="Milliers 2 2 2 2 3 3 4 2 5" xfId="3020"/>
    <cellStyle name="Milliers 2 2 2 2 3 3 4 3" xfId="3021"/>
    <cellStyle name="Milliers 2 2 2 2 3 3 4 3 2" xfId="3022"/>
    <cellStyle name="Milliers 2 2 2 2 3 3 4 3 2 2" xfId="3023"/>
    <cellStyle name="Milliers 2 2 2 2 3 3 4 3 2 2 2" xfId="3024"/>
    <cellStyle name="Milliers 2 2 2 2 3 3 4 3 2 3" xfId="3025"/>
    <cellStyle name="Milliers 2 2 2 2 3 3 4 3 3" xfId="3026"/>
    <cellStyle name="Milliers 2 2 2 2 3 3 4 3 3 2" xfId="3027"/>
    <cellStyle name="Milliers 2 2 2 2 3 3 4 3 4" xfId="3028"/>
    <cellStyle name="Milliers 2 2 2 2 3 3 4 4" xfId="3029"/>
    <cellStyle name="Milliers 2 2 2 2 3 3 4 4 2" xfId="3030"/>
    <cellStyle name="Milliers 2 2 2 2 3 3 4 4 2 2" xfId="3031"/>
    <cellStyle name="Milliers 2 2 2 2 3 3 4 4 3" xfId="3032"/>
    <cellStyle name="Milliers 2 2 2 2 3 3 4 5" xfId="3033"/>
    <cellStyle name="Milliers 2 2 2 2 3 3 4 5 2" xfId="3034"/>
    <cellStyle name="Milliers 2 2 2 2 3 3 4 6" xfId="3035"/>
    <cellStyle name="Milliers 2 2 2 2 3 3 5" xfId="3036"/>
    <cellStyle name="Milliers 2 2 2 2 3 3 5 2" xfId="3037"/>
    <cellStyle name="Milliers 2 2 2 2 3 3 5 2 2" xfId="3038"/>
    <cellStyle name="Milliers 2 2 2 2 3 3 5 2 2 2" xfId="3039"/>
    <cellStyle name="Milliers 2 2 2 2 3 3 5 2 2 2 2" xfId="3040"/>
    <cellStyle name="Milliers 2 2 2 2 3 3 5 2 2 3" xfId="3041"/>
    <cellStyle name="Milliers 2 2 2 2 3 3 5 2 3" xfId="3042"/>
    <cellStyle name="Milliers 2 2 2 2 3 3 5 2 3 2" xfId="3043"/>
    <cellStyle name="Milliers 2 2 2 2 3 3 5 2 4" xfId="3044"/>
    <cellStyle name="Milliers 2 2 2 2 3 3 5 3" xfId="3045"/>
    <cellStyle name="Milliers 2 2 2 2 3 3 5 3 2" xfId="3046"/>
    <cellStyle name="Milliers 2 2 2 2 3 3 5 3 2 2" xfId="3047"/>
    <cellStyle name="Milliers 2 2 2 2 3 3 5 3 3" xfId="3048"/>
    <cellStyle name="Milliers 2 2 2 2 3 3 5 4" xfId="3049"/>
    <cellStyle name="Milliers 2 2 2 2 3 3 5 4 2" xfId="3050"/>
    <cellStyle name="Milliers 2 2 2 2 3 3 5 5" xfId="3051"/>
    <cellStyle name="Milliers 2 2 2 2 3 3 6" xfId="3052"/>
    <cellStyle name="Milliers 2 2 2 2 3 3 6 2" xfId="3053"/>
    <cellStyle name="Milliers 2 2 2 2 3 3 6 2 2" xfId="3054"/>
    <cellStyle name="Milliers 2 2 2 2 3 3 6 2 2 2" xfId="3055"/>
    <cellStyle name="Milliers 2 2 2 2 3 3 6 2 3" xfId="3056"/>
    <cellStyle name="Milliers 2 2 2 2 3 3 6 3" xfId="3057"/>
    <cellStyle name="Milliers 2 2 2 2 3 3 6 3 2" xfId="3058"/>
    <cellStyle name="Milliers 2 2 2 2 3 3 6 4" xfId="3059"/>
    <cellStyle name="Milliers 2 2 2 2 3 3 7" xfId="3060"/>
    <cellStyle name="Milliers 2 2 2 2 3 3 7 2" xfId="3061"/>
    <cellStyle name="Milliers 2 2 2 2 3 3 7 2 2" xfId="3062"/>
    <cellStyle name="Milliers 2 2 2 2 3 3 7 3" xfId="3063"/>
    <cellStyle name="Milliers 2 2 2 2 3 3 8" xfId="3064"/>
    <cellStyle name="Milliers 2 2 2 2 3 3 8 2" xfId="3065"/>
    <cellStyle name="Milliers 2 2 2 2 3 3 9" xfId="3066"/>
    <cellStyle name="Milliers 2 2 2 2 3 4" xfId="3067"/>
    <cellStyle name="Milliers 2 2 2 2 3 4 2" xfId="3068"/>
    <cellStyle name="Milliers 2 2 2 2 3 4 2 2" xfId="3069"/>
    <cellStyle name="Milliers 2 2 2 2 3 4 2 2 2" xfId="3070"/>
    <cellStyle name="Milliers 2 2 2 2 3 4 2 2 2 2" xfId="3071"/>
    <cellStyle name="Milliers 2 2 2 2 3 4 2 2 2 2 2" xfId="3072"/>
    <cellStyle name="Milliers 2 2 2 2 3 4 2 2 2 2 2 2" xfId="3073"/>
    <cellStyle name="Milliers 2 2 2 2 3 4 2 2 2 2 2 2 2" xfId="3074"/>
    <cellStyle name="Milliers 2 2 2 2 3 4 2 2 2 2 2 3" xfId="3075"/>
    <cellStyle name="Milliers 2 2 2 2 3 4 2 2 2 2 3" xfId="3076"/>
    <cellStyle name="Milliers 2 2 2 2 3 4 2 2 2 2 3 2" xfId="3077"/>
    <cellStyle name="Milliers 2 2 2 2 3 4 2 2 2 2 4" xfId="3078"/>
    <cellStyle name="Milliers 2 2 2 2 3 4 2 2 2 3" xfId="3079"/>
    <cellStyle name="Milliers 2 2 2 2 3 4 2 2 2 3 2" xfId="3080"/>
    <cellStyle name="Milliers 2 2 2 2 3 4 2 2 2 3 2 2" xfId="3081"/>
    <cellStyle name="Milliers 2 2 2 2 3 4 2 2 2 3 3" xfId="3082"/>
    <cellStyle name="Milliers 2 2 2 2 3 4 2 2 2 4" xfId="3083"/>
    <cellStyle name="Milliers 2 2 2 2 3 4 2 2 2 4 2" xfId="3084"/>
    <cellStyle name="Milliers 2 2 2 2 3 4 2 2 2 5" xfId="3085"/>
    <cellStyle name="Milliers 2 2 2 2 3 4 2 2 3" xfId="3086"/>
    <cellStyle name="Milliers 2 2 2 2 3 4 2 2 3 2" xfId="3087"/>
    <cellStyle name="Milliers 2 2 2 2 3 4 2 2 3 2 2" xfId="3088"/>
    <cellStyle name="Milliers 2 2 2 2 3 4 2 2 3 2 2 2" xfId="3089"/>
    <cellStyle name="Milliers 2 2 2 2 3 4 2 2 3 2 3" xfId="3090"/>
    <cellStyle name="Milliers 2 2 2 2 3 4 2 2 3 3" xfId="3091"/>
    <cellStyle name="Milliers 2 2 2 2 3 4 2 2 3 3 2" xfId="3092"/>
    <cellStyle name="Milliers 2 2 2 2 3 4 2 2 3 4" xfId="3093"/>
    <cellStyle name="Milliers 2 2 2 2 3 4 2 2 4" xfId="3094"/>
    <cellStyle name="Milliers 2 2 2 2 3 4 2 2 4 2" xfId="3095"/>
    <cellStyle name="Milliers 2 2 2 2 3 4 2 2 4 2 2" xfId="3096"/>
    <cellStyle name="Milliers 2 2 2 2 3 4 2 2 4 3" xfId="3097"/>
    <cellStyle name="Milliers 2 2 2 2 3 4 2 2 5" xfId="3098"/>
    <cellStyle name="Milliers 2 2 2 2 3 4 2 2 5 2" xfId="3099"/>
    <cellStyle name="Milliers 2 2 2 2 3 4 2 2 6" xfId="3100"/>
    <cellStyle name="Milliers 2 2 2 2 3 4 2 3" xfId="3101"/>
    <cellStyle name="Milliers 2 2 2 2 3 4 2 3 2" xfId="3102"/>
    <cellStyle name="Milliers 2 2 2 2 3 4 2 3 2 2" xfId="3103"/>
    <cellStyle name="Milliers 2 2 2 2 3 4 2 3 2 2 2" xfId="3104"/>
    <cellStyle name="Milliers 2 2 2 2 3 4 2 3 2 2 2 2" xfId="3105"/>
    <cellStyle name="Milliers 2 2 2 2 3 4 2 3 2 2 3" xfId="3106"/>
    <cellStyle name="Milliers 2 2 2 2 3 4 2 3 2 3" xfId="3107"/>
    <cellStyle name="Milliers 2 2 2 2 3 4 2 3 2 3 2" xfId="3108"/>
    <cellStyle name="Milliers 2 2 2 2 3 4 2 3 2 4" xfId="3109"/>
    <cellStyle name="Milliers 2 2 2 2 3 4 2 3 3" xfId="3110"/>
    <cellStyle name="Milliers 2 2 2 2 3 4 2 3 3 2" xfId="3111"/>
    <cellStyle name="Milliers 2 2 2 2 3 4 2 3 3 2 2" xfId="3112"/>
    <cellStyle name="Milliers 2 2 2 2 3 4 2 3 3 3" xfId="3113"/>
    <cellStyle name="Milliers 2 2 2 2 3 4 2 3 4" xfId="3114"/>
    <cellStyle name="Milliers 2 2 2 2 3 4 2 3 4 2" xfId="3115"/>
    <cellStyle name="Milliers 2 2 2 2 3 4 2 3 5" xfId="3116"/>
    <cellStyle name="Milliers 2 2 2 2 3 4 2 4" xfId="3117"/>
    <cellStyle name="Milliers 2 2 2 2 3 4 2 4 2" xfId="3118"/>
    <cellStyle name="Milliers 2 2 2 2 3 4 2 4 2 2" xfId="3119"/>
    <cellStyle name="Milliers 2 2 2 2 3 4 2 4 2 2 2" xfId="3120"/>
    <cellStyle name="Milliers 2 2 2 2 3 4 2 4 2 3" xfId="3121"/>
    <cellStyle name="Milliers 2 2 2 2 3 4 2 4 3" xfId="3122"/>
    <cellStyle name="Milliers 2 2 2 2 3 4 2 4 3 2" xfId="3123"/>
    <cellStyle name="Milliers 2 2 2 2 3 4 2 4 4" xfId="3124"/>
    <cellStyle name="Milliers 2 2 2 2 3 4 2 5" xfId="3125"/>
    <cellStyle name="Milliers 2 2 2 2 3 4 2 5 2" xfId="3126"/>
    <cellStyle name="Milliers 2 2 2 2 3 4 2 5 2 2" xfId="3127"/>
    <cellStyle name="Milliers 2 2 2 2 3 4 2 5 3" xfId="3128"/>
    <cellStyle name="Milliers 2 2 2 2 3 4 2 6" xfId="3129"/>
    <cellStyle name="Milliers 2 2 2 2 3 4 2 6 2" xfId="3130"/>
    <cellStyle name="Milliers 2 2 2 2 3 4 2 7" xfId="3131"/>
    <cellStyle name="Milliers 2 2 2 2 3 4 3" xfId="3132"/>
    <cellStyle name="Milliers 2 2 2 2 3 4 3 2" xfId="3133"/>
    <cellStyle name="Milliers 2 2 2 2 3 4 3 2 2" xfId="3134"/>
    <cellStyle name="Milliers 2 2 2 2 3 4 3 2 2 2" xfId="3135"/>
    <cellStyle name="Milliers 2 2 2 2 3 4 3 2 2 2 2" xfId="3136"/>
    <cellStyle name="Milliers 2 2 2 2 3 4 3 2 2 2 2 2" xfId="3137"/>
    <cellStyle name="Milliers 2 2 2 2 3 4 3 2 2 2 3" xfId="3138"/>
    <cellStyle name="Milliers 2 2 2 2 3 4 3 2 2 3" xfId="3139"/>
    <cellStyle name="Milliers 2 2 2 2 3 4 3 2 2 3 2" xfId="3140"/>
    <cellStyle name="Milliers 2 2 2 2 3 4 3 2 2 4" xfId="3141"/>
    <cellStyle name="Milliers 2 2 2 2 3 4 3 2 3" xfId="3142"/>
    <cellStyle name="Milliers 2 2 2 2 3 4 3 2 3 2" xfId="3143"/>
    <cellStyle name="Milliers 2 2 2 2 3 4 3 2 3 2 2" xfId="3144"/>
    <cellStyle name="Milliers 2 2 2 2 3 4 3 2 3 3" xfId="3145"/>
    <cellStyle name="Milliers 2 2 2 2 3 4 3 2 4" xfId="3146"/>
    <cellStyle name="Milliers 2 2 2 2 3 4 3 2 4 2" xfId="3147"/>
    <cellStyle name="Milliers 2 2 2 2 3 4 3 2 5" xfId="3148"/>
    <cellStyle name="Milliers 2 2 2 2 3 4 3 3" xfId="3149"/>
    <cellStyle name="Milliers 2 2 2 2 3 4 3 3 2" xfId="3150"/>
    <cellStyle name="Milliers 2 2 2 2 3 4 3 3 2 2" xfId="3151"/>
    <cellStyle name="Milliers 2 2 2 2 3 4 3 3 2 2 2" xfId="3152"/>
    <cellStyle name="Milliers 2 2 2 2 3 4 3 3 2 3" xfId="3153"/>
    <cellStyle name="Milliers 2 2 2 2 3 4 3 3 3" xfId="3154"/>
    <cellStyle name="Milliers 2 2 2 2 3 4 3 3 3 2" xfId="3155"/>
    <cellStyle name="Milliers 2 2 2 2 3 4 3 3 4" xfId="3156"/>
    <cellStyle name="Milliers 2 2 2 2 3 4 3 4" xfId="3157"/>
    <cellStyle name="Milliers 2 2 2 2 3 4 3 4 2" xfId="3158"/>
    <cellStyle name="Milliers 2 2 2 2 3 4 3 4 2 2" xfId="3159"/>
    <cellStyle name="Milliers 2 2 2 2 3 4 3 4 3" xfId="3160"/>
    <cellStyle name="Milliers 2 2 2 2 3 4 3 5" xfId="3161"/>
    <cellStyle name="Milliers 2 2 2 2 3 4 3 5 2" xfId="3162"/>
    <cellStyle name="Milliers 2 2 2 2 3 4 3 6" xfId="3163"/>
    <cellStyle name="Milliers 2 2 2 2 3 4 4" xfId="3164"/>
    <cellStyle name="Milliers 2 2 2 2 3 4 4 2" xfId="3165"/>
    <cellStyle name="Milliers 2 2 2 2 3 4 4 2 2" xfId="3166"/>
    <cellStyle name="Milliers 2 2 2 2 3 4 4 2 2 2" xfId="3167"/>
    <cellStyle name="Milliers 2 2 2 2 3 4 4 2 2 2 2" xfId="3168"/>
    <cellStyle name="Milliers 2 2 2 2 3 4 4 2 2 3" xfId="3169"/>
    <cellStyle name="Milliers 2 2 2 2 3 4 4 2 3" xfId="3170"/>
    <cellStyle name="Milliers 2 2 2 2 3 4 4 2 3 2" xfId="3171"/>
    <cellStyle name="Milliers 2 2 2 2 3 4 4 2 4" xfId="3172"/>
    <cellStyle name="Milliers 2 2 2 2 3 4 4 3" xfId="3173"/>
    <cellStyle name="Milliers 2 2 2 2 3 4 4 3 2" xfId="3174"/>
    <cellStyle name="Milliers 2 2 2 2 3 4 4 3 2 2" xfId="3175"/>
    <cellStyle name="Milliers 2 2 2 2 3 4 4 3 3" xfId="3176"/>
    <cellStyle name="Milliers 2 2 2 2 3 4 4 4" xfId="3177"/>
    <cellStyle name="Milliers 2 2 2 2 3 4 4 4 2" xfId="3178"/>
    <cellStyle name="Milliers 2 2 2 2 3 4 4 5" xfId="3179"/>
    <cellStyle name="Milliers 2 2 2 2 3 4 5" xfId="3180"/>
    <cellStyle name="Milliers 2 2 2 2 3 4 5 2" xfId="3181"/>
    <cellStyle name="Milliers 2 2 2 2 3 4 5 2 2" xfId="3182"/>
    <cellStyle name="Milliers 2 2 2 2 3 4 5 2 2 2" xfId="3183"/>
    <cellStyle name="Milliers 2 2 2 2 3 4 5 2 3" xfId="3184"/>
    <cellStyle name="Milliers 2 2 2 2 3 4 5 3" xfId="3185"/>
    <cellStyle name="Milliers 2 2 2 2 3 4 5 3 2" xfId="3186"/>
    <cellStyle name="Milliers 2 2 2 2 3 4 5 4" xfId="3187"/>
    <cellStyle name="Milliers 2 2 2 2 3 4 6" xfId="3188"/>
    <cellStyle name="Milliers 2 2 2 2 3 4 6 2" xfId="3189"/>
    <cellStyle name="Milliers 2 2 2 2 3 4 6 2 2" xfId="3190"/>
    <cellStyle name="Milliers 2 2 2 2 3 4 6 3" xfId="3191"/>
    <cellStyle name="Milliers 2 2 2 2 3 4 7" xfId="3192"/>
    <cellStyle name="Milliers 2 2 2 2 3 4 7 2" xfId="3193"/>
    <cellStyle name="Milliers 2 2 2 2 3 4 8" xfId="3194"/>
    <cellStyle name="Milliers 2 2 2 2 3 5" xfId="3195"/>
    <cellStyle name="Milliers 2 2 2 2 3 5 2" xfId="3196"/>
    <cellStyle name="Milliers 2 2 2 2 3 5 2 2" xfId="3197"/>
    <cellStyle name="Milliers 2 2 2 2 3 5 2 2 2" xfId="3198"/>
    <cellStyle name="Milliers 2 2 2 2 3 5 2 2 2 2" xfId="3199"/>
    <cellStyle name="Milliers 2 2 2 2 3 5 2 2 2 2 2" xfId="3200"/>
    <cellStyle name="Milliers 2 2 2 2 3 5 2 2 2 2 2 2" xfId="3201"/>
    <cellStyle name="Milliers 2 2 2 2 3 5 2 2 2 2 3" xfId="3202"/>
    <cellStyle name="Milliers 2 2 2 2 3 5 2 2 2 3" xfId="3203"/>
    <cellStyle name="Milliers 2 2 2 2 3 5 2 2 2 3 2" xfId="3204"/>
    <cellStyle name="Milliers 2 2 2 2 3 5 2 2 2 4" xfId="3205"/>
    <cellStyle name="Milliers 2 2 2 2 3 5 2 2 3" xfId="3206"/>
    <cellStyle name="Milliers 2 2 2 2 3 5 2 2 3 2" xfId="3207"/>
    <cellStyle name="Milliers 2 2 2 2 3 5 2 2 3 2 2" xfId="3208"/>
    <cellStyle name="Milliers 2 2 2 2 3 5 2 2 3 3" xfId="3209"/>
    <cellStyle name="Milliers 2 2 2 2 3 5 2 2 4" xfId="3210"/>
    <cellStyle name="Milliers 2 2 2 2 3 5 2 2 4 2" xfId="3211"/>
    <cellStyle name="Milliers 2 2 2 2 3 5 2 2 5" xfId="3212"/>
    <cellStyle name="Milliers 2 2 2 2 3 5 2 3" xfId="3213"/>
    <cellStyle name="Milliers 2 2 2 2 3 5 2 3 2" xfId="3214"/>
    <cellStyle name="Milliers 2 2 2 2 3 5 2 3 2 2" xfId="3215"/>
    <cellStyle name="Milliers 2 2 2 2 3 5 2 3 2 2 2" xfId="3216"/>
    <cellStyle name="Milliers 2 2 2 2 3 5 2 3 2 3" xfId="3217"/>
    <cellStyle name="Milliers 2 2 2 2 3 5 2 3 3" xfId="3218"/>
    <cellStyle name="Milliers 2 2 2 2 3 5 2 3 3 2" xfId="3219"/>
    <cellStyle name="Milliers 2 2 2 2 3 5 2 3 4" xfId="3220"/>
    <cellStyle name="Milliers 2 2 2 2 3 5 2 4" xfId="3221"/>
    <cellStyle name="Milliers 2 2 2 2 3 5 2 4 2" xfId="3222"/>
    <cellStyle name="Milliers 2 2 2 2 3 5 2 4 2 2" xfId="3223"/>
    <cellStyle name="Milliers 2 2 2 2 3 5 2 4 3" xfId="3224"/>
    <cellStyle name="Milliers 2 2 2 2 3 5 2 5" xfId="3225"/>
    <cellStyle name="Milliers 2 2 2 2 3 5 2 5 2" xfId="3226"/>
    <cellStyle name="Milliers 2 2 2 2 3 5 2 6" xfId="3227"/>
    <cellStyle name="Milliers 2 2 2 2 3 5 3" xfId="3228"/>
    <cellStyle name="Milliers 2 2 2 2 3 5 3 2" xfId="3229"/>
    <cellStyle name="Milliers 2 2 2 2 3 5 3 2 2" xfId="3230"/>
    <cellStyle name="Milliers 2 2 2 2 3 5 3 2 2 2" xfId="3231"/>
    <cellStyle name="Milliers 2 2 2 2 3 5 3 2 2 2 2" xfId="3232"/>
    <cellStyle name="Milliers 2 2 2 2 3 5 3 2 2 3" xfId="3233"/>
    <cellStyle name="Milliers 2 2 2 2 3 5 3 2 3" xfId="3234"/>
    <cellStyle name="Milliers 2 2 2 2 3 5 3 2 3 2" xfId="3235"/>
    <cellStyle name="Milliers 2 2 2 2 3 5 3 2 4" xfId="3236"/>
    <cellStyle name="Milliers 2 2 2 2 3 5 3 3" xfId="3237"/>
    <cellStyle name="Milliers 2 2 2 2 3 5 3 3 2" xfId="3238"/>
    <cellStyle name="Milliers 2 2 2 2 3 5 3 3 2 2" xfId="3239"/>
    <cellStyle name="Milliers 2 2 2 2 3 5 3 3 3" xfId="3240"/>
    <cellStyle name="Milliers 2 2 2 2 3 5 3 4" xfId="3241"/>
    <cellStyle name="Milliers 2 2 2 2 3 5 3 4 2" xfId="3242"/>
    <cellStyle name="Milliers 2 2 2 2 3 5 3 5" xfId="3243"/>
    <cellStyle name="Milliers 2 2 2 2 3 5 4" xfId="3244"/>
    <cellStyle name="Milliers 2 2 2 2 3 5 4 2" xfId="3245"/>
    <cellStyle name="Milliers 2 2 2 2 3 5 4 2 2" xfId="3246"/>
    <cellStyle name="Milliers 2 2 2 2 3 5 4 2 2 2" xfId="3247"/>
    <cellStyle name="Milliers 2 2 2 2 3 5 4 2 3" xfId="3248"/>
    <cellStyle name="Milliers 2 2 2 2 3 5 4 3" xfId="3249"/>
    <cellStyle name="Milliers 2 2 2 2 3 5 4 3 2" xfId="3250"/>
    <cellStyle name="Milliers 2 2 2 2 3 5 4 4" xfId="3251"/>
    <cellStyle name="Milliers 2 2 2 2 3 5 5" xfId="3252"/>
    <cellStyle name="Milliers 2 2 2 2 3 5 5 2" xfId="3253"/>
    <cellStyle name="Milliers 2 2 2 2 3 5 5 2 2" xfId="3254"/>
    <cellStyle name="Milliers 2 2 2 2 3 5 5 3" xfId="3255"/>
    <cellStyle name="Milliers 2 2 2 2 3 5 6" xfId="3256"/>
    <cellStyle name="Milliers 2 2 2 2 3 5 6 2" xfId="3257"/>
    <cellStyle name="Milliers 2 2 2 2 3 5 7" xfId="3258"/>
    <cellStyle name="Milliers 2 2 2 2 3 6" xfId="3259"/>
    <cellStyle name="Milliers 2 2 2 2 3 6 2" xfId="3260"/>
    <cellStyle name="Milliers 2 2 2 2 3 6 2 2" xfId="3261"/>
    <cellStyle name="Milliers 2 2 2 2 3 6 2 2 2" xfId="3262"/>
    <cellStyle name="Milliers 2 2 2 2 3 6 2 2 2 2" xfId="3263"/>
    <cellStyle name="Milliers 2 2 2 2 3 6 2 2 2 2 2" xfId="3264"/>
    <cellStyle name="Milliers 2 2 2 2 3 6 2 2 2 3" xfId="3265"/>
    <cellStyle name="Milliers 2 2 2 2 3 6 2 2 3" xfId="3266"/>
    <cellStyle name="Milliers 2 2 2 2 3 6 2 2 3 2" xfId="3267"/>
    <cellStyle name="Milliers 2 2 2 2 3 6 2 2 4" xfId="3268"/>
    <cellStyle name="Milliers 2 2 2 2 3 6 2 3" xfId="3269"/>
    <cellStyle name="Milliers 2 2 2 2 3 6 2 3 2" xfId="3270"/>
    <cellStyle name="Milliers 2 2 2 2 3 6 2 3 2 2" xfId="3271"/>
    <cellStyle name="Milliers 2 2 2 2 3 6 2 3 3" xfId="3272"/>
    <cellStyle name="Milliers 2 2 2 2 3 6 2 4" xfId="3273"/>
    <cellStyle name="Milliers 2 2 2 2 3 6 2 4 2" xfId="3274"/>
    <cellStyle name="Milliers 2 2 2 2 3 6 2 5" xfId="3275"/>
    <cellStyle name="Milliers 2 2 2 2 3 6 3" xfId="3276"/>
    <cellStyle name="Milliers 2 2 2 2 3 6 3 2" xfId="3277"/>
    <cellStyle name="Milliers 2 2 2 2 3 6 3 2 2" xfId="3278"/>
    <cellStyle name="Milliers 2 2 2 2 3 6 3 2 2 2" xfId="3279"/>
    <cellStyle name="Milliers 2 2 2 2 3 6 3 2 3" xfId="3280"/>
    <cellStyle name="Milliers 2 2 2 2 3 6 3 3" xfId="3281"/>
    <cellStyle name="Milliers 2 2 2 2 3 6 3 3 2" xfId="3282"/>
    <cellStyle name="Milliers 2 2 2 2 3 6 3 4" xfId="3283"/>
    <cellStyle name="Milliers 2 2 2 2 3 6 4" xfId="3284"/>
    <cellStyle name="Milliers 2 2 2 2 3 6 4 2" xfId="3285"/>
    <cellStyle name="Milliers 2 2 2 2 3 6 4 2 2" xfId="3286"/>
    <cellStyle name="Milliers 2 2 2 2 3 6 4 3" xfId="3287"/>
    <cellStyle name="Milliers 2 2 2 2 3 6 5" xfId="3288"/>
    <cellStyle name="Milliers 2 2 2 2 3 6 5 2" xfId="3289"/>
    <cellStyle name="Milliers 2 2 2 2 3 6 6" xfId="3290"/>
    <cellStyle name="Milliers 2 2 2 2 3 7" xfId="3291"/>
    <cellStyle name="Milliers 2 2 2 2 3 7 2" xfId="3292"/>
    <cellStyle name="Milliers 2 2 2 2 3 7 2 2" xfId="3293"/>
    <cellStyle name="Milliers 2 2 2 2 3 7 2 2 2" xfId="3294"/>
    <cellStyle name="Milliers 2 2 2 2 3 7 2 2 2 2" xfId="3295"/>
    <cellStyle name="Milliers 2 2 2 2 3 7 2 2 3" xfId="3296"/>
    <cellStyle name="Milliers 2 2 2 2 3 7 2 3" xfId="3297"/>
    <cellStyle name="Milliers 2 2 2 2 3 7 2 3 2" xfId="3298"/>
    <cellStyle name="Milliers 2 2 2 2 3 7 2 4" xfId="3299"/>
    <cellStyle name="Milliers 2 2 2 2 3 7 3" xfId="3300"/>
    <cellStyle name="Milliers 2 2 2 2 3 7 3 2" xfId="3301"/>
    <cellStyle name="Milliers 2 2 2 2 3 7 3 2 2" xfId="3302"/>
    <cellStyle name="Milliers 2 2 2 2 3 7 3 3" xfId="3303"/>
    <cellStyle name="Milliers 2 2 2 2 3 7 4" xfId="3304"/>
    <cellStyle name="Milliers 2 2 2 2 3 7 4 2" xfId="3305"/>
    <cellStyle name="Milliers 2 2 2 2 3 7 5" xfId="3306"/>
    <cellStyle name="Milliers 2 2 2 2 3 8" xfId="3307"/>
    <cellStyle name="Milliers 2 2 2 2 3 8 2" xfId="3308"/>
    <cellStyle name="Milliers 2 2 2 2 3 8 2 2" xfId="3309"/>
    <cellStyle name="Milliers 2 2 2 2 3 8 2 2 2" xfId="3310"/>
    <cellStyle name="Milliers 2 2 2 2 3 8 2 3" xfId="3311"/>
    <cellStyle name="Milliers 2 2 2 2 3 8 3" xfId="3312"/>
    <cellStyle name="Milliers 2 2 2 2 3 8 3 2" xfId="3313"/>
    <cellStyle name="Milliers 2 2 2 2 3 8 4" xfId="3314"/>
    <cellStyle name="Milliers 2 2 2 2 3 9" xfId="3315"/>
    <cellStyle name="Milliers 2 2 2 2 3 9 2" xfId="3316"/>
    <cellStyle name="Milliers 2 2 2 2 3 9 2 2" xfId="3317"/>
    <cellStyle name="Milliers 2 2 2 2 3 9 3" xfId="3318"/>
    <cellStyle name="Milliers 2 2 2 2 4" xfId="3319"/>
    <cellStyle name="Milliers 2 2 2 2 4 10" xfId="3320"/>
    <cellStyle name="Milliers 2 2 2 2 4 2" xfId="3321"/>
    <cellStyle name="Milliers 2 2 2 2 4 2 2" xfId="3322"/>
    <cellStyle name="Milliers 2 2 2 2 4 2 2 2" xfId="3323"/>
    <cellStyle name="Milliers 2 2 2 2 4 2 2 2 2" xfId="3324"/>
    <cellStyle name="Milliers 2 2 2 2 4 2 2 2 2 2" xfId="3325"/>
    <cellStyle name="Milliers 2 2 2 2 4 2 2 2 2 2 2" xfId="3326"/>
    <cellStyle name="Milliers 2 2 2 2 4 2 2 2 2 2 2 2" xfId="3327"/>
    <cellStyle name="Milliers 2 2 2 2 4 2 2 2 2 2 2 2 2" xfId="3328"/>
    <cellStyle name="Milliers 2 2 2 2 4 2 2 2 2 2 2 2 2 2" xfId="3329"/>
    <cellStyle name="Milliers 2 2 2 2 4 2 2 2 2 2 2 2 3" xfId="3330"/>
    <cellStyle name="Milliers 2 2 2 2 4 2 2 2 2 2 2 3" xfId="3331"/>
    <cellStyle name="Milliers 2 2 2 2 4 2 2 2 2 2 2 3 2" xfId="3332"/>
    <cellStyle name="Milliers 2 2 2 2 4 2 2 2 2 2 2 4" xfId="3333"/>
    <cellStyle name="Milliers 2 2 2 2 4 2 2 2 2 2 3" xfId="3334"/>
    <cellStyle name="Milliers 2 2 2 2 4 2 2 2 2 2 3 2" xfId="3335"/>
    <cellStyle name="Milliers 2 2 2 2 4 2 2 2 2 2 3 2 2" xfId="3336"/>
    <cellStyle name="Milliers 2 2 2 2 4 2 2 2 2 2 3 3" xfId="3337"/>
    <cellStyle name="Milliers 2 2 2 2 4 2 2 2 2 2 4" xfId="3338"/>
    <cellStyle name="Milliers 2 2 2 2 4 2 2 2 2 2 4 2" xfId="3339"/>
    <cellStyle name="Milliers 2 2 2 2 4 2 2 2 2 2 5" xfId="3340"/>
    <cellStyle name="Milliers 2 2 2 2 4 2 2 2 2 3" xfId="3341"/>
    <cellStyle name="Milliers 2 2 2 2 4 2 2 2 2 3 2" xfId="3342"/>
    <cellStyle name="Milliers 2 2 2 2 4 2 2 2 2 3 2 2" xfId="3343"/>
    <cellStyle name="Milliers 2 2 2 2 4 2 2 2 2 3 2 2 2" xfId="3344"/>
    <cellStyle name="Milliers 2 2 2 2 4 2 2 2 2 3 2 3" xfId="3345"/>
    <cellStyle name="Milliers 2 2 2 2 4 2 2 2 2 3 3" xfId="3346"/>
    <cellStyle name="Milliers 2 2 2 2 4 2 2 2 2 3 3 2" xfId="3347"/>
    <cellStyle name="Milliers 2 2 2 2 4 2 2 2 2 3 4" xfId="3348"/>
    <cellStyle name="Milliers 2 2 2 2 4 2 2 2 2 4" xfId="3349"/>
    <cellStyle name="Milliers 2 2 2 2 4 2 2 2 2 4 2" xfId="3350"/>
    <cellStyle name="Milliers 2 2 2 2 4 2 2 2 2 4 2 2" xfId="3351"/>
    <cellStyle name="Milliers 2 2 2 2 4 2 2 2 2 4 3" xfId="3352"/>
    <cellStyle name="Milliers 2 2 2 2 4 2 2 2 2 5" xfId="3353"/>
    <cellStyle name="Milliers 2 2 2 2 4 2 2 2 2 5 2" xfId="3354"/>
    <cellStyle name="Milliers 2 2 2 2 4 2 2 2 2 6" xfId="3355"/>
    <cellStyle name="Milliers 2 2 2 2 4 2 2 2 3" xfId="3356"/>
    <cellStyle name="Milliers 2 2 2 2 4 2 2 2 3 2" xfId="3357"/>
    <cellStyle name="Milliers 2 2 2 2 4 2 2 2 3 2 2" xfId="3358"/>
    <cellStyle name="Milliers 2 2 2 2 4 2 2 2 3 2 2 2" xfId="3359"/>
    <cellStyle name="Milliers 2 2 2 2 4 2 2 2 3 2 2 2 2" xfId="3360"/>
    <cellStyle name="Milliers 2 2 2 2 4 2 2 2 3 2 2 3" xfId="3361"/>
    <cellStyle name="Milliers 2 2 2 2 4 2 2 2 3 2 3" xfId="3362"/>
    <cellStyle name="Milliers 2 2 2 2 4 2 2 2 3 2 3 2" xfId="3363"/>
    <cellStyle name="Milliers 2 2 2 2 4 2 2 2 3 2 4" xfId="3364"/>
    <cellStyle name="Milliers 2 2 2 2 4 2 2 2 3 3" xfId="3365"/>
    <cellStyle name="Milliers 2 2 2 2 4 2 2 2 3 3 2" xfId="3366"/>
    <cellStyle name="Milliers 2 2 2 2 4 2 2 2 3 3 2 2" xfId="3367"/>
    <cellStyle name="Milliers 2 2 2 2 4 2 2 2 3 3 3" xfId="3368"/>
    <cellStyle name="Milliers 2 2 2 2 4 2 2 2 3 4" xfId="3369"/>
    <cellStyle name="Milliers 2 2 2 2 4 2 2 2 3 4 2" xfId="3370"/>
    <cellStyle name="Milliers 2 2 2 2 4 2 2 2 3 5" xfId="3371"/>
    <cellStyle name="Milliers 2 2 2 2 4 2 2 2 4" xfId="3372"/>
    <cellStyle name="Milliers 2 2 2 2 4 2 2 2 4 2" xfId="3373"/>
    <cellStyle name="Milliers 2 2 2 2 4 2 2 2 4 2 2" xfId="3374"/>
    <cellStyle name="Milliers 2 2 2 2 4 2 2 2 4 2 2 2" xfId="3375"/>
    <cellStyle name="Milliers 2 2 2 2 4 2 2 2 4 2 3" xfId="3376"/>
    <cellStyle name="Milliers 2 2 2 2 4 2 2 2 4 3" xfId="3377"/>
    <cellStyle name="Milliers 2 2 2 2 4 2 2 2 4 3 2" xfId="3378"/>
    <cellStyle name="Milliers 2 2 2 2 4 2 2 2 4 4" xfId="3379"/>
    <cellStyle name="Milliers 2 2 2 2 4 2 2 2 5" xfId="3380"/>
    <cellStyle name="Milliers 2 2 2 2 4 2 2 2 5 2" xfId="3381"/>
    <cellStyle name="Milliers 2 2 2 2 4 2 2 2 5 2 2" xfId="3382"/>
    <cellStyle name="Milliers 2 2 2 2 4 2 2 2 5 3" xfId="3383"/>
    <cellStyle name="Milliers 2 2 2 2 4 2 2 2 6" xfId="3384"/>
    <cellStyle name="Milliers 2 2 2 2 4 2 2 2 6 2" xfId="3385"/>
    <cellStyle name="Milliers 2 2 2 2 4 2 2 2 7" xfId="3386"/>
    <cellStyle name="Milliers 2 2 2 2 4 2 2 3" xfId="3387"/>
    <cellStyle name="Milliers 2 2 2 2 4 2 2 3 2" xfId="3388"/>
    <cellStyle name="Milliers 2 2 2 2 4 2 2 3 2 2" xfId="3389"/>
    <cellStyle name="Milliers 2 2 2 2 4 2 2 3 2 2 2" xfId="3390"/>
    <cellStyle name="Milliers 2 2 2 2 4 2 2 3 2 2 2 2" xfId="3391"/>
    <cellStyle name="Milliers 2 2 2 2 4 2 2 3 2 2 2 2 2" xfId="3392"/>
    <cellStyle name="Milliers 2 2 2 2 4 2 2 3 2 2 2 3" xfId="3393"/>
    <cellStyle name="Milliers 2 2 2 2 4 2 2 3 2 2 3" xfId="3394"/>
    <cellStyle name="Milliers 2 2 2 2 4 2 2 3 2 2 3 2" xfId="3395"/>
    <cellStyle name="Milliers 2 2 2 2 4 2 2 3 2 2 4" xfId="3396"/>
    <cellStyle name="Milliers 2 2 2 2 4 2 2 3 2 3" xfId="3397"/>
    <cellStyle name="Milliers 2 2 2 2 4 2 2 3 2 3 2" xfId="3398"/>
    <cellStyle name="Milliers 2 2 2 2 4 2 2 3 2 3 2 2" xfId="3399"/>
    <cellStyle name="Milliers 2 2 2 2 4 2 2 3 2 3 3" xfId="3400"/>
    <cellStyle name="Milliers 2 2 2 2 4 2 2 3 2 4" xfId="3401"/>
    <cellStyle name="Milliers 2 2 2 2 4 2 2 3 2 4 2" xfId="3402"/>
    <cellStyle name="Milliers 2 2 2 2 4 2 2 3 2 5" xfId="3403"/>
    <cellStyle name="Milliers 2 2 2 2 4 2 2 3 3" xfId="3404"/>
    <cellStyle name="Milliers 2 2 2 2 4 2 2 3 3 2" xfId="3405"/>
    <cellStyle name="Milliers 2 2 2 2 4 2 2 3 3 2 2" xfId="3406"/>
    <cellStyle name="Milliers 2 2 2 2 4 2 2 3 3 2 2 2" xfId="3407"/>
    <cellStyle name="Milliers 2 2 2 2 4 2 2 3 3 2 3" xfId="3408"/>
    <cellStyle name="Milliers 2 2 2 2 4 2 2 3 3 3" xfId="3409"/>
    <cellStyle name="Milliers 2 2 2 2 4 2 2 3 3 3 2" xfId="3410"/>
    <cellStyle name="Milliers 2 2 2 2 4 2 2 3 3 4" xfId="3411"/>
    <cellStyle name="Milliers 2 2 2 2 4 2 2 3 4" xfId="3412"/>
    <cellStyle name="Milliers 2 2 2 2 4 2 2 3 4 2" xfId="3413"/>
    <cellStyle name="Milliers 2 2 2 2 4 2 2 3 4 2 2" xfId="3414"/>
    <cellStyle name="Milliers 2 2 2 2 4 2 2 3 4 3" xfId="3415"/>
    <cellStyle name="Milliers 2 2 2 2 4 2 2 3 5" xfId="3416"/>
    <cellStyle name="Milliers 2 2 2 2 4 2 2 3 5 2" xfId="3417"/>
    <cellStyle name="Milliers 2 2 2 2 4 2 2 3 6" xfId="3418"/>
    <cellStyle name="Milliers 2 2 2 2 4 2 2 4" xfId="3419"/>
    <cellStyle name="Milliers 2 2 2 2 4 2 2 4 2" xfId="3420"/>
    <cellStyle name="Milliers 2 2 2 2 4 2 2 4 2 2" xfId="3421"/>
    <cellStyle name="Milliers 2 2 2 2 4 2 2 4 2 2 2" xfId="3422"/>
    <cellStyle name="Milliers 2 2 2 2 4 2 2 4 2 2 2 2" xfId="3423"/>
    <cellStyle name="Milliers 2 2 2 2 4 2 2 4 2 2 3" xfId="3424"/>
    <cellStyle name="Milliers 2 2 2 2 4 2 2 4 2 3" xfId="3425"/>
    <cellStyle name="Milliers 2 2 2 2 4 2 2 4 2 3 2" xfId="3426"/>
    <cellStyle name="Milliers 2 2 2 2 4 2 2 4 2 4" xfId="3427"/>
    <cellStyle name="Milliers 2 2 2 2 4 2 2 4 3" xfId="3428"/>
    <cellStyle name="Milliers 2 2 2 2 4 2 2 4 3 2" xfId="3429"/>
    <cellStyle name="Milliers 2 2 2 2 4 2 2 4 3 2 2" xfId="3430"/>
    <cellStyle name="Milliers 2 2 2 2 4 2 2 4 3 3" xfId="3431"/>
    <cellStyle name="Milliers 2 2 2 2 4 2 2 4 4" xfId="3432"/>
    <cellStyle name="Milliers 2 2 2 2 4 2 2 4 4 2" xfId="3433"/>
    <cellStyle name="Milliers 2 2 2 2 4 2 2 4 5" xfId="3434"/>
    <cellStyle name="Milliers 2 2 2 2 4 2 2 5" xfId="3435"/>
    <cellStyle name="Milliers 2 2 2 2 4 2 2 5 2" xfId="3436"/>
    <cellStyle name="Milliers 2 2 2 2 4 2 2 5 2 2" xfId="3437"/>
    <cellStyle name="Milliers 2 2 2 2 4 2 2 5 2 2 2" xfId="3438"/>
    <cellStyle name="Milliers 2 2 2 2 4 2 2 5 2 3" xfId="3439"/>
    <cellStyle name="Milliers 2 2 2 2 4 2 2 5 3" xfId="3440"/>
    <cellStyle name="Milliers 2 2 2 2 4 2 2 5 3 2" xfId="3441"/>
    <cellStyle name="Milliers 2 2 2 2 4 2 2 5 4" xfId="3442"/>
    <cellStyle name="Milliers 2 2 2 2 4 2 2 6" xfId="3443"/>
    <cellStyle name="Milliers 2 2 2 2 4 2 2 6 2" xfId="3444"/>
    <cellStyle name="Milliers 2 2 2 2 4 2 2 6 2 2" xfId="3445"/>
    <cellStyle name="Milliers 2 2 2 2 4 2 2 6 3" xfId="3446"/>
    <cellStyle name="Milliers 2 2 2 2 4 2 2 7" xfId="3447"/>
    <cellStyle name="Milliers 2 2 2 2 4 2 2 7 2" xfId="3448"/>
    <cellStyle name="Milliers 2 2 2 2 4 2 2 8" xfId="3449"/>
    <cellStyle name="Milliers 2 2 2 2 4 2 3" xfId="3450"/>
    <cellStyle name="Milliers 2 2 2 2 4 2 3 2" xfId="3451"/>
    <cellStyle name="Milliers 2 2 2 2 4 2 3 2 2" xfId="3452"/>
    <cellStyle name="Milliers 2 2 2 2 4 2 3 2 2 2" xfId="3453"/>
    <cellStyle name="Milliers 2 2 2 2 4 2 3 2 2 2 2" xfId="3454"/>
    <cellStyle name="Milliers 2 2 2 2 4 2 3 2 2 2 2 2" xfId="3455"/>
    <cellStyle name="Milliers 2 2 2 2 4 2 3 2 2 2 2 2 2" xfId="3456"/>
    <cellStyle name="Milliers 2 2 2 2 4 2 3 2 2 2 2 3" xfId="3457"/>
    <cellStyle name="Milliers 2 2 2 2 4 2 3 2 2 2 3" xfId="3458"/>
    <cellStyle name="Milliers 2 2 2 2 4 2 3 2 2 2 3 2" xfId="3459"/>
    <cellStyle name="Milliers 2 2 2 2 4 2 3 2 2 2 4" xfId="3460"/>
    <cellStyle name="Milliers 2 2 2 2 4 2 3 2 2 3" xfId="3461"/>
    <cellStyle name="Milliers 2 2 2 2 4 2 3 2 2 3 2" xfId="3462"/>
    <cellStyle name="Milliers 2 2 2 2 4 2 3 2 2 3 2 2" xfId="3463"/>
    <cellStyle name="Milliers 2 2 2 2 4 2 3 2 2 3 3" xfId="3464"/>
    <cellStyle name="Milliers 2 2 2 2 4 2 3 2 2 4" xfId="3465"/>
    <cellStyle name="Milliers 2 2 2 2 4 2 3 2 2 4 2" xfId="3466"/>
    <cellStyle name="Milliers 2 2 2 2 4 2 3 2 2 5" xfId="3467"/>
    <cellStyle name="Milliers 2 2 2 2 4 2 3 2 3" xfId="3468"/>
    <cellStyle name="Milliers 2 2 2 2 4 2 3 2 3 2" xfId="3469"/>
    <cellStyle name="Milliers 2 2 2 2 4 2 3 2 3 2 2" xfId="3470"/>
    <cellStyle name="Milliers 2 2 2 2 4 2 3 2 3 2 2 2" xfId="3471"/>
    <cellStyle name="Milliers 2 2 2 2 4 2 3 2 3 2 3" xfId="3472"/>
    <cellStyle name="Milliers 2 2 2 2 4 2 3 2 3 3" xfId="3473"/>
    <cellStyle name="Milliers 2 2 2 2 4 2 3 2 3 3 2" xfId="3474"/>
    <cellStyle name="Milliers 2 2 2 2 4 2 3 2 3 4" xfId="3475"/>
    <cellStyle name="Milliers 2 2 2 2 4 2 3 2 4" xfId="3476"/>
    <cellStyle name="Milliers 2 2 2 2 4 2 3 2 4 2" xfId="3477"/>
    <cellStyle name="Milliers 2 2 2 2 4 2 3 2 4 2 2" xfId="3478"/>
    <cellStyle name="Milliers 2 2 2 2 4 2 3 2 4 3" xfId="3479"/>
    <cellStyle name="Milliers 2 2 2 2 4 2 3 2 5" xfId="3480"/>
    <cellStyle name="Milliers 2 2 2 2 4 2 3 2 5 2" xfId="3481"/>
    <cellStyle name="Milliers 2 2 2 2 4 2 3 2 6" xfId="3482"/>
    <cellStyle name="Milliers 2 2 2 2 4 2 3 3" xfId="3483"/>
    <cellStyle name="Milliers 2 2 2 2 4 2 3 3 2" xfId="3484"/>
    <cellStyle name="Milliers 2 2 2 2 4 2 3 3 2 2" xfId="3485"/>
    <cellStyle name="Milliers 2 2 2 2 4 2 3 3 2 2 2" xfId="3486"/>
    <cellStyle name="Milliers 2 2 2 2 4 2 3 3 2 2 2 2" xfId="3487"/>
    <cellStyle name="Milliers 2 2 2 2 4 2 3 3 2 2 3" xfId="3488"/>
    <cellStyle name="Milliers 2 2 2 2 4 2 3 3 2 3" xfId="3489"/>
    <cellStyle name="Milliers 2 2 2 2 4 2 3 3 2 3 2" xfId="3490"/>
    <cellStyle name="Milliers 2 2 2 2 4 2 3 3 2 4" xfId="3491"/>
    <cellStyle name="Milliers 2 2 2 2 4 2 3 3 3" xfId="3492"/>
    <cellStyle name="Milliers 2 2 2 2 4 2 3 3 3 2" xfId="3493"/>
    <cellStyle name="Milliers 2 2 2 2 4 2 3 3 3 2 2" xfId="3494"/>
    <cellStyle name="Milliers 2 2 2 2 4 2 3 3 3 3" xfId="3495"/>
    <cellStyle name="Milliers 2 2 2 2 4 2 3 3 4" xfId="3496"/>
    <cellStyle name="Milliers 2 2 2 2 4 2 3 3 4 2" xfId="3497"/>
    <cellStyle name="Milliers 2 2 2 2 4 2 3 3 5" xfId="3498"/>
    <cellStyle name="Milliers 2 2 2 2 4 2 3 4" xfId="3499"/>
    <cellStyle name="Milliers 2 2 2 2 4 2 3 4 2" xfId="3500"/>
    <cellStyle name="Milliers 2 2 2 2 4 2 3 4 2 2" xfId="3501"/>
    <cellStyle name="Milliers 2 2 2 2 4 2 3 4 2 2 2" xfId="3502"/>
    <cellStyle name="Milliers 2 2 2 2 4 2 3 4 2 3" xfId="3503"/>
    <cellStyle name="Milliers 2 2 2 2 4 2 3 4 3" xfId="3504"/>
    <cellStyle name="Milliers 2 2 2 2 4 2 3 4 3 2" xfId="3505"/>
    <cellStyle name="Milliers 2 2 2 2 4 2 3 4 4" xfId="3506"/>
    <cellStyle name="Milliers 2 2 2 2 4 2 3 5" xfId="3507"/>
    <cellStyle name="Milliers 2 2 2 2 4 2 3 5 2" xfId="3508"/>
    <cellStyle name="Milliers 2 2 2 2 4 2 3 5 2 2" xfId="3509"/>
    <cellStyle name="Milliers 2 2 2 2 4 2 3 5 3" xfId="3510"/>
    <cellStyle name="Milliers 2 2 2 2 4 2 3 6" xfId="3511"/>
    <cellStyle name="Milliers 2 2 2 2 4 2 3 6 2" xfId="3512"/>
    <cellStyle name="Milliers 2 2 2 2 4 2 3 7" xfId="3513"/>
    <cellStyle name="Milliers 2 2 2 2 4 2 4" xfId="3514"/>
    <cellStyle name="Milliers 2 2 2 2 4 2 4 2" xfId="3515"/>
    <cellStyle name="Milliers 2 2 2 2 4 2 4 2 2" xfId="3516"/>
    <cellStyle name="Milliers 2 2 2 2 4 2 4 2 2 2" xfId="3517"/>
    <cellStyle name="Milliers 2 2 2 2 4 2 4 2 2 2 2" xfId="3518"/>
    <cellStyle name="Milliers 2 2 2 2 4 2 4 2 2 2 2 2" xfId="3519"/>
    <cellStyle name="Milliers 2 2 2 2 4 2 4 2 2 2 3" xfId="3520"/>
    <cellStyle name="Milliers 2 2 2 2 4 2 4 2 2 3" xfId="3521"/>
    <cellStyle name="Milliers 2 2 2 2 4 2 4 2 2 3 2" xfId="3522"/>
    <cellStyle name="Milliers 2 2 2 2 4 2 4 2 2 4" xfId="3523"/>
    <cellStyle name="Milliers 2 2 2 2 4 2 4 2 3" xfId="3524"/>
    <cellStyle name="Milliers 2 2 2 2 4 2 4 2 3 2" xfId="3525"/>
    <cellStyle name="Milliers 2 2 2 2 4 2 4 2 3 2 2" xfId="3526"/>
    <cellStyle name="Milliers 2 2 2 2 4 2 4 2 3 3" xfId="3527"/>
    <cellStyle name="Milliers 2 2 2 2 4 2 4 2 4" xfId="3528"/>
    <cellStyle name="Milliers 2 2 2 2 4 2 4 2 4 2" xfId="3529"/>
    <cellStyle name="Milliers 2 2 2 2 4 2 4 2 5" xfId="3530"/>
    <cellStyle name="Milliers 2 2 2 2 4 2 4 3" xfId="3531"/>
    <cellStyle name="Milliers 2 2 2 2 4 2 4 3 2" xfId="3532"/>
    <cellStyle name="Milliers 2 2 2 2 4 2 4 3 2 2" xfId="3533"/>
    <cellStyle name="Milliers 2 2 2 2 4 2 4 3 2 2 2" xfId="3534"/>
    <cellStyle name="Milliers 2 2 2 2 4 2 4 3 2 3" xfId="3535"/>
    <cellStyle name="Milliers 2 2 2 2 4 2 4 3 3" xfId="3536"/>
    <cellStyle name="Milliers 2 2 2 2 4 2 4 3 3 2" xfId="3537"/>
    <cellStyle name="Milliers 2 2 2 2 4 2 4 3 4" xfId="3538"/>
    <cellStyle name="Milliers 2 2 2 2 4 2 4 4" xfId="3539"/>
    <cellStyle name="Milliers 2 2 2 2 4 2 4 4 2" xfId="3540"/>
    <cellStyle name="Milliers 2 2 2 2 4 2 4 4 2 2" xfId="3541"/>
    <cellStyle name="Milliers 2 2 2 2 4 2 4 4 3" xfId="3542"/>
    <cellStyle name="Milliers 2 2 2 2 4 2 4 5" xfId="3543"/>
    <cellStyle name="Milliers 2 2 2 2 4 2 4 5 2" xfId="3544"/>
    <cellStyle name="Milliers 2 2 2 2 4 2 4 6" xfId="3545"/>
    <cellStyle name="Milliers 2 2 2 2 4 2 5" xfId="3546"/>
    <cellStyle name="Milliers 2 2 2 2 4 2 5 2" xfId="3547"/>
    <cellStyle name="Milliers 2 2 2 2 4 2 5 2 2" xfId="3548"/>
    <cellStyle name="Milliers 2 2 2 2 4 2 5 2 2 2" xfId="3549"/>
    <cellStyle name="Milliers 2 2 2 2 4 2 5 2 2 2 2" xfId="3550"/>
    <cellStyle name="Milliers 2 2 2 2 4 2 5 2 2 3" xfId="3551"/>
    <cellStyle name="Milliers 2 2 2 2 4 2 5 2 3" xfId="3552"/>
    <cellStyle name="Milliers 2 2 2 2 4 2 5 2 3 2" xfId="3553"/>
    <cellStyle name="Milliers 2 2 2 2 4 2 5 2 4" xfId="3554"/>
    <cellStyle name="Milliers 2 2 2 2 4 2 5 3" xfId="3555"/>
    <cellStyle name="Milliers 2 2 2 2 4 2 5 3 2" xfId="3556"/>
    <cellStyle name="Milliers 2 2 2 2 4 2 5 3 2 2" xfId="3557"/>
    <cellStyle name="Milliers 2 2 2 2 4 2 5 3 3" xfId="3558"/>
    <cellStyle name="Milliers 2 2 2 2 4 2 5 4" xfId="3559"/>
    <cellStyle name="Milliers 2 2 2 2 4 2 5 4 2" xfId="3560"/>
    <cellStyle name="Milliers 2 2 2 2 4 2 5 5" xfId="3561"/>
    <cellStyle name="Milliers 2 2 2 2 4 2 6" xfId="3562"/>
    <cellStyle name="Milliers 2 2 2 2 4 2 6 2" xfId="3563"/>
    <cellStyle name="Milliers 2 2 2 2 4 2 6 2 2" xfId="3564"/>
    <cellStyle name="Milliers 2 2 2 2 4 2 6 2 2 2" xfId="3565"/>
    <cellStyle name="Milliers 2 2 2 2 4 2 6 2 3" xfId="3566"/>
    <cellStyle name="Milliers 2 2 2 2 4 2 6 3" xfId="3567"/>
    <cellStyle name="Milliers 2 2 2 2 4 2 6 3 2" xfId="3568"/>
    <cellStyle name="Milliers 2 2 2 2 4 2 6 4" xfId="3569"/>
    <cellStyle name="Milliers 2 2 2 2 4 2 7" xfId="3570"/>
    <cellStyle name="Milliers 2 2 2 2 4 2 7 2" xfId="3571"/>
    <cellStyle name="Milliers 2 2 2 2 4 2 7 2 2" xfId="3572"/>
    <cellStyle name="Milliers 2 2 2 2 4 2 7 3" xfId="3573"/>
    <cellStyle name="Milliers 2 2 2 2 4 2 8" xfId="3574"/>
    <cellStyle name="Milliers 2 2 2 2 4 2 8 2" xfId="3575"/>
    <cellStyle name="Milliers 2 2 2 2 4 2 9" xfId="3576"/>
    <cellStyle name="Milliers 2 2 2 2 4 3" xfId="3577"/>
    <cellStyle name="Milliers 2 2 2 2 4 3 2" xfId="3578"/>
    <cellStyle name="Milliers 2 2 2 2 4 3 2 2" xfId="3579"/>
    <cellStyle name="Milliers 2 2 2 2 4 3 2 2 2" xfId="3580"/>
    <cellStyle name="Milliers 2 2 2 2 4 3 2 2 2 2" xfId="3581"/>
    <cellStyle name="Milliers 2 2 2 2 4 3 2 2 2 2 2" xfId="3582"/>
    <cellStyle name="Milliers 2 2 2 2 4 3 2 2 2 2 2 2" xfId="3583"/>
    <cellStyle name="Milliers 2 2 2 2 4 3 2 2 2 2 2 2 2" xfId="3584"/>
    <cellStyle name="Milliers 2 2 2 2 4 3 2 2 2 2 2 3" xfId="3585"/>
    <cellStyle name="Milliers 2 2 2 2 4 3 2 2 2 2 3" xfId="3586"/>
    <cellStyle name="Milliers 2 2 2 2 4 3 2 2 2 2 3 2" xfId="3587"/>
    <cellStyle name="Milliers 2 2 2 2 4 3 2 2 2 2 4" xfId="3588"/>
    <cellStyle name="Milliers 2 2 2 2 4 3 2 2 2 3" xfId="3589"/>
    <cellStyle name="Milliers 2 2 2 2 4 3 2 2 2 3 2" xfId="3590"/>
    <cellStyle name="Milliers 2 2 2 2 4 3 2 2 2 3 2 2" xfId="3591"/>
    <cellStyle name="Milliers 2 2 2 2 4 3 2 2 2 3 3" xfId="3592"/>
    <cellStyle name="Milliers 2 2 2 2 4 3 2 2 2 4" xfId="3593"/>
    <cellStyle name="Milliers 2 2 2 2 4 3 2 2 2 4 2" xfId="3594"/>
    <cellStyle name="Milliers 2 2 2 2 4 3 2 2 2 5" xfId="3595"/>
    <cellStyle name="Milliers 2 2 2 2 4 3 2 2 3" xfId="3596"/>
    <cellStyle name="Milliers 2 2 2 2 4 3 2 2 3 2" xfId="3597"/>
    <cellStyle name="Milliers 2 2 2 2 4 3 2 2 3 2 2" xfId="3598"/>
    <cellStyle name="Milliers 2 2 2 2 4 3 2 2 3 2 2 2" xfId="3599"/>
    <cellStyle name="Milliers 2 2 2 2 4 3 2 2 3 2 3" xfId="3600"/>
    <cellStyle name="Milliers 2 2 2 2 4 3 2 2 3 3" xfId="3601"/>
    <cellStyle name="Milliers 2 2 2 2 4 3 2 2 3 3 2" xfId="3602"/>
    <cellStyle name="Milliers 2 2 2 2 4 3 2 2 3 4" xfId="3603"/>
    <cellStyle name="Milliers 2 2 2 2 4 3 2 2 4" xfId="3604"/>
    <cellStyle name="Milliers 2 2 2 2 4 3 2 2 4 2" xfId="3605"/>
    <cellStyle name="Milliers 2 2 2 2 4 3 2 2 4 2 2" xfId="3606"/>
    <cellStyle name="Milliers 2 2 2 2 4 3 2 2 4 3" xfId="3607"/>
    <cellStyle name="Milliers 2 2 2 2 4 3 2 2 5" xfId="3608"/>
    <cellStyle name="Milliers 2 2 2 2 4 3 2 2 5 2" xfId="3609"/>
    <cellStyle name="Milliers 2 2 2 2 4 3 2 2 6" xfId="3610"/>
    <cellStyle name="Milliers 2 2 2 2 4 3 2 3" xfId="3611"/>
    <cellStyle name="Milliers 2 2 2 2 4 3 2 3 2" xfId="3612"/>
    <cellStyle name="Milliers 2 2 2 2 4 3 2 3 2 2" xfId="3613"/>
    <cellStyle name="Milliers 2 2 2 2 4 3 2 3 2 2 2" xfId="3614"/>
    <cellStyle name="Milliers 2 2 2 2 4 3 2 3 2 2 2 2" xfId="3615"/>
    <cellStyle name="Milliers 2 2 2 2 4 3 2 3 2 2 3" xfId="3616"/>
    <cellStyle name="Milliers 2 2 2 2 4 3 2 3 2 3" xfId="3617"/>
    <cellStyle name="Milliers 2 2 2 2 4 3 2 3 2 3 2" xfId="3618"/>
    <cellStyle name="Milliers 2 2 2 2 4 3 2 3 2 4" xfId="3619"/>
    <cellStyle name="Milliers 2 2 2 2 4 3 2 3 3" xfId="3620"/>
    <cellStyle name="Milliers 2 2 2 2 4 3 2 3 3 2" xfId="3621"/>
    <cellStyle name="Milliers 2 2 2 2 4 3 2 3 3 2 2" xfId="3622"/>
    <cellStyle name="Milliers 2 2 2 2 4 3 2 3 3 3" xfId="3623"/>
    <cellStyle name="Milliers 2 2 2 2 4 3 2 3 4" xfId="3624"/>
    <cellStyle name="Milliers 2 2 2 2 4 3 2 3 4 2" xfId="3625"/>
    <cellStyle name="Milliers 2 2 2 2 4 3 2 3 5" xfId="3626"/>
    <cellStyle name="Milliers 2 2 2 2 4 3 2 4" xfId="3627"/>
    <cellStyle name="Milliers 2 2 2 2 4 3 2 4 2" xfId="3628"/>
    <cellStyle name="Milliers 2 2 2 2 4 3 2 4 2 2" xfId="3629"/>
    <cellStyle name="Milliers 2 2 2 2 4 3 2 4 2 2 2" xfId="3630"/>
    <cellStyle name="Milliers 2 2 2 2 4 3 2 4 2 3" xfId="3631"/>
    <cellStyle name="Milliers 2 2 2 2 4 3 2 4 3" xfId="3632"/>
    <cellStyle name="Milliers 2 2 2 2 4 3 2 4 3 2" xfId="3633"/>
    <cellStyle name="Milliers 2 2 2 2 4 3 2 4 4" xfId="3634"/>
    <cellStyle name="Milliers 2 2 2 2 4 3 2 5" xfId="3635"/>
    <cellStyle name="Milliers 2 2 2 2 4 3 2 5 2" xfId="3636"/>
    <cellStyle name="Milliers 2 2 2 2 4 3 2 5 2 2" xfId="3637"/>
    <cellStyle name="Milliers 2 2 2 2 4 3 2 5 3" xfId="3638"/>
    <cellStyle name="Milliers 2 2 2 2 4 3 2 6" xfId="3639"/>
    <cellStyle name="Milliers 2 2 2 2 4 3 2 6 2" xfId="3640"/>
    <cellStyle name="Milliers 2 2 2 2 4 3 2 7" xfId="3641"/>
    <cellStyle name="Milliers 2 2 2 2 4 3 3" xfId="3642"/>
    <cellStyle name="Milliers 2 2 2 2 4 3 3 2" xfId="3643"/>
    <cellStyle name="Milliers 2 2 2 2 4 3 3 2 2" xfId="3644"/>
    <cellStyle name="Milliers 2 2 2 2 4 3 3 2 2 2" xfId="3645"/>
    <cellStyle name="Milliers 2 2 2 2 4 3 3 2 2 2 2" xfId="3646"/>
    <cellStyle name="Milliers 2 2 2 2 4 3 3 2 2 2 2 2" xfId="3647"/>
    <cellStyle name="Milliers 2 2 2 2 4 3 3 2 2 2 3" xfId="3648"/>
    <cellStyle name="Milliers 2 2 2 2 4 3 3 2 2 3" xfId="3649"/>
    <cellStyle name="Milliers 2 2 2 2 4 3 3 2 2 3 2" xfId="3650"/>
    <cellStyle name="Milliers 2 2 2 2 4 3 3 2 2 4" xfId="3651"/>
    <cellStyle name="Milliers 2 2 2 2 4 3 3 2 3" xfId="3652"/>
    <cellStyle name="Milliers 2 2 2 2 4 3 3 2 3 2" xfId="3653"/>
    <cellStyle name="Milliers 2 2 2 2 4 3 3 2 3 2 2" xfId="3654"/>
    <cellStyle name="Milliers 2 2 2 2 4 3 3 2 3 3" xfId="3655"/>
    <cellStyle name="Milliers 2 2 2 2 4 3 3 2 4" xfId="3656"/>
    <cellStyle name="Milliers 2 2 2 2 4 3 3 2 4 2" xfId="3657"/>
    <cellStyle name="Milliers 2 2 2 2 4 3 3 2 5" xfId="3658"/>
    <cellStyle name="Milliers 2 2 2 2 4 3 3 3" xfId="3659"/>
    <cellStyle name="Milliers 2 2 2 2 4 3 3 3 2" xfId="3660"/>
    <cellStyle name="Milliers 2 2 2 2 4 3 3 3 2 2" xfId="3661"/>
    <cellStyle name="Milliers 2 2 2 2 4 3 3 3 2 2 2" xfId="3662"/>
    <cellStyle name="Milliers 2 2 2 2 4 3 3 3 2 3" xfId="3663"/>
    <cellStyle name="Milliers 2 2 2 2 4 3 3 3 3" xfId="3664"/>
    <cellStyle name="Milliers 2 2 2 2 4 3 3 3 3 2" xfId="3665"/>
    <cellStyle name="Milliers 2 2 2 2 4 3 3 3 4" xfId="3666"/>
    <cellStyle name="Milliers 2 2 2 2 4 3 3 4" xfId="3667"/>
    <cellStyle name="Milliers 2 2 2 2 4 3 3 4 2" xfId="3668"/>
    <cellStyle name="Milliers 2 2 2 2 4 3 3 4 2 2" xfId="3669"/>
    <cellStyle name="Milliers 2 2 2 2 4 3 3 4 3" xfId="3670"/>
    <cellStyle name="Milliers 2 2 2 2 4 3 3 5" xfId="3671"/>
    <cellStyle name="Milliers 2 2 2 2 4 3 3 5 2" xfId="3672"/>
    <cellStyle name="Milliers 2 2 2 2 4 3 3 6" xfId="3673"/>
    <cellStyle name="Milliers 2 2 2 2 4 3 4" xfId="3674"/>
    <cellStyle name="Milliers 2 2 2 2 4 3 4 2" xfId="3675"/>
    <cellStyle name="Milliers 2 2 2 2 4 3 4 2 2" xfId="3676"/>
    <cellStyle name="Milliers 2 2 2 2 4 3 4 2 2 2" xfId="3677"/>
    <cellStyle name="Milliers 2 2 2 2 4 3 4 2 2 2 2" xfId="3678"/>
    <cellStyle name="Milliers 2 2 2 2 4 3 4 2 2 3" xfId="3679"/>
    <cellStyle name="Milliers 2 2 2 2 4 3 4 2 3" xfId="3680"/>
    <cellStyle name="Milliers 2 2 2 2 4 3 4 2 3 2" xfId="3681"/>
    <cellStyle name="Milliers 2 2 2 2 4 3 4 2 4" xfId="3682"/>
    <cellStyle name="Milliers 2 2 2 2 4 3 4 3" xfId="3683"/>
    <cellStyle name="Milliers 2 2 2 2 4 3 4 3 2" xfId="3684"/>
    <cellStyle name="Milliers 2 2 2 2 4 3 4 3 2 2" xfId="3685"/>
    <cellStyle name="Milliers 2 2 2 2 4 3 4 3 3" xfId="3686"/>
    <cellStyle name="Milliers 2 2 2 2 4 3 4 4" xfId="3687"/>
    <cellStyle name="Milliers 2 2 2 2 4 3 4 4 2" xfId="3688"/>
    <cellStyle name="Milliers 2 2 2 2 4 3 4 5" xfId="3689"/>
    <cellStyle name="Milliers 2 2 2 2 4 3 5" xfId="3690"/>
    <cellStyle name="Milliers 2 2 2 2 4 3 5 2" xfId="3691"/>
    <cellStyle name="Milliers 2 2 2 2 4 3 5 2 2" xfId="3692"/>
    <cellStyle name="Milliers 2 2 2 2 4 3 5 2 2 2" xfId="3693"/>
    <cellStyle name="Milliers 2 2 2 2 4 3 5 2 3" xfId="3694"/>
    <cellStyle name="Milliers 2 2 2 2 4 3 5 3" xfId="3695"/>
    <cellStyle name="Milliers 2 2 2 2 4 3 5 3 2" xfId="3696"/>
    <cellStyle name="Milliers 2 2 2 2 4 3 5 4" xfId="3697"/>
    <cellStyle name="Milliers 2 2 2 2 4 3 6" xfId="3698"/>
    <cellStyle name="Milliers 2 2 2 2 4 3 6 2" xfId="3699"/>
    <cellStyle name="Milliers 2 2 2 2 4 3 6 2 2" xfId="3700"/>
    <cellStyle name="Milliers 2 2 2 2 4 3 6 3" xfId="3701"/>
    <cellStyle name="Milliers 2 2 2 2 4 3 7" xfId="3702"/>
    <cellStyle name="Milliers 2 2 2 2 4 3 7 2" xfId="3703"/>
    <cellStyle name="Milliers 2 2 2 2 4 3 8" xfId="3704"/>
    <cellStyle name="Milliers 2 2 2 2 4 4" xfId="3705"/>
    <cellStyle name="Milliers 2 2 2 2 4 4 2" xfId="3706"/>
    <cellStyle name="Milliers 2 2 2 2 4 4 2 2" xfId="3707"/>
    <cellStyle name="Milliers 2 2 2 2 4 4 2 2 2" xfId="3708"/>
    <cellStyle name="Milliers 2 2 2 2 4 4 2 2 2 2" xfId="3709"/>
    <cellStyle name="Milliers 2 2 2 2 4 4 2 2 2 2 2" xfId="3710"/>
    <cellStyle name="Milliers 2 2 2 2 4 4 2 2 2 2 2 2" xfId="3711"/>
    <cellStyle name="Milliers 2 2 2 2 4 4 2 2 2 2 3" xfId="3712"/>
    <cellStyle name="Milliers 2 2 2 2 4 4 2 2 2 3" xfId="3713"/>
    <cellStyle name="Milliers 2 2 2 2 4 4 2 2 2 3 2" xfId="3714"/>
    <cellStyle name="Milliers 2 2 2 2 4 4 2 2 2 4" xfId="3715"/>
    <cellStyle name="Milliers 2 2 2 2 4 4 2 2 3" xfId="3716"/>
    <cellStyle name="Milliers 2 2 2 2 4 4 2 2 3 2" xfId="3717"/>
    <cellStyle name="Milliers 2 2 2 2 4 4 2 2 3 2 2" xfId="3718"/>
    <cellStyle name="Milliers 2 2 2 2 4 4 2 2 3 3" xfId="3719"/>
    <cellStyle name="Milliers 2 2 2 2 4 4 2 2 4" xfId="3720"/>
    <cellStyle name="Milliers 2 2 2 2 4 4 2 2 4 2" xfId="3721"/>
    <cellStyle name="Milliers 2 2 2 2 4 4 2 2 5" xfId="3722"/>
    <cellStyle name="Milliers 2 2 2 2 4 4 2 3" xfId="3723"/>
    <cellStyle name="Milliers 2 2 2 2 4 4 2 3 2" xfId="3724"/>
    <cellStyle name="Milliers 2 2 2 2 4 4 2 3 2 2" xfId="3725"/>
    <cellStyle name="Milliers 2 2 2 2 4 4 2 3 2 2 2" xfId="3726"/>
    <cellStyle name="Milliers 2 2 2 2 4 4 2 3 2 3" xfId="3727"/>
    <cellStyle name="Milliers 2 2 2 2 4 4 2 3 3" xfId="3728"/>
    <cellStyle name="Milliers 2 2 2 2 4 4 2 3 3 2" xfId="3729"/>
    <cellStyle name="Milliers 2 2 2 2 4 4 2 3 4" xfId="3730"/>
    <cellStyle name="Milliers 2 2 2 2 4 4 2 4" xfId="3731"/>
    <cellStyle name="Milliers 2 2 2 2 4 4 2 4 2" xfId="3732"/>
    <cellStyle name="Milliers 2 2 2 2 4 4 2 4 2 2" xfId="3733"/>
    <cellStyle name="Milliers 2 2 2 2 4 4 2 4 3" xfId="3734"/>
    <cellStyle name="Milliers 2 2 2 2 4 4 2 5" xfId="3735"/>
    <cellStyle name="Milliers 2 2 2 2 4 4 2 5 2" xfId="3736"/>
    <cellStyle name="Milliers 2 2 2 2 4 4 2 6" xfId="3737"/>
    <cellStyle name="Milliers 2 2 2 2 4 4 3" xfId="3738"/>
    <cellStyle name="Milliers 2 2 2 2 4 4 3 2" xfId="3739"/>
    <cellStyle name="Milliers 2 2 2 2 4 4 3 2 2" xfId="3740"/>
    <cellStyle name="Milliers 2 2 2 2 4 4 3 2 2 2" xfId="3741"/>
    <cellStyle name="Milliers 2 2 2 2 4 4 3 2 2 2 2" xfId="3742"/>
    <cellStyle name="Milliers 2 2 2 2 4 4 3 2 2 3" xfId="3743"/>
    <cellStyle name="Milliers 2 2 2 2 4 4 3 2 3" xfId="3744"/>
    <cellStyle name="Milliers 2 2 2 2 4 4 3 2 3 2" xfId="3745"/>
    <cellStyle name="Milliers 2 2 2 2 4 4 3 2 4" xfId="3746"/>
    <cellStyle name="Milliers 2 2 2 2 4 4 3 3" xfId="3747"/>
    <cellStyle name="Milliers 2 2 2 2 4 4 3 3 2" xfId="3748"/>
    <cellStyle name="Milliers 2 2 2 2 4 4 3 3 2 2" xfId="3749"/>
    <cellStyle name="Milliers 2 2 2 2 4 4 3 3 3" xfId="3750"/>
    <cellStyle name="Milliers 2 2 2 2 4 4 3 4" xfId="3751"/>
    <cellStyle name="Milliers 2 2 2 2 4 4 3 4 2" xfId="3752"/>
    <cellStyle name="Milliers 2 2 2 2 4 4 3 5" xfId="3753"/>
    <cellStyle name="Milliers 2 2 2 2 4 4 4" xfId="3754"/>
    <cellStyle name="Milliers 2 2 2 2 4 4 4 2" xfId="3755"/>
    <cellStyle name="Milliers 2 2 2 2 4 4 4 2 2" xfId="3756"/>
    <cellStyle name="Milliers 2 2 2 2 4 4 4 2 2 2" xfId="3757"/>
    <cellStyle name="Milliers 2 2 2 2 4 4 4 2 3" xfId="3758"/>
    <cellStyle name="Milliers 2 2 2 2 4 4 4 3" xfId="3759"/>
    <cellStyle name="Milliers 2 2 2 2 4 4 4 3 2" xfId="3760"/>
    <cellStyle name="Milliers 2 2 2 2 4 4 4 4" xfId="3761"/>
    <cellStyle name="Milliers 2 2 2 2 4 4 5" xfId="3762"/>
    <cellStyle name="Milliers 2 2 2 2 4 4 5 2" xfId="3763"/>
    <cellStyle name="Milliers 2 2 2 2 4 4 5 2 2" xfId="3764"/>
    <cellStyle name="Milliers 2 2 2 2 4 4 5 3" xfId="3765"/>
    <cellStyle name="Milliers 2 2 2 2 4 4 6" xfId="3766"/>
    <cellStyle name="Milliers 2 2 2 2 4 4 6 2" xfId="3767"/>
    <cellStyle name="Milliers 2 2 2 2 4 4 7" xfId="3768"/>
    <cellStyle name="Milliers 2 2 2 2 4 5" xfId="3769"/>
    <cellStyle name="Milliers 2 2 2 2 4 5 2" xfId="3770"/>
    <cellStyle name="Milliers 2 2 2 2 4 5 2 2" xfId="3771"/>
    <cellStyle name="Milliers 2 2 2 2 4 5 2 2 2" xfId="3772"/>
    <cellStyle name="Milliers 2 2 2 2 4 5 2 2 2 2" xfId="3773"/>
    <cellStyle name="Milliers 2 2 2 2 4 5 2 2 2 2 2" xfId="3774"/>
    <cellStyle name="Milliers 2 2 2 2 4 5 2 2 2 3" xfId="3775"/>
    <cellStyle name="Milliers 2 2 2 2 4 5 2 2 3" xfId="3776"/>
    <cellStyle name="Milliers 2 2 2 2 4 5 2 2 3 2" xfId="3777"/>
    <cellStyle name="Milliers 2 2 2 2 4 5 2 2 4" xfId="3778"/>
    <cellStyle name="Milliers 2 2 2 2 4 5 2 3" xfId="3779"/>
    <cellStyle name="Milliers 2 2 2 2 4 5 2 3 2" xfId="3780"/>
    <cellStyle name="Milliers 2 2 2 2 4 5 2 3 2 2" xfId="3781"/>
    <cellStyle name="Milliers 2 2 2 2 4 5 2 3 3" xfId="3782"/>
    <cellStyle name="Milliers 2 2 2 2 4 5 2 4" xfId="3783"/>
    <cellStyle name="Milliers 2 2 2 2 4 5 2 4 2" xfId="3784"/>
    <cellStyle name="Milliers 2 2 2 2 4 5 2 5" xfId="3785"/>
    <cellStyle name="Milliers 2 2 2 2 4 5 3" xfId="3786"/>
    <cellStyle name="Milliers 2 2 2 2 4 5 3 2" xfId="3787"/>
    <cellStyle name="Milliers 2 2 2 2 4 5 3 2 2" xfId="3788"/>
    <cellStyle name="Milliers 2 2 2 2 4 5 3 2 2 2" xfId="3789"/>
    <cellStyle name="Milliers 2 2 2 2 4 5 3 2 3" xfId="3790"/>
    <cellStyle name="Milliers 2 2 2 2 4 5 3 3" xfId="3791"/>
    <cellStyle name="Milliers 2 2 2 2 4 5 3 3 2" xfId="3792"/>
    <cellStyle name="Milliers 2 2 2 2 4 5 3 4" xfId="3793"/>
    <cellStyle name="Milliers 2 2 2 2 4 5 4" xfId="3794"/>
    <cellStyle name="Milliers 2 2 2 2 4 5 4 2" xfId="3795"/>
    <cellStyle name="Milliers 2 2 2 2 4 5 4 2 2" xfId="3796"/>
    <cellStyle name="Milliers 2 2 2 2 4 5 4 3" xfId="3797"/>
    <cellStyle name="Milliers 2 2 2 2 4 5 5" xfId="3798"/>
    <cellStyle name="Milliers 2 2 2 2 4 5 5 2" xfId="3799"/>
    <cellStyle name="Milliers 2 2 2 2 4 5 6" xfId="3800"/>
    <cellStyle name="Milliers 2 2 2 2 4 6" xfId="3801"/>
    <cellStyle name="Milliers 2 2 2 2 4 6 2" xfId="3802"/>
    <cellStyle name="Milliers 2 2 2 2 4 6 2 2" xfId="3803"/>
    <cellStyle name="Milliers 2 2 2 2 4 6 2 2 2" xfId="3804"/>
    <cellStyle name="Milliers 2 2 2 2 4 6 2 2 2 2" xfId="3805"/>
    <cellStyle name="Milliers 2 2 2 2 4 6 2 2 3" xfId="3806"/>
    <cellStyle name="Milliers 2 2 2 2 4 6 2 3" xfId="3807"/>
    <cellStyle name="Milliers 2 2 2 2 4 6 2 3 2" xfId="3808"/>
    <cellStyle name="Milliers 2 2 2 2 4 6 2 4" xfId="3809"/>
    <cellStyle name="Milliers 2 2 2 2 4 6 3" xfId="3810"/>
    <cellStyle name="Milliers 2 2 2 2 4 6 3 2" xfId="3811"/>
    <cellStyle name="Milliers 2 2 2 2 4 6 3 2 2" xfId="3812"/>
    <cellStyle name="Milliers 2 2 2 2 4 6 3 3" xfId="3813"/>
    <cellStyle name="Milliers 2 2 2 2 4 6 4" xfId="3814"/>
    <cellStyle name="Milliers 2 2 2 2 4 6 4 2" xfId="3815"/>
    <cellStyle name="Milliers 2 2 2 2 4 6 5" xfId="3816"/>
    <cellStyle name="Milliers 2 2 2 2 4 7" xfId="3817"/>
    <cellStyle name="Milliers 2 2 2 2 4 7 2" xfId="3818"/>
    <cellStyle name="Milliers 2 2 2 2 4 7 2 2" xfId="3819"/>
    <cellStyle name="Milliers 2 2 2 2 4 7 2 2 2" xfId="3820"/>
    <cellStyle name="Milliers 2 2 2 2 4 7 2 3" xfId="3821"/>
    <cellStyle name="Milliers 2 2 2 2 4 7 3" xfId="3822"/>
    <cellStyle name="Milliers 2 2 2 2 4 7 3 2" xfId="3823"/>
    <cellStyle name="Milliers 2 2 2 2 4 7 4" xfId="3824"/>
    <cellStyle name="Milliers 2 2 2 2 4 8" xfId="3825"/>
    <cellStyle name="Milliers 2 2 2 2 4 8 2" xfId="3826"/>
    <cellStyle name="Milliers 2 2 2 2 4 8 2 2" xfId="3827"/>
    <cellStyle name="Milliers 2 2 2 2 4 8 3" xfId="3828"/>
    <cellStyle name="Milliers 2 2 2 2 4 9" xfId="3829"/>
    <cellStyle name="Milliers 2 2 2 2 4 9 2" xfId="3830"/>
    <cellStyle name="Milliers 2 2 2 2 5" xfId="3831"/>
    <cellStyle name="Milliers 2 2 2 2 5 2" xfId="3832"/>
    <cellStyle name="Milliers 2 2 2 2 5 2 2" xfId="3833"/>
    <cellStyle name="Milliers 2 2 2 2 5 2 2 2" xfId="3834"/>
    <cellStyle name="Milliers 2 2 2 2 5 2 2 2 2" xfId="3835"/>
    <cellStyle name="Milliers 2 2 2 2 5 2 2 2 2 2" xfId="3836"/>
    <cellStyle name="Milliers 2 2 2 2 5 2 2 2 2 2 2" xfId="3837"/>
    <cellStyle name="Milliers 2 2 2 2 5 2 2 2 2 2 2 2" xfId="3838"/>
    <cellStyle name="Milliers 2 2 2 2 5 2 2 2 2 2 2 2 2" xfId="3839"/>
    <cellStyle name="Milliers 2 2 2 2 5 2 2 2 2 2 2 3" xfId="3840"/>
    <cellStyle name="Milliers 2 2 2 2 5 2 2 2 2 2 3" xfId="3841"/>
    <cellStyle name="Milliers 2 2 2 2 5 2 2 2 2 2 3 2" xfId="3842"/>
    <cellStyle name="Milliers 2 2 2 2 5 2 2 2 2 2 4" xfId="3843"/>
    <cellStyle name="Milliers 2 2 2 2 5 2 2 2 2 3" xfId="3844"/>
    <cellStyle name="Milliers 2 2 2 2 5 2 2 2 2 3 2" xfId="3845"/>
    <cellStyle name="Milliers 2 2 2 2 5 2 2 2 2 3 2 2" xfId="3846"/>
    <cellStyle name="Milliers 2 2 2 2 5 2 2 2 2 3 3" xfId="3847"/>
    <cellStyle name="Milliers 2 2 2 2 5 2 2 2 2 4" xfId="3848"/>
    <cellStyle name="Milliers 2 2 2 2 5 2 2 2 2 4 2" xfId="3849"/>
    <cellStyle name="Milliers 2 2 2 2 5 2 2 2 2 5" xfId="3850"/>
    <cellStyle name="Milliers 2 2 2 2 5 2 2 2 3" xfId="3851"/>
    <cellStyle name="Milliers 2 2 2 2 5 2 2 2 3 2" xfId="3852"/>
    <cellStyle name="Milliers 2 2 2 2 5 2 2 2 3 2 2" xfId="3853"/>
    <cellStyle name="Milliers 2 2 2 2 5 2 2 2 3 2 2 2" xfId="3854"/>
    <cellStyle name="Milliers 2 2 2 2 5 2 2 2 3 2 3" xfId="3855"/>
    <cellStyle name="Milliers 2 2 2 2 5 2 2 2 3 3" xfId="3856"/>
    <cellStyle name="Milliers 2 2 2 2 5 2 2 2 3 3 2" xfId="3857"/>
    <cellStyle name="Milliers 2 2 2 2 5 2 2 2 3 4" xfId="3858"/>
    <cellStyle name="Milliers 2 2 2 2 5 2 2 2 4" xfId="3859"/>
    <cellStyle name="Milliers 2 2 2 2 5 2 2 2 4 2" xfId="3860"/>
    <cellStyle name="Milliers 2 2 2 2 5 2 2 2 4 2 2" xfId="3861"/>
    <cellStyle name="Milliers 2 2 2 2 5 2 2 2 4 3" xfId="3862"/>
    <cellStyle name="Milliers 2 2 2 2 5 2 2 2 5" xfId="3863"/>
    <cellStyle name="Milliers 2 2 2 2 5 2 2 2 5 2" xfId="3864"/>
    <cellStyle name="Milliers 2 2 2 2 5 2 2 2 6" xfId="3865"/>
    <cellStyle name="Milliers 2 2 2 2 5 2 2 3" xfId="3866"/>
    <cellStyle name="Milliers 2 2 2 2 5 2 2 3 2" xfId="3867"/>
    <cellStyle name="Milliers 2 2 2 2 5 2 2 3 2 2" xfId="3868"/>
    <cellStyle name="Milliers 2 2 2 2 5 2 2 3 2 2 2" xfId="3869"/>
    <cellStyle name="Milliers 2 2 2 2 5 2 2 3 2 2 2 2" xfId="3870"/>
    <cellStyle name="Milliers 2 2 2 2 5 2 2 3 2 2 3" xfId="3871"/>
    <cellStyle name="Milliers 2 2 2 2 5 2 2 3 2 3" xfId="3872"/>
    <cellStyle name="Milliers 2 2 2 2 5 2 2 3 2 3 2" xfId="3873"/>
    <cellStyle name="Milliers 2 2 2 2 5 2 2 3 2 4" xfId="3874"/>
    <cellStyle name="Milliers 2 2 2 2 5 2 2 3 3" xfId="3875"/>
    <cellStyle name="Milliers 2 2 2 2 5 2 2 3 3 2" xfId="3876"/>
    <cellStyle name="Milliers 2 2 2 2 5 2 2 3 3 2 2" xfId="3877"/>
    <cellStyle name="Milliers 2 2 2 2 5 2 2 3 3 3" xfId="3878"/>
    <cellStyle name="Milliers 2 2 2 2 5 2 2 3 4" xfId="3879"/>
    <cellStyle name="Milliers 2 2 2 2 5 2 2 3 4 2" xfId="3880"/>
    <cellStyle name="Milliers 2 2 2 2 5 2 2 3 5" xfId="3881"/>
    <cellStyle name="Milliers 2 2 2 2 5 2 2 4" xfId="3882"/>
    <cellStyle name="Milliers 2 2 2 2 5 2 2 4 2" xfId="3883"/>
    <cellStyle name="Milliers 2 2 2 2 5 2 2 4 2 2" xfId="3884"/>
    <cellStyle name="Milliers 2 2 2 2 5 2 2 4 2 2 2" xfId="3885"/>
    <cellStyle name="Milliers 2 2 2 2 5 2 2 4 2 3" xfId="3886"/>
    <cellStyle name="Milliers 2 2 2 2 5 2 2 4 3" xfId="3887"/>
    <cellStyle name="Milliers 2 2 2 2 5 2 2 4 3 2" xfId="3888"/>
    <cellStyle name="Milliers 2 2 2 2 5 2 2 4 4" xfId="3889"/>
    <cellStyle name="Milliers 2 2 2 2 5 2 2 5" xfId="3890"/>
    <cellStyle name="Milliers 2 2 2 2 5 2 2 5 2" xfId="3891"/>
    <cellStyle name="Milliers 2 2 2 2 5 2 2 5 2 2" xfId="3892"/>
    <cellStyle name="Milliers 2 2 2 2 5 2 2 5 3" xfId="3893"/>
    <cellStyle name="Milliers 2 2 2 2 5 2 2 6" xfId="3894"/>
    <cellStyle name="Milliers 2 2 2 2 5 2 2 6 2" xfId="3895"/>
    <cellStyle name="Milliers 2 2 2 2 5 2 2 7" xfId="3896"/>
    <cellStyle name="Milliers 2 2 2 2 5 2 3" xfId="3897"/>
    <cellStyle name="Milliers 2 2 2 2 5 2 3 2" xfId="3898"/>
    <cellStyle name="Milliers 2 2 2 2 5 2 3 2 2" xfId="3899"/>
    <cellStyle name="Milliers 2 2 2 2 5 2 3 2 2 2" xfId="3900"/>
    <cellStyle name="Milliers 2 2 2 2 5 2 3 2 2 2 2" xfId="3901"/>
    <cellStyle name="Milliers 2 2 2 2 5 2 3 2 2 2 2 2" xfId="3902"/>
    <cellStyle name="Milliers 2 2 2 2 5 2 3 2 2 2 3" xfId="3903"/>
    <cellStyle name="Milliers 2 2 2 2 5 2 3 2 2 3" xfId="3904"/>
    <cellStyle name="Milliers 2 2 2 2 5 2 3 2 2 3 2" xfId="3905"/>
    <cellStyle name="Milliers 2 2 2 2 5 2 3 2 2 4" xfId="3906"/>
    <cellStyle name="Milliers 2 2 2 2 5 2 3 2 3" xfId="3907"/>
    <cellStyle name="Milliers 2 2 2 2 5 2 3 2 3 2" xfId="3908"/>
    <cellStyle name="Milliers 2 2 2 2 5 2 3 2 3 2 2" xfId="3909"/>
    <cellStyle name="Milliers 2 2 2 2 5 2 3 2 3 3" xfId="3910"/>
    <cellStyle name="Milliers 2 2 2 2 5 2 3 2 4" xfId="3911"/>
    <cellStyle name="Milliers 2 2 2 2 5 2 3 2 4 2" xfId="3912"/>
    <cellStyle name="Milliers 2 2 2 2 5 2 3 2 5" xfId="3913"/>
    <cellStyle name="Milliers 2 2 2 2 5 2 3 3" xfId="3914"/>
    <cellStyle name="Milliers 2 2 2 2 5 2 3 3 2" xfId="3915"/>
    <cellStyle name="Milliers 2 2 2 2 5 2 3 3 2 2" xfId="3916"/>
    <cellStyle name="Milliers 2 2 2 2 5 2 3 3 2 2 2" xfId="3917"/>
    <cellStyle name="Milliers 2 2 2 2 5 2 3 3 2 3" xfId="3918"/>
    <cellStyle name="Milliers 2 2 2 2 5 2 3 3 3" xfId="3919"/>
    <cellStyle name="Milliers 2 2 2 2 5 2 3 3 3 2" xfId="3920"/>
    <cellStyle name="Milliers 2 2 2 2 5 2 3 3 4" xfId="3921"/>
    <cellStyle name="Milliers 2 2 2 2 5 2 3 4" xfId="3922"/>
    <cellStyle name="Milliers 2 2 2 2 5 2 3 4 2" xfId="3923"/>
    <cellStyle name="Milliers 2 2 2 2 5 2 3 4 2 2" xfId="3924"/>
    <cellStyle name="Milliers 2 2 2 2 5 2 3 4 3" xfId="3925"/>
    <cellStyle name="Milliers 2 2 2 2 5 2 3 5" xfId="3926"/>
    <cellStyle name="Milliers 2 2 2 2 5 2 3 5 2" xfId="3927"/>
    <cellStyle name="Milliers 2 2 2 2 5 2 3 6" xfId="3928"/>
    <cellStyle name="Milliers 2 2 2 2 5 2 4" xfId="3929"/>
    <cellStyle name="Milliers 2 2 2 2 5 2 4 2" xfId="3930"/>
    <cellStyle name="Milliers 2 2 2 2 5 2 4 2 2" xfId="3931"/>
    <cellStyle name="Milliers 2 2 2 2 5 2 4 2 2 2" xfId="3932"/>
    <cellStyle name="Milliers 2 2 2 2 5 2 4 2 2 2 2" xfId="3933"/>
    <cellStyle name="Milliers 2 2 2 2 5 2 4 2 2 3" xfId="3934"/>
    <cellStyle name="Milliers 2 2 2 2 5 2 4 2 3" xfId="3935"/>
    <cellStyle name="Milliers 2 2 2 2 5 2 4 2 3 2" xfId="3936"/>
    <cellStyle name="Milliers 2 2 2 2 5 2 4 2 4" xfId="3937"/>
    <cellStyle name="Milliers 2 2 2 2 5 2 4 3" xfId="3938"/>
    <cellStyle name="Milliers 2 2 2 2 5 2 4 3 2" xfId="3939"/>
    <cellStyle name="Milliers 2 2 2 2 5 2 4 3 2 2" xfId="3940"/>
    <cellStyle name="Milliers 2 2 2 2 5 2 4 3 3" xfId="3941"/>
    <cellStyle name="Milliers 2 2 2 2 5 2 4 4" xfId="3942"/>
    <cellStyle name="Milliers 2 2 2 2 5 2 4 4 2" xfId="3943"/>
    <cellStyle name="Milliers 2 2 2 2 5 2 4 5" xfId="3944"/>
    <cellStyle name="Milliers 2 2 2 2 5 2 5" xfId="3945"/>
    <cellStyle name="Milliers 2 2 2 2 5 2 5 2" xfId="3946"/>
    <cellStyle name="Milliers 2 2 2 2 5 2 5 2 2" xfId="3947"/>
    <cellStyle name="Milliers 2 2 2 2 5 2 5 2 2 2" xfId="3948"/>
    <cellStyle name="Milliers 2 2 2 2 5 2 5 2 3" xfId="3949"/>
    <cellStyle name="Milliers 2 2 2 2 5 2 5 3" xfId="3950"/>
    <cellStyle name="Milliers 2 2 2 2 5 2 5 3 2" xfId="3951"/>
    <cellStyle name="Milliers 2 2 2 2 5 2 5 4" xfId="3952"/>
    <cellStyle name="Milliers 2 2 2 2 5 2 6" xfId="3953"/>
    <cellStyle name="Milliers 2 2 2 2 5 2 6 2" xfId="3954"/>
    <cellStyle name="Milliers 2 2 2 2 5 2 6 2 2" xfId="3955"/>
    <cellStyle name="Milliers 2 2 2 2 5 2 6 3" xfId="3956"/>
    <cellStyle name="Milliers 2 2 2 2 5 2 7" xfId="3957"/>
    <cellStyle name="Milliers 2 2 2 2 5 2 7 2" xfId="3958"/>
    <cellStyle name="Milliers 2 2 2 2 5 2 8" xfId="3959"/>
    <cellStyle name="Milliers 2 2 2 2 5 3" xfId="3960"/>
    <cellStyle name="Milliers 2 2 2 2 5 3 2" xfId="3961"/>
    <cellStyle name="Milliers 2 2 2 2 5 3 2 2" xfId="3962"/>
    <cellStyle name="Milliers 2 2 2 2 5 3 2 2 2" xfId="3963"/>
    <cellStyle name="Milliers 2 2 2 2 5 3 2 2 2 2" xfId="3964"/>
    <cellStyle name="Milliers 2 2 2 2 5 3 2 2 2 2 2" xfId="3965"/>
    <cellStyle name="Milliers 2 2 2 2 5 3 2 2 2 2 2 2" xfId="3966"/>
    <cellStyle name="Milliers 2 2 2 2 5 3 2 2 2 2 3" xfId="3967"/>
    <cellStyle name="Milliers 2 2 2 2 5 3 2 2 2 3" xfId="3968"/>
    <cellStyle name="Milliers 2 2 2 2 5 3 2 2 2 3 2" xfId="3969"/>
    <cellStyle name="Milliers 2 2 2 2 5 3 2 2 2 4" xfId="3970"/>
    <cellStyle name="Milliers 2 2 2 2 5 3 2 2 3" xfId="3971"/>
    <cellStyle name="Milliers 2 2 2 2 5 3 2 2 3 2" xfId="3972"/>
    <cellStyle name="Milliers 2 2 2 2 5 3 2 2 3 2 2" xfId="3973"/>
    <cellStyle name="Milliers 2 2 2 2 5 3 2 2 3 3" xfId="3974"/>
    <cellStyle name="Milliers 2 2 2 2 5 3 2 2 4" xfId="3975"/>
    <cellStyle name="Milliers 2 2 2 2 5 3 2 2 4 2" xfId="3976"/>
    <cellStyle name="Milliers 2 2 2 2 5 3 2 2 5" xfId="3977"/>
    <cellStyle name="Milliers 2 2 2 2 5 3 2 3" xfId="3978"/>
    <cellStyle name="Milliers 2 2 2 2 5 3 2 3 2" xfId="3979"/>
    <cellStyle name="Milliers 2 2 2 2 5 3 2 3 2 2" xfId="3980"/>
    <cellStyle name="Milliers 2 2 2 2 5 3 2 3 2 2 2" xfId="3981"/>
    <cellStyle name="Milliers 2 2 2 2 5 3 2 3 2 3" xfId="3982"/>
    <cellStyle name="Milliers 2 2 2 2 5 3 2 3 3" xfId="3983"/>
    <cellStyle name="Milliers 2 2 2 2 5 3 2 3 3 2" xfId="3984"/>
    <cellStyle name="Milliers 2 2 2 2 5 3 2 3 4" xfId="3985"/>
    <cellStyle name="Milliers 2 2 2 2 5 3 2 4" xfId="3986"/>
    <cellStyle name="Milliers 2 2 2 2 5 3 2 4 2" xfId="3987"/>
    <cellStyle name="Milliers 2 2 2 2 5 3 2 4 2 2" xfId="3988"/>
    <cellStyle name="Milliers 2 2 2 2 5 3 2 4 3" xfId="3989"/>
    <cellStyle name="Milliers 2 2 2 2 5 3 2 5" xfId="3990"/>
    <cellStyle name="Milliers 2 2 2 2 5 3 2 5 2" xfId="3991"/>
    <cellStyle name="Milliers 2 2 2 2 5 3 2 6" xfId="3992"/>
    <cellStyle name="Milliers 2 2 2 2 5 3 3" xfId="3993"/>
    <cellStyle name="Milliers 2 2 2 2 5 3 3 2" xfId="3994"/>
    <cellStyle name="Milliers 2 2 2 2 5 3 3 2 2" xfId="3995"/>
    <cellStyle name="Milliers 2 2 2 2 5 3 3 2 2 2" xfId="3996"/>
    <cellStyle name="Milliers 2 2 2 2 5 3 3 2 2 2 2" xfId="3997"/>
    <cellStyle name="Milliers 2 2 2 2 5 3 3 2 2 3" xfId="3998"/>
    <cellStyle name="Milliers 2 2 2 2 5 3 3 2 3" xfId="3999"/>
    <cellStyle name="Milliers 2 2 2 2 5 3 3 2 3 2" xfId="4000"/>
    <cellStyle name="Milliers 2 2 2 2 5 3 3 2 4" xfId="4001"/>
    <cellStyle name="Milliers 2 2 2 2 5 3 3 3" xfId="4002"/>
    <cellStyle name="Milliers 2 2 2 2 5 3 3 3 2" xfId="4003"/>
    <cellStyle name="Milliers 2 2 2 2 5 3 3 3 2 2" xfId="4004"/>
    <cellStyle name="Milliers 2 2 2 2 5 3 3 3 3" xfId="4005"/>
    <cellStyle name="Milliers 2 2 2 2 5 3 3 4" xfId="4006"/>
    <cellStyle name="Milliers 2 2 2 2 5 3 3 4 2" xfId="4007"/>
    <cellStyle name="Milliers 2 2 2 2 5 3 3 5" xfId="4008"/>
    <cellStyle name="Milliers 2 2 2 2 5 3 4" xfId="4009"/>
    <cellStyle name="Milliers 2 2 2 2 5 3 4 2" xfId="4010"/>
    <cellStyle name="Milliers 2 2 2 2 5 3 4 2 2" xfId="4011"/>
    <cellStyle name="Milliers 2 2 2 2 5 3 4 2 2 2" xfId="4012"/>
    <cellStyle name="Milliers 2 2 2 2 5 3 4 2 3" xfId="4013"/>
    <cellStyle name="Milliers 2 2 2 2 5 3 4 3" xfId="4014"/>
    <cellStyle name="Milliers 2 2 2 2 5 3 4 3 2" xfId="4015"/>
    <cellStyle name="Milliers 2 2 2 2 5 3 4 4" xfId="4016"/>
    <cellStyle name="Milliers 2 2 2 2 5 3 5" xfId="4017"/>
    <cellStyle name="Milliers 2 2 2 2 5 3 5 2" xfId="4018"/>
    <cellStyle name="Milliers 2 2 2 2 5 3 5 2 2" xfId="4019"/>
    <cellStyle name="Milliers 2 2 2 2 5 3 5 3" xfId="4020"/>
    <cellStyle name="Milliers 2 2 2 2 5 3 6" xfId="4021"/>
    <cellStyle name="Milliers 2 2 2 2 5 3 6 2" xfId="4022"/>
    <cellStyle name="Milliers 2 2 2 2 5 3 7" xfId="4023"/>
    <cellStyle name="Milliers 2 2 2 2 5 4" xfId="4024"/>
    <cellStyle name="Milliers 2 2 2 2 5 4 2" xfId="4025"/>
    <cellStyle name="Milliers 2 2 2 2 5 4 2 2" xfId="4026"/>
    <cellStyle name="Milliers 2 2 2 2 5 4 2 2 2" xfId="4027"/>
    <cellStyle name="Milliers 2 2 2 2 5 4 2 2 2 2" xfId="4028"/>
    <cellStyle name="Milliers 2 2 2 2 5 4 2 2 2 2 2" xfId="4029"/>
    <cellStyle name="Milliers 2 2 2 2 5 4 2 2 2 3" xfId="4030"/>
    <cellStyle name="Milliers 2 2 2 2 5 4 2 2 3" xfId="4031"/>
    <cellStyle name="Milliers 2 2 2 2 5 4 2 2 3 2" xfId="4032"/>
    <cellStyle name="Milliers 2 2 2 2 5 4 2 2 4" xfId="4033"/>
    <cellStyle name="Milliers 2 2 2 2 5 4 2 3" xfId="4034"/>
    <cellStyle name="Milliers 2 2 2 2 5 4 2 3 2" xfId="4035"/>
    <cellStyle name="Milliers 2 2 2 2 5 4 2 3 2 2" xfId="4036"/>
    <cellStyle name="Milliers 2 2 2 2 5 4 2 3 3" xfId="4037"/>
    <cellStyle name="Milliers 2 2 2 2 5 4 2 4" xfId="4038"/>
    <cellStyle name="Milliers 2 2 2 2 5 4 2 4 2" xfId="4039"/>
    <cellStyle name="Milliers 2 2 2 2 5 4 2 5" xfId="4040"/>
    <cellStyle name="Milliers 2 2 2 2 5 4 3" xfId="4041"/>
    <cellStyle name="Milliers 2 2 2 2 5 4 3 2" xfId="4042"/>
    <cellStyle name="Milliers 2 2 2 2 5 4 3 2 2" xfId="4043"/>
    <cellStyle name="Milliers 2 2 2 2 5 4 3 2 2 2" xfId="4044"/>
    <cellStyle name="Milliers 2 2 2 2 5 4 3 2 3" xfId="4045"/>
    <cellStyle name="Milliers 2 2 2 2 5 4 3 3" xfId="4046"/>
    <cellStyle name="Milliers 2 2 2 2 5 4 3 3 2" xfId="4047"/>
    <cellStyle name="Milliers 2 2 2 2 5 4 3 4" xfId="4048"/>
    <cellStyle name="Milliers 2 2 2 2 5 4 4" xfId="4049"/>
    <cellStyle name="Milliers 2 2 2 2 5 4 4 2" xfId="4050"/>
    <cellStyle name="Milliers 2 2 2 2 5 4 4 2 2" xfId="4051"/>
    <cellStyle name="Milliers 2 2 2 2 5 4 4 3" xfId="4052"/>
    <cellStyle name="Milliers 2 2 2 2 5 4 5" xfId="4053"/>
    <cellStyle name="Milliers 2 2 2 2 5 4 5 2" xfId="4054"/>
    <cellStyle name="Milliers 2 2 2 2 5 4 6" xfId="4055"/>
    <cellStyle name="Milliers 2 2 2 2 5 5" xfId="4056"/>
    <cellStyle name="Milliers 2 2 2 2 5 5 2" xfId="4057"/>
    <cellStyle name="Milliers 2 2 2 2 5 5 2 2" xfId="4058"/>
    <cellStyle name="Milliers 2 2 2 2 5 5 2 2 2" xfId="4059"/>
    <cellStyle name="Milliers 2 2 2 2 5 5 2 2 2 2" xfId="4060"/>
    <cellStyle name="Milliers 2 2 2 2 5 5 2 2 3" xfId="4061"/>
    <cellStyle name="Milliers 2 2 2 2 5 5 2 3" xfId="4062"/>
    <cellStyle name="Milliers 2 2 2 2 5 5 2 3 2" xfId="4063"/>
    <cellStyle name="Milliers 2 2 2 2 5 5 2 4" xfId="4064"/>
    <cellStyle name="Milliers 2 2 2 2 5 5 3" xfId="4065"/>
    <cellStyle name="Milliers 2 2 2 2 5 5 3 2" xfId="4066"/>
    <cellStyle name="Milliers 2 2 2 2 5 5 3 2 2" xfId="4067"/>
    <cellStyle name="Milliers 2 2 2 2 5 5 3 3" xfId="4068"/>
    <cellStyle name="Milliers 2 2 2 2 5 5 4" xfId="4069"/>
    <cellStyle name="Milliers 2 2 2 2 5 5 4 2" xfId="4070"/>
    <cellStyle name="Milliers 2 2 2 2 5 5 5" xfId="4071"/>
    <cellStyle name="Milliers 2 2 2 2 5 6" xfId="4072"/>
    <cellStyle name="Milliers 2 2 2 2 5 6 2" xfId="4073"/>
    <cellStyle name="Milliers 2 2 2 2 5 6 2 2" xfId="4074"/>
    <cellStyle name="Milliers 2 2 2 2 5 6 2 2 2" xfId="4075"/>
    <cellStyle name="Milliers 2 2 2 2 5 6 2 3" xfId="4076"/>
    <cellStyle name="Milliers 2 2 2 2 5 6 3" xfId="4077"/>
    <cellStyle name="Milliers 2 2 2 2 5 6 3 2" xfId="4078"/>
    <cellStyle name="Milliers 2 2 2 2 5 6 4" xfId="4079"/>
    <cellStyle name="Milliers 2 2 2 2 5 7" xfId="4080"/>
    <cellStyle name="Milliers 2 2 2 2 5 7 2" xfId="4081"/>
    <cellStyle name="Milliers 2 2 2 2 5 7 2 2" xfId="4082"/>
    <cellStyle name="Milliers 2 2 2 2 5 7 3" xfId="4083"/>
    <cellStyle name="Milliers 2 2 2 2 5 8" xfId="4084"/>
    <cellStyle name="Milliers 2 2 2 2 5 8 2" xfId="4085"/>
    <cellStyle name="Milliers 2 2 2 2 5 9" xfId="4086"/>
    <cellStyle name="Milliers 2 2 2 2 6" xfId="4087"/>
    <cellStyle name="Milliers 2 2 2 2 6 2" xfId="4088"/>
    <cellStyle name="Milliers 2 2 2 2 6 2 2" xfId="4089"/>
    <cellStyle name="Milliers 2 2 2 2 6 2 2 2" xfId="4090"/>
    <cellStyle name="Milliers 2 2 2 2 6 2 2 2 2" xfId="4091"/>
    <cellStyle name="Milliers 2 2 2 2 6 2 2 2 2 2" xfId="4092"/>
    <cellStyle name="Milliers 2 2 2 2 6 2 2 2 2 2 2" xfId="4093"/>
    <cellStyle name="Milliers 2 2 2 2 6 2 2 2 2 2 2 2" xfId="4094"/>
    <cellStyle name="Milliers 2 2 2 2 6 2 2 2 2 2 3" xfId="4095"/>
    <cellStyle name="Milliers 2 2 2 2 6 2 2 2 2 3" xfId="4096"/>
    <cellStyle name="Milliers 2 2 2 2 6 2 2 2 2 3 2" xfId="4097"/>
    <cellStyle name="Milliers 2 2 2 2 6 2 2 2 2 4" xfId="4098"/>
    <cellStyle name="Milliers 2 2 2 2 6 2 2 2 3" xfId="4099"/>
    <cellStyle name="Milliers 2 2 2 2 6 2 2 2 3 2" xfId="4100"/>
    <cellStyle name="Milliers 2 2 2 2 6 2 2 2 3 2 2" xfId="4101"/>
    <cellStyle name="Milliers 2 2 2 2 6 2 2 2 3 3" xfId="4102"/>
    <cellStyle name="Milliers 2 2 2 2 6 2 2 2 4" xfId="4103"/>
    <cellStyle name="Milliers 2 2 2 2 6 2 2 2 4 2" xfId="4104"/>
    <cellStyle name="Milliers 2 2 2 2 6 2 2 2 5" xfId="4105"/>
    <cellStyle name="Milliers 2 2 2 2 6 2 2 3" xfId="4106"/>
    <cellStyle name="Milliers 2 2 2 2 6 2 2 3 2" xfId="4107"/>
    <cellStyle name="Milliers 2 2 2 2 6 2 2 3 2 2" xfId="4108"/>
    <cellStyle name="Milliers 2 2 2 2 6 2 2 3 2 2 2" xfId="4109"/>
    <cellStyle name="Milliers 2 2 2 2 6 2 2 3 2 3" xfId="4110"/>
    <cellStyle name="Milliers 2 2 2 2 6 2 2 3 3" xfId="4111"/>
    <cellStyle name="Milliers 2 2 2 2 6 2 2 3 3 2" xfId="4112"/>
    <cellStyle name="Milliers 2 2 2 2 6 2 2 3 4" xfId="4113"/>
    <cellStyle name="Milliers 2 2 2 2 6 2 2 4" xfId="4114"/>
    <cellStyle name="Milliers 2 2 2 2 6 2 2 4 2" xfId="4115"/>
    <cellStyle name="Milliers 2 2 2 2 6 2 2 4 2 2" xfId="4116"/>
    <cellStyle name="Milliers 2 2 2 2 6 2 2 4 3" xfId="4117"/>
    <cellStyle name="Milliers 2 2 2 2 6 2 2 5" xfId="4118"/>
    <cellStyle name="Milliers 2 2 2 2 6 2 2 5 2" xfId="4119"/>
    <cellStyle name="Milliers 2 2 2 2 6 2 2 6" xfId="4120"/>
    <cellStyle name="Milliers 2 2 2 2 6 2 3" xfId="4121"/>
    <cellStyle name="Milliers 2 2 2 2 6 2 3 2" xfId="4122"/>
    <cellStyle name="Milliers 2 2 2 2 6 2 3 2 2" xfId="4123"/>
    <cellStyle name="Milliers 2 2 2 2 6 2 3 2 2 2" xfId="4124"/>
    <cellStyle name="Milliers 2 2 2 2 6 2 3 2 2 2 2" xfId="4125"/>
    <cellStyle name="Milliers 2 2 2 2 6 2 3 2 2 3" xfId="4126"/>
    <cellStyle name="Milliers 2 2 2 2 6 2 3 2 3" xfId="4127"/>
    <cellStyle name="Milliers 2 2 2 2 6 2 3 2 3 2" xfId="4128"/>
    <cellStyle name="Milliers 2 2 2 2 6 2 3 2 4" xfId="4129"/>
    <cellStyle name="Milliers 2 2 2 2 6 2 3 3" xfId="4130"/>
    <cellStyle name="Milliers 2 2 2 2 6 2 3 3 2" xfId="4131"/>
    <cellStyle name="Milliers 2 2 2 2 6 2 3 3 2 2" xfId="4132"/>
    <cellStyle name="Milliers 2 2 2 2 6 2 3 3 3" xfId="4133"/>
    <cellStyle name="Milliers 2 2 2 2 6 2 3 4" xfId="4134"/>
    <cellStyle name="Milliers 2 2 2 2 6 2 3 4 2" xfId="4135"/>
    <cellStyle name="Milliers 2 2 2 2 6 2 3 5" xfId="4136"/>
    <cellStyle name="Milliers 2 2 2 2 6 2 4" xfId="4137"/>
    <cellStyle name="Milliers 2 2 2 2 6 2 4 2" xfId="4138"/>
    <cellStyle name="Milliers 2 2 2 2 6 2 4 2 2" xfId="4139"/>
    <cellStyle name="Milliers 2 2 2 2 6 2 4 2 2 2" xfId="4140"/>
    <cellStyle name="Milliers 2 2 2 2 6 2 4 2 3" xfId="4141"/>
    <cellStyle name="Milliers 2 2 2 2 6 2 4 3" xfId="4142"/>
    <cellStyle name="Milliers 2 2 2 2 6 2 4 3 2" xfId="4143"/>
    <cellStyle name="Milliers 2 2 2 2 6 2 4 4" xfId="4144"/>
    <cellStyle name="Milliers 2 2 2 2 6 2 5" xfId="4145"/>
    <cellStyle name="Milliers 2 2 2 2 6 2 5 2" xfId="4146"/>
    <cellStyle name="Milliers 2 2 2 2 6 2 5 2 2" xfId="4147"/>
    <cellStyle name="Milliers 2 2 2 2 6 2 5 3" xfId="4148"/>
    <cellStyle name="Milliers 2 2 2 2 6 2 6" xfId="4149"/>
    <cellStyle name="Milliers 2 2 2 2 6 2 6 2" xfId="4150"/>
    <cellStyle name="Milliers 2 2 2 2 6 2 7" xfId="4151"/>
    <cellStyle name="Milliers 2 2 2 2 6 3" xfId="4152"/>
    <cellStyle name="Milliers 2 2 2 2 6 3 2" xfId="4153"/>
    <cellStyle name="Milliers 2 2 2 2 6 3 2 2" xfId="4154"/>
    <cellStyle name="Milliers 2 2 2 2 6 3 2 2 2" xfId="4155"/>
    <cellStyle name="Milliers 2 2 2 2 6 3 2 2 2 2" xfId="4156"/>
    <cellStyle name="Milliers 2 2 2 2 6 3 2 2 2 2 2" xfId="4157"/>
    <cellStyle name="Milliers 2 2 2 2 6 3 2 2 2 3" xfId="4158"/>
    <cellStyle name="Milliers 2 2 2 2 6 3 2 2 3" xfId="4159"/>
    <cellStyle name="Milliers 2 2 2 2 6 3 2 2 3 2" xfId="4160"/>
    <cellStyle name="Milliers 2 2 2 2 6 3 2 2 4" xfId="4161"/>
    <cellStyle name="Milliers 2 2 2 2 6 3 2 3" xfId="4162"/>
    <cellStyle name="Milliers 2 2 2 2 6 3 2 3 2" xfId="4163"/>
    <cellStyle name="Milliers 2 2 2 2 6 3 2 3 2 2" xfId="4164"/>
    <cellStyle name="Milliers 2 2 2 2 6 3 2 3 3" xfId="4165"/>
    <cellStyle name="Milliers 2 2 2 2 6 3 2 4" xfId="4166"/>
    <cellStyle name="Milliers 2 2 2 2 6 3 2 4 2" xfId="4167"/>
    <cellStyle name="Milliers 2 2 2 2 6 3 2 5" xfId="4168"/>
    <cellStyle name="Milliers 2 2 2 2 6 3 3" xfId="4169"/>
    <cellStyle name="Milliers 2 2 2 2 6 3 3 2" xfId="4170"/>
    <cellStyle name="Milliers 2 2 2 2 6 3 3 2 2" xfId="4171"/>
    <cellStyle name="Milliers 2 2 2 2 6 3 3 2 2 2" xfId="4172"/>
    <cellStyle name="Milliers 2 2 2 2 6 3 3 2 3" xfId="4173"/>
    <cellStyle name="Milliers 2 2 2 2 6 3 3 3" xfId="4174"/>
    <cellStyle name="Milliers 2 2 2 2 6 3 3 3 2" xfId="4175"/>
    <cellStyle name="Milliers 2 2 2 2 6 3 3 4" xfId="4176"/>
    <cellStyle name="Milliers 2 2 2 2 6 3 4" xfId="4177"/>
    <cellStyle name="Milliers 2 2 2 2 6 3 4 2" xfId="4178"/>
    <cellStyle name="Milliers 2 2 2 2 6 3 4 2 2" xfId="4179"/>
    <cellStyle name="Milliers 2 2 2 2 6 3 4 3" xfId="4180"/>
    <cellStyle name="Milliers 2 2 2 2 6 3 5" xfId="4181"/>
    <cellStyle name="Milliers 2 2 2 2 6 3 5 2" xfId="4182"/>
    <cellStyle name="Milliers 2 2 2 2 6 3 6" xfId="4183"/>
    <cellStyle name="Milliers 2 2 2 2 6 4" xfId="4184"/>
    <cellStyle name="Milliers 2 2 2 2 6 4 2" xfId="4185"/>
    <cellStyle name="Milliers 2 2 2 2 6 4 2 2" xfId="4186"/>
    <cellStyle name="Milliers 2 2 2 2 6 4 2 2 2" xfId="4187"/>
    <cellStyle name="Milliers 2 2 2 2 6 4 2 2 2 2" xfId="4188"/>
    <cellStyle name="Milliers 2 2 2 2 6 4 2 2 3" xfId="4189"/>
    <cellStyle name="Milliers 2 2 2 2 6 4 2 3" xfId="4190"/>
    <cellStyle name="Milliers 2 2 2 2 6 4 2 3 2" xfId="4191"/>
    <cellStyle name="Milliers 2 2 2 2 6 4 2 4" xfId="4192"/>
    <cellStyle name="Milliers 2 2 2 2 6 4 3" xfId="4193"/>
    <cellStyle name="Milliers 2 2 2 2 6 4 3 2" xfId="4194"/>
    <cellStyle name="Milliers 2 2 2 2 6 4 3 2 2" xfId="4195"/>
    <cellStyle name="Milliers 2 2 2 2 6 4 3 3" xfId="4196"/>
    <cellStyle name="Milliers 2 2 2 2 6 4 4" xfId="4197"/>
    <cellStyle name="Milliers 2 2 2 2 6 4 4 2" xfId="4198"/>
    <cellStyle name="Milliers 2 2 2 2 6 4 5" xfId="4199"/>
    <cellStyle name="Milliers 2 2 2 2 6 5" xfId="4200"/>
    <cellStyle name="Milliers 2 2 2 2 6 5 2" xfId="4201"/>
    <cellStyle name="Milliers 2 2 2 2 6 5 2 2" xfId="4202"/>
    <cellStyle name="Milliers 2 2 2 2 6 5 2 2 2" xfId="4203"/>
    <cellStyle name="Milliers 2 2 2 2 6 5 2 3" xfId="4204"/>
    <cellStyle name="Milliers 2 2 2 2 6 5 3" xfId="4205"/>
    <cellStyle name="Milliers 2 2 2 2 6 5 3 2" xfId="4206"/>
    <cellStyle name="Milliers 2 2 2 2 6 5 4" xfId="4207"/>
    <cellStyle name="Milliers 2 2 2 2 6 6" xfId="4208"/>
    <cellStyle name="Milliers 2 2 2 2 6 6 2" xfId="4209"/>
    <cellStyle name="Milliers 2 2 2 2 6 6 2 2" xfId="4210"/>
    <cellStyle name="Milliers 2 2 2 2 6 6 3" xfId="4211"/>
    <cellStyle name="Milliers 2 2 2 2 6 7" xfId="4212"/>
    <cellStyle name="Milliers 2 2 2 2 6 7 2" xfId="4213"/>
    <cellStyle name="Milliers 2 2 2 2 6 8" xfId="4214"/>
    <cellStyle name="Milliers 2 2 2 2 7" xfId="4215"/>
    <cellStyle name="Milliers 2 2 2 2 7 2" xfId="4216"/>
    <cellStyle name="Milliers 2 2 2 2 7 2 2" xfId="4217"/>
    <cellStyle name="Milliers 2 2 2 2 7 2 2 2" xfId="4218"/>
    <cellStyle name="Milliers 2 2 2 2 7 2 2 2 2" xfId="4219"/>
    <cellStyle name="Milliers 2 2 2 2 7 2 2 2 2 2" xfId="4220"/>
    <cellStyle name="Milliers 2 2 2 2 7 2 2 2 2 2 2" xfId="4221"/>
    <cellStyle name="Milliers 2 2 2 2 7 2 2 2 2 3" xfId="4222"/>
    <cellStyle name="Milliers 2 2 2 2 7 2 2 2 3" xfId="4223"/>
    <cellStyle name="Milliers 2 2 2 2 7 2 2 2 3 2" xfId="4224"/>
    <cellStyle name="Milliers 2 2 2 2 7 2 2 2 4" xfId="4225"/>
    <cellStyle name="Milliers 2 2 2 2 7 2 2 3" xfId="4226"/>
    <cellStyle name="Milliers 2 2 2 2 7 2 2 3 2" xfId="4227"/>
    <cellStyle name="Milliers 2 2 2 2 7 2 2 3 2 2" xfId="4228"/>
    <cellStyle name="Milliers 2 2 2 2 7 2 2 3 3" xfId="4229"/>
    <cellStyle name="Milliers 2 2 2 2 7 2 2 4" xfId="4230"/>
    <cellStyle name="Milliers 2 2 2 2 7 2 2 4 2" xfId="4231"/>
    <cellStyle name="Milliers 2 2 2 2 7 2 2 5" xfId="4232"/>
    <cellStyle name="Milliers 2 2 2 2 7 2 3" xfId="4233"/>
    <cellStyle name="Milliers 2 2 2 2 7 2 3 2" xfId="4234"/>
    <cellStyle name="Milliers 2 2 2 2 7 2 3 2 2" xfId="4235"/>
    <cellStyle name="Milliers 2 2 2 2 7 2 3 2 2 2" xfId="4236"/>
    <cellStyle name="Milliers 2 2 2 2 7 2 3 2 3" xfId="4237"/>
    <cellStyle name="Milliers 2 2 2 2 7 2 3 3" xfId="4238"/>
    <cellStyle name="Milliers 2 2 2 2 7 2 3 3 2" xfId="4239"/>
    <cellStyle name="Milliers 2 2 2 2 7 2 3 4" xfId="4240"/>
    <cellStyle name="Milliers 2 2 2 2 7 2 4" xfId="4241"/>
    <cellStyle name="Milliers 2 2 2 2 7 2 4 2" xfId="4242"/>
    <cellStyle name="Milliers 2 2 2 2 7 2 4 2 2" xfId="4243"/>
    <cellStyle name="Milliers 2 2 2 2 7 2 4 3" xfId="4244"/>
    <cellStyle name="Milliers 2 2 2 2 7 2 5" xfId="4245"/>
    <cellStyle name="Milliers 2 2 2 2 7 2 5 2" xfId="4246"/>
    <cellStyle name="Milliers 2 2 2 2 7 2 6" xfId="4247"/>
    <cellStyle name="Milliers 2 2 2 2 7 3" xfId="4248"/>
    <cellStyle name="Milliers 2 2 2 2 7 3 2" xfId="4249"/>
    <cellStyle name="Milliers 2 2 2 2 7 3 2 2" xfId="4250"/>
    <cellStyle name="Milliers 2 2 2 2 7 3 2 2 2" xfId="4251"/>
    <cellStyle name="Milliers 2 2 2 2 7 3 2 2 2 2" xfId="4252"/>
    <cellStyle name="Milliers 2 2 2 2 7 3 2 2 3" xfId="4253"/>
    <cellStyle name="Milliers 2 2 2 2 7 3 2 3" xfId="4254"/>
    <cellStyle name="Milliers 2 2 2 2 7 3 2 3 2" xfId="4255"/>
    <cellStyle name="Milliers 2 2 2 2 7 3 2 4" xfId="4256"/>
    <cellStyle name="Milliers 2 2 2 2 7 3 3" xfId="4257"/>
    <cellStyle name="Milliers 2 2 2 2 7 3 3 2" xfId="4258"/>
    <cellStyle name="Milliers 2 2 2 2 7 3 3 2 2" xfId="4259"/>
    <cellStyle name="Milliers 2 2 2 2 7 3 3 3" xfId="4260"/>
    <cellStyle name="Milliers 2 2 2 2 7 3 4" xfId="4261"/>
    <cellStyle name="Milliers 2 2 2 2 7 3 4 2" xfId="4262"/>
    <cellStyle name="Milliers 2 2 2 2 7 3 5" xfId="4263"/>
    <cellStyle name="Milliers 2 2 2 2 7 4" xfId="4264"/>
    <cellStyle name="Milliers 2 2 2 2 7 4 2" xfId="4265"/>
    <cellStyle name="Milliers 2 2 2 2 7 4 2 2" xfId="4266"/>
    <cellStyle name="Milliers 2 2 2 2 7 4 2 2 2" xfId="4267"/>
    <cellStyle name="Milliers 2 2 2 2 7 4 2 3" xfId="4268"/>
    <cellStyle name="Milliers 2 2 2 2 7 4 3" xfId="4269"/>
    <cellStyle name="Milliers 2 2 2 2 7 4 3 2" xfId="4270"/>
    <cellStyle name="Milliers 2 2 2 2 7 4 4" xfId="4271"/>
    <cellStyle name="Milliers 2 2 2 2 7 5" xfId="4272"/>
    <cellStyle name="Milliers 2 2 2 2 7 5 2" xfId="4273"/>
    <cellStyle name="Milliers 2 2 2 2 7 5 2 2" xfId="4274"/>
    <cellStyle name="Milliers 2 2 2 2 7 5 3" xfId="4275"/>
    <cellStyle name="Milliers 2 2 2 2 7 6" xfId="4276"/>
    <cellStyle name="Milliers 2 2 2 2 7 6 2" xfId="4277"/>
    <cellStyle name="Milliers 2 2 2 2 7 7" xfId="4278"/>
    <cellStyle name="Milliers 2 2 2 2 8" xfId="4279"/>
    <cellStyle name="Milliers 2 2 2 2 8 2" xfId="4280"/>
    <cellStyle name="Milliers 2 2 2 2 8 2 2" xfId="4281"/>
    <cellStyle name="Milliers 2 2 2 2 8 2 2 2" xfId="4282"/>
    <cellStyle name="Milliers 2 2 2 2 8 2 2 2 2" xfId="4283"/>
    <cellStyle name="Milliers 2 2 2 2 8 2 2 2 2 2" xfId="4284"/>
    <cellStyle name="Milliers 2 2 2 2 8 2 2 2 3" xfId="4285"/>
    <cellStyle name="Milliers 2 2 2 2 8 2 2 3" xfId="4286"/>
    <cellStyle name="Milliers 2 2 2 2 8 2 2 3 2" xfId="4287"/>
    <cellStyle name="Milliers 2 2 2 2 8 2 2 4" xfId="4288"/>
    <cellStyle name="Milliers 2 2 2 2 8 2 3" xfId="4289"/>
    <cellStyle name="Milliers 2 2 2 2 8 2 3 2" xfId="4290"/>
    <cellStyle name="Milliers 2 2 2 2 8 2 3 2 2" xfId="4291"/>
    <cellStyle name="Milliers 2 2 2 2 8 2 3 3" xfId="4292"/>
    <cellStyle name="Milliers 2 2 2 2 8 2 4" xfId="4293"/>
    <cellStyle name="Milliers 2 2 2 2 8 2 4 2" xfId="4294"/>
    <cellStyle name="Milliers 2 2 2 2 8 2 5" xfId="4295"/>
    <cellStyle name="Milliers 2 2 2 2 8 3" xfId="4296"/>
    <cellStyle name="Milliers 2 2 2 2 8 3 2" xfId="4297"/>
    <cellStyle name="Milliers 2 2 2 2 8 3 2 2" xfId="4298"/>
    <cellStyle name="Milliers 2 2 2 2 8 3 2 2 2" xfId="4299"/>
    <cellStyle name="Milliers 2 2 2 2 8 3 2 3" xfId="4300"/>
    <cellStyle name="Milliers 2 2 2 2 8 3 3" xfId="4301"/>
    <cellStyle name="Milliers 2 2 2 2 8 3 3 2" xfId="4302"/>
    <cellStyle name="Milliers 2 2 2 2 8 3 4" xfId="4303"/>
    <cellStyle name="Milliers 2 2 2 2 8 4" xfId="4304"/>
    <cellStyle name="Milliers 2 2 2 2 8 4 2" xfId="4305"/>
    <cellStyle name="Milliers 2 2 2 2 8 4 2 2" xfId="4306"/>
    <cellStyle name="Milliers 2 2 2 2 8 4 3" xfId="4307"/>
    <cellStyle name="Milliers 2 2 2 2 8 5" xfId="4308"/>
    <cellStyle name="Milliers 2 2 2 2 8 5 2" xfId="4309"/>
    <cellStyle name="Milliers 2 2 2 2 8 6" xfId="4310"/>
    <cellStyle name="Milliers 2 2 2 2 9" xfId="4311"/>
    <cellStyle name="Milliers 2 2 2 2 9 2" xfId="4312"/>
    <cellStyle name="Milliers 2 2 2 2 9 2 2" xfId="4313"/>
    <cellStyle name="Milliers 2 2 2 2 9 2 2 2" xfId="4314"/>
    <cellStyle name="Milliers 2 2 2 2 9 2 2 2 2" xfId="4315"/>
    <cellStyle name="Milliers 2 2 2 2 9 2 2 3" xfId="4316"/>
    <cellStyle name="Milliers 2 2 2 2 9 2 3" xfId="4317"/>
    <cellStyle name="Milliers 2 2 2 2 9 2 3 2" xfId="4318"/>
    <cellStyle name="Milliers 2 2 2 2 9 2 4" xfId="4319"/>
    <cellStyle name="Milliers 2 2 2 2 9 3" xfId="4320"/>
    <cellStyle name="Milliers 2 2 2 2 9 3 2" xfId="4321"/>
    <cellStyle name="Milliers 2 2 2 2 9 3 2 2" xfId="4322"/>
    <cellStyle name="Milliers 2 2 2 2 9 3 3" xfId="4323"/>
    <cellStyle name="Milliers 2 2 2 2 9 4" xfId="4324"/>
    <cellStyle name="Milliers 2 2 2 2 9 4 2" xfId="4325"/>
    <cellStyle name="Milliers 2 2 2 2 9 5" xfId="4326"/>
    <cellStyle name="Milliers 2 2 2 3" xfId="4327"/>
    <cellStyle name="Milliers 2 2 2 3 10" xfId="4328"/>
    <cellStyle name="Milliers 2 2 2 3 10 2" xfId="4329"/>
    <cellStyle name="Milliers 2 2 2 3 10 2 2" xfId="4330"/>
    <cellStyle name="Milliers 2 2 2 3 10 3" xfId="4331"/>
    <cellStyle name="Milliers 2 2 2 3 11" xfId="4332"/>
    <cellStyle name="Milliers 2 2 2 3 11 2" xfId="4333"/>
    <cellStyle name="Milliers 2 2 2 3 12" xfId="4334"/>
    <cellStyle name="Milliers 2 2 2 3 2" xfId="4335"/>
    <cellStyle name="Milliers 2 2 2 3 2 10" xfId="4336"/>
    <cellStyle name="Milliers 2 2 2 3 2 10 2" xfId="4337"/>
    <cellStyle name="Milliers 2 2 2 3 2 11" xfId="4338"/>
    <cellStyle name="Milliers 2 2 2 3 2 2" xfId="4339"/>
    <cellStyle name="Milliers 2 2 2 3 2 2 10" xfId="4340"/>
    <cellStyle name="Milliers 2 2 2 3 2 2 2" xfId="4341"/>
    <cellStyle name="Milliers 2 2 2 3 2 2 2 2" xfId="4342"/>
    <cellStyle name="Milliers 2 2 2 3 2 2 2 2 2" xfId="4343"/>
    <cellStyle name="Milliers 2 2 2 3 2 2 2 2 2 2" xfId="4344"/>
    <cellStyle name="Milliers 2 2 2 3 2 2 2 2 2 2 2" xfId="4345"/>
    <cellStyle name="Milliers 2 2 2 3 2 2 2 2 2 2 2 2" xfId="4346"/>
    <cellStyle name="Milliers 2 2 2 3 2 2 2 2 2 2 2 2 2" xfId="4347"/>
    <cellStyle name="Milliers 2 2 2 3 2 2 2 2 2 2 2 2 2 2" xfId="4348"/>
    <cellStyle name="Milliers 2 2 2 3 2 2 2 2 2 2 2 2 2 2 2" xfId="4349"/>
    <cellStyle name="Milliers 2 2 2 3 2 2 2 2 2 2 2 2 2 3" xfId="4350"/>
    <cellStyle name="Milliers 2 2 2 3 2 2 2 2 2 2 2 2 3" xfId="4351"/>
    <cellStyle name="Milliers 2 2 2 3 2 2 2 2 2 2 2 2 3 2" xfId="4352"/>
    <cellStyle name="Milliers 2 2 2 3 2 2 2 2 2 2 2 2 4" xfId="4353"/>
    <cellStyle name="Milliers 2 2 2 3 2 2 2 2 2 2 2 3" xfId="4354"/>
    <cellStyle name="Milliers 2 2 2 3 2 2 2 2 2 2 2 3 2" xfId="4355"/>
    <cellStyle name="Milliers 2 2 2 3 2 2 2 2 2 2 2 3 2 2" xfId="4356"/>
    <cellStyle name="Milliers 2 2 2 3 2 2 2 2 2 2 2 3 3" xfId="4357"/>
    <cellStyle name="Milliers 2 2 2 3 2 2 2 2 2 2 2 4" xfId="4358"/>
    <cellStyle name="Milliers 2 2 2 3 2 2 2 2 2 2 2 4 2" xfId="4359"/>
    <cellStyle name="Milliers 2 2 2 3 2 2 2 2 2 2 2 5" xfId="4360"/>
    <cellStyle name="Milliers 2 2 2 3 2 2 2 2 2 2 3" xfId="4361"/>
    <cellStyle name="Milliers 2 2 2 3 2 2 2 2 2 2 3 2" xfId="4362"/>
    <cellStyle name="Milliers 2 2 2 3 2 2 2 2 2 2 3 2 2" xfId="4363"/>
    <cellStyle name="Milliers 2 2 2 3 2 2 2 2 2 2 3 2 2 2" xfId="4364"/>
    <cellStyle name="Milliers 2 2 2 3 2 2 2 2 2 2 3 2 3" xfId="4365"/>
    <cellStyle name="Milliers 2 2 2 3 2 2 2 2 2 2 3 3" xfId="4366"/>
    <cellStyle name="Milliers 2 2 2 3 2 2 2 2 2 2 3 3 2" xfId="4367"/>
    <cellStyle name="Milliers 2 2 2 3 2 2 2 2 2 2 3 4" xfId="4368"/>
    <cellStyle name="Milliers 2 2 2 3 2 2 2 2 2 2 4" xfId="4369"/>
    <cellStyle name="Milliers 2 2 2 3 2 2 2 2 2 2 4 2" xfId="4370"/>
    <cellStyle name="Milliers 2 2 2 3 2 2 2 2 2 2 4 2 2" xfId="4371"/>
    <cellStyle name="Milliers 2 2 2 3 2 2 2 2 2 2 4 3" xfId="4372"/>
    <cellStyle name="Milliers 2 2 2 3 2 2 2 2 2 2 5" xfId="4373"/>
    <cellStyle name="Milliers 2 2 2 3 2 2 2 2 2 2 5 2" xfId="4374"/>
    <cellStyle name="Milliers 2 2 2 3 2 2 2 2 2 2 6" xfId="4375"/>
    <cellStyle name="Milliers 2 2 2 3 2 2 2 2 2 3" xfId="4376"/>
    <cellStyle name="Milliers 2 2 2 3 2 2 2 2 2 3 2" xfId="4377"/>
    <cellStyle name="Milliers 2 2 2 3 2 2 2 2 2 3 2 2" xfId="4378"/>
    <cellStyle name="Milliers 2 2 2 3 2 2 2 2 2 3 2 2 2" xfId="4379"/>
    <cellStyle name="Milliers 2 2 2 3 2 2 2 2 2 3 2 2 2 2" xfId="4380"/>
    <cellStyle name="Milliers 2 2 2 3 2 2 2 2 2 3 2 2 3" xfId="4381"/>
    <cellStyle name="Milliers 2 2 2 3 2 2 2 2 2 3 2 3" xfId="4382"/>
    <cellStyle name="Milliers 2 2 2 3 2 2 2 2 2 3 2 3 2" xfId="4383"/>
    <cellStyle name="Milliers 2 2 2 3 2 2 2 2 2 3 2 4" xfId="4384"/>
    <cellStyle name="Milliers 2 2 2 3 2 2 2 2 2 3 3" xfId="4385"/>
    <cellStyle name="Milliers 2 2 2 3 2 2 2 2 2 3 3 2" xfId="4386"/>
    <cellStyle name="Milliers 2 2 2 3 2 2 2 2 2 3 3 2 2" xfId="4387"/>
    <cellStyle name="Milliers 2 2 2 3 2 2 2 2 2 3 3 3" xfId="4388"/>
    <cellStyle name="Milliers 2 2 2 3 2 2 2 2 2 3 4" xfId="4389"/>
    <cellStyle name="Milliers 2 2 2 3 2 2 2 2 2 3 4 2" xfId="4390"/>
    <cellStyle name="Milliers 2 2 2 3 2 2 2 2 2 3 5" xfId="4391"/>
    <cellStyle name="Milliers 2 2 2 3 2 2 2 2 2 4" xfId="4392"/>
    <cellStyle name="Milliers 2 2 2 3 2 2 2 2 2 4 2" xfId="4393"/>
    <cellStyle name="Milliers 2 2 2 3 2 2 2 2 2 4 2 2" xfId="4394"/>
    <cellStyle name="Milliers 2 2 2 3 2 2 2 2 2 4 2 2 2" xfId="4395"/>
    <cellStyle name="Milliers 2 2 2 3 2 2 2 2 2 4 2 3" xfId="4396"/>
    <cellStyle name="Milliers 2 2 2 3 2 2 2 2 2 4 3" xfId="4397"/>
    <cellStyle name="Milliers 2 2 2 3 2 2 2 2 2 4 3 2" xfId="4398"/>
    <cellStyle name="Milliers 2 2 2 3 2 2 2 2 2 4 4" xfId="4399"/>
    <cellStyle name="Milliers 2 2 2 3 2 2 2 2 2 5" xfId="4400"/>
    <cellStyle name="Milliers 2 2 2 3 2 2 2 2 2 5 2" xfId="4401"/>
    <cellStyle name="Milliers 2 2 2 3 2 2 2 2 2 5 2 2" xfId="4402"/>
    <cellStyle name="Milliers 2 2 2 3 2 2 2 2 2 5 3" xfId="4403"/>
    <cellStyle name="Milliers 2 2 2 3 2 2 2 2 2 6" xfId="4404"/>
    <cellStyle name="Milliers 2 2 2 3 2 2 2 2 2 6 2" xfId="4405"/>
    <cellStyle name="Milliers 2 2 2 3 2 2 2 2 2 7" xfId="4406"/>
    <cellStyle name="Milliers 2 2 2 3 2 2 2 2 3" xfId="4407"/>
    <cellStyle name="Milliers 2 2 2 3 2 2 2 2 3 2" xfId="4408"/>
    <cellStyle name="Milliers 2 2 2 3 2 2 2 2 3 2 2" xfId="4409"/>
    <cellStyle name="Milliers 2 2 2 3 2 2 2 2 3 2 2 2" xfId="4410"/>
    <cellStyle name="Milliers 2 2 2 3 2 2 2 2 3 2 2 2 2" xfId="4411"/>
    <cellStyle name="Milliers 2 2 2 3 2 2 2 2 3 2 2 2 2 2" xfId="4412"/>
    <cellStyle name="Milliers 2 2 2 3 2 2 2 2 3 2 2 2 3" xfId="4413"/>
    <cellStyle name="Milliers 2 2 2 3 2 2 2 2 3 2 2 3" xfId="4414"/>
    <cellStyle name="Milliers 2 2 2 3 2 2 2 2 3 2 2 3 2" xfId="4415"/>
    <cellStyle name="Milliers 2 2 2 3 2 2 2 2 3 2 2 4" xfId="4416"/>
    <cellStyle name="Milliers 2 2 2 3 2 2 2 2 3 2 3" xfId="4417"/>
    <cellStyle name="Milliers 2 2 2 3 2 2 2 2 3 2 3 2" xfId="4418"/>
    <cellStyle name="Milliers 2 2 2 3 2 2 2 2 3 2 3 2 2" xfId="4419"/>
    <cellStyle name="Milliers 2 2 2 3 2 2 2 2 3 2 3 3" xfId="4420"/>
    <cellStyle name="Milliers 2 2 2 3 2 2 2 2 3 2 4" xfId="4421"/>
    <cellStyle name="Milliers 2 2 2 3 2 2 2 2 3 2 4 2" xfId="4422"/>
    <cellStyle name="Milliers 2 2 2 3 2 2 2 2 3 2 5" xfId="4423"/>
    <cellStyle name="Milliers 2 2 2 3 2 2 2 2 3 3" xfId="4424"/>
    <cellStyle name="Milliers 2 2 2 3 2 2 2 2 3 3 2" xfId="4425"/>
    <cellStyle name="Milliers 2 2 2 3 2 2 2 2 3 3 2 2" xfId="4426"/>
    <cellStyle name="Milliers 2 2 2 3 2 2 2 2 3 3 2 2 2" xfId="4427"/>
    <cellStyle name="Milliers 2 2 2 3 2 2 2 2 3 3 2 3" xfId="4428"/>
    <cellStyle name="Milliers 2 2 2 3 2 2 2 2 3 3 3" xfId="4429"/>
    <cellStyle name="Milliers 2 2 2 3 2 2 2 2 3 3 3 2" xfId="4430"/>
    <cellStyle name="Milliers 2 2 2 3 2 2 2 2 3 3 4" xfId="4431"/>
    <cellStyle name="Milliers 2 2 2 3 2 2 2 2 3 4" xfId="4432"/>
    <cellStyle name="Milliers 2 2 2 3 2 2 2 2 3 4 2" xfId="4433"/>
    <cellStyle name="Milliers 2 2 2 3 2 2 2 2 3 4 2 2" xfId="4434"/>
    <cellStyle name="Milliers 2 2 2 3 2 2 2 2 3 4 3" xfId="4435"/>
    <cellStyle name="Milliers 2 2 2 3 2 2 2 2 3 5" xfId="4436"/>
    <cellStyle name="Milliers 2 2 2 3 2 2 2 2 3 5 2" xfId="4437"/>
    <cellStyle name="Milliers 2 2 2 3 2 2 2 2 3 6" xfId="4438"/>
    <cellStyle name="Milliers 2 2 2 3 2 2 2 2 4" xfId="4439"/>
    <cellStyle name="Milliers 2 2 2 3 2 2 2 2 4 2" xfId="4440"/>
    <cellStyle name="Milliers 2 2 2 3 2 2 2 2 4 2 2" xfId="4441"/>
    <cellStyle name="Milliers 2 2 2 3 2 2 2 2 4 2 2 2" xfId="4442"/>
    <cellStyle name="Milliers 2 2 2 3 2 2 2 2 4 2 2 2 2" xfId="4443"/>
    <cellStyle name="Milliers 2 2 2 3 2 2 2 2 4 2 2 3" xfId="4444"/>
    <cellStyle name="Milliers 2 2 2 3 2 2 2 2 4 2 3" xfId="4445"/>
    <cellStyle name="Milliers 2 2 2 3 2 2 2 2 4 2 3 2" xfId="4446"/>
    <cellStyle name="Milliers 2 2 2 3 2 2 2 2 4 2 4" xfId="4447"/>
    <cellStyle name="Milliers 2 2 2 3 2 2 2 2 4 3" xfId="4448"/>
    <cellStyle name="Milliers 2 2 2 3 2 2 2 2 4 3 2" xfId="4449"/>
    <cellStyle name="Milliers 2 2 2 3 2 2 2 2 4 3 2 2" xfId="4450"/>
    <cellStyle name="Milliers 2 2 2 3 2 2 2 2 4 3 3" xfId="4451"/>
    <cellStyle name="Milliers 2 2 2 3 2 2 2 2 4 4" xfId="4452"/>
    <cellStyle name="Milliers 2 2 2 3 2 2 2 2 4 4 2" xfId="4453"/>
    <cellStyle name="Milliers 2 2 2 3 2 2 2 2 4 5" xfId="4454"/>
    <cellStyle name="Milliers 2 2 2 3 2 2 2 2 5" xfId="4455"/>
    <cellStyle name="Milliers 2 2 2 3 2 2 2 2 5 2" xfId="4456"/>
    <cellStyle name="Milliers 2 2 2 3 2 2 2 2 5 2 2" xfId="4457"/>
    <cellStyle name="Milliers 2 2 2 3 2 2 2 2 5 2 2 2" xfId="4458"/>
    <cellStyle name="Milliers 2 2 2 3 2 2 2 2 5 2 3" xfId="4459"/>
    <cellStyle name="Milliers 2 2 2 3 2 2 2 2 5 3" xfId="4460"/>
    <cellStyle name="Milliers 2 2 2 3 2 2 2 2 5 3 2" xfId="4461"/>
    <cellStyle name="Milliers 2 2 2 3 2 2 2 2 5 4" xfId="4462"/>
    <cellStyle name="Milliers 2 2 2 3 2 2 2 2 6" xfId="4463"/>
    <cellStyle name="Milliers 2 2 2 3 2 2 2 2 6 2" xfId="4464"/>
    <cellStyle name="Milliers 2 2 2 3 2 2 2 2 6 2 2" xfId="4465"/>
    <cellStyle name="Milliers 2 2 2 3 2 2 2 2 6 3" xfId="4466"/>
    <cellStyle name="Milliers 2 2 2 3 2 2 2 2 7" xfId="4467"/>
    <cellStyle name="Milliers 2 2 2 3 2 2 2 2 7 2" xfId="4468"/>
    <cellStyle name="Milliers 2 2 2 3 2 2 2 2 8" xfId="4469"/>
    <cellStyle name="Milliers 2 2 2 3 2 2 2 3" xfId="4470"/>
    <cellStyle name="Milliers 2 2 2 3 2 2 2 3 2" xfId="4471"/>
    <cellStyle name="Milliers 2 2 2 3 2 2 2 3 2 2" xfId="4472"/>
    <cellStyle name="Milliers 2 2 2 3 2 2 2 3 2 2 2" xfId="4473"/>
    <cellStyle name="Milliers 2 2 2 3 2 2 2 3 2 2 2 2" xfId="4474"/>
    <cellStyle name="Milliers 2 2 2 3 2 2 2 3 2 2 2 2 2" xfId="4475"/>
    <cellStyle name="Milliers 2 2 2 3 2 2 2 3 2 2 2 2 2 2" xfId="4476"/>
    <cellStyle name="Milliers 2 2 2 3 2 2 2 3 2 2 2 2 3" xfId="4477"/>
    <cellStyle name="Milliers 2 2 2 3 2 2 2 3 2 2 2 3" xfId="4478"/>
    <cellStyle name="Milliers 2 2 2 3 2 2 2 3 2 2 2 3 2" xfId="4479"/>
    <cellStyle name="Milliers 2 2 2 3 2 2 2 3 2 2 2 4" xfId="4480"/>
    <cellStyle name="Milliers 2 2 2 3 2 2 2 3 2 2 3" xfId="4481"/>
    <cellStyle name="Milliers 2 2 2 3 2 2 2 3 2 2 3 2" xfId="4482"/>
    <cellStyle name="Milliers 2 2 2 3 2 2 2 3 2 2 3 2 2" xfId="4483"/>
    <cellStyle name="Milliers 2 2 2 3 2 2 2 3 2 2 3 3" xfId="4484"/>
    <cellStyle name="Milliers 2 2 2 3 2 2 2 3 2 2 4" xfId="4485"/>
    <cellStyle name="Milliers 2 2 2 3 2 2 2 3 2 2 4 2" xfId="4486"/>
    <cellStyle name="Milliers 2 2 2 3 2 2 2 3 2 2 5" xfId="4487"/>
    <cellStyle name="Milliers 2 2 2 3 2 2 2 3 2 3" xfId="4488"/>
    <cellStyle name="Milliers 2 2 2 3 2 2 2 3 2 3 2" xfId="4489"/>
    <cellStyle name="Milliers 2 2 2 3 2 2 2 3 2 3 2 2" xfId="4490"/>
    <cellStyle name="Milliers 2 2 2 3 2 2 2 3 2 3 2 2 2" xfId="4491"/>
    <cellStyle name="Milliers 2 2 2 3 2 2 2 3 2 3 2 3" xfId="4492"/>
    <cellStyle name="Milliers 2 2 2 3 2 2 2 3 2 3 3" xfId="4493"/>
    <cellStyle name="Milliers 2 2 2 3 2 2 2 3 2 3 3 2" xfId="4494"/>
    <cellStyle name="Milliers 2 2 2 3 2 2 2 3 2 3 4" xfId="4495"/>
    <cellStyle name="Milliers 2 2 2 3 2 2 2 3 2 4" xfId="4496"/>
    <cellStyle name="Milliers 2 2 2 3 2 2 2 3 2 4 2" xfId="4497"/>
    <cellStyle name="Milliers 2 2 2 3 2 2 2 3 2 4 2 2" xfId="4498"/>
    <cellStyle name="Milliers 2 2 2 3 2 2 2 3 2 4 3" xfId="4499"/>
    <cellStyle name="Milliers 2 2 2 3 2 2 2 3 2 5" xfId="4500"/>
    <cellStyle name="Milliers 2 2 2 3 2 2 2 3 2 5 2" xfId="4501"/>
    <cellStyle name="Milliers 2 2 2 3 2 2 2 3 2 6" xfId="4502"/>
    <cellStyle name="Milliers 2 2 2 3 2 2 2 3 3" xfId="4503"/>
    <cellStyle name="Milliers 2 2 2 3 2 2 2 3 3 2" xfId="4504"/>
    <cellStyle name="Milliers 2 2 2 3 2 2 2 3 3 2 2" xfId="4505"/>
    <cellStyle name="Milliers 2 2 2 3 2 2 2 3 3 2 2 2" xfId="4506"/>
    <cellStyle name="Milliers 2 2 2 3 2 2 2 3 3 2 2 2 2" xfId="4507"/>
    <cellStyle name="Milliers 2 2 2 3 2 2 2 3 3 2 2 3" xfId="4508"/>
    <cellStyle name="Milliers 2 2 2 3 2 2 2 3 3 2 3" xfId="4509"/>
    <cellStyle name="Milliers 2 2 2 3 2 2 2 3 3 2 3 2" xfId="4510"/>
    <cellStyle name="Milliers 2 2 2 3 2 2 2 3 3 2 4" xfId="4511"/>
    <cellStyle name="Milliers 2 2 2 3 2 2 2 3 3 3" xfId="4512"/>
    <cellStyle name="Milliers 2 2 2 3 2 2 2 3 3 3 2" xfId="4513"/>
    <cellStyle name="Milliers 2 2 2 3 2 2 2 3 3 3 2 2" xfId="4514"/>
    <cellStyle name="Milliers 2 2 2 3 2 2 2 3 3 3 3" xfId="4515"/>
    <cellStyle name="Milliers 2 2 2 3 2 2 2 3 3 4" xfId="4516"/>
    <cellStyle name="Milliers 2 2 2 3 2 2 2 3 3 4 2" xfId="4517"/>
    <cellStyle name="Milliers 2 2 2 3 2 2 2 3 3 5" xfId="4518"/>
    <cellStyle name="Milliers 2 2 2 3 2 2 2 3 4" xfId="4519"/>
    <cellStyle name="Milliers 2 2 2 3 2 2 2 3 4 2" xfId="4520"/>
    <cellStyle name="Milliers 2 2 2 3 2 2 2 3 4 2 2" xfId="4521"/>
    <cellStyle name="Milliers 2 2 2 3 2 2 2 3 4 2 2 2" xfId="4522"/>
    <cellStyle name="Milliers 2 2 2 3 2 2 2 3 4 2 3" xfId="4523"/>
    <cellStyle name="Milliers 2 2 2 3 2 2 2 3 4 3" xfId="4524"/>
    <cellStyle name="Milliers 2 2 2 3 2 2 2 3 4 3 2" xfId="4525"/>
    <cellStyle name="Milliers 2 2 2 3 2 2 2 3 4 4" xfId="4526"/>
    <cellStyle name="Milliers 2 2 2 3 2 2 2 3 5" xfId="4527"/>
    <cellStyle name="Milliers 2 2 2 3 2 2 2 3 5 2" xfId="4528"/>
    <cellStyle name="Milliers 2 2 2 3 2 2 2 3 5 2 2" xfId="4529"/>
    <cellStyle name="Milliers 2 2 2 3 2 2 2 3 5 3" xfId="4530"/>
    <cellStyle name="Milliers 2 2 2 3 2 2 2 3 6" xfId="4531"/>
    <cellStyle name="Milliers 2 2 2 3 2 2 2 3 6 2" xfId="4532"/>
    <cellStyle name="Milliers 2 2 2 3 2 2 2 3 7" xfId="4533"/>
    <cellStyle name="Milliers 2 2 2 3 2 2 2 4" xfId="4534"/>
    <cellStyle name="Milliers 2 2 2 3 2 2 2 4 2" xfId="4535"/>
    <cellStyle name="Milliers 2 2 2 3 2 2 2 4 2 2" xfId="4536"/>
    <cellStyle name="Milliers 2 2 2 3 2 2 2 4 2 2 2" xfId="4537"/>
    <cellStyle name="Milliers 2 2 2 3 2 2 2 4 2 2 2 2" xfId="4538"/>
    <cellStyle name="Milliers 2 2 2 3 2 2 2 4 2 2 2 2 2" xfId="4539"/>
    <cellStyle name="Milliers 2 2 2 3 2 2 2 4 2 2 2 3" xfId="4540"/>
    <cellStyle name="Milliers 2 2 2 3 2 2 2 4 2 2 3" xfId="4541"/>
    <cellStyle name="Milliers 2 2 2 3 2 2 2 4 2 2 3 2" xfId="4542"/>
    <cellStyle name="Milliers 2 2 2 3 2 2 2 4 2 2 4" xfId="4543"/>
    <cellStyle name="Milliers 2 2 2 3 2 2 2 4 2 3" xfId="4544"/>
    <cellStyle name="Milliers 2 2 2 3 2 2 2 4 2 3 2" xfId="4545"/>
    <cellStyle name="Milliers 2 2 2 3 2 2 2 4 2 3 2 2" xfId="4546"/>
    <cellStyle name="Milliers 2 2 2 3 2 2 2 4 2 3 3" xfId="4547"/>
    <cellStyle name="Milliers 2 2 2 3 2 2 2 4 2 4" xfId="4548"/>
    <cellStyle name="Milliers 2 2 2 3 2 2 2 4 2 4 2" xfId="4549"/>
    <cellStyle name="Milliers 2 2 2 3 2 2 2 4 2 5" xfId="4550"/>
    <cellStyle name="Milliers 2 2 2 3 2 2 2 4 3" xfId="4551"/>
    <cellStyle name="Milliers 2 2 2 3 2 2 2 4 3 2" xfId="4552"/>
    <cellStyle name="Milliers 2 2 2 3 2 2 2 4 3 2 2" xfId="4553"/>
    <cellStyle name="Milliers 2 2 2 3 2 2 2 4 3 2 2 2" xfId="4554"/>
    <cellStyle name="Milliers 2 2 2 3 2 2 2 4 3 2 3" xfId="4555"/>
    <cellStyle name="Milliers 2 2 2 3 2 2 2 4 3 3" xfId="4556"/>
    <cellStyle name="Milliers 2 2 2 3 2 2 2 4 3 3 2" xfId="4557"/>
    <cellStyle name="Milliers 2 2 2 3 2 2 2 4 3 4" xfId="4558"/>
    <cellStyle name="Milliers 2 2 2 3 2 2 2 4 4" xfId="4559"/>
    <cellStyle name="Milliers 2 2 2 3 2 2 2 4 4 2" xfId="4560"/>
    <cellStyle name="Milliers 2 2 2 3 2 2 2 4 4 2 2" xfId="4561"/>
    <cellStyle name="Milliers 2 2 2 3 2 2 2 4 4 3" xfId="4562"/>
    <cellStyle name="Milliers 2 2 2 3 2 2 2 4 5" xfId="4563"/>
    <cellStyle name="Milliers 2 2 2 3 2 2 2 4 5 2" xfId="4564"/>
    <cellStyle name="Milliers 2 2 2 3 2 2 2 4 6" xfId="4565"/>
    <cellStyle name="Milliers 2 2 2 3 2 2 2 5" xfId="4566"/>
    <cellStyle name="Milliers 2 2 2 3 2 2 2 5 2" xfId="4567"/>
    <cellStyle name="Milliers 2 2 2 3 2 2 2 5 2 2" xfId="4568"/>
    <cellStyle name="Milliers 2 2 2 3 2 2 2 5 2 2 2" xfId="4569"/>
    <cellStyle name="Milliers 2 2 2 3 2 2 2 5 2 2 2 2" xfId="4570"/>
    <cellStyle name="Milliers 2 2 2 3 2 2 2 5 2 2 3" xfId="4571"/>
    <cellStyle name="Milliers 2 2 2 3 2 2 2 5 2 3" xfId="4572"/>
    <cellStyle name="Milliers 2 2 2 3 2 2 2 5 2 3 2" xfId="4573"/>
    <cellStyle name="Milliers 2 2 2 3 2 2 2 5 2 4" xfId="4574"/>
    <cellStyle name="Milliers 2 2 2 3 2 2 2 5 3" xfId="4575"/>
    <cellStyle name="Milliers 2 2 2 3 2 2 2 5 3 2" xfId="4576"/>
    <cellStyle name="Milliers 2 2 2 3 2 2 2 5 3 2 2" xfId="4577"/>
    <cellStyle name="Milliers 2 2 2 3 2 2 2 5 3 3" xfId="4578"/>
    <cellStyle name="Milliers 2 2 2 3 2 2 2 5 4" xfId="4579"/>
    <cellStyle name="Milliers 2 2 2 3 2 2 2 5 4 2" xfId="4580"/>
    <cellStyle name="Milliers 2 2 2 3 2 2 2 5 5" xfId="4581"/>
    <cellStyle name="Milliers 2 2 2 3 2 2 2 6" xfId="4582"/>
    <cellStyle name="Milliers 2 2 2 3 2 2 2 6 2" xfId="4583"/>
    <cellStyle name="Milliers 2 2 2 3 2 2 2 6 2 2" xfId="4584"/>
    <cellStyle name="Milliers 2 2 2 3 2 2 2 6 2 2 2" xfId="4585"/>
    <cellStyle name="Milliers 2 2 2 3 2 2 2 6 2 3" xfId="4586"/>
    <cellStyle name="Milliers 2 2 2 3 2 2 2 6 3" xfId="4587"/>
    <cellStyle name="Milliers 2 2 2 3 2 2 2 6 3 2" xfId="4588"/>
    <cellStyle name="Milliers 2 2 2 3 2 2 2 6 4" xfId="4589"/>
    <cellStyle name="Milliers 2 2 2 3 2 2 2 7" xfId="4590"/>
    <cellStyle name="Milliers 2 2 2 3 2 2 2 7 2" xfId="4591"/>
    <cellStyle name="Milliers 2 2 2 3 2 2 2 7 2 2" xfId="4592"/>
    <cellStyle name="Milliers 2 2 2 3 2 2 2 7 3" xfId="4593"/>
    <cellStyle name="Milliers 2 2 2 3 2 2 2 8" xfId="4594"/>
    <cellStyle name="Milliers 2 2 2 3 2 2 2 8 2" xfId="4595"/>
    <cellStyle name="Milliers 2 2 2 3 2 2 2 9" xfId="4596"/>
    <cellStyle name="Milliers 2 2 2 3 2 2 3" xfId="4597"/>
    <cellStyle name="Milliers 2 2 2 3 2 2 3 2" xfId="4598"/>
    <cellStyle name="Milliers 2 2 2 3 2 2 3 2 2" xfId="4599"/>
    <cellStyle name="Milliers 2 2 2 3 2 2 3 2 2 2" xfId="4600"/>
    <cellStyle name="Milliers 2 2 2 3 2 2 3 2 2 2 2" xfId="4601"/>
    <cellStyle name="Milliers 2 2 2 3 2 2 3 2 2 2 2 2" xfId="4602"/>
    <cellStyle name="Milliers 2 2 2 3 2 2 3 2 2 2 2 2 2" xfId="4603"/>
    <cellStyle name="Milliers 2 2 2 3 2 2 3 2 2 2 2 2 2 2" xfId="4604"/>
    <cellStyle name="Milliers 2 2 2 3 2 2 3 2 2 2 2 2 3" xfId="4605"/>
    <cellStyle name="Milliers 2 2 2 3 2 2 3 2 2 2 2 3" xfId="4606"/>
    <cellStyle name="Milliers 2 2 2 3 2 2 3 2 2 2 2 3 2" xfId="4607"/>
    <cellStyle name="Milliers 2 2 2 3 2 2 3 2 2 2 2 4" xfId="4608"/>
    <cellStyle name="Milliers 2 2 2 3 2 2 3 2 2 2 3" xfId="4609"/>
    <cellStyle name="Milliers 2 2 2 3 2 2 3 2 2 2 3 2" xfId="4610"/>
    <cellStyle name="Milliers 2 2 2 3 2 2 3 2 2 2 3 2 2" xfId="4611"/>
    <cellStyle name="Milliers 2 2 2 3 2 2 3 2 2 2 3 3" xfId="4612"/>
    <cellStyle name="Milliers 2 2 2 3 2 2 3 2 2 2 4" xfId="4613"/>
    <cellStyle name="Milliers 2 2 2 3 2 2 3 2 2 2 4 2" xfId="4614"/>
    <cellStyle name="Milliers 2 2 2 3 2 2 3 2 2 2 5" xfId="4615"/>
    <cellStyle name="Milliers 2 2 2 3 2 2 3 2 2 3" xfId="4616"/>
    <cellStyle name="Milliers 2 2 2 3 2 2 3 2 2 3 2" xfId="4617"/>
    <cellStyle name="Milliers 2 2 2 3 2 2 3 2 2 3 2 2" xfId="4618"/>
    <cellStyle name="Milliers 2 2 2 3 2 2 3 2 2 3 2 2 2" xfId="4619"/>
    <cellStyle name="Milliers 2 2 2 3 2 2 3 2 2 3 2 3" xfId="4620"/>
    <cellStyle name="Milliers 2 2 2 3 2 2 3 2 2 3 3" xfId="4621"/>
    <cellStyle name="Milliers 2 2 2 3 2 2 3 2 2 3 3 2" xfId="4622"/>
    <cellStyle name="Milliers 2 2 2 3 2 2 3 2 2 3 4" xfId="4623"/>
    <cellStyle name="Milliers 2 2 2 3 2 2 3 2 2 4" xfId="4624"/>
    <cellStyle name="Milliers 2 2 2 3 2 2 3 2 2 4 2" xfId="4625"/>
    <cellStyle name="Milliers 2 2 2 3 2 2 3 2 2 4 2 2" xfId="4626"/>
    <cellStyle name="Milliers 2 2 2 3 2 2 3 2 2 4 3" xfId="4627"/>
    <cellStyle name="Milliers 2 2 2 3 2 2 3 2 2 5" xfId="4628"/>
    <cellStyle name="Milliers 2 2 2 3 2 2 3 2 2 5 2" xfId="4629"/>
    <cellStyle name="Milliers 2 2 2 3 2 2 3 2 2 6" xfId="4630"/>
    <cellStyle name="Milliers 2 2 2 3 2 2 3 2 3" xfId="4631"/>
    <cellStyle name="Milliers 2 2 2 3 2 2 3 2 3 2" xfId="4632"/>
    <cellStyle name="Milliers 2 2 2 3 2 2 3 2 3 2 2" xfId="4633"/>
    <cellStyle name="Milliers 2 2 2 3 2 2 3 2 3 2 2 2" xfId="4634"/>
    <cellStyle name="Milliers 2 2 2 3 2 2 3 2 3 2 2 2 2" xfId="4635"/>
    <cellStyle name="Milliers 2 2 2 3 2 2 3 2 3 2 2 3" xfId="4636"/>
    <cellStyle name="Milliers 2 2 2 3 2 2 3 2 3 2 3" xfId="4637"/>
    <cellStyle name="Milliers 2 2 2 3 2 2 3 2 3 2 3 2" xfId="4638"/>
    <cellStyle name="Milliers 2 2 2 3 2 2 3 2 3 2 4" xfId="4639"/>
    <cellStyle name="Milliers 2 2 2 3 2 2 3 2 3 3" xfId="4640"/>
    <cellStyle name="Milliers 2 2 2 3 2 2 3 2 3 3 2" xfId="4641"/>
    <cellStyle name="Milliers 2 2 2 3 2 2 3 2 3 3 2 2" xfId="4642"/>
    <cellStyle name="Milliers 2 2 2 3 2 2 3 2 3 3 3" xfId="4643"/>
    <cellStyle name="Milliers 2 2 2 3 2 2 3 2 3 4" xfId="4644"/>
    <cellStyle name="Milliers 2 2 2 3 2 2 3 2 3 4 2" xfId="4645"/>
    <cellStyle name="Milliers 2 2 2 3 2 2 3 2 3 5" xfId="4646"/>
    <cellStyle name="Milliers 2 2 2 3 2 2 3 2 4" xfId="4647"/>
    <cellStyle name="Milliers 2 2 2 3 2 2 3 2 4 2" xfId="4648"/>
    <cellStyle name="Milliers 2 2 2 3 2 2 3 2 4 2 2" xfId="4649"/>
    <cellStyle name="Milliers 2 2 2 3 2 2 3 2 4 2 2 2" xfId="4650"/>
    <cellStyle name="Milliers 2 2 2 3 2 2 3 2 4 2 3" xfId="4651"/>
    <cellStyle name="Milliers 2 2 2 3 2 2 3 2 4 3" xfId="4652"/>
    <cellStyle name="Milliers 2 2 2 3 2 2 3 2 4 3 2" xfId="4653"/>
    <cellStyle name="Milliers 2 2 2 3 2 2 3 2 4 4" xfId="4654"/>
    <cellStyle name="Milliers 2 2 2 3 2 2 3 2 5" xfId="4655"/>
    <cellStyle name="Milliers 2 2 2 3 2 2 3 2 5 2" xfId="4656"/>
    <cellStyle name="Milliers 2 2 2 3 2 2 3 2 5 2 2" xfId="4657"/>
    <cellStyle name="Milliers 2 2 2 3 2 2 3 2 5 3" xfId="4658"/>
    <cellStyle name="Milliers 2 2 2 3 2 2 3 2 6" xfId="4659"/>
    <cellStyle name="Milliers 2 2 2 3 2 2 3 2 6 2" xfId="4660"/>
    <cellStyle name="Milliers 2 2 2 3 2 2 3 2 7" xfId="4661"/>
    <cellStyle name="Milliers 2 2 2 3 2 2 3 3" xfId="4662"/>
    <cellStyle name="Milliers 2 2 2 3 2 2 3 3 2" xfId="4663"/>
    <cellStyle name="Milliers 2 2 2 3 2 2 3 3 2 2" xfId="4664"/>
    <cellStyle name="Milliers 2 2 2 3 2 2 3 3 2 2 2" xfId="4665"/>
    <cellStyle name="Milliers 2 2 2 3 2 2 3 3 2 2 2 2" xfId="4666"/>
    <cellStyle name="Milliers 2 2 2 3 2 2 3 3 2 2 2 2 2" xfId="4667"/>
    <cellStyle name="Milliers 2 2 2 3 2 2 3 3 2 2 2 3" xfId="4668"/>
    <cellStyle name="Milliers 2 2 2 3 2 2 3 3 2 2 3" xfId="4669"/>
    <cellStyle name="Milliers 2 2 2 3 2 2 3 3 2 2 3 2" xfId="4670"/>
    <cellStyle name="Milliers 2 2 2 3 2 2 3 3 2 2 4" xfId="4671"/>
    <cellStyle name="Milliers 2 2 2 3 2 2 3 3 2 3" xfId="4672"/>
    <cellStyle name="Milliers 2 2 2 3 2 2 3 3 2 3 2" xfId="4673"/>
    <cellStyle name="Milliers 2 2 2 3 2 2 3 3 2 3 2 2" xfId="4674"/>
    <cellStyle name="Milliers 2 2 2 3 2 2 3 3 2 3 3" xfId="4675"/>
    <cellStyle name="Milliers 2 2 2 3 2 2 3 3 2 4" xfId="4676"/>
    <cellStyle name="Milliers 2 2 2 3 2 2 3 3 2 4 2" xfId="4677"/>
    <cellStyle name="Milliers 2 2 2 3 2 2 3 3 2 5" xfId="4678"/>
    <cellStyle name="Milliers 2 2 2 3 2 2 3 3 3" xfId="4679"/>
    <cellStyle name="Milliers 2 2 2 3 2 2 3 3 3 2" xfId="4680"/>
    <cellStyle name="Milliers 2 2 2 3 2 2 3 3 3 2 2" xfId="4681"/>
    <cellStyle name="Milliers 2 2 2 3 2 2 3 3 3 2 2 2" xfId="4682"/>
    <cellStyle name="Milliers 2 2 2 3 2 2 3 3 3 2 3" xfId="4683"/>
    <cellStyle name="Milliers 2 2 2 3 2 2 3 3 3 3" xfId="4684"/>
    <cellStyle name="Milliers 2 2 2 3 2 2 3 3 3 3 2" xfId="4685"/>
    <cellStyle name="Milliers 2 2 2 3 2 2 3 3 3 4" xfId="4686"/>
    <cellStyle name="Milliers 2 2 2 3 2 2 3 3 4" xfId="4687"/>
    <cellStyle name="Milliers 2 2 2 3 2 2 3 3 4 2" xfId="4688"/>
    <cellStyle name="Milliers 2 2 2 3 2 2 3 3 4 2 2" xfId="4689"/>
    <cellStyle name="Milliers 2 2 2 3 2 2 3 3 4 3" xfId="4690"/>
    <cellStyle name="Milliers 2 2 2 3 2 2 3 3 5" xfId="4691"/>
    <cellStyle name="Milliers 2 2 2 3 2 2 3 3 5 2" xfId="4692"/>
    <cellStyle name="Milliers 2 2 2 3 2 2 3 3 6" xfId="4693"/>
    <cellStyle name="Milliers 2 2 2 3 2 2 3 4" xfId="4694"/>
    <cellStyle name="Milliers 2 2 2 3 2 2 3 4 2" xfId="4695"/>
    <cellStyle name="Milliers 2 2 2 3 2 2 3 4 2 2" xfId="4696"/>
    <cellStyle name="Milliers 2 2 2 3 2 2 3 4 2 2 2" xfId="4697"/>
    <cellStyle name="Milliers 2 2 2 3 2 2 3 4 2 2 2 2" xfId="4698"/>
    <cellStyle name="Milliers 2 2 2 3 2 2 3 4 2 2 3" xfId="4699"/>
    <cellStyle name="Milliers 2 2 2 3 2 2 3 4 2 3" xfId="4700"/>
    <cellStyle name="Milliers 2 2 2 3 2 2 3 4 2 3 2" xfId="4701"/>
    <cellStyle name="Milliers 2 2 2 3 2 2 3 4 2 4" xfId="4702"/>
    <cellStyle name="Milliers 2 2 2 3 2 2 3 4 3" xfId="4703"/>
    <cellStyle name="Milliers 2 2 2 3 2 2 3 4 3 2" xfId="4704"/>
    <cellStyle name="Milliers 2 2 2 3 2 2 3 4 3 2 2" xfId="4705"/>
    <cellStyle name="Milliers 2 2 2 3 2 2 3 4 3 3" xfId="4706"/>
    <cellStyle name="Milliers 2 2 2 3 2 2 3 4 4" xfId="4707"/>
    <cellStyle name="Milliers 2 2 2 3 2 2 3 4 4 2" xfId="4708"/>
    <cellStyle name="Milliers 2 2 2 3 2 2 3 4 5" xfId="4709"/>
    <cellStyle name="Milliers 2 2 2 3 2 2 3 5" xfId="4710"/>
    <cellStyle name="Milliers 2 2 2 3 2 2 3 5 2" xfId="4711"/>
    <cellStyle name="Milliers 2 2 2 3 2 2 3 5 2 2" xfId="4712"/>
    <cellStyle name="Milliers 2 2 2 3 2 2 3 5 2 2 2" xfId="4713"/>
    <cellStyle name="Milliers 2 2 2 3 2 2 3 5 2 3" xfId="4714"/>
    <cellStyle name="Milliers 2 2 2 3 2 2 3 5 3" xfId="4715"/>
    <cellStyle name="Milliers 2 2 2 3 2 2 3 5 3 2" xfId="4716"/>
    <cellStyle name="Milliers 2 2 2 3 2 2 3 5 4" xfId="4717"/>
    <cellStyle name="Milliers 2 2 2 3 2 2 3 6" xfId="4718"/>
    <cellStyle name="Milliers 2 2 2 3 2 2 3 6 2" xfId="4719"/>
    <cellStyle name="Milliers 2 2 2 3 2 2 3 6 2 2" xfId="4720"/>
    <cellStyle name="Milliers 2 2 2 3 2 2 3 6 3" xfId="4721"/>
    <cellStyle name="Milliers 2 2 2 3 2 2 3 7" xfId="4722"/>
    <cellStyle name="Milliers 2 2 2 3 2 2 3 7 2" xfId="4723"/>
    <cellStyle name="Milliers 2 2 2 3 2 2 3 8" xfId="4724"/>
    <cellStyle name="Milliers 2 2 2 3 2 2 4" xfId="4725"/>
    <cellStyle name="Milliers 2 2 2 3 2 2 4 2" xfId="4726"/>
    <cellStyle name="Milliers 2 2 2 3 2 2 4 2 2" xfId="4727"/>
    <cellStyle name="Milliers 2 2 2 3 2 2 4 2 2 2" xfId="4728"/>
    <cellStyle name="Milliers 2 2 2 3 2 2 4 2 2 2 2" xfId="4729"/>
    <cellStyle name="Milliers 2 2 2 3 2 2 4 2 2 2 2 2" xfId="4730"/>
    <cellStyle name="Milliers 2 2 2 3 2 2 4 2 2 2 2 2 2" xfId="4731"/>
    <cellStyle name="Milliers 2 2 2 3 2 2 4 2 2 2 2 3" xfId="4732"/>
    <cellStyle name="Milliers 2 2 2 3 2 2 4 2 2 2 3" xfId="4733"/>
    <cellStyle name="Milliers 2 2 2 3 2 2 4 2 2 2 3 2" xfId="4734"/>
    <cellStyle name="Milliers 2 2 2 3 2 2 4 2 2 2 4" xfId="4735"/>
    <cellStyle name="Milliers 2 2 2 3 2 2 4 2 2 3" xfId="4736"/>
    <cellStyle name="Milliers 2 2 2 3 2 2 4 2 2 3 2" xfId="4737"/>
    <cellStyle name="Milliers 2 2 2 3 2 2 4 2 2 3 2 2" xfId="4738"/>
    <cellStyle name="Milliers 2 2 2 3 2 2 4 2 2 3 3" xfId="4739"/>
    <cellStyle name="Milliers 2 2 2 3 2 2 4 2 2 4" xfId="4740"/>
    <cellStyle name="Milliers 2 2 2 3 2 2 4 2 2 4 2" xfId="4741"/>
    <cellStyle name="Milliers 2 2 2 3 2 2 4 2 2 5" xfId="4742"/>
    <cellStyle name="Milliers 2 2 2 3 2 2 4 2 3" xfId="4743"/>
    <cellStyle name="Milliers 2 2 2 3 2 2 4 2 3 2" xfId="4744"/>
    <cellStyle name="Milliers 2 2 2 3 2 2 4 2 3 2 2" xfId="4745"/>
    <cellStyle name="Milliers 2 2 2 3 2 2 4 2 3 2 2 2" xfId="4746"/>
    <cellStyle name="Milliers 2 2 2 3 2 2 4 2 3 2 3" xfId="4747"/>
    <cellStyle name="Milliers 2 2 2 3 2 2 4 2 3 3" xfId="4748"/>
    <cellStyle name="Milliers 2 2 2 3 2 2 4 2 3 3 2" xfId="4749"/>
    <cellStyle name="Milliers 2 2 2 3 2 2 4 2 3 4" xfId="4750"/>
    <cellStyle name="Milliers 2 2 2 3 2 2 4 2 4" xfId="4751"/>
    <cellStyle name="Milliers 2 2 2 3 2 2 4 2 4 2" xfId="4752"/>
    <cellStyle name="Milliers 2 2 2 3 2 2 4 2 4 2 2" xfId="4753"/>
    <cellStyle name="Milliers 2 2 2 3 2 2 4 2 4 3" xfId="4754"/>
    <cellStyle name="Milliers 2 2 2 3 2 2 4 2 5" xfId="4755"/>
    <cellStyle name="Milliers 2 2 2 3 2 2 4 2 5 2" xfId="4756"/>
    <cellStyle name="Milliers 2 2 2 3 2 2 4 2 6" xfId="4757"/>
    <cellStyle name="Milliers 2 2 2 3 2 2 4 3" xfId="4758"/>
    <cellStyle name="Milliers 2 2 2 3 2 2 4 3 2" xfId="4759"/>
    <cellStyle name="Milliers 2 2 2 3 2 2 4 3 2 2" xfId="4760"/>
    <cellStyle name="Milliers 2 2 2 3 2 2 4 3 2 2 2" xfId="4761"/>
    <cellStyle name="Milliers 2 2 2 3 2 2 4 3 2 2 2 2" xfId="4762"/>
    <cellStyle name="Milliers 2 2 2 3 2 2 4 3 2 2 3" xfId="4763"/>
    <cellStyle name="Milliers 2 2 2 3 2 2 4 3 2 3" xfId="4764"/>
    <cellStyle name="Milliers 2 2 2 3 2 2 4 3 2 3 2" xfId="4765"/>
    <cellStyle name="Milliers 2 2 2 3 2 2 4 3 2 4" xfId="4766"/>
    <cellStyle name="Milliers 2 2 2 3 2 2 4 3 3" xfId="4767"/>
    <cellStyle name="Milliers 2 2 2 3 2 2 4 3 3 2" xfId="4768"/>
    <cellStyle name="Milliers 2 2 2 3 2 2 4 3 3 2 2" xfId="4769"/>
    <cellStyle name="Milliers 2 2 2 3 2 2 4 3 3 3" xfId="4770"/>
    <cellStyle name="Milliers 2 2 2 3 2 2 4 3 4" xfId="4771"/>
    <cellStyle name="Milliers 2 2 2 3 2 2 4 3 4 2" xfId="4772"/>
    <cellStyle name="Milliers 2 2 2 3 2 2 4 3 5" xfId="4773"/>
    <cellStyle name="Milliers 2 2 2 3 2 2 4 4" xfId="4774"/>
    <cellStyle name="Milliers 2 2 2 3 2 2 4 4 2" xfId="4775"/>
    <cellStyle name="Milliers 2 2 2 3 2 2 4 4 2 2" xfId="4776"/>
    <cellStyle name="Milliers 2 2 2 3 2 2 4 4 2 2 2" xfId="4777"/>
    <cellStyle name="Milliers 2 2 2 3 2 2 4 4 2 3" xfId="4778"/>
    <cellStyle name="Milliers 2 2 2 3 2 2 4 4 3" xfId="4779"/>
    <cellStyle name="Milliers 2 2 2 3 2 2 4 4 3 2" xfId="4780"/>
    <cellStyle name="Milliers 2 2 2 3 2 2 4 4 4" xfId="4781"/>
    <cellStyle name="Milliers 2 2 2 3 2 2 4 5" xfId="4782"/>
    <cellStyle name="Milliers 2 2 2 3 2 2 4 5 2" xfId="4783"/>
    <cellStyle name="Milliers 2 2 2 3 2 2 4 5 2 2" xfId="4784"/>
    <cellStyle name="Milliers 2 2 2 3 2 2 4 5 3" xfId="4785"/>
    <cellStyle name="Milliers 2 2 2 3 2 2 4 6" xfId="4786"/>
    <cellStyle name="Milliers 2 2 2 3 2 2 4 6 2" xfId="4787"/>
    <cellStyle name="Milliers 2 2 2 3 2 2 4 7" xfId="4788"/>
    <cellStyle name="Milliers 2 2 2 3 2 2 5" xfId="4789"/>
    <cellStyle name="Milliers 2 2 2 3 2 2 5 2" xfId="4790"/>
    <cellStyle name="Milliers 2 2 2 3 2 2 5 2 2" xfId="4791"/>
    <cellStyle name="Milliers 2 2 2 3 2 2 5 2 2 2" xfId="4792"/>
    <cellStyle name="Milliers 2 2 2 3 2 2 5 2 2 2 2" xfId="4793"/>
    <cellStyle name="Milliers 2 2 2 3 2 2 5 2 2 2 2 2" xfId="4794"/>
    <cellStyle name="Milliers 2 2 2 3 2 2 5 2 2 2 3" xfId="4795"/>
    <cellStyle name="Milliers 2 2 2 3 2 2 5 2 2 3" xfId="4796"/>
    <cellStyle name="Milliers 2 2 2 3 2 2 5 2 2 3 2" xfId="4797"/>
    <cellStyle name="Milliers 2 2 2 3 2 2 5 2 2 4" xfId="4798"/>
    <cellStyle name="Milliers 2 2 2 3 2 2 5 2 3" xfId="4799"/>
    <cellStyle name="Milliers 2 2 2 3 2 2 5 2 3 2" xfId="4800"/>
    <cellStyle name="Milliers 2 2 2 3 2 2 5 2 3 2 2" xfId="4801"/>
    <cellStyle name="Milliers 2 2 2 3 2 2 5 2 3 3" xfId="4802"/>
    <cellStyle name="Milliers 2 2 2 3 2 2 5 2 4" xfId="4803"/>
    <cellStyle name="Milliers 2 2 2 3 2 2 5 2 4 2" xfId="4804"/>
    <cellStyle name="Milliers 2 2 2 3 2 2 5 2 5" xfId="4805"/>
    <cellStyle name="Milliers 2 2 2 3 2 2 5 3" xfId="4806"/>
    <cellStyle name="Milliers 2 2 2 3 2 2 5 3 2" xfId="4807"/>
    <cellStyle name="Milliers 2 2 2 3 2 2 5 3 2 2" xfId="4808"/>
    <cellStyle name="Milliers 2 2 2 3 2 2 5 3 2 2 2" xfId="4809"/>
    <cellStyle name="Milliers 2 2 2 3 2 2 5 3 2 3" xfId="4810"/>
    <cellStyle name="Milliers 2 2 2 3 2 2 5 3 3" xfId="4811"/>
    <cellStyle name="Milliers 2 2 2 3 2 2 5 3 3 2" xfId="4812"/>
    <cellStyle name="Milliers 2 2 2 3 2 2 5 3 4" xfId="4813"/>
    <cellStyle name="Milliers 2 2 2 3 2 2 5 4" xfId="4814"/>
    <cellStyle name="Milliers 2 2 2 3 2 2 5 4 2" xfId="4815"/>
    <cellStyle name="Milliers 2 2 2 3 2 2 5 4 2 2" xfId="4816"/>
    <cellStyle name="Milliers 2 2 2 3 2 2 5 4 3" xfId="4817"/>
    <cellStyle name="Milliers 2 2 2 3 2 2 5 5" xfId="4818"/>
    <cellStyle name="Milliers 2 2 2 3 2 2 5 5 2" xfId="4819"/>
    <cellStyle name="Milliers 2 2 2 3 2 2 5 6" xfId="4820"/>
    <cellStyle name="Milliers 2 2 2 3 2 2 6" xfId="4821"/>
    <cellStyle name="Milliers 2 2 2 3 2 2 6 2" xfId="4822"/>
    <cellStyle name="Milliers 2 2 2 3 2 2 6 2 2" xfId="4823"/>
    <cellStyle name="Milliers 2 2 2 3 2 2 6 2 2 2" xfId="4824"/>
    <cellStyle name="Milliers 2 2 2 3 2 2 6 2 2 2 2" xfId="4825"/>
    <cellStyle name="Milliers 2 2 2 3 2 2 6 2 2 3" xfId="4826"/>
    <cellStyle name="Milliers 2 2 2 3 2 2 6 2 3" xfId="4827"/>
    <cellStyle name="Milliers 2 2 2 3 2 2 6 2 3 2" xfId="4828"/>
    <cellStyle name="Milliers 2 2 2 3 2 2 6 2 4" xfId="4829"/>
    <cellStyle name="Milliers 2 2 2 3 2 2 6 3" xfId="4830"/>
    <cellStyle name="Milliers 2 2 2 3 2 2 6 3 2" xfId="4831"/>
    <cellStyle name="Milliers 2 2 2 3 2 2 6 3 2 2" xfId="4832"/>
    <cellStyle name="Milliers 2 2 2 3 2 2 6 3 3" xfId="4833"/>
    <cellStyle name="Milliers 2 2 2 3 2 2 6 4" xfId="4834"/>
    <cellStyle name="Milliers 2 2 2 3 2 2 6 4 2" xfId="4835"/>
    <cellStyle name="Milliers 2 2 2 3 2 2 6 5" xfId="4836"/>
    <cellStyle name="Milliers 2 2 2 3 2 2 7" xfId="4837"/>
    <cellStyle name="Milliers 2 2 2 3 2 2 7 2" xfId="4838"/>
    <cellStyle name="Milliers 2 2 2 3 2 2 7 2 2" xfId="4839"/>
    <cellStyle name="Milliers 2 2 2 3 2 2 7 2 2 2" xfId="4840"/>
    <cellStyle name="Milliers 2 2 2 3 2 2 7 2 3" xfId="4841"/>
    <cellStyle name="Milliers 2 2 2 3 2 2 7 3" xfId="4842"/>
    <cellStyle name="Milliers 2 2 2 3 2 2 7 3 2" xfId="4843"/>
    <cellStyle name="Milliers 2 2 2 3 2 2 7 4" xfId="4844"/>
    <cellStyle name="Milliers 2 2 2 3 2 2 8" xfId="4845"/>
    <cellStyle name="Milliers 2 2 2 3 2 2 8 2" xfId="4846"/>
    <cellStyle name="Milliers 2 2 2 3 2 2 8 2 2" xfId="4847"/>
    <cellStyle name="Milliers 2 2 2 3 2 2 8 3" xfId="4848"/>
    <cellStyle name="Milliers 2 2 2 3 2 2 9" xfId="4849"/>
    <cellStyle name="Milliers 2 2 2 3 2 2 9 2" xfId="4850"/>
    <cellStyle name="Milliers 2 2 2 3 2 3" xfId="4851"/>
    <cellStyle name="Milliers 2 2 2 3 2 3 2" xfId="4852"/>
    <cellStyle name="Milliers 2 2 2 3 2 3 2 2" xfId="4853"/>
    <cellStyle name="Milliers 2 2 2 3 2 3 2 2 2" xfId="4854"/>
    <cellStyle name="Milliers 2 2 2 3 2 3 2 2 2 2" xfId="4855"/>
    <cellStyle name="Milliers 2 2 2 3 2 3 2 2 2 2 2" xfId="4856"/>
    <cellStyle name="Milliers 2 2 2 3 2 3 2 2 2 2 2 2" xfId="4857"/>
    <cellStyle name="Milliers 2 2 2 3 2 3 2 2 2 2 2 2 2" xfId="4858"/>
    <cellStyle name="Milliers 2 2 2 3 2 3 2 2 2 2 2 2 2 2" xfId="4859"/>
    <cellStyle name="Milliers 2 2 2 3 2 3 2 2 2 2 2 2 3" xfId="4860"/>
    <cellStyle name="Milliers 2 2 2 3 2 3 2 2 2 2 2 3" xfId="4861"/>
    <cellStyle name="Milliers 2 2 2 3 2 3 2 2 2 2 2 3 2" xfId="4862"/>
    <cellStyle name="Milliers 2 2 2 3 2 3 2 2 2 2 2 4" xfId="4863"/>
    <cellStyle name="Milliers 2 2 2 3 2 3 2 2 2 2 3" xfId="4864"/>
    <cellStyle name="Milliers 2 2 2 3 2 3 2 2 2 2 3 2" xfId="4865"/>
    <cellStyle name="Milliers 2 2 2 3 2 3 2 2 2 2 3 2 2" xfId="4866"/>
    <cellStyle name="Milliers 2 2 2 3 2 3 2 2 2 2 3 3" xfId="4867"/>
    <cellStyle name="Milliers 2 2 2 3 2 3 2 2 2 2 4" xfId="4868"/>
    <cellStyle name="Milliers 2 2 2 3 2 3 2 2 2 2 4 2" xfId="4869"/>
    <cellStyle name="Milliers 2 2 2 3 2 3 2 2 2 2 5" xfId="4870"/>
    <cellStyle name="Milliers 2 2 2 3 2 3 2 2 2 3" xfId="4871"/>
    <cellStyle name="Milliers 2 2 2 3 2 3 2 2 2 3 2" xfId="4872"/>
    <cellStyle name="Milliers 2 2 2 3 2 3 2 2 2 3 2 2" xfId="4873"/>
    <cellStyle name="Milliers 2 2 2 3 2 3 2 2 2 3 2 2 2" xfId="4874"/>
    <cellStyle name="Milliers 2 2 2 3 2 3 2 2 2 3 2 3" xfId="4875"/>
    <cellStyle name="Milliers 2 2 2 3 2 3 2 2 2 3 3" xfId="4876"/>
    <cellStyle name="Milliers 2 2 2 3 2 3 2 2 2 3 3 2" xfId="4877"/>
    <cellStyle name="Milliers 2 2 2 3 2 3 2 2 2 3 4" xfId="4878"/>
    <cellStyle name="Milliers 2 2 2 3 2 3 2 2 2 4" xfId="4879"/>
    <cellStyle name="Milliers 2 2 2 3 2 3 2 2 2 4 2" xfId="4880"/>
    <cellStyle name="Milliers 2 2 2 3 2 3 2 2 2 4 2 2" xfId="4881"/>
    <cellStyle name="Milliers 2 2 2 3 2 3 2 2 2 4 3" xfId="4882"/>
    <cellStyle name="Milliers 2 2 2 3 2 3 2 2 2 5" xfId="4883"/>
    <cellStyle name="Milliers 2 2 2 3 2 3 2 2 2 5 2" xfId="4884"/>
    <cellStyle name="Milliers 2 2 2 3 2 3 2 2 2 6" xfId="4885"/>
    <cellStyle name="Milliers 2 2 2 3 2 3 2 2 3" xfId="4886"/>
    <cellStyle name="Milliers 2 2 2 3 2 3 2 2 3 2" xfId="4887"/>
    <cellStyle name="Milliers 2 2 2 3 2 3 2 2 3 2 2" xfId="4888"/>
    <cellStyle name="Milliers 2 2 2 3 2 3 2 2 3 2 2 2" xfId="4889"/>
    <cellStyle name="Milliers 2 2 2 3 2 3 2 2 3 2 2 2 2" xfId="4890"/>
    <cellStyle name="Milliers 2 2 2 3 2 3 2 2 3 2 2 3" xfId="4891"/>
    <cellStyle name="Milliers 2 2 2 3 2 3 2 2 3 2 3" xfId="4892"/>
    <cellStyle name="Milliers 2 2 2 3 2 3 2 2 3 2 3 2" xfId="4893"/>
    <cellStyle name="Milliers 2 2 2 3 2 3 2 2 3 2 4" xfId="4894"/>
    <cellStyle name="Milliers 2 2 2 3 2 3 2 2 3 3" xfId="4895"/>
    <cellStyle name="Milliers 2 2 2 3 2 3 2 2 3 3 2" xfId="4896"/>
    <cellStyle name="Milliers 2 2 2 3 2 3 2 2 3 3 2 2" xfId="4897"/>
    <cellStyle name="Milliers 2 2 2 3 2 3 2 2 3 3 3" xfId="4898"/>
    <cellStyle name="Milliers 2 2 2 3 2 3 2 2 3 4" xfId="4899"/>
    <cellStyle name="Milliers 2 2 2 3 2 3 2 2 3 4 2" xfId="4900"/>
    <cellStyle name="Milliers 2 2 2 3 2 3 2 2 3 5" xfId="4901"/>
    <cellStyle name="Milliers 2 2 2 3 2 3 2 2 4" xfId="4902"/>
    <cellStyle name="Milliers 2 2 2 3 2 3 2 2 4 2" xfId="4903"/>
    <cellStyle name="Milliers 2 2 2 3 2 3 2 2 4 2 2" xfId="4904"/>
    <cellStyle name="Milliers 2 2 2 3 2 3 2 2 4 2 2 2" xfId="4905"/>
    <cellStyle name="Milliers 2 2 2 3 2 3 2 2 4 2 3" xfId="4906"/>
    <cellStyle name="Milliers 2 2 2 3 2 3 2 2 4 3" xfId="4907"/>
    <cellStyle name="Milliers 2 2 2 3 2 3 2 2 4 3 2" xfId="4908"/>
    <cellStyle name="Milliers 2 2 2 3 2 3 2 2 4 4" xfId="4909"/>
    <cellStyle name="Milliers 2 2 2 3 2 3 2 2 5" xfId="4910"/>
    <cellStyle name="Milliers 2 2 2 3 2 3 2 2 5 2" xfId="4911"/>
    <cellStyle name="Milliers 2 2 2 3 2 3 2 2 5 2 2" xfId="4912"/>
    <cellStyle name="Milliers 2 2 2 3 2 3 2 2 5 3" xfId="4913"/>
    <cellStyle name="Milliers 2 2 2 3 2 3 2 2 6" xfId="4914"/>
    <cellStyle name="Milliers 2 2 2 3 2 3 2 2 6 2" xfId="4915"/>
    <cellStyle name="Milliers 2 2 2 3 2 3 2 2 7" xfId="4916"/>
    <cellStyle name="Milliers 2 2 2 3 2 3 2 3" xfId="4917"/>
    <cellStyle name="Milliers 2 2 2 3 2 3 2 3 2" xfId="4918"/>
    <cellStyle name="Milliers 2 2 2 3 2 3 2 3 2 2" xfId="4919"/>
    <cellStyle name="Milliers 2 2 2 3 2 3 2 3 2 2 2" xfId="4920"/>
    <cellStyle name="Milliers 2 2 2 3 2 3 2 3 2 2 2 2" xfId="4921"/>
    <cellStyle name="Milliers 2 2 2 3 2 3 2 3 2 2 2 2 2" xfId="4922"/>
    <cellStyle name="Milliers 2 2 2 3 2 3 2 3 2 2 2 3" xfId="4923"/>
    <cellStyle name="Milliers 2 2 2 3 2 3 2 3 2 2 3" xfId="4924"/>
    <cellStyle name="Milliers 2 2 2 3 2 3 2 3 2 2 3 2" xfId="4925"/>
    <cellStyle name="Milliers 2 2 2 3 2 3 2 3 2 2 4" xfId="4926"/>
    <cellStyle name="Milliers 2 2 2 3 2 3 2 3 2 3" xfId="4927"/>
    <cellStyle name="Milliers 2 2 2 3 2 3 2 3 2 3 2" xfId="4928"/>
    <cellStyle name="Milliers 2 2 2 3 2 3 2 3 2 3 2 2" xfId="4929"/>
    <cellStyle name="Milliers 2 2 2 3 2 3 2 3 2 3 3" xfId="4930"/>
    <cellStyle name="Milliers 2 2 2 3 2 3 2 3 2 4" xfId="4931"/>
    <cellStyle name="Milliers 2 2 2 3 2 3 2 3 2 4 2" xfId="4932"/>
    <cellStyle name="Milliers 2 2 2 3 2 3 2 3 2 5" xfId="4933"/>
    <cellStyle name="Milliers 2 2 2 3 2 3 2 3 3" xfId="4934"/>
    <cellStyle name="Milliers 2 2 2 3 2 3 2 3 3 2" xfId="4935"/>
    <cellStyle name="Milliers 2 2 2 3 2 3 2 3 3 2 2" xfId="4936"/>
    <cellStyle name="Milliers 2 2 2 3 2 3 2 3 3 2 2 2" xfId="4937"/>
    <cellStyle name="Milliers 2 2 2 3 2 3 2 3 3 2 3" xfId="4938"/>
    <cellStyle name="Milliers 2 2 2 3 2 3 2 3 3 3" xfId="4939"/>
    <cellStyle name="Milliers 2 2 2 3 2 3 2 3 3 3 2" xfId="4940"/>
    <cellStyle name="Milliers 2 2 2 3 2 3 2 3 3 4" xfId="4941"/>
    <cellStyle name="Milliers 2 2 2 3 2 3 2 3 4" xfId="4942"/>
    <cellStyle name="Milliers 2 2 2 3 2 3 2 3 4 2" xfId="4943"/>
    <cellStyle name="Milliers 2 2 2 3 2 3 2 3 4 2 2" xfId="4944"/>
    <cellStyle name="Milliers 2 2 2 3 2 3 2 3 4 3" xfId="4945"/>
    <cellStyle name="Milliers 2 2 2 3 2 3 2 3 5" xfId="4946"/>
    <cellStyle name="Milliers 2 2 2 3 2 3 2 3 5 2" xfId="4947"/>
    <cellStyle name="Milliers 2 2 2 3 2 3 2 3 6" xfId="4948"/>
    <cellStyle name="Milliers 2 2 2 3 2 3 2 4" xfId="4949"/>
    <cellStyle name="Milliers 2 2 2 3 2 3 2 4 2" xfId="4950"/>
    <cellStyle name="Milliers 2 2 2 3 2 3 2 4 2 2" xfId="4951"/>
    <cellStyle name="Milliers 2 2 2 3 2 3 2 4 2 2 2" xfId="4952"/>
    <cellStyle name="Milliers 2 2 2 3 2 3 2 4 2 2 2 2" xfId="4953"/>
    <cellStyle name="Milliers 2 2 2 3 2 3 2 4 2 2 3" xfId="4954"/>
    <cellStyle name="Milliers 2 2 2 3 2 3 2 4 2 3" xfId="4955"/>
    <cellStyle name="Milliers 2 2 2 3 2 3 2 4 2 3 2" xfId="4956"/>
    <cellStyle name="Milliers 2 2 2 3 2 3 2 4 2 4" xfId="4957"/>
    <cellStyle name="Milliers 2 2 2 3 2 3 2 4 3" xfId="4958"/>
    <cellStyle name="Milliers 2 2 2 3 2 3 2 4 3 2" xfId="4959"/>
    <cellStyle name="Milliers 2 2 2 3 2 3 2 4 3 2 2" xfId="4960"/>
    <cellStyle name="Milliers 2 2 2 3 2 3 2 4 3 3" xfId="4961"/>
    <cellStyle name="Milliers 2 2 2 3 2 3 2 4 4" xfId="4962"/>
    <cellStyle name="Milliers 2 2 2 3 2 3 2 4 4 2" xfId="4963"/>
    <cellStyle name="Milliers 2 2 2 3 2 3 2 4 5" xfId="4964"/>
    <cellStyle name="Milliers 2 2 2 3 2 3 2 5" xfId="4965"/>
    <cellStyle name="Milliers 2 2 2 3 2 3 2 5 2" xfId="4966"/>
    <cellStyle name="Milliers 2 2 2 3 2 3 2 5 2 2" xfId="4967"/>
    <cellStyle name="Milliers 2 2 2 3 2 3 2 5 2 2 2" xfId="4968"/>
    <cellStyle name="Milliers 2 2 2 3 2 3 2 5 2 3" xfId="4969"/>
    <cellStyle name="Milliers 2 2 2 3 2 3 2 5 3" xfId="4970"/>
    <cellStyle name="Milliers 2 2 2 3 2 3 2 5 3 2" xfId="4971"/>
    <cellStyle name="Milliers 2 2 2 3 2 3 2 5 4" xfId="4972"/>
    <cellStyle name="Milliers 2 2 2 3 2 3 2 6" xfId="4973"/>
    <cellStyle name="Milliers 2 2 2 3 2 3 2 6 2" xfId="4974"/>
    <cellStyle name="Milliers 2 2 2 3 2 3 2 6 2 2" xfId="4975"/>
    <cellStyle name="Milliers 2 2 2 3 2 3 2 6 3" xfId="4976"/>
    <cellStyle name="Milliers 2 2 2 3 2 3 2 7" xfId="4977"/>
    <cellStyle name="Milliers 2 2 2 3 2 3 2 7 2" xfId="4978"/>
    <cellStyle name="Milliers 2 2 2 3 2 3 2 8" xfId="4979"/>
    <cellStyle name="Milliers 2 2 2 3 2 3 3" xfId="4980"/>
    <cellStyle name="Milliers 2 2 2 3 2 3 3 2" xfId="4981"/>
    <cellStyle name="Milliers 2 2 2 3 2 3 3 2 2" xfId="4982"/>
    <cellStyle name="Milliers 2 2 2 3 2 3 3 2 2 2" xfId="4983"/>
    <cellStyle name="Milliers 2 2 2 3 2 3 3 2 2 2 2" xfId="4984"/>
    <cellStyle name="Milliers 2 2 2 3 2 3 3 2 2 2 2 2" xfId="4985"/>
    <cellStyle name="Milliers 2 2 2 3 2 3 3 2 2 2 2 2 2" xfId="4986"/>
    <cellStyle name="Milliers 2 2 2 3 2 3 3 2 2 2 2 3" xfId="4987"/>
    <cellStyle name="Milliers 2 2 2 3 2 3 3 2 2 2 3" xfId="4988"/>
    <cellStyle name="Milliers 2 2 2 3 2 3 3 2 2 2 3 2" xfId="4989"/>
    <cellStyle name="Milliers 2 2 2 3 2 3 3 2 2 2 4" xfId="4990"/>
    <cellStyle name="Milliers 2 2 2 3 2 3 3 2 2 3" xfId="4991"/>
    <cellStyle name="Milliers 2 2 2 3 2 3 3 2 2 3 2" xfId="4992"/>
    <cellStyle name="Milliers 2 2 2 3 2 3 3 2 2 3 2 2" xfId="4993"/>
    <cellStyle name="Milliers 2 2 2 3 2 3 3 2 2 3 3" xfId="4994"/>
    <cellStyle name="Milliers 2 2 2 3 2 3 3 2 2 4" xfId="4995"/>
    <cellStyle name="Milliers 2 2 2 3 2 3 3 2 2 4 2" xfId="4996"/>
    <cellStyle name="Milliers 2 2 2 3 2 3 3 2 2 5" xfId="4997"/>
    <cellStyle name="Milliers 2 2 2 3 2 3 3 2 3" xfId="4998"/>
    <cellStyle name="Milliers 2 2 2 3 2 3 3 2 3 2" xfId="4999"/>
    <cellStyle name="Milliers 2 2 2 3 2 3 3 2 3 2 2" xfId="5000"/>
    <cellStyle name="Milliers 2 2 2 3 2 3 3 2 3 2 2 2" xfId="5001"/>
    <cellStyle name="Milliers 2 2 2 3 2 3 3 2 3 2 3" xfId="5002"/>
    <cellStyle name="Milliers 2 2 2 3 2 3 3 2 3 3" xfId="5003"/>
    <cellStyle name="Milliers 2 2 2 3 2 3 3 2 3 3 2" xfId="5004"/>
    <cellStyle name="Milliers 2 2 2 3 2 3 3 2 3 4" xfId="5005"/>
    <cellStyle name="Milliers 2 2 2 3 2 3 3 2 4" xfId="5006"/>
    <cellStyle name="Milliers 2 2 2 3 2 3 3 2 4 2" xfId="5007"/>
    <cellStyle name="Milliers 2 2 2 3 2 3 3 2 4 2 2" xfId="5008"/>
    <cellStyle name="Milliers 2 2 2 3 2 3 3 2 4 3" xfId="5009"/>
    <cellStyle name="Milliers 2 2 2 3 2 3 3 2 5" xfId="5010"/>
    <cellStyle name="Milliers 2 2 2 3 2 3 3 2 5 2" xfId="5011"/>
    <cellStyle name="Milliers 2 2 2 3 2 3 3 2 6" xfId="5012"/>
    <cellStyle name="Milliers 2 2 2 3 2 3 3 3" xfId="5013"/>
    <cellStyle name="Milliers 2 2 2 3 2 3 3 3 2" xfId="5014"/>
    <cellStyle name="Milliers 2 2 2 3 2 3 3 3 2 2" xfId="5015"/>
    <cellStyle name="Milliers 2 2 2 3 2 3 3 3 2 2 2" xfId="5016"/>
    <cellStyle name="Milliers 2 2 2 3 2 3 3 3 2 2 2 2" xfId="5017"/>
    <cellStyle name="Milliers 2 2 2 3 2 3 3 3 2 2 3" xfId="5018"/>
    <cellStyle name="Milliers 2 2 2 3 2 3 3 3 2 3" xfId="5019"/>
    <cellStyle name="Milliers 2 2 2 3 2 3 3 3 2 3 2" xfId="5020"/>
    <cellStyle name="Milliers 2 2 2 3 2 3 3 3 2 4" xfId="5021"/>
    <cellStyle name="Milliers 2 2 2 3 2 3 3 3 3" xfId="5022"/>
    <cellStyle name="Milliers 2 2 2 3 2 3 3 3 3 2" xfId="5023"/>
    <cellStyle name="Milliers 2 2 2 3 2 3 3 3 3 2 2" xfId="5024"/>
    <cellStyle name="Milliers 2 2 2 3 2 3 3 3 3 3" xfId="5025"/>
    <cellStyle name="Milliers 2 2 2 3 2 3 3 3 4" xfId="5026"/>
    <cellStyle name="Milliers 2 2 2 3 2 3 3 3 4 2" xfId="5027"/>
    <cellStyle name="Milliers 2 2 2 3 2 3 3 3 5" xfId="5028"/>
    <cellStyle name="Milliers 2 2 2 3 2 3 3 4" xfId="5029"/>
    <cellStyle name="Milliers 2 2 2 3 2 3 3 4 2" xfId="5030"/>
    <cellStyle name="Milliers 2 2 2 3 2 3 3 4 2 2" xfId="5031"/>
    <cellStyle name="Milliers 2 2 2 3 2 3 3 4 2 2 2" xfId="5032"/>
    <cellStyle name="Milliers 2 2 2 3 2 3 3 4 2 3" xfId="5033"/>
    <cellStyle name="Milliers 2 2 2 3 2 3 3 4 3" xfId="5034"/>
    <cellStyle name="Milliers 2 2 2 3 2 3 3 4 3 2" xfId="5035"/>
    <cellStyle name="Milliers 2 2 2 3 2 3 3 4 4" xfId="5036"/>
    <cellStyle name="Milliers 2 2 2 3 2 3 3 5" xfId="5037"/>
    <cellStyle name="Milliers 2 2 2 3 2 3 3 5 2" xfId="5038"/>
    <cellStyle name="Milliers 2 2 2 3 2 3 3 5 2 2" xfId="5039"/>
    <cellStyle name="Milliers 2 2 2 3 2 3 3 5 3" xfId="5040"/>
    <cellStyle name="Milliers 2 2 2 3 2 3 3 6" xfId="5041"/>
    <cellStyle name="Milliers 2 2 2 3 2 3 3 6 2" xfId="5042"/>
    <cellStyle name="Milliers 2 2 2 3 2 3 3 7" xfId="5043"/>
    <cellStyle name="Milliers 2 2 2 3 2 3 4" xfId="5044"/>
    <cellStyle name="Milliers 2 2 2 3 2 3 4 2" xfId="5045"/>
    <cellStyle name="Milliers 2 2 2 3 2 3 4 2 2" xfId="5046"/>
    <cellStyle name="Milliers 2 2 2 3 2 3 4 2 2 2" xfId="5047"/>
    <cellStyle name="Milliers 2 2 2 3 2 3 4 2 2 2 2" xfId="5048"/>
    <cellStyle name="Milliers 2 2 2 3 2 3 4 2 2 2 2 2" xfId="5049"/>
    <cellStyle name="Milliers 2 2 2 3 2 3 4 2 2 2 3" xfId="5050"/>
    <cellStyle name="Milliers 2 2 2 3 2 3 4 2 2 3" xfId="5051"/>
    <cellStyle name="Milliers 2 2 2 3 2 3 4 2 2 3 2" xfId="5052"/>
    <cellStyle name="Milliers 2 2 2 3 2 3 4 2 2 4" xfId="5053"/>
    <cellStyle name="Milliers 2 2 2 3 2 3 4 2 3" xfId="5054"/>
    <cellStyle name="Milliers 2 2 2 3 2 3 4 2 3 2" xfId="5055"/>
    <cellStyle name="Milliers 2 2 2 3 2 3 4 2 3 2 2" xfId="5056"/>
    <cellStyle name="Milliers 2 2 2 3 2 3 4 2 3 3" xfId="5057"/>
    <cellStyle name="Milliers 2 2 2 3 2 3 4 2 4" xfId="5058"/>
    <cellStyle name="Milliers 2 2 2 3 2 3 4 2 4 2" xfId="5059"/>
    <cellStyle name="Milliers 2 2 2 3 2 3 4 2 5" xfId="5060"/>
    <cellStyle name="Milliers 2 2 2 3 2 3 4 3" xfId="5061"/>
    <cellStyle name="Milliers 2 2 2 3 2 3 4 3 2" xfId="5062"/>
    <cellStyle name="Milliers 2 2 2 3 2 3 4 3 2 2" xfId="5063"/>
    <cellStyle name="Milliers 2 2 2 3 2 3 4 3 2 2 2" xfId="5064"/>
    <cellStyle name="Milliers 2 2 2 3 2 3 4 3 2 3" xfId="5065"/>
    <cellStyle name="Milliers 2 2 2 3 2 3 4 3 3" xfId="5066"/>
    <cellStyle name="Milliers 2 2 2 3 2 3 4 3 3 2" xfId="5067"/>
    <cellStyle name="Milliers 2 2 2 3 2 3 4 3 4" xfId="5068"/>
    <cellStyle name="Milliers 2 2 2 3 2 3 4 4" xfId="5069"/>
    <cellStyle name="Milliers 2 2 2 3 2 3 4 4 2" xfId="5070"/>
    <cellStyle name="Milliers 2 2 2 3 2 3 4 4 2 2" xfId="5071"/>
    <cellStyle name="Milliers 2 2 2 3 2 3 4 4 3" xfId="5072"/>
    <cellStyle name="Milliers 2 2 2 3 2 3 4 5" xfId="5073"/>
    <cellStyle name="Milliers 2 2 2 3 2 3 4 5 2" xfId="5074"/>
    <cellStyle name="Milliers 2 2 2 3 2 3 4 6" xfId="5075"/>
    <cellStyle name="Milliers 2 2 2 3 2 3 5" xfId="5076"/>
    <cellStyle name="Milliers 2 2 2 3 2 3 5 2" xfId="5077"/>
    <cellStyle name="Milliers 2 2 2 3 2 3 5 2 2" xfId="5078"/>
    <cellStyle name="Milliers 2 2 2 3 2 3 5 2 2 2" xfId="5079"/>
    <cellStyle name="Milliers 2 2 2 3 2 3 5 2 2 2 2" xfId="5080"/>
    <cellStyle name="Milliers 2 2 2 3 2 3 5 2 2 3" xfId="5081"/>
    <cellStyle name="Milliers 2 2 2 3 2 3 5 2 3" xfId="5082"/>
    <cellStyle name="Milliers 2 2 2 3 2 3 5 2 3 2" xfId="5083"/>
    <cellStyle name="Milliers 2 2 2 3 2 3 5 2 4" xfId="5084"/>
    <cellStyle name="Milliers 2 2 2 3 2 3 5 3" xfId="5085"/>
    <cellStyle name="Milliers 2 2 2 3 2 3 5 3 2" xfId="5086"/>
    <cellStyle name="Milliers 2 2 2 3 2 3 5 3 2 2" xfId="5087"/>
    <cellStyle name="Milliers 2 2 2 3 2 3 5 3 3" xfId="5088"/>
    <cellStyle name="Milliers 2 2 2 3 2 3 5 4" xfId="5089"/>
    <cellStyle name="Milliers 2 2 2 3 2 3 5 4 2" xfId="5090"/>
    <cellStyle name="Milliers 2 2 2 3 2 3 5 5" xfId="5091"/>
    <cellStyle name="Milliers 2 2 2 3 2 3 6" xfId="5092"/>
    <cellStyle name="Milliers 2 2 2 3 2 3 6 2" xfId="5093"/>
    <cellStyle name="Milliers 2 2 2 3 2 3 6 2 2" xfId="5094"/>
    <cellStyle name="Milliers 2 2 2 3 2 3 6 2 2 2" xfId="5095"/>
    <cellStyle name="Milliers 2 2 2 3 2 3 6 2 3" xfId="5096"/>
    <cellStyle name="Milliers 2 2 2 3 2 3 6 3" xfId="5097"/>
    <cellStyle name="Milliers 2 2 2 3 2 3 6 3 2" xfId="5098"/>
    <cellStyle name="Milliers 2 2 2 3 2 3 6 4" xfId="5099"/>
    <cellStyle name="Milliers 2 2 2 3 2 3 7" xfId="5100"/>
    <cellStyle name="Milliers 2 2 2 3 2 3 7 2" xfId="5101"/>
    <cellStyle name="Milliers 2 2 2 3 2 3 7 2 2" xfId="5102"/>
    <cellStyle name="Milliers 2 2 2 3 2 3 7 3" xfId="5103"/>
    <cellStyle name="Milliers 2 2 2 3 2 3 8" xfId="5104"/>
    <cellStyle name="Milliers 2 2 2 3 2 3 8 2" xfId="5105"/>
    <cellStyle name="Milliers 2 2 2 3 2 3 9" xfId="5106"/>
    <cellStyle name="Milliers 2 2 2 3 2 4" xfId="5107"/>
    <cellStyle name="Milliers 2 2 2 3 2 4 2" xfId="5108"/>
    <cellStyle name="Milliers 2 2 2 3 2 4 2 2" xfId="5109"/>
    <cellStyle name="Milliers 2 2 2 3 2 4 2 2 2" xfId="5110"/>
    <cellStyle name="Milliers 2 2 2 3 2 4 2 2 2 2" xfId="5111"/>
    <cellStyle name="Milliers 2 2 2 3 2 4 2 2 2 2 2" xfId="5112"/>
    <cellStyle name="Milliers 2 2 2 3 2 4 2 2 2 2 2 2" xfId="5113"/>
    <cellStyle name="Milliers 2 2 2 3 2 4 2 2 2 2 2 2 2" xfId="5114"/>
    <cellStyle name="Milliers 2 2 2 3 2 4 2 2 2 2 2 3" xfId="5115"/>
    <cellStyle name="Milliers 2 2 2 3 2 4 2 2 2 2 3" xfId="5116"/>
    <cellStyle name="Milliers 2 2 2 3 2 4 2 2 2 2 3 2" xfId="5117"/>
    <cellStyle name="Milliers 2 2 2 3 2 4 2 2 2 2 4" xfId="5118"/>
    <cellStyle name="Milliers 2 2 2 3 2 4 2 2 2 3" xfId="5119"/>
    <cellStyle name="Milliers 2 2 2 3 2 4 2 2 2 3 2" xfId="5120"/>
    <cellStyle name="Milliers 2 2 2 3 2 4 2 2 2 3 2 2" xfId="5121"/>
    <cellStyle name="Milliers 2 2 2 3 2 4 2 2 2 3 3" xfId="5122"/>
    <cellStyle name="Milliers 2 2 2 3 2 4 2 2 2 4" xfId="5123"/>
    <cellStyle name="Milliers 2 2 2 3 2 4 2 2 2 4 2" xfId="5124"/>
    <cellStyle name="Milliers 2 2 2 3 2 4 2 2 2 5" xfId="5125"/>
    <cellStyle name="Milliers 2 2 2 3 2 4 2 2 3" xfId="5126"/>
    <cellStyle name="Milliers 2 2 2 3 2 4 2 2 3 2" xfId="5127"/>
    <cellStyle name="Milliers 2 2 2 3 2 4 2 2 3 2 2" xfId="5128"/>
    <cellStyle name="Milliers 2 2 2 3 2 4 2 2 3 2 2 2" xfId="5129"/>
    <cellStyle name="Milliers 2 2 2 3 2 4 2 2 3 2 3" xfId="5130"/>
    <cellStyle name="Milliers 2 2 2 3 2 4 2 2 3 3" xfId="5131"/>
    <cellStyle name="Milliers 2 2 2 3 2 4 2 2 3 3 2" xfId="5132"/>
    <cellStyle name="Milliers 2 2 2 3 2 4 2 2 3 4" xfId="5133"/>
    <cellStyle name="Milliers 2 2 2 3 2 4 2 2 4" xfId="5134"/>
    <cellStyle name="Milliers 2 2 2 3 2 4 2 2 4 2" xfId="5135"/>
    <cellStyle name="Milliers 2 2 2 3 2 4 2 2 4 2 2" xfId="5136"/>
    <cellStyle name="Milliers 2 2 2 3 2 4 2 2 4 3" xfId="5137"/>
    <cellStyle name="Milliers 2 2 2 3 2 4 2 2 5" xfId="5138"/>
    <cellStyle name="Milliers 2 2 2 3 2 4 2 2 5 2" xfId="5139"/>
    <cellStyle name="Milliers 2 2 2 3 2 4 2 2 6" xfId="5140"/>
    <cellStyle name="Milliers 2 2 2 3 2 4 2 3" xfId="5141"/>
    <cellStyle name="Milliers 2 2 2 3 2 4 2 3 2" xfId="5142"/>
    <cellStyle name="Milliers 2 2 2 3 2 4 2 3 2 2" xfId="5143"/>
    <cellStyle name="Milliers 2 2 2 3 2 4 2 3 2 2 2" xfId="5144"/>
    <cellStyle name="Milliers 2 2 2 3 2 4 2 3 2 2 2 2" xfId="5145"/>
    <cellStyle name="Milliers 2 2 2 3 2 4 2 3 2 2 3" xfId="5146"/>
    <cellStyle name="Milliers 2 2 2 3 2 4 2 3 2 3" xfId="5147"/>
    <cellStyle name="Milliers 2 2 2 3 2 4 2 3 2 3 2" xfId="5148"/>
    <cellStyle name="Milliers 2 2 2 3 2 4 2 3 2 4" xfId="5149"/>
    <cellStyle name="Milliers 2 2 2 3 2 4 2 3 3" xfId="5150"/>
    <cellStyle name="Milliers 2 2 2 3 2 4 2 3 3 2" xfId="5151"/>
    <cellStyle name="Milliers 2 2 2 3 2 4 2 3 3 2 2" xfId="5152"/>
    <cellStyle name="Milliers 2 2 2 3 2 4 2 3 3 3" xfId="5153"/>
    <cellStyle name="Milliers 2 2 2 3 2 4 2 3 4" xfId="5154"/>
    <cellStyle name="Milliers 2 2 2 3 2 4 2 3 4 2" xfId="5155"/>
    <cellStyle name="Milliers 2 2 2 3 2 4 2 3 5" xfId="5156"/>
    <cellStyle name="Milliers 2 2 2 3 2 4 2 4" xfId="5157"/>
    <cellStyle name="Milliers 2 2 2 3 2 4 2 4 2" xfId="5158"/>
    <cellStyle name="Milliers 2 2 2 3 2 4 2 4 2 2" xfId="5159"/>
    <cellStyle name="Milliers 2 2 2 3 2 4 2 4 2 2 2" xfId="5160"/>
    <cellStyle name="Milliers 2 2 2 3 2 4 2 4 2 3" xfId="5161"/>
    <cellStyle name="Milliers 2 2 2 3 2 4 2 4 3" xfId="5162"/>
    <cellStyle name="Milliers 2 2 2 3 2 4 2 4 3 2" xfId="5163"/>
    <cellStyle name="Milliers 2 2 2 3 2 4 2 4 4" xfId="5164"/>
    <cellStyle name="Milliers 2 2 2 3 2 4 2 5" xfId="5165"/>
    <cellStyle name="Milliers 2 2 2 3 2 4 2 5 2" xfId="5166"/>
    <cellStyle name="Milliers 2 2 2 3 2 4 2 5 2 2" xfId="5167"/>
    <cellStyle name="Milliers 2 2 2 3 2 4 2 5 3" xfId="5168"/>
    <cellStyle name="Milliers 2 2 2 3 2 4 2 6" xfId="5169"/>
    <cellStyle name="Milliers 2 2 2 3 2 4 2 6 2" xfId="5170"/>
    <cellStyle name="Milliers 2 2 2 3 2 4 2 7" xfId="5171"/>
    <cellStyle name="Milliers 2 2 2 3 2 4 3" xfId="5172"/>
    <cellStyle name="Milliers 2 2 2 3 2 4 3 2" xfId="5173"/>
    <cellStyle name="Milliers 2 2 2 3 2 4 3 2 2" xfId="5174"/>
    <cellStyle name="Milliers 2 2 2 3 2 4 3 2 2 2" xfId="5175"/>
    <cellStyle name="Milliers 2 2 2 3 2 4 3 2 2 2 2" xfId="5176"/>
    <cellStyle name="Milliers 2 2 2 3 2 4 3 2 2 2 2 2" xfId="5177"/>
    <cellStyle name="Milliers 2 2 2 3 2 4 3 2 2 2 3" xfId="5178"/>
    <cellStyle name="Milliers 2 2 2 3 2 4 3 2 2 3" xfId="5179"/>
    <cellStyle name="Milliers 2 2 2 3 2 4 3 2 2 3 2" xfId="5180"/>
    <cellStyle name="Milliers 2 2 2 3 2 4 3 2 2 4" xfId="5181"/>
    <cellStyle name="Milliers 2 2 2 3 2 4 3 2 3" xfId="5182"/>
    <cellStyle name="Milliers 2 2 2 3 2 4 3 2 3 2" xfId="5183"/>
    <cellStyle name="Milliers 2 2 2 3 2 4 3 2 3 2 2" xfId="5184"/>
    <cellStyle name="Milliers 2 2 2 3 2 4 3 2 3 3" xfId="5185"/>
    <cellStyle name="Milliers 2 2 2 3 2 4 3 2 4" xfId="5186"/>
    <cellStyle name="Milliers 2 2 2 3 2 4 3 2 4 2" xfId="5187"/>
    <cellStyle name="Milliers 2 2 2 3 2 4 3 2 5" xfId="5188"/>
    <cellStyle name="Milliers 2 2 2 3 2 4 3 3" xfId="5189"/>
    <cellStyle name="Milliers 2 2 2 3 2 4 3 3 2" xfId="5190"/>
    <cellStyle name="Milliers 2 2 2 3 2 4 3 3 2 2" xfId="5191"/>
    <cellStyle name="Milliers 2 2 2 3 2 4 3 3 2 2 2" xfId="5192"/>
    <cellStyle name="Milliers 2 2 2 3 2 4 3 3 2 3" xfId="5193"/>
    <cellStyle name="Milliers 2 2 2 3 2 4 3 3 3" xfId="5194"/>
    <cellStyle name="Milliers 2 2 2 3 2 4 3 3 3 2" xfId="5195"/>
    <cellStyle name="Milliers 2 2 2 3 2 4 3 3 4" xfId="5196"/>
    <cellStyle name="Milliers 2 2 2 3 2 4 3 4" xfId="5197"/>
    <cellStyle name="Milliers 2 2 2 3 2 4 3 4 2" xfId="5198"/>
    <cellStyle name="Milliers 2 2 2 3 2 4 3 4 2 2" xfId="5199"/>
    <cellStyle name="Milliers 2 2 2 3 2 4 3 4 3" xfId="5200"/>
    <cellStyle name="Milliers 2 2 2 3 2 4 3 5" xfId="5201"/>
    <cellStyle name="Milliers 2 2 2 3 2 4 3 5 2" xfId="5202"/>
    <cellStyle name="Milliers 2 2 2 3 2 4 3 6" xfId="5203"/>
    <cellStyle name="Milliers 2 2 2 3 2 4 4" xfId="5204"/>
    <cellStyle name="Milliers 2 2 2 3 2 4 4 2" xfId="5205"/>
    <cellStyle name="Milliers 2 2 2 3 2 4 4 2 2" xfId="5206"/>
    <cellStyle name="Milliers 2 2 2 3 2 4 4 2 2 2" xfId="5207"/>
    <cellStyle name="Milliers 2 2 2 3 2 4 4 2 2 2 2" xfId="5208"/>
    <cellStyle name="Milliers 2 2 2 3 2 4 4 2 2 3" xfId="5209"/>
    <cellStyle name="Milliers 2 2 2 3 2 4 4 2 3" xfId="5210"/>
    <cellStyle name="Milliers 2 2 2 3 2 4 4 2 3 2" xfId="5211"/>
    <cellStyle name="Milliers 2 2 2 3 2 4 4 2 4" xfId="5212"/>
    <cellStyle name="Milliers 2 2 2 3 2 4 4 3" xfId="5213"/>
    <cellStyle name="Milliers 2 2 2 3 2 4 4 3 2" xfId="5214"/>
    <cellStyle name="Milliers 2 2 2 3 2 4 4 3 2 2" xfId="5215"/>
    <cellStyle name="Milliers 2 2 2 3 2 4 4 3 3" xfId="5216"/>
    <cellStyle name="Milliers 2 2 2 3 2 4 4 4" xfId="5217"/>
    <cellStyle name="Milliers 2 2 2 3 2 4 4 4 2" xfId="5218"/>
    <cellStyle name="Milliers 2 2 2 3 2 4 4 5" xfId="5219"/>
    <cellStyle name="Milliers 2 2 2 3 2 4 5" xfId="5220"/>
    <cellStyle name="Milliers 2 2 2 3 2 4 5 2" xfId="5221"/>
    <cellStyle name="Milliers 2 2 2 3 2 4 5 2 2" xfId="5222"/>
    <cellStyle name="Milliers 2 2 2 3 2 4 5 2 2 2" xfId="5223"/>
    <cellStyle name="Milliers 2 2 2 3 2 4 5 2 3" xfId="5224"/>
    <cellStyle name="Milliers 2 2 2 3 2 4 5 3" xfId="5225"/>
    <cellStyle name="Milliers 2 2 2 3 2 4 5 3 2" xfId="5226"/>
    <cellStyle name="Milliers 2 2 2 3 2 4 5 4" xfId="5227"/>
    <cellStyle name="Milliers 2 2 2 3 2 4 6" xfId="5228"/>
    <cellStyle name="Milliers 2 2 2 3 2 4 6 2" xfId="5229"/>
    <cellStyle name="Milliers 2 2 2 3 2 4 6 2 2" xfId="5230"/>
    <cellStyle name="Milliers 2 2 2 3 2 4 6 3" xfId="5231"/>
    <cellStyle name="Milliers 2 2 2 3 2 4 7" xfId="5232"/>
    <cellStyle name="Milliers 2 2 2 3 2 4 7 2" xfId="5233"/>
    <cellStyle name="Milliers 2 2 2 3 2 4 8" xfId="5234"/>
    <cellStyle name="Milliers 2 2 2 3 2 5" xfId="5235"/>
    <cellStyle name="Milliers 2 2 2 3 2 5 2" xfId="5236"/>
    <cellStyle name="Milliers 2 2 2 3 2 5 2 2" xfId="5237"/>
    <cellStyle name="Milliers 2 2 2 3 2 5 2 2 2" xfId="5238"/>
    <cellStyle name="Milliers 2 2 2 3 2 5 2 2 2 2" xfId="5239"/>
    <cellStyle name="Milliers 2 2 2 3 2 5 2 2 2 2 2" xfId="5240"/>
    <cellStyle name="Milliers 2 2 2 3 2 5 2 2 2 2 2 2" xfId="5241"/>
    <cellStyle name="Milliers 2 2 2 3 2 5 2 2 2 2 3" xfId="5242"/>
    <cellStyle name="Milliers 2 2 2 3 2 5 2 2 2 3" xfId="5243"/>
    <cellStyle name="Milliers 2 2 2 3 2 5 2 2 2 3 2" xfId="5244"/>
    <cellStyle name="Milliers 2 2 2 3 2 5 2 2 2 4" xfId="5245"/>
    <cellStyle name="Milliers 2 2 2 3 2 5 2 2 3" xfId="5246"/>
    <cellStyle name="Milliers 2 2 2 3 2 5 2 2 3 2" xfId="5247"/>
    <cellStyle name="Milliers 2 2 2 3 2 5 2 2 3 2 2" xfId="5248"/>
    <cellStyle name="Milliers 2 2 2 3 2 5 2 2 3 3" xfId="5249"/>
    <cellStyle name="Milliers 2 2 2 3 2 5 2 2 4" xfId="5250"/>
    <cellStyle name="Milliers 2 2 2 3 2 5 2 2 4 2" xfId="5251"/>
    <cellStyle name="Milliers 2 2 2 3 2 5 2 2 5" xfId="5252"/>
    <cellStyle name="Milliers 2 2 2 3 2 5 2 3" xfId="5253"/>
    <cellStyle name="Milliers 2 2 2 3 2 5 2 3 2" xfId="5254"/>
    <cellStyle name="Milliers 2 2 2 3 2 5 2 3 2 2" xfId="5255"/>
    <cellStyle name="Milliers 2 2 2 3 2 5 2 3 2 2 2" xfId="5256"/>
    <cellStyle name="Milliers 2 2 2 3 2 5 2 3 2 3" xfId="5257"/>
    <cellStyle name="Milliers 2 2 2 3 2 5 2 3 3" xfId="5258"/>
    <cellStyle name="Milliers 2 2 2 3 2 5 2 3 3 2" xfId="5259"/>
    <cellStyle name="Milliers 2 2 2 3 2 5 2 3 4" xfId="5260"/>
    <cellStyle name="Milliers 2 2 2 3 2 5 2 4" xfId="5261"/>
    <cellStyle name="Milliers 2 2 2 3 2 5 2 4 2" xfId="5262"/>
    <cellStyle name="Milliers 2 2 2 3 2 5 2 4 2 2" xfId="5263"/>
    <cellStyle name="Milliers 2 2 2 3 2 5 2 4 3" xfId="5264"/>
    <cellStyle name="Milliers 2 2 2 3 2 5 2 5" xfId="5265"/>
    <cellStyle name="Milliers 2 2 2 3 2 5 2 5 2" xfId="5266"/>
    <cellStyle name="Milliers 2 2 2 3 2 5 2 6" xfId="5267"/>
    <cellStyle name="Milliers 2 2 2 3 2 5 3" xfId="5268"/>
    <cellStyle name="Milliers 2 2 2 3 2 5 3 2" xfId="5269"/>
    <cellStyle name="Milliers 2 2 2 3 2 5 3 2 2" xfId="5270"/>
    <cellStyle name="Milliers 2 2 2 3 2 5 3 2 2 2" xfId="5271"/>
    <cellStyle name="Milliers 2 2 2 3 2 5 3 2 2 2 2" xfId="5272"/>
    <cellStyle name="Milliers 2 2 2 3 2 5 3 2 2 3" xfId="5273"/>
    <cellStyle name="Milliers 2 2 2 3 2 5 3 2 3" xfId="5274"/>
    <cellStyle name="Milliers 2 2 2 3 2 5 3 2 3 2" xfId="5275"/>
    <cellStyle name="Milliers 2 2 2 3 2 5 3 2 4" xfId="5276"/>
    <cellStyle name="Milliers 2 2 2 3 2 5 3 3" xfId="5277"/>
    <cellStyle name="Milliers 2 2 2 3 2 5 3 3 2" xfId="5278"/>
    <cellStyle name="Milliers 2 2 2 3 2 5 3 3 2 2" xfId="5279"/>
    <cellStyle name="Milliers 2 2 2 3 2 5 3 3 3" xfId="5280"/>
    <cellStyle name="Milliers 2 2 2 3 2 5 3 4" xfId="5281"/>
    <cellStyle name="Milliers 2 2 2 3 2 5 3 4 2" xfId="5282"/>
    <cellStyle name="Milliers 2 2 2 3 2 5 3 5" xfId="5283"/>
    <cellStyle name="Milliers 2 2 2 3 2 5 4" xfId="5284"/>
    <cellStyle name="Milliers 2 2 2 3 2 5 4 2" xfId="5285"/>
    <cellStyle name="Milliers 2 2 2 3 2 5 4 2 2" xfId="5286"/>
    <cellStyle name="Milliers 2 2 2 3 2 5 4 2 2 2" xfId="5287"/>
    <cellStyle name="Milliers 2 2 2 3 2 5 4 2 3" xfId="5288"/>
    <cellStyle name="Milliers 2 2 2 3 2 5 4 3" xfId="5289"/>
    <cellStyle name="Milliers 2 2 2 3 2 5 4 3 2" xfId="5290"/>
    <cellStyle name="Milliers 2 2 2 3 2 5 4 4" xfId="5291"/>
    <cellStyle name="Milliers 2 2 2 3 2 5 5" xfId="5292"/>
    <cellStyle name="Milliers 2 2 2 3 2 5 5 2" xfId="5293"/>
    <cellStyle name="Milliers 2 2 2 3 2 5 5 2 2" xfId="5294"/>
    <cellStyle name="Milliers 2 2 2 3 2 5 5 3" xfId="5295"/>
    <cellStyle name="Milliers 2 2 2 3 2 5 6" xfId="5296"/>
    <cellStyle name="Milliers 2 2 2 3 2 5 6 2" xfId="5297"/>
    <cellStyle name="Milliers 2 2 2 3 2 5 7" xfId="5298"/>
    <cellStyle name="Milliers 2 2 2 3 2 6" xfId="5299"/>
    <cellStyle name="Milliers 2 2 2 3 2 6 2" xfId="5300"/>
    <cellStyle name="Milliers 2 2 2 3 2 6 2 2" xfId="5301"/>
    <cellStyle name="Milliers 2 2 2 3 2 6 2 2 2" xfId="5302"/>
    <cellStyle name="Milliers 2 2 2 3 2 6 2 2 2 2" xfId="5303"/>
    <cellStyle name="Milliers 2 2 2 3 2 6 2 2 2 2 2" xfId="5304"/>
    <cellStyle name="Milliers 2 2 2 3 2 6 2 2 2 3" xfId="5305"/>
    <cellStyle name="Milliers 2 2 2 3 2 6 2 2 3" xfId="5306"/>
    <cellStyle name="Milliers 2 2 2 3 2 6 2 2 3 2" xfId="5307"/>
    <cellStyle name="Milliers 2 2 2 3 2 6 2 2 4" xfId="5308"/>
    <cellStyle name="Milliers 2 2 2 3 2 6 2 3" xfId="5309"/>
    <cellStyle name="Milliers 2 2 2 3 2 6 2 3 2" xfId="5310"/>
    <cellStyle name="Milliers 2 2 2 3 2 6 2 3 2 2" xfId="5311"/>
    <cellStyle name="Milliers 2 2 2 3 2 6 2 3 3" xfId="5312"/>
    <cellStyle name="Milliers 2 2 2 3 2 6 2 4" xfId="5313"/>
    <cellStyle name="Milliers 2 2 2 3 2 6 2 4 2" xfId="5314"/>
    <cellStyle name="Milliers 2 2 2 3 2 6 2 5" xfId="5315"/>
    <cellStyle name="Milliers 2 2 2 3 2 6 3" xfId="5316"/>
    <cellStyle name="Milliers 2 2 2 3 2 6 3 2" xfId="5317"/>
    <cellStyle name="Milliers 2 2 2 3 2 6 3 2 2" xfId="5318"/>
    <cellStyle name="Milliers 2 2 2 3 2 6 3 2 2 2" xfId="5319"/>
    <cellStyle name="Milliers 2 2 2 3 2 6 3 2 3" xfId="5320"/>
    <cellStyle name="Milliers 2 2 2 3 2 6 3 3" xfId="5321"/>
    <cellStyle name="Milliers 2 2 2 3 2 6 3 3 2" xfId="5322"/>
    <cellStyle name="Milliers 2 2 2 3 2 6 3 4" xfId="5323"/>
    <cellStyle name="Milliers 2 2 2 3 2 6 4" xfId="5324"/>
    <cellStyle name="Milliers 2 2 2 3 2 6 4 2" xfId="5325"/>
    <cellStyle name="Milliers 2 2 2 3 2 6 4 2 2" xfId="5326"/>
    <cellStyle name="Milliers 2 2 2 3 2 6 4 3" xfId="5327"/>
    <cellStyle name="Milliers 2 2 2 3 2 6 5" xfId="5328"/>
    <cellStyle name="Milliers 2 2 2 3 2 6 5 2" xfId="5329"/>
    <cellStyle name="Milliers 2 2 2 3 2 6 6" xfId="5330"/>
    <cellStyle name="Milliers 2 2 2 3 2 7" xfId="5331"/>
    <cellStyle name="Milliers 2 2 2 3 2 7 2" xfId="5332"/>
    <cellStyle name="Milliers 2 2 2 3 2 7 2 2" xfId="5333"/>
    <cellStyle name="Milliers 2 2 2 3 2 7 2 2 2" xfId="5334"/>
    <cellStyle name="Milliers 2 2 2 3 2 7 2 2 2 2" xfId="5335"/>
    <cellStyle name="Milliers 2 2 2 3 2 7 2 2 3" xfId="5336"/>
    <cellStyle name="Milliers 2 2 2 3 2 7 2 3" xfId="5337"/>
    <cellStyle name="Milliers 2 2 2 3 2 7 2 3 2" xfId="5338"/>
    <cellStyle name="Milliers 2 2 2 3 2 7 2 4" xfId="5339"/>
    <cellStyle name="Milliers 2 2 2 3 2 7 3" xfId="5340"/>
    <cellStyle name="Milliers 2 2 2 3 2 7 3 2" xfId="5341"/>
    <cellStyle name="Milliers 2 2 2 3 2 7 3 2 2" xfId="5342"/>
    <cellStyle name="Milliers 2 2 2 3 2 7 3 3" xfId="5343"/>
    <cellStyle name="Milliers 2 2 2 3 2 7 4" xfId="5344"/>
    <cellStyle name="Milliers 2 2 2 3 2 7 4 2" xfId="5345"/>
    <cellStyle name="Milliers 2 2 2 3 2 7 5" xfId="5346"/>
    <cellStyle name="Milliers 2 2 2 3 2 8" xfId="5347"/>
    <cellStyle name="Milliers 2 2 2 3 2 8 2" xfId="5348"/>
    <cellStyle name="Milliers 2 2 2 3 2 8 2 2" xfId="5349"/>
    <cellStyle name="Milliers 2 2 2 3 2 8 2 2 2" xfId="5350"/>
    <cellStyle name="Milliers 2 2 2 3 2 8 2 3" xfId="5351"/>
    <cellStyle name="Milliers 2 2 2 3 2 8 3" xfId="5352"/>
    <cellStyle name="Milliers 2 2 2 3 2 8 3 2" xfId="5353"/>
    <cellStyle name="Milliers 2 2 2 3 2 8 4" xfId="5354"/>
    <cellStyle name="Milliers 2 2 2 3 2 9" xfId="5355"/>
    <cellStyle name="Milliers 2 2 2 3 2 9 2" xfId="5356"/>
    <cellStyle name="Milliers 2 2 2 3 2 9 2 2" xfId="5357"/>
    <cellStyle name="Milliers 2 2 2 3 2 9 3" xfId="5358"/>
    <cellStyle name="Milliers 2 2 2 3 3" xfId="5359"/>
    <cellStyle name="Milliers 2 2 2 3 3 10" xfId="5360"/>
    <cellStyle name="Milliers 2 2 2 3 3 2" xfId="5361"/>
    <cellStyle name="Milliers 2 2 2 3 3 2 2" xfId="5362"/>
    <cellStyle name="Milliers 2 2 2 3 3 2 2 2" xfId="5363"/>
    <cellStyle name="Milliers 2 2 2 3 3 2 2 2 2" xfId="5364"/>
    <cellStyle name="Milliers 2 2 2 3 3 2 2 2 2 2" xfId="5365"/>
    <cellStyle name="Milliers 2 2 2 3 3 2 2 2 2 2 2" xfId="5366"/>
    <cellStyle name="Milliers 2 2 2 3 3 2 2 2 2 2 2 2" xfId="5367"/>
    <cellStyle name="Milliers 2 2 2 3 3 2 2 2 2 2 2 2 2" xfId="5368"/>
    <cellStyle name="Milliers 2 2 2 3 3 2 2 2 2 2 2 2 2 2" xfId="5369"/>
    <cellStyle name="Milliers 2 2 2 3 3 2 2 2 2 2 2 2 3" xfId="5370"/>
    <cellStyle name="Milliers 2 2 2 3 3 2 2 2 2 2 2 3" xfId="5371"/>
    <cellStyle name="Milliers 2 2 2 3 3 2 2 2 2 2 2 3 2" xfId="5372"/>
    <cellStyle name="Milliers 2 2 2 3 3 2 2 2 2 2 2 4" xfId="5373"/>
    <cellStyle name="Milliers 2 2 2 3 3 2 2 2 2 2 3" xfId="5374"/>
    <cellStyle name="Milliers 2 2 2 3 3 2 2 2 2 2 3 2" xfId="5375"/>
    <cellStyle name="Milliers 2 2 2 3 3 2 2 2 2 2 3 2 2" xfId="5376"/>
    <cellStyle name="Milliers 2 2 2 3 3 2 2 2 2 2 3 3" xfId="5377"/>
    <cellStyle name="Milliers 2 2 2 3 3 2 2 2 2 2 4" xfId="5378"/>
    <cellStyle name="Milliers 2 2 2 3 3 2 2 2 2 2 4 2" xfId="5379"/>
    <cellStyle name="Milliers 2 2 2 3 3 2 2 2 2 2 5" xfId="5380"/>
    <cellStyle name="Milliers 2 2 2 3 3 2 2 2 2 3" xfId="5381"/>
    <cellStyle name="Milliers 2 2 2 3 3 2 2 2 2 3 2" xfId="5382"/>
    <cellStyle name="Milliers 2 2 2 3 3 2 2 2 2 3 2 2" xfId="5383"/>
    <cellStyle name="Milliers 2 2 2 3 3 2 2 2 2 3 2 2 2" xfId="5384"/>
    <cellStyle name="Milliers 2 2 2 3 3 2 2 2 2 3 2 3" xfId="5385"/>
    <cellStyle name="Milliers 2 2 2 3 3 2 2 2 2 3 3" xfId="5386"/>
    <cellStyle name="Milliers 2 2 2 3 3 2 2 2 2 3 3 2" xfId="5387"/>
    <cellStyle name="Milliers 2 2 2 3 3 2 2 2 2 3 4" xfId="5388"/>
    <cellStyle name="Milliers 2 2 2 3 3 2 2 2 2 4" xfId="5389"/>
    <cellStyle name="Milliers 2 2 2 3 3 2 2 2 2 4 2" xfId="5390"/>
    <cellStyle name="Milliers 2 2 2 3 3 2 2 2 2 4 2 2" xfId="5391"/>
    <cellStyle name="Milliers 2 2 2 3 3 2 2 2 2 4 3" xfId="5392"/>
    <cellStyle name="Milliers 2 2 2 3 3 2 2 2 2 5" xfId="5393"/>
    <cellStyle name="Milliers 2 2 2 3 3 2 2 2 2 5 2" xfId="5394"/>
    <cellStyle name="Milliers 2 2 2 3 3 2 2 2 2 6" xfId="5395"/>
    <cellStyle name="Milliers 2 2 2 3 3 2 2 2 3" xfId="5396"/>
    <cellStyle name="Milliers 2 2 2 3 3 2 2 2 3 2" xfId="5397"/>
    <cellStyle name="Milliers 2 2 2 3 3 2 2 2 3 2 2" xfId="5398"/>
    <cellStyle name="Milliers 2 2 2 3 3 2 2 2 3 2 2 2" xfId="5399"/>
    <cellStyle name="Milliers 2 2 2 3 3 2 2 2 3 2 2 2 2" xfId="5400"/>
    <cellStyle name="Milliers 2 2 2 3 3 2 2 2 3 2 2 3" xfId="5401"/>
    <cellStyle name="Milliers 2 2 2 3 3 2 2 2 3 2 3" xfId="5402"/>
    <cellStyle name="Milliers 2 2 2 3 3 2 2 2 3 2 3 2" xfId="5403"/>
    <cellStyle name="Milliers 2 2 2 3 3 2 2 2 3 2 4" xfId="5404"/>
    <cellStyle name="Milliers 2 2 2 3 3 2 2 2 3 3" xfId="5405"/>
    <cellStyle name="Milliers 2 2 2 3 3 2 2 2 3 3 2" xfId="5406"/>
    <cellStyle name="Milliers 2 2 2 3 3 2 2 2 3 3 2 2" xfId="5407"/>
    <cellStyle name="Milliers 2 2 2 3 3 2 2 2 3 3 3" xfId="5408"/>
    <cellStyle name="Milliers 2 2 2 3 3 2 2 2 3 4" xfId="5409"/>
    <cellStyle name="Milliers 2 2 2 3 3 2 2 2 3 4 2" xfId="5410"/>
    <cellStyle name="Milliers 2 2 2 3 3 2 2 2 3 5" xfId="5411"/>
    <cellStyle name="Milliers 2 2 2 3 3 2 2 2 4" xfId="5412"/>
    <cellStyle name="Milliers 2 2 2 3 3 2 2 2 4 2" xfId="5413"/>
    <cellStyle name="Milliers 2 2 2 3 3 2 2 2 4 2 2" xfId="5414"/>
    <cellStyle name="Milliers 2 2 2 3 3 2 2 2 4 2 2 2" xfId="5415"/>
    <cellStyle name="Milliers 2 2 2 3 3 2 2 2 4 2 3" xfId="5416"/>
    <cellStyle name="Milliers 2 2 2 3 3 2 2 2 4 3" xfId="5417"/>
    <cellStyle name="Milliers 2 2 2 3 3 2 2 2 4 3 2" xfId="5418"/>
    <cellStyle name="Milliers 2 2 2 3 3 2 2 2 4 4" xfId="5419"/>
    <cellStyle name="Milliers 2 2 2 3 3 2 2 2 5" xfId="5420"/>
    <cellStyle name="Milliers 2 2 2 3 3 2 2 2 5 2" xfId="5421"/>
    <cellStyle name="Milliers 2 2 2 3 3 2 2 2 5 2 2" xfId="5422"/>
    <cellStyle name="Milliers 2 2 2 3 3 2 2 2 5 3" xfId="5423"/>
    <cellStyle name="Milliers 2 2 2 3 3 2 2 2 6" xfId="5424"/>
    <cellStyle name="Milliers 2 2 2 3 3 2 2 2 6 2" xfId="5425"/>
    <cellStyle name="Milliers 2 2 2 3 3 2 2 2 7" xfId="5426"/>
    <cellStyle name="Milliers 2 2 2 3 3 2 2 3" xfId="5427"/>
    <cellStyle name="Milliers 2 2 2 3 3 2 2 3 2" xfId="5428"/>
    <cellStyle name="Milliers 2 2 2 3 3 2 2 3 2 2" xfId="5429"/>
    <cellStyle name="Milliers 2 2 2 3 3 2 2 3 2 2 2" xfId="5430"/>
    <cellStyle name="Milliers 2 2 2 3 3 2 2 3 2 2 2 2" xfId="5431"/>
    <cellStyle name="Milliers 2 2 2 3 3 2 2 3 2 2 2 2 2" xfId="5432"/>
    <cellStyle name="Milliers 2 2 2 3 3 2 2 3 2 2 2 3" xfId="5433"/>
    <cellStyle name="Milliers 2 2 2 3 3 2 2 3 2 2 3" xfId="5434"/>
    <cellStyle name="Milliers 2 2 2 3 3 2 2 3 2 2 3 2" xfId="5435"/>
    <cellStyle name="Milliers 2 2 2 3 3 2 2 3 2 2 4" xfId="5436"/>
    <cellStyle name="Milliers 2 2 2 3 3 2 2 3 2 3" xfId="5437"/>
    <cellStyle name="Milliers 2 2 2 3 3 2 2 3 2 3 2" xfId="5438"/>
    <cellStyle name="Milliers 2 2 2 3 3 2 2 3 2 3 2 2" xfId="5439"/>
    <cellStyle name="Milliers 2 2 2 3 3 2 2 3 2 3 3" xfId="5440"/>
    <cellStyle name="Milliers 2 2 2 3 3 2 2 3 2 4" xfId="5441"/>
    <cellStyle name="Milliers 2 2 2 3 3 2 2 3 2 4 2" xfId="5442"/>
    <cellStyle name="Milliers 2 2 2 3 3 2 2 3 2 5" xfId="5443"/>
    <cellStyle name="Milliers 2 2 2 3 3 2 2 3 3" xfId="5444"/>
    <cellStyle name="Milliers 2 2 2 3 3 2 2 3 3 2" xfId="5445"/>
    <cellStyle name="Milliers 2 2 2 3 3 2 2 3 3 2 2" xfId="5446"/>
    <cellStyle name="Milliers 2 2 2 3 3 2 2 3 3 2 2 2" xfId="5447"/>
    <cellStyle name="Milliers 2 2 2 3 3 2 2 3 3 2 3" xfId="5448"/>
    <cellStyle name="Milliers 2 2 2 3 3 2 2 3 3 3" xfId="5449"/>
    <cellStyle name="Milliers 2 2 2 3 3 2 2 3 3 3 2" xfId="5450"/>
    <cellStyle name="Milliers 2 2 2 3 3 2 2 3 3 4" xfId="5451"/>
    <cellStyle name="Milliers 2 2 2 3 3 2 2 3 4" xfId="5452"/>
    <cellStyle name="Milliers 2 2 2 3 3 2 2 3 4 2" xfId="5453"/>
    <cellStyle name="Milliers 2 2 2 3 3 2 2 3 4 2 2" xfId="5454"/>
    <cellStyle name="Milliers 2 2 2 3 3 2 2 3 4 3" xfId="5455"/>
    <cellStyle name="Milliers 2 2 2 3 3 2 2 3 5" xfId="5456"/>
    <cellStyle name="Milliers 2 2 2 3 3 2 2 3 5 2" xfId="5457"/>
    <cellStyle name="Milliers 2 2 2 3 3 2 2 3 6" xfId="5458"/>
    <cellStyle name="Milliers 2 2 2 3 3 2 2 4" xfId="5459"/>
    <cellStyle name="Milliers 2 2 2 3 3 2 2 4 2" xfId="5460"/>
    <cellStyle name="Milliers 2 2 2 3 3 2 2 4 2 2" xfId="5461"/>
    <cellStyle name="Milliers 2 2 2 3 3 2 2 4 2 2 2" xfId="5462"/>
    <cellStyle name="Milliers 2 2 2 3 3 2 2 4 2 2 2 2" xfId="5463"/>
    <cellStyle name="Milliers 2 2 2 3 3 2 2 4 2 2 3" xfId="5464"/>
    <cellStyle name="Milliers 2 2 2 3 3 2 2 4 2 3" xfId="5465"/>
    <cellStyle name="Milliers 2 2 2 3 3 2 2 4 2 3 2" xfId="5466"/>
    <cellStyle name="Milliers 2 2 2 3 3 2 2 4 2 4" xfId="5467"/>
    <cellStyle name="Milliers 2 2 2 3 3 2 2 4 3" xfId="5468"/>
    <cellStyle name="Milliers 2 2 2 3 3 2 2 4 3 2" xfId="5469"/>
    <cellStyle name="Milliers 2 2 2 3 3 2 2 4 3 2 2" xfId="5470"/>
    <cellStyle name="Milliers 2 2 2 3 3 2 2 4 3 3" xfId="5471"/>
    <cellStyle name="Milliers 2 2 2 3 3 2 2 4 4" xfId="5472"/>
    <cellStyle name="Milliers 2 2 2 3 3 2 2 4 4 2" xfId="5473"/>
    <cellStyle name="Milliers 2 2 2 3 3 2 2 4 5" xfId="5474"/>
    <cellStyle name="Milliers 2 2 2 3 3 2 2 5" xfId="5475"/>
    <cellStyle name="Milliers 2 2 2 3 3 2 2 5 2" xfId="5476"/>
    <cellStyle name="Milliers 2 2 2 3 3 2 2 5 2 2" xfId="5477"/>
    <cellStyle name="Milliers 2 2 2 3 3 2 2 5 2 2 2" xfId="5478"/>
    <cellStyle name="Milliers 2 2 2 3 3 2 2 5 2 3" xfId="5479"/>
    <cellStyle name="Milliers 2 2 2 3 3 2 2 5 3" xfId="5480"/>
    <cellStyle name="Milliers 2 2 2 3 3 2 2 5 3 2" xfId="5481"/>
    <cellStyle name="Milliers 2 2 2 3 3 2 2 5 4" xfId="5482"/>
    <cellStyle name="Milliers 2 2 2 3 3 2 2 6" xfId="5483"/>
    <cellStyle name="Milliers 2 2 2 3 3 2 2 6 2" xfId="5484"/>
    <cellStyle name="Milliers 2 2 2 3 3 2 2 6 2 2" xfId="5485"/>
    <cellStyle name="Milliers 2 2 2 3 3 2 2 6 3" xfId="5486"/>
    <cellStyle name="Milliers 2 2 2 3 3 2 2 7" xfId="5487"/>
    <cellStyle name="Milliers 2 2 2 3 3 2 2 7 2" xfId="5488"/>
    <cellStyle name="Milliers 2 2 2 3 3 2 2 8" xfId="5489"/>
    <cellStyle name="Milliers 2 2 2 3 3 2 3" xfId="5490"/>
    <cellStyle name="Milliers 2 2 2 3 3 2 3 2" xfId="5491"/>
    <cellStyle name="Milliers 2 2 2 3 3 2 3 2 2" xfId="5492"/>
    <cellStyle name="Milliers 2 2 2 3 3 2 3 2 2 2" xfId="5493"/>
    <cellStyle name="Milliers 2 2 2 3 3 2 3 2 2 2 2" xfId="5494"/>
    <cellStyle name="Milliers 2 2 2 3 3 2 3 2 2 2 2 2" xfId="5495"/>
    <cellStyle name="Milliers 2 2 2 3 3 2 3 2 2 2 2 2 2" xfId="5496"/>
    <cellStyle name="Milliers 2 2 2 3 3 2 3 2 2 2 2 3" xfId="5497"/>
    <cellStyle name="Milliers 2 2 2 3 3 2 3 2 2 2 3" xfId="5498"/>
    <cellStyle name="Milliers 2 2 2 3 3 2 3 2 2 2 3 2" xfId="5499"/>
    <cellStyle name="Milliers 2 2 2 3 3 2 3 2 2 2 4" xfId="5500"/>
    <cellStyle name="Milliers 2 2 2 3 3 2 3 2 2 3" xfId="5501"/>
    <cellStyle name="Milliers 2 2 2 3 3 2 3 2 2 3 2" xfId="5502"/>
    <cellStyle name="Milliers 2 2 2 3 3 2 3 2 2 3 2 2" xfId="5503"/>
    <cellStyle name="Milliers 2 2 2 3 3 2 3 2 2 3 3" xfId="5504"/>
    <cellStyle name="Milliers 2 2 2 3 3 2 3 2 2 4" xfId="5505"/>
    <cellStyle name="Milliers 2 2 2 3 3 2 3 2 2 4 2" xfId="5506"/>
    <cellStyle name="Milliers 2 2 2 3 3 2 3 2 2 5" xfId="5507"/>
    <cellStyle name="Milliers 2 2 2 3 3 2 3 2 3" xfId="5508"/>
    <cellStyle name="Milliers 2 2 2 3 3 2 3 2 3 2" xfId="5509"/>
    <cellStyle name="Milliers 2 2 2 3 3 2 3 2 3 2 2" xfId="5510"/>
    <cellStyle name="Milliers 2 2 2 3 3 2 3 2 3 2 2 2" xfId="5511"/>
    <cellStyle name="Milliers 2 2 2 3 3 2 3 2 3 2 3" xfId="5512"/>
    <cellStyle name="Milliers 2 2 2 3 3 2 3 2 3 3" xfId="5513"/>
    <cellStyle name="Milliers 2 2 2 3 3 2 3 2 3 3 2" xfId="5514"/>
    <cellStyle name="Milliers 2 2 2 3 3 2 3 2 3 4" xfId="5515"/>
    <cellStyle name="Milliers 2 2 2 3 3 2 3 2 4" xfId="5516"/>
    <cellStyle name="Milliers 2 2 2 3 3 2 3 2 4 2" xfId="5517"/>
    <cellStyle name="Milliers 2 2 2 3 3 2 3 2 4 2 2" xfId="5518"/>
    <cellStyle name="Milliers 2 2 2 3 3 2 3 2 4 3" xfId="5519"/>
    <cellStyle name="Milliers 2 2 2 3 3 2 3 2 5" xfId="5520"/>
    <cellStyle name="Milliers 2 2 2 3 3 2 3 2 5 2" xfId="5521"/>
    <cellStyle name="Milliers 2 2 2 3 3 2 3 2 6" xfId="5522"/>
    <cellStyle name="Milliers 2 2 2 3 3 2 3 3" xfId="5523"/>
    <cellStyle name="Milliers 2 2 2 3 3 2 3 3 2" xfId="5524"/>
    <cellStyle name="Milliers 2 2 2 3 3 2 3 3 2 2" xfId="5525"/>
    <cellStyle name="Milliers 2 2 2 3 3 2 3 3 2 2 2" xfId="5526"/>
    <cellStyle name="Milliers 2 2 2 3 3 2 3 3 2 2 2 2" xfId="5527"/>
    <cellStyle name="Milliers 2 2 2 3 3 2 3 3 2 2 3" xfId="5528"/>
    <cellStyle name="Milliers 2 2 2 3 3 2 3 3 2 3" xfId="5529"/>
    <cellStyle name="Milliers 2 2 2 3 3 2 3 3 2 3 2" xfId="5530"/>
    <cellStyle name="Milliers 2 2 2 3 3 2 3 3 2 4" xfId="5531"/>
    <cellStyle name="Milliers 2 2 2 3 3 2 3 3 3" xfId="5532"/>
    <cellStyle name="Milliers 2 2 2 3 3 2 3 3 3 2" xfId="5533"/>
    <cellStyle name="Milliers 2 2 2 3 3 2 3 3 3 2 2" xfId="5534"/>
    <cellStyle name="Milliers 2 2 2 3 3 2 3 3 3 3" xfId="5535"/>
    <cellStyle name="Milliers 2 2 2 3 3 2 3 3 4" xfId="5536"/>
    <cellStyle name="Milliers 2 2 2 3 3 2 3 3 4 2" xfId="5537"/>
    <cellStyle name="Milliers 2 2 2 3 3 2 3 3 5" xfId="5538"/>
    <cellStyle name="Milliers 2 2 2 3 3 2 3 4" xfId="5539"/>
    <cellStyle name="Milliers 2 2 2 3 3 2 3 4 2" xfId="5540"/>
    <cellStyle name="Milliers 2 2 2 3 3 2 3 4 2 2" xfId="5541"/>
    <cellStyle name="Milliers 2 2 2 3 3 2 3 4 2 2 2" xfId="5542"/>
    <cellStyle name="Milliers 2 2 2 3 3 2 3 4 2 3" xfId="5543"/>
    <cellStyle name="Milliers 2 2 2 3 3 2 3 4 3" xfId="5544"/>
    <cellStyle name="Milliers 2 2 2 3 3 2 3 4 3 2" xfId="5545"/>
    <cellStyle name="Milliers 2 2 2 3 3 2 3 4 4" xfId="5546"/>
    <cellStyle name="Milliers 2 2 2 3 3 2 3 5" xfId="5547"/>
    <cellStyle name="Milliers 2 2 2 3 3 2 3 5 2" xfId="5548"/>
    <cellStyle name="Milliers 2 2 2 3 3 2 3 5 2 2" xfId="5549"/>
    <cellStyle name="Milliers 2 2 2 3 3 2 3 5 3" xfId="5550"/>
    <cellStyle name="Milliers 2 2 2 3 3 2 3 6" xfId="5551"/>
    <cellStyle name="Milliers 2 2 2 3 3 2 3 6 2" xfId="5552"/>
    <cellStyle name="Milliers 2 2 2 3 3 2 3 7" xfId="5553"/>
    <cellStyle name="Milliers 2 2 2 3 3 2 4" xfId="5554"/>
    <cellStyle name="Milliers 2 2 2 3 3 2 4 2" xfId="5555"/>
    <cellStyle name="Milliers 2 2 2 3 3 2 4 2 2" xfId="5556"/>
    <cellStyle name="Milliers 2 2 2 3 3 2 4 2 2 2" xfId="5557"/>
    <cellStyle name="Milliers 2 2 2 3 3 2 4 2 2 2 2" xfId="5558"/>
    <cellStyle name="Milliers 2 2 2 3 3 2 4 2 2 2 2 2" xfId="5559"/>
    <cellStyle name="Milliers 2 2 2 3 3 2 4 2 2 2 3" xfId="5560"/>
    <cellStyle name="Milliers 2 2 2 3 3 2 4 2 2 3" xfId="5561"/>
    <cellStyle name="Milliers 2 2 2 3 3 2 4 2 2 3 2" xfId="5562"/>
    <cellStyle name="Milliers 2 2 2 3 3 2 4 2 2 4" xfId="5563"/>
    <cellStyle name="Milliers 2 2 2 3 3 2 4 2 3" xfId="5564"/>
    <cellStyle name="Milliers 2 2 2 3 3 2 4 2 3 2" xfId="5565"/>
    <cellStyle name="Milliers 2 2 2 3 3 2 4 2 3 2 2" xfId="5566"/>
    <cellStyle name="Milliers 2 2 2 3 3 2 4 2 3 3" xfId="5567"/>
    <cellStyle name="Milliers 2 2 2 3 3 2 4 2 4" xfId="5568"/>
    <cellStyle name="Milliers 2 2 2 3 3 2 4 2 4 2" xfId="5569"/>
    <cellStyle name="Milliers 2 2 2 3 3 2 4 2 5" xfId="5570"/>
    <cellStyle name="Milliers 2 2 2 3 3 2 4 3" xfId="5571"/>
    <cellStyle name="Milliers 2 2 2 3 3 2 4 3 2" xfId="5572"/>
    <cellStyle name="Milliers 2 2 2 3 3 2 4 3 2 2" xfId="5573"/>
    <cellStyle name="Milliers 2 2 2 3 3 2 4 3 2 2 2" xfId="5574"/>
    <cellStyle name="Milliers 2 2 2 3 3 2 4 3 2 3" xfId="5575"/>
    <cellStyle name="Milliers 2 2 2 3 3 2 4 3 3" xfId="5576"/>
    <cellStyle name="Milliers 2 2 2 3 3 2 4 3 3 2" xfId="5577"/>
    <cellStyle name="Milliers 2 2 2 3 3 2 4 3 4" xfId="5578"/>
    <cellStyle name="Milliers 2 2 2 3 3 2 4 4" xfId="5579"/>
    <cellStyle name="Milliers 2 2 2 3 3 2 4 4 2" xfId="5580"/>
    <cellStyle name="Milliers 2 2 2 3 3 2 4 4 2 2" xfId="5581"/>
    <cellStyle name="Milliers 2 2 2 3 3 2 4 4 3" xfId="5582"/>
    <cellStyle name="Milliers 2 2 2 3 3 2 4 5" xfId="5583"/>
    <cellStyle name="Milliers 2 2 2 3 3 2 4 5 2" xfId="5584"/>
    <cellStyle name="Milliers 2 2 2 3 3 2 4 6" xfId="5585"/>
    <cellStyle name="Milliers 2 2 2 3 3 2 5" xfId="5586"/>
    <cellStyle name="Milliers 2 2 2 3 3 2 5 2" xfId="5587"/>
    <cellStyle name="Milliers 2 2 2 3 3 2 5 2 2" xfId="5588"/>
    <cellStyle name="Milliers 2 2 2 3 3 2 5 2 2 2" xfId="5589"/>
    <cellStyle name="Milliers 2 2 2 3 3 2 5 2 2 2 2" xfId="5590"/>
    <cellStyle name="Milliers 2 2 2 3 3 2 5 2 2 3" xfId="5591"/>
    <cellStyle name="Milliers 2 2 2 3 3 2 5 2 3" xfId="5592"/>
    <cellStyle name="Milliers 2 2 2 3 3 2 5 2 3 2" xfId="5593"/>
    <cellStyle name="Milliers 2 2 2 3 3 2 5 2 4" xfId="5594"/>
    <cellStyle name="Milliers 2 2 2 3 3 2 5 3" xfId="5595"/>
    <cellStyle name="Milliers 2 2 2 3 3 2 5 3 2" xfId="5596"/>
    <cellStyle name="Milliers 2 2 2 3 3 2 5 3 2 2" xfId="5597"/>
    <cellStyle name="Milliers 2 2 2 3 3 2 5 3 3" xfId="5598"/>
    <cellStyle name="Milliers 2 2 2 3 3 2 5 4" xfId="5599"/>
    <cellStyle name="Milliers 2 2 2 3 3 2 5 4 2" xfId="5600"/>
    <cellStyle name="Milliers 2 2 2 3 3 2 5 5" xfId="5601"/>
    <cellStyle name="Milliers 2 2 2 3 3 2 6" xfId="5602"/>
    <cellStyle name="Milliers 2 2 2 3 3 2 6 2" xfId="5603"/>
    <cellStyle name="Milliers 2 2 2 3 3 2 6 2 2" xfId="5604"/>
    <cellStyle name="Milliers 2 2 2 3 3 2 6 2 2 2" xfId="5605"/>
    <cellStyle name="Milliers 2 2 2 3 3 2 6 2 3" xfId="5606"/>
    <cellStyle name="Milliers 2 2 2 3 3 2 6 3" xfId="5607"/>
    <cellStyle name="Milliers 2 2 2 3 3 2 6 3 2" xfId="5608"/>
    <cellStyle name="Milliers 2 2 2 3 3 2 6 4" xfId="5609"/>
    <cellStyle name="Milliers 2 2 2 3 3 2 7" xfId="5610"/>
    <cellStyle name="Milliers 2 2 2 3 3 2 7 2" xfId="5611"/>
    <cellStyle name="Milliers 2 2 2 3 3 2 7 2 2" xfId="5612"/>
    <cellStyle name="Milliers 2 2 2 3 3 2 7 3" xfId="5613"/>
    <cellStyle name="Milliers 2 2 2 3 3 2 8" xfId="5614"/>
    <cellStyle name="Milliers 2 2 2 3 3 2 8 2" xfId="5615"/>
    <cellStyle name="Milliers 2 2 2 3 3 2 9" xfId="5616"/>
    <cellStyle name="Milliers 2 2 2 3 3 3" xfId="5617"/>
    <cellStyle name="Milliers 2 2 2 3 3 3 2" xfId="5618"/>
    <cellStyle name="Milliers 2 2 2 3 3 3 2 2" xfId="5619"/>
    <cellStyle name="Milliers 2 2 2 3 3 3 2 2 2" xfId="5620"/>
    <cellStyle name="Milliers 2 2 2 3 3 3 2 2 2 2" xfId="5621"/>
    <cellStyle name="Milliers 2 2 2 3 3 3 2 2 2 2 2" xfId="5622"/>
    <cellStyle name="Milliers 2 2 2 3 3 3 2 2 2 2 2 2" xfId="5623"/>
    <cellStyle name="Milliers 2 2 2 3 3 3 2 2 2 2 2 2 2" xfId="5624"/>
    <cellStyle name="Milliers 2 2 2 3 3 3 2 2 2 2 2 3" xfId="5625"/>
    <cellStyle name="Milliers 2 2 2 3 3 3 2 2 2 2 3" xfId="5626"/>
    <cellStyle name="Milliers 2 2 2 3 3 3 2 2 2 2 3 2" xfId="5627"/>
    <cellStyle name="Milliers 2 2 2 3 3 3 2 2 2 2 4" xfId="5628"/>
    <cellStyle name="Milliers 2 2 2 3 3 3 2 2 2 3" xfId="5629"/>
    <cellStyle name="Milliers 2 2 2 3 3 3 2 2 2 3 2" xfId="5630"/>
    <cellStyle name="Milliers 2 2 2 3 3 3 2 2 2 3 2 2" xfId="5631"/>
    <cellStyle name="Milliers 2 2 2 3 3 3 2 2 2 3 3" xfId="5632"/>
    <cellStyle name="Milliers 2 2 2 3 3 3 2 2 2 4" xfId="5633"/>
    <cellStyle name="Milliers 2 2 2 3 3 3 2 2 2 4 2" xfId="5634"/>
    <cellStyle name="Milliers 2 2 2 3 3 3 2 2 2 5" xfId="5635"/>
    <cellStyle name="Milliers 2 2 2 3 3 3 2 2 3" xfId="5636"/>
    <cellStyle name="Milliers 2 2 2 3 3 3 2 2 3 2" xfId="5637"/>
    <cellStyle name="Milliers 2 2 2 3 3 3 2 2 3 2 2" xfId="5638"/>
    <cellStyle name="Milliers 2 2 2 3 3 3 2 2 3 2 2 2" xfId="5639"/>
    <cellStyle name="Milliers 2 2 2 3 3 3 2 2 3 2 3" xfId="5640"/>
    <cellStyle name="Milliers 2 2 2 3 3 3 2 2 3 3" xfId="5641"/>
    <cellStyle name="Milliers 2 2 2 3 3 3 2 2 3 3 2" xfId="5642"/>
    <cellStyle name="Milliers 2 2 2 3 3 3 2 2 3 4" xfId="5643"/>
    <cellStyle name="Milliers 2 2 2 3 3 3 2 2 4" xfId="5644"/>
    <cellStyle name="Milliers 2 2 2 3 3 3 2 2 4 2" xfId="5645"/>
    <cellStyle name="Milliers 2 2 2 3 3 3 2 2 4 2 2" xfId="5646"/>
    <cellStyle name="Milliers 2 2 2 3 3 3 2 2 4 3" xfId="5647"/>
    <cellStyle name="Milliers 2 2 2 3 3 3 2 2 5" xfId="5648"/>
    <cellStyle name="Milliers 2 2 2 3 3 3 2 2 5 2" xfId="5649"/>
    <cellStyle name="Milliers 2 2 2 3 3 3 2 2 6" xfId="5650"/>
    <cellStyle name="Milliers 2 2 2 3 3 3 2 3" xfId="5651"/>
    <cellStyle name="Milliers 2 2 2 3 3 3 2 3 2" xfId="5652"/>
    <cellStyle name="Milliers 2 2 2 3 3 3 2 3 2 2" xfId="5653"/>
    <cellStyle name="Milliers 2 2 2 3 3 3 2 3 2 2 2" xfId="5654"/>
    <cellStyle name="Milliers 2 2 2 3 3 3 2 3 2 2 2 2" xfId="5655"/>
    <cellStyle name="Milliers 2 2 2 3 3 3 2 3 2 2 3" xfId="5656"/>
    <cellStyle name="Milliers 2 2 2 3 3 3 2 3 2 3" xfId="5657"/>
    <cellStyle name="Milliers 2 2 2 3 3 3 2 3 2 3 2" xfId="5658"/>
    <cellStyle name="Milliers 2 2 2 3 3 3 2 3 2 4" xfId="5659"/>
    <cellStyle name="Milliers 2 2 2 3 3 3 2 3 3" xfId="5660"/>
    <cellStyle name="Milliers 2 2 2 3 3 3 2 3 3 2" xfId="5661"/>
    <cellStyle name="Milliers 2 2 2 3 3 3 2 3 3 2 2" xfId="5662"/>
    <cellStyle name="Milliers 2 2 2 3 3 3 2 3 3 3" xfId="5663"/>
    <cellStyle name="Milliers 2 2 2 3 3 3 2 3 4" xfId="5664"/>
    <cellStyle name="Milliers 2 2 2 3 3 3 2 3 4 2" xfId="5665"/>
    <cellStyle name="Milliers 2 2 2 3 3 3 2 3 5" xfId="5666"/>
    <cellStyle name="Milliers 2 2 2 3 3 3 2 4" xfId="5667"/>
    <cellStyle name="Milliers 2 2 2 3 3 3 2 4 2" xfId="5668"/>
    <cellStyle name="Milliers 2 2 2 3 3 3 2 4 2 2" xfId="5669"/>
    <cellStyle name="Milliers 2 2 2 3 3 3 2 4 2 2 2" xfId="5670"/>
    <cellStyle name="Milliers 2 2 2 3 3 3 2 4 2 3" xfId="5671"/>
    <cellStyle name="Milliers 2 2 2 3 3 3 2 4 3" xfId="5672"/>
    <cellStyle name="Milliers 2 2 2 3 3 3 2 4 3 2" xfId="5673"/>
    <cellStyle name="Milliers 2 2 2 3 3 3 2 4 4" xfId="5674"/>
    <cellStyle name="Milliers 2 2 2 3 3 3 2 5" xfId="5675"/>
    <cellStyle name="Milliers 2 2 2 3 3 3 2 5 2" xfId="5676"/>
    <cellStyle name="Milliers 2 2 2 3 3 3 2 5 2 2" xfId="5677"/>
    <cellStyle name="Milliers 2 2 2 3 3 3 2 5 3" xfId="5678"/>
    <cellStyle name="Milliers 2 2 2 3 3 3 2 6" xfId="5679"/>
    <cellStyle name="Milliers 2 2 2 3 3 3 2 6 2" xfId="5680"/>
    <cellStyle name="Milliers 2 2 2 3 3 3 2 7" xfId="5681"/>
    <cellStyle name="Milliers 2 2 2 3 3 3 3" xfId="5682"/>
    <cellStyle name="Milliers 2 2 2 3 3 3 3 2" xfId="5683"/>
    <cellStyle name="Milliers 2 2 2 3 3 3 3 2 2" xfId="5684"/>
    <cellStyle name="Milliers 2 2 2 3 3 3 3 2 2 2" xfId="5685"/>
    <cellStyle name="Milliers 2 2 2 3 3 3 3 2 2 2 2" xfId="5686"/>
    <cellStyle name="Milliers 2 2 2 3 3 3 3 2 2 2 2 2" xfId="5687"/>
    <cellStyle name="Milliers 2 2 2 3 3 3 3 2 2 2 3" xfId="5688"/>
    <cellStyle name="Milliers 2 2 2 3 3 3 3 2 2 3" xfId="5689"/>
    <cellStyle name="Milliers 2 2 2 3 3 3 3 2 2 3 2" xfId="5690"/>
    <cellStyle name="Milliers 2 2 2 3 3 3 3 2 2 4" xfId="5691"/>
    <cellStyle name="Milliers 2 2 2 3 3 3 3 2 3" xfId="5692"/>
    <cellStyle name="Milliers 2 2 2 3 3 3 3 2 3 2" xfId="5693"/>
    <cellStyle name="Milliers 2 2 2 3 3 3 3 2 3 2 2" xfId="5694"/>
    <cellStyle name="Milliers 2 2 2 3 3 3 3 2 3 3" xfId="5695"/>
    <cellStyle name="Milliers 2 2 2 3 3 3 3 2 4" xfId="5696"/>
    <cellStyle name="Milliers 2 2 2 3 3 3 3 2 4 2" xfId="5697"/>
    <cellStyle name="Milliers 2 2 2 3 3 3 3 2 5" xfId="5698"/>
    <cellStyle name="Milliers 2 2 2 3 3 3 3 3" xfId="5699"/>
    <cellStyle name="Milliers 2 2 2 3 3 3 3 3 2" xfId="5700"/>
    <cellStyle name="Milliers 2 2 2 3 3 3 3 3 2 2" xfId="5701"/>
    <cellStyle name="Milliers 2 2 2 3 3 3 3 3 2 2 2" xfId="5702"/>
    <cellStyle name="Milliers 2 2 2 3 3 3 3 3 2 3" xfId="5703"/>
    <cellStyle name="Milliers 2 2 2 3 3 3 3 3 3" xfId="5704"/>
    <cellStyle name="Milliers 2 2 2 3 3 3 3 3 3 2" xfId="5705"/>
    <cellStyle name="Milliers 2 2 2 3 3 3 3 3 4" xfId="5706"/>
    <cellStyle name="Milliers 2 2 2 3 3 3 3 4" xfId="5707"/>
    <cellStyle name="Milliers 2 2 2 3 3 3 3 4 2" xfId="5708"/>
    <cellStyle name="Milliers 2 2 2 3 3 3 3 4 2 2" xfId="5709"/>
    <cellStyle name="Milliers 2 2 2 3 3 3 3 4 3" xfId="5710"/>
    <cellStyle name="Milliers 2 2 2 3 3 3 3 5" xfId="5711"/>
    <cellStyle name="Milliers 2 2 2 3 3 3 3 5 2" xfId="5712"/>
    <cellStyle name="Milliers 2 2 2 3 3 3 3 6" xfId="5713"/>
    <cellStyle name="Milliers 2 2 2 3 3 3 4" xfId="5714"/>
    <cellStyle name="Milliers 2 2 2 3 3 3 4 2" xfId="5715"/>
    <cellStyle name="Milliers 2 2 2 3 3 3 4 2 2" xfId="5716"/>
    <cellStyle name="Milliers 2 2 2 3 3 3 4 2 2 2" xfId="5717"/>
    <cellStyle name="Milliers 2 2 2 3 3 3 4 2 2 2 2" xfId="5718"/>
    <cellStyle name="Milliers 2 2 2 3 3 3 4 2 2 3" xfId="5719"/>
    <cellStyle name="Milliers 2 2 2 3 3 3 4 2 3" xfId="5720"/>
    <cellStyle name="Milliers 2 2 2 3 3 3 4 2 3 2" xfId="5721"/>
    <cellStyle name="Milliers 2 2 2 3 3 3 4 2 4" xfId="5722"/>
    <cellStyle name="Milliers 2 2 2 3 3 3 4 3" xfId="5723"/>
    <cellStyle name="Milliers 2 2 2 3 3 3 4 3 2" xfId="5724"/>
    <cellStyle name="Milliers 2 2 2 3 3 3 4 3 2 2" xfId="5725"/>
    <cellStyle name="Milliers 2 2 2 3 3 3 4 3 3" xfId="5726"/>
    <cellStyle name="Milliers 2 2 2 3 3 3 4 4" xfId="5727"/>
    <cellStyle name="Milliers 2 2 2 3 3 3 4 4 2" xfId="5728"/>
    <cellStyle name="Milliers 2 2 2 3 3 3 4 5" xfId="5729"/>
    <cellStyle name="Milliers 2 2 2 3 3 3 5" xfId="5730"/>
    <cellStyle name="Milliers 2 2 2 3 3 3 5 2" xfId="5731"/>
    <cellStyle name="Milliers 2 2 2 3 3 3 5 2 2" xfId="5732"/>
    <cellStyle name="Milliers 2 2 2 3 3 3 5 2 2 2" xfId="5733"/>
    <cellStyle name="Milliers 2 2 2 3 3 3 5 2 3" xfId="5734"/>
    <cellStyle name="Milliers 2 2 2 3 3 3 5 3" xfId="5735"/>
    <cellStyle name="Milliers 2 2 2 3 3 3 5 3 2" xfId="5736"/>
    <cellStyle name="Milliers 2 2 2 3 3 3 5 4" xfId="5737"/>
    <cellStyle name="Milliers 2 2 2 3 3 3 6" xfId="5738"/>
    <cellStyle name="Milliers 2 2 2 3 3 3 6 2" xfId="5739"/>
    <cellStyle name="Milliers 2 2 2 3 3 3 6 2 2" xfId="5740"/>
    <cellStyle name="Milliers 2 2 2 3 3 3 6 3" xfId="5741"/>
    <cellStyle name="Milliers 2 2 2 3 3 3 7" xfId="5742"/>
    <cellStyle name="Milliers 2 2 2 3 3 3 7 2" xfId="5743"/>
    <cellStyle name="Milliers 2 2 2 3 3 3 8" xfId="5744"/>
    <cellStyle name="Milliers 2 2 2 3 3 4" xfId="5745"/>
    <cellStyle name="Milliers 2 2 2 3 3 4 2" xfId="5746"/>
    <cellStyle name="Milliers 2 2 2 3 3 4 2 2" xfId="5747"/>
    <cellStyle name="Milliers 2 2 2 3 3 4 2 2 2" xfId="5748"/>
    <cellStyle name="Milliers 2 2 2 3 3 4 2 2 2 2" xfId="5749"/>
    <cellStyle name="Milliers 2 2 2 3 3 4 2 2 2 2 2" xfId="5750"/>
    <cellStyle name="Milliers 2 2 2 3 3 4 2 2 2 2 2 2" xfId="5751"/>
    <cellStyle name="Milliers 2 2 2 3 3 4 2 2 2 2 3" xfId="5752"/>
    <cellStyle name="Milliers 2 2 2 3 3 4 2 2 2 3" xfId="5753"/>
    <cellStyle name="Milliers 2 2 2 3 3 4 2 2 2 3 2" xfId="5754"/>
    <cellStyle name="Milliers 2 2 2 3 3 4 2 2 2 4" xfId="5755"/>
    <cellStyle name="Milliers 2 2 2 3 3 4 2 2 3" xfId="5756"/>
    <cellStyle name="Milliers 2 2 2 3 3 4 2 2 3 2" xfId="5757"/>
    <cellStyle name="Milliers 2 2 2 3 3 4 2 2 3 2 2" xfId="5758"/>
    <cellStyle name="Milliers 2 2 2 3 3 4 2 2 3 3" xfId="5759"/>
    <cellStyle name="Milliers 2 2 2 3 3 4 2 2 4" xfId="5760"/>
    <cellStyle name="Milliers 2 2 2 3 3 4 2 2 4 2" xfId="5761"/>
    <cellStyle name="Milliers 2 2 2 3 3 4 2 2 5" xfId="5762"/>
    <cellStyle name="Milliers 2 2 2 3 3 4 2 3" xfId="5763"/>
    <cellStyle name="Milliers 2 2 2 3 3 4 2 3 2" xfId="5764"/>
    <cellStyle name="Milliers 2 2 2 3 3 4 2 3 2 2" xfId="5765"/>
    <cellStyle name="Milliers 2 2 2 3 3 4 2 3 2 2 2" xfId="5766"/>
    <cellStyle name="Milliers 2 2 2 3 3 4 2 3 2 3" xfId="5767"/>
    <cellStyle name="Milliers 2 2 2 3 3 4 2 3 3" xfId="5768"/>
    <cellStyle name="Milliers 2 2 2 3 3 4 2 3 3 2" xfId="5769"/>
    <cellStyle name="Milliers 2 2 2 3 3 4 2 3 4" xfId="5770"/>
    <cellStyle name="Milliers 2 2 2 3 3 4 2 4" xfId="5771"/>
    <cellStyle name="Milliers 2 2 2 3 3 4 2 4 2" xfId="5772"/>
    <cellStyle name="Milliers 2 2 2 3 3 4 2 4 2 2" xfId="5773"/>
    <cellStyle name="Milliers 2 2 2 3 3 4 2 4 3" xfId="5774"/>
    <cellStyle name="Milliers 2 2 2 3 3 4 2 5" xfId="5775"/>
    <cellStyle name="Milliers 2 2 2 3 3 4 2 5 2" xfId="5776"/>
    <cellStyle name="Milliers 2 2 2 3 3 4 2 6" xfId="5777"/>
    <cellStyle name="Milliers 2 2 2 3 3 4 3" xfId="5778"/>
    <cellStyle name="Milliers 2 2 2 3 3 4 3 2" xfId="5779"/>
    <cellStyle name="Milliers 2 2 2 3 3 4 3 2 2" xfId="5780"/>
    <cellStyle name="Milliers 2 2 2 3 3 4 3 2 2 2" xfId="5781"/>
    <cellStyle name="Milliers 2 2 2 3 3 4 3 2 2 2 2" xfId="5782"/>
    <cellStyle name="Milliers 2 2 2 3 3 4 3 2 2 3" xfId="5783"/>
    <cellStyle name="Milliers 2 2 2 3 3 4 3 2 3" xfId="5784"/>
    <cellStyle name="Milliers 2 2 2 3 3 4 3 2 3 2" xfId="5785"/>
    <cellStyle name="Milliers 2 2 2 3 3 4 3 2 4" xfId="5786"/>
    <cellStyle name="Milliers 2 2 2 3 3 4 3 3" xfId="5787"/>
    <cellStyle name="Milliers 2 2 2 3 3 4 3 3 2" xfId="5788"/>
    <cellStyle name="Milliers 2 2 2 3 3 4 3 3 2 2" xfId="5789"/>
    <cellStyle name="Milliers 2 2 2 3 3 4 3 3 3" xfId="5790"/>
    <cellStyle name="Milliers 2 2 2 3 3 4 3 4" xfId="5791"/>
    <cellStyle name="Milliers 2 2 2 3 3 4 3 4 2" xfId="5792"/>
    <cellStyle name="Milliers 2 2 2 3 3 4 3 5" xfId="5793"/>
    <cellStyle name="Milliers 2 2 2 3 3 4 4" xfId="5794"/>
    <cellStyle name="Milliers 2 2 2 3 3 4 4 2" xfId="5795"/>
    <cellStyle name="Milliers 2 2 2 3 3 4 4 2 2" xfId="5796"/>
    <cellStyle name="Milliers 2 2 2 3 3 4 4 2 2 2" xfId="5797"/>
    <cellStyle name="Milliers 2 2 2 3 3 4 4 2 3" xfId="5798"/>
    <cellStyle name="Milliers 2 2 2 3 3 4 4 3" xfId="5799"/>
    <cellStyle name="Milliers 2 2 2 3 3 4 4 3 2" xfId="5800"/>
    <cellStyle name="Milliers 2 2 2 3 3 4 4 4" xfId="5801"/>
    <cellStyle name="Milliers 2 2 2 3 3 4 5" xfId="5802"/>
    <cellStyle name="Milliers 2 2 2 3 3 4 5 2" xfId="5803"/>
    <cellStyle name="Milliers 2 2 2 3 3 4 5 2 2" xfId="5804"/>
    <cellStyle name="Milliers 2 2 2 3 3 4 5 3" xfId="5805"/>
    <cellStyle name="Milliers 2 2 2 3 3 4 6" xfId="5806"/>
    <cellStyle name="Milliers 2 2 2 3 3 4 6 2" xfId="5807"/>
    <cellStyle name="Milliers 2 2 2 3 3 4 7" xfId="5808"/>
    <cellStyle name="Milliers 2 2 2 3 3 5" xfId="5809"/>
    <cellStyle name="Milliers 2 2 2 3 3 5 2" xfId="5810"/>
    <cellStyle name="Milliers 2 2 2 3 3 5 2 2" xfId="5811"/>
    <cellStyle name="Milliers 2 2 2 3 3 5 2 2 2" xfId="5812"/>
    <cellStyle name="Milliers 2 2 2 3 3 5 2 2 2 2" xfId="5813"/>
    <cellStyle name="Milliers 2 2 2 3 3 5 2 2 2 2 2" xfId="5814"/>
    <cellStyle name="Milliers 2 2 2 3 3 5 2 2 2 3" xfId="5815"/>
    <cellStyle name="Milliers 2 2 2 3 3 5 2 2 3" xfId="5816"/>
    <cellStyle name="Milliers 2 2 2 3 3 5 2 2 3 2" xfId="5817"/>
    <cellStyle name="Milliers 2 2 2 3 3 5 2 2 4" xfId="5818"/>
    <cellStyle name="Milliers 2 2 2 3 3 5 2 3" xfId="5819"/>
    <cellStyle name="Milliers 2 2 2 3 3 5 2 3 2" xfId="5820"/>
    <cellStyle name="Milliers 2 2 2 3 3 5 2 3 2 2" xfId="5821"/>
    <cellStyle name="Milliers 2 2 2 3 3 5 2 3 3" xfId="5822"/>
    <cellStyle name="Milliers 2 2 2 3 3 5 2 4" xfId="5823"/>
    <cellStyle name="Milliers 2 2 2 3 3 5 2 4 2" xfId="5824"/>
    <cellStyle name="Milliers 2 2 2 3 3 5 2 5" xfId="5825"/>
    <cellStyle name="Milliers 2 2 2 3 3 5 3" xfId="5826"/>
    <cellStyle name="Milliers 2 2 2 3 3 5 3 2" xfId="5827"/>
    <cellStyle name="Milliers 2 2 2 3 3 5 3 2 2" xfId="5828"/>
    <cellStyle name="Milliers 2 2 2 3 3 5 3 2 2 2" xfId="5829"/>
    <cellStyle name="Milliers 2 2 2 3 3 5 3 2 3" xfId="5830"/>
    <cellStyle name="Milliers 2 2 2 3 3 5 3 3" xfId="5831"/>
    <cellStyle name="Milliers 2 2 2 3 3 5 3 3 2" xfId="5832"/>
    <cellStyle name="Milliers 2 2 2 3 3 5 3 4" xfId="5833"/>
    <cellStyle name="Milliers 2 2 2 3 3 5 4" xfId="5834"/>
    <cellStyle name="Milliers 2 2 2 3 3 5 4 2" xfId="5835"/>
    <cellStyle name="Milliers 2 2 2 3 3 5 4 2 2" xfId="5836"/>
    <cellStyle name="Milliers 2 2 2 3 3 5 4 3" xfId="5837"/>
    <cellStyle name="Milliers 2 2 2 3 3 5 5" xfId="5838"/>
    <cellStyle name="Milliers 2 2 2 3 3 5 5 2" xfId="5839"/>
    <cellStyle name="Milliers 2 2 2 3 3 5 6" xfId="5840"/>
    <cellStyle name="Milliers 2 2 2 3 3 6" xfId="5841"/>
    <cellStyle name="Milliers 2 2 2 3 3 6 2" xfId="5842"/>
    <cellStyle name="Milliers 2 2 2 3 3 6 2 2" xfId="5843"/>
    <cellStyle name="Milliers 2 2 2 3 3 6 2 2 2" xfId="5844"/>
    <cellStyle name="Milliers 2 2 2 3 3 6 2 2 2 2" xfId="5845"/>
    <cellStyle name="Milliers 2 2 2 3 3 6 2 2 3" xfId="5846"/>
    <cellStyle name="Milliers 2 2 2 3 3 6 2 3" xfId="5847"/>
    <cellStyle name="Milliers 2 2 2 3 3 6 2 3 2" xfId="5848"/>
    <cellStyle name="Milliers 2 2 2 3 3 6 2 4" xfId="5849"/>
    <cellStyle name="Milliers 2 2 2 3 3 6 3" xfId="5850"/>
    <cellStyle name="Milliers 2 2 2 3 3 6 3 2" xfId="5851"/>
    <cellStyle name="Milliers 2 2 2 3 3 6 3 2 2" xfId="5852"/>
    <cellStyle name="Milliers 2 2 2 3 3 6 3 3" xfId="5853"/>
    <cellStyle name="Milliers 2 2 2 3 3 6 4" xfId="5854"/>
    <cellStyle name="Milliers 2 2 2 3 3 6 4 2" xfId="5855"/>
    <cellStyle name="Milliers 2 2 2 3 3 6 5" xfId="5856"/>
    <cellStyle name="Milliers 2 2 2 3 3 7" xfId="5857"/>
    <cellStyle name="Milliers 2 2 2 3 3 7 2" xfId="5858"/>
    <cellStyle name="Milliers 2 2 2 3 3 7 2 2" xfId="5859"/>
    <cellStyle name="Milliers 2 2 2 3 3 7 2 2 2" xfId="5860"/>
    <cellStyle name="Milliers 2 2 2 3 3 7 2 3" xfId="5861"/>
    <cellStyle name="Milliers 2 2 2 3 3 7 3" xfId="5862"/>
    <cellStyle name="Milliers 2 2 2 3 3 7 3 2" xfId="5863"/>
    <cellStyle name="Milliers 2 2 2 3 3 7 4" xfId="5864"/>
    <cellStyle name="Milliers 2 2 2 3 3 8" xfId="5865"/>
    <cellStyle name="Milliers 2 2 2 3 3 8 2" xfId="5866"/>
    <cellStyle name="Milliers 2 2 2 3 3 8 2 2" xfId="5867"/>
    <cellStyle name="Milliers 2 2 2 3 3 8 3" xfId="5868"/>
    <cellStyle name="Milliers 2 2 2 3 3 9" xfId="5869"/>
    <cellStyle name="Milliers 2 2 2 3 3 9 2" xfId="5870"/>
    <cellStyle name="Milliers 2 2 2 3 4" xfId="5871"/>
    <cellStyle name="Milliers 2 2 2 3 4 2" xfId="5872"/>
    <cellStyle name="Milliers 2 2 2 3 4 2 2" xfId="5873"/>
    <cellStyle name="Milliers 2 2 2 3 4 2 2 2" xfId="5874"/>
    <cellStyle name="Milliers 2 2 2 3 4 2 2 2 2" xfId="5875"/>
    <cellStyle name="Milliers 2 2 2 3 4 2 2 2 2 2" xfId="5876"/>
    <cellStyle name="Milliers 2 2 2 3 4 2 2 2 2 2 2" xfId="5877"/>
    <cellStyle name="Milliers 2 2 2 3 4 2 2 2 2 2 2 2" xfId="5878"/>
    <cellStyle name="Milliers 2 2 2 3 4 2 2 2 2 2 2 2 2" xfId="5879"/>
    <cellStyle name="Milliers 2 2 2 3 4 2 2 2 2 2 2 3" xfId="5880"/>
    <cellStyle name="Milliers 2 2 2 3 4 2 2 2 2 2 3" xfId="5881"/>
    <cellStyle name="Milliers 2 2 2 3 4 2 2 2 2 2 3 2" xfId="5882"/>
    <cellStyle name="Milliers 2 2 2 3 4 2 2 2 2 2 4" xfId="5883"/>
    <cellStyle name="Milliers 2 2 2 3 4 2 2 2 2 3" xfId="5884"/>
    <cellStyle name="Milliers 2 2 2 3 4 2 2 2 2 3 2" xfId="5885"/>
    <cellStyle name="Milliers 2 2 2 3 4 2 2 2 2 3 2 2" xfId="5886"/>
    <cellStyle name="Milliers 2 2 2 3 4 2 2 2 2 3 3" xfId="5887"/>
    <cellStyle name="Milliers 2 2 2 3 4 2 2 2 2 4" xfId="5888"/>
    <cellStyle name="Milliers 2 2 2 3 4 2 2 2 2 4 2" xfId="5889"/>
    <cellStyle name="Milliers 2 2 2 3 4 2 2 2 2 5" xfId="5890"/>
    <cellStyle name="Milliers 2 2 2 3 4 2 2 2 3" xfId="5891"/>
    <cellStyle name="Milliers 2 2 2 3 4 2 2 2 3 2" xfId="5892"/>
    <cellStyle name="Milliers 2 2 2 3 4 2 2 2 3 2 2" xfId="5893"/>
    <cellStyle name="Milliers 2 2 2 3 4 2 2 2 3 2 2 2" xfId="5894"/>
    <cellStyle name="Milliers 2 2 2 3 4 2 2 2 3 2 3" xfId="5895"/>
    <cellStyle name="Milliers 2 2 2 3 4 2 2 2 3 3" xfId="5896"/>
    <cellStyle name="Milliers 2 2 2 3 4 2 2 2 3 3 2" xfId="5897"/>
    <cellStyle name="Milliers 2 2 2 3 4 2 2 2 3 4" xfId="5898"/>
    <cellStyle name="Milliers 2 2 2 3 4 2 2 2 4" xfId="5899"/>
    <cellStyle name="Milliers 2 2 2 3 4 2 2 2 4 2" xfId="5900"/>
    <cellStyle name="Milliers 2 2 2 3 4 2 2 2 4 2 2" xfId="5901"/>
    <cellStyle name="Milliers 2 2 2 3 4 2 2 2 4 3" xfId="5902"/>
    <cellStyle name="Milliers 2 2 2 3 4 2 2 2 5" xfId="5903"/>
    <cellStyle name="Milliers 2 2 2 3 4 2 2 2 5 2" xfId="5904"/>
    <cellStyle name="Milliers 2 2 2 3 4 2 2 2 6" xfId="5905"/>
    <cellStyle name="Milliers 2 2 2 3 4 2 2 3" xfId="5906"/>
    <cellStyle name="Milliers 2 2 2 3 4 2 2 3 2" xfId="5907"/>
    <cellStyle name="Milliers 2 2 2 3 4 2 2 3 2 2" xfId="5908"/>
    <cellStyle name="Milliers 2 2 2 3 4 2 2 3 2 2 2" xfId="5909"/>
    <cellStyle name="Milliers 2 2 2 3 4 2 2 3 2 2 2 2" xfId="5910"/>
    <cellStyle name="Milliers 2 2 2 3 4 2 2 3 2 2 3" xfId="5911"/>
    <cellStyle name="Milliers 2 2 2 3 4 2 2 3 2 3" xfId="5912"/>
    <cellStyle name="Milliers 2 2 2 3 4 2 2 3 2 3 2" xfId="5913"/>
    <cellStyle name="Milliers 2 2 2 3 4 2 2 3 2 4" xfId="5914"/>
    <cellStyle name="Milliers 2 2 2 3 4 2 2 3 3" xfId="5915"/>
    <cellStyle name="Milliers 2 2 2 3 4 2 2 3 3 2" xfId="5916"/>
    <cellStyle name="Milliers 2 2 2 3 4 2 2 3 3 2 2" xfId="5917"/>
    <cellStyle name="Milliers 2 2 2 3 4 2 2 3 3 3" xfId="5918"/>
    <cellStyle name="Milliers 2 2 2 3 4 2 2 3 4" xfId="5919"/>
    <cellStyle name="Milliers 2 2 2 3 4 2 2 3 4 2" xfId="5920"/>
    <cellStyle name="Milliers 2 2 2 3 4 2 2 3 5" xfId="5921"/>
    <cellStyle name="Milliers 2 2 2 3 4 2 2 4" xfId="5922"/>
    <cellStyle name="Milliers 2 2 2 3 4 2 2 4 2" xfId="5923"/>
    <cellStyle name="Milliers 2 2 2 3 4 2 2 4 2 2" xfId="5924"/>
    <cellStyle name="Milliers 2 2 2 3 4 2 2 4 2 2 2" xfId="5925"/>
    <cellStyle name="Milliers 2 2 2 3 4 2 2 4 2 3" xfId="5926"/>
    <cellStyle name="Milliers 2 2 2 3 4 2 2 4 3" xfId="5927"/>
    <cellStyle name="Milliers 2 2 2 3 4 2 2 4 3 2" xfId="5928"/>
    <cellStyle name="Milliers 2 2 2 3 4 2 2 4 4" xfId="5929"/>
    <cellStyle name="Milliers 2 2 2 3 4 2 2 5" xfId="5930"/>
    <cellStyle name="Milliers 2 2 2 3 4 2 2 5 2" xfId="5931"/>
    <cellStyle name="Milliers 2 2 2 3 4 2 2 5 2 2" xfId="5932"/>
    <cellStyle name="Milliers 2 2 2 3 4 2 2 5 3" xfId="5933"/>
    <cellStyle name="Milliers 2 2 2 3 4 2 2 6" xfId="5934"/>
    <cellStyle name="Milliers 2 2 2 3 4 2 2 6 2" xfId="5935"/>
    <cellStyle name="Milliers 2 2 2 3 4 2 2 7" xfId="5936"/>
    <cellStyle name="Milliers 2 2 2 3 4 2 3" xfId="5937"/>
    <cellStyle name="Milliers 2 2 2 3 4 2 3 2" xfId="5938"/>
    <cellStyle name="Milliers 2 2 2 3 4 2 3 2 2" xfId="5939"/>
    <cellStyle name="Milliers 2 2 2 3 4 2 3 2 2 2" xfId="5940"/>
    <cellStyle name="Milliers 2 2 2 3 4 2 3 2 2 2 2" xfId="5941"/>
    <cellStyle name="Milliers 2 2 2 3 4 2 3 2 2 2 2 2" xfId="5942"/>
    <cellStyle name="Milliers 2 2 2 3 4 2 3 2 2 2 3" xfId="5943"/>
    <cellStyle name="Milliers 2 2 2 3 4 2 3 2 2 3" xfId="5944"/>
    <cellStyle name="Milliers 2 2 2 3 4 2 3 2 2 3 2" xfId="5945"/>
    <cellStyle name="Milliers 2 2 2 3 4 2 3 2 2 4" xfId="5946"/>
    <cellStyle name="Milliers 2 2 2 3 4 2 3 2 3" xfId="5947"/>
    <cellStyle name="Milliers 2 2 2 3 4 2 3 2 3 2" xfId="5948"/>
    <cellStyle name="Milliers 2 2 2 3 4 2 3 2 3 2 2" xfId="5949"/>
    <cellStyle name="Milliers 2 2 2 3 4 2 3 2 3 3" xfId="5950"/>
    <cellStyle name="Milliers 2 2 2 3 4 2 3 2 4" xfId="5951"/>
    <cellStyle name="Milliers 2 2 2 3 4 2 3 2 4 2" xfId="5952"/>
    <cellStyle name="Milliers 2 2 2 3 4 2 3 2 5" xfId="5953"/>
    <cellStyle name="Milliers 2 2 2 3 4 2 3 3" xfId="5954"/>
    <cellStyle name="Milliers 2 2 2 3 4 2 3 3 2" xfId="5955"/>
    <cellStyle name="Milliers 2 2 2 3 4 2 3 3 2 2" xfId="5956"/>
    <cellStyle name="Milliers 2 2 2 3 4 2 3 3 2 2 2" xfId="5957"/>
    <cellStyle name="Milliers 2 2 2 3 4 2 3 3 2 3" xfId="5958"/>
    <cellStyle name="Milliers 2 2 2 3 4 2 3 3 3" xfId="5959"/>
    <cellStyle name="Milliers 2 2 2 3 4 2 3 3 3 2" xfId="5960"/>
    <cellStyle name="Milliers 2 2 2 3 4 2 3 3 4" xfId="5961"/>
    <cellStyle name="Milliers 2 2 2 3 4 2 3 4" xfId="5962"/>
    <cellStyle name="Milliers 2 2 2 3 4 2 3 4 2" xfId="5963"/>
    <cellStyle name="Milliers 2 2 2 3 4 2 3 4 2 2" xfId="5964"/>
    <cellStyle name="Milliers 2 2 2 3 4 2 3 4 3" xfId="5965"/>
    <cellStyle name="Milliers 2 2 2 3 4 2 3 5" xfId="5966"/>
    <cellStyle name="Milliers 2 2 2 3 4 2 3 5 2" xfId="5967"/>
    <cellStyle name="Milliers 2 2 2 3 4 2 3 6" xfId="5968"/>
    <cellStyle name="Milliers 2 2 2 3 4 2 4" xfId="5969"/>
    <cellStyle name="Milliers 2 2 2 3 4 2 4 2" xfId="5970"/>
    <cellStyle name="Milliers 2 2 2 3 4 2 4 2 2" xfId="5971"/>
    <cellStyle name="Milliers 2 2 2 3 4 2 4 2 2 2" xfId="5972"/>
    <cellStyle name="Milliers 2 2 2 3 4 2 4 2 2 2 2" xfId="5973"/>
    <cellStyle name="Milliers 2 2 2 3 4 2 4 2 2 3" xfId="5974"/>
    <cellStyle name="Milliers 2 2 2 3 4 2 4 2 3" xfId="5975"/>
    <cellStyle name="Milliers 2 2 2 3 4 2 4 2 3 2" xfId="5976"/>
    <cellStyle name="Milliers 2 2 2 3 4 2 4 2 4" xfId="5977"/>
    <cellStyle name="Milliers 2 2 2 3 4 2 4 3" xfId="5978"/>
    <cellStyle name="Milliers 2 2 2 3 4 2 4 3 2" xfId="5979"/>
    <cellStyle name="Milliers 2 2 2 3 4 2 4 3 2 2" xfId="5980"/>
    <cellStyle name="Milliers 2 2 2 3 4 2 4 3 3" xfId="5981"/>
    <cellStyle name="Milliers 2 2 2 3 4 2 4 4" xfId="5982"/>
    <cellStyle name="Milliers 2 2 2 3 4 2 4 4 2" xfId="5983"/>
    <cellStyle name="Milliers 2 2 2 3 4 2 4 5" xfId="5984"/>
    <cellStyle name="Milliers 2 2 2 3 4 2 5" xfId="5985"/>
    <cellStyle name="Milliers 2 2 2 3 4 2 5 2" xfId="5986"/>
    <cellStyle name="Milliers 2 2 2 3 4 2 5 2 2" xfId="5987"/>
    <cellStyle name="Milliers 2 2 2 3 4 2 5 2 2 2" xfId="5988"/>
    <cellStyle name="Milliers 2 2 2 3 4 2 5 2 3" xfId="5989"/>
    <cellStyle name="Milliers 2 2 2 3 4 2 5 3" xfId="5990"/>
    <cellStyle name="Milliers 2 2 2 3 4 2 5 3 2" xfId="5991"/>
    <cellStyle name="Milliers 2 2 2 3 4 2 5 4" xfId="5992"/>
    <cellStyle name="Milliers 2 2 2 3 4 2 6" xfId="5993"/>
    <cellStyle name="Milliers 2 2 2 3 4 2 6 2" xfId="5994"/>
    <cellStyle name="Milliers 2 2 2 3 4 2 6 2 2" xfId="5995"/>
    <cellStyle name="Milliers 2 2 2 3 4 2 6 3" xfId="5996"/>
    <cellStyle name="Milliers 2 2 2 3 4 2 7" xfId="5997"/>
    <cellStyle name="Milliers 2 2 2 3 4 2 7 2" xfId="5998"/>
    <cellStyle name="Milliers 2 2 2 3 4 2 8" xfId="5999"/>
    <cellStyle name="Milliers 2 2 2 3 4 3" xfId="6000"/>
    <cellStyle name="Milliers 2 2 2 3 4 3 2" xfId="6001"/>
    <cellStyle name="Milliers 2 2 2 3 4 3 2 2" xfId="6002"/>
    <cellStyle name="Milliers 2 2 2 3 4 3 2 2 2" xfId="6003"/>
    <cellStyle name="Milliers 2 2 2 3 4 3 2 2 2 2" xfId="6004"/>
    <cellStyle name="Milliers 2 2 2 3 4 3 2 2 2 2 2" xfId="6005"/>
    <cellStyle name="Milliers 2 2 2 3 4 3 2 2 2 2 2 2" xfId="6006"/>
    <cellStyle name="Milliers 2 2 2 3 4 3 2 2 2 2 3" xfId="6007"/>
    <cellStyle name="Milliers 2 2 2 3 4 3 2 2 2 3" xfId="6008"/>
    <cellStyle name="Milliers 2 2 2 3 4 3 2 2 2 3 2" xfId="6009"/>
    <cellStyle name="Milliers 2 2 2 3 4 3 2 2 2 4" xfId="6010"/>
    <cellStyle name="Milliers 2 2 2 3 4 3 2 2 3" xfId="6011"/>
    <cellStyle name="Milliers 2 2 2 3 4 3 2 2 3 2" xfId="6012"/>
    <cellStyle name="Milliers 2 2 2 3 4 3 2 2 3 2 2" xfId="6013"/>
    <cellStyle name="Milliers 2 2 2 3 4 3 2 2 3 3" xfId="6014"/>
    <cellStyle name="Milliers 2 2 2 3 4 3 2 2 4" xfId="6015"/>
    <cellStyle name="Milliers 2 2 2 3 4 3 2 2 4 2" xfId="6016"/>
    <cellStyle name="Milliers 2 2 2 3 4 3 2 2 5" xfId="6017"/>
    <cellStyle name="Milliers 2 2 2 3 4 3 2 3" xfId="6018"/>
    <cellStyle name="Milliers 2 2 2 3 4 3 2 3 2" xfId="6019"/>
    <cellStyle name="Milliers 2 2 2 3 4 3 2 3 2 2" xfId="6020"/>
    <cellStyle name="Milliers 2 2 2 3 4 3 2 3 2 2 2" xfId="6021"/>
    <cellStyle name="Milliers 2 2 2 3 4 3 2 3 2 3" xfId="6022"/>
    <cellStyle name="Milliers 2 2 2 3 4 3 2 3 3" xfId="6023"/>
    <cellStyle name="Milliers 2 2 2 3 4 3 2 3 3 2" xfId="6024"/>
    <cellStyle name="Milliers 2 2 2 3 4 3 2 3 4" xfId="6025"/>
    <cellStyle name="Milliers 2 2 2 3 4 3 2 4" xfId="6026"/>
    <cellStyle name="Milliers 2 2 2 3 4 3 2 4 2" xfId="6027"/>
    <cellStyle name="Milliers 2 2 2 3 4 3 2 4 2 2" xfId="6028"/>
    <cellStyle name="Milliers 2 2 2 3 4 3 2 4 3" xfId="6029"/>
    <cellStyle name="Milliers 2 2 2 3 4 3 2 5" xfId="6030"/>
    <cellStyle name="Milliers 2 2 2 3 4 3 2 5 2" xfId="6031"/>
    <cellStyle name="Milliers 2 2 2 3 4 3 2 6" xfId="6032"/>
    <cellStyle name="Milliers 2 2 2 3 4 3 3" xfId="6033"/>
    <cellStyle name="Milliers 2 2 2 3 4 3 3 2" xfId="6034"/>
    <cellStyle name="Milliers 2 2 2 3 4 3 3 2 2" xfId="6035"/>
    <cellStyle name="Milliers 2 2 2 3 4 3 3 2 2 2" xfId="6036"/>
    <cellStyle name="Milliers 2 2 2 3 4 3 3 2 2 2 2" xfId="6037"/>
    <cellStyle name="Milliers 2 2 2 3 4 3 3 2 2 3" xfId="6038"/>
    <cellStyle name="Milliers 2 2 2 3 4 3 3 2 3" xfId="6039"/>
    <cellStyle name="Milliers 2 2 2 3 4 3 3 2 3 2" xfId="6040"/>
    <cellStyle name="Milliers 2 2 2 3 4 3 3 2 4" xfId="6041"/>
    <cellStyle name="Milliers 2 2 2 3 4 3 3 3" xfId="6042"/>
    <cellStyle name="Milliers 2 2 2 3 4 3 3 3 2" xfId="6043"/>
    <cellStyle name="Milliers 2 2 2 3 4 3 3 3 2 2" xfId="6044"/>
    <cellStyle name="Milliers 2 2 2 3 4 3 3 3 3" xfId="6045"/>
    <cellStyle name="Milliers 2 2 2 3 4 3 3 4" xfId="6046"/>
    <cellStyle name="Milliers 2 2 2 3 4 3 3 4 2" xfId="6047"/>
    <cellStyle name="Milliers 2 2 2 3 4 3 3 5" xfId="6048"/>
    <cellStyle name="Milliers 2 2 2 3 4 3 4" xfId="6049"/>
    <cellStyle name="Milliers 2 2 2 3 4 3 4 2" xfId="6050"/>
    <cellStyle name="Milliers 2 2 2 3 4 3 4 2 2" xfId="6051"/>
    <cellStyle name="Milliers 2 2 2 3 4 3 4 2 2 2" xfId="6052"/>
    <cellStyle name="Milliers 2 2 2 3 4 3 4 2 3" xfId="6053"/>
    <cellStyle name="Milliers 2 2 2 3 4 3 4 3" xfId="6054"/>
    <cellStyle name="Milliers 2 2 2 3 4 3 4 3 2" xfId="6055"/>
    <cellStyle name="Milliers 2 2 2 3 4 3 4 4" xfId="6056"/>
    <cellStyle name="Milliers 2 2 2 3 4 3 5" xfId="6057"/>
    <cellStyle name="Milliers 2 2 2 3 4 3 5 2" xfId="6058"/>
    <cellStyle name="Milliers 2 2 2 3 4 3 5 2 2" xfId="6059"/>
    <cellStyle name="Milliers 2 2 2 3 4 3 5 3" xfId="6060"/>
    <cellStyle name="Milliers 2 2 2 3 4 3 6" xfId="6061"/>
    <cellStyle name="Milliers 2 2 2 3 4 3 6 2" xfId="6062"/>
    <cellStyle name="Milliers 2 2 2 3 4 3 7" xfId="6063"/>
    <cellStyle name="Milliers 2 2 2 3 4 4" xfId="6064"/>
    <cellStyle name="Milliers 2 2 2 3 4 4 2" xfId="6065"/>
    <cellStyle name="Milliers 2 2 2 3 4 4 2 2" xfId="6066"/>
    <cellStyle name="Milliers 2 2 2 3 4 4 2 2 2" xfId="6067"/>
    <cellStyle name="Milliers 2 2 2 3 4 4 2 2 2 2" xfId="6068"/>
    <cellStyle name="Milliers 2 2 2 3 4 4 2 2 2 2 2" xfId="6069"/>
    <cellStyle name="Milliers 2 2 2 3 4 4 2 2 2 3" xfId="6070"/>
    <cellStyle name="Milliers 2 2 2 3 4 4 2 2 3" xfId="6071"/>
    <cellStyle name="Milliers 2 2 2 3 4 4 2 2 3 2" xfId="6072"/>
    <cellStyle name="Milliers 2 2 2 3 4 4 2 2 4" xfId="6073"/>
    <cellStyle name="Milliers 2 2 2 3 4 4 2 3" xfId="6074"/>
    <cellStyle name="Milliers 2 2 2 3 4 4 2 3 2" xfId="6075"/>
    <cellStyle name="Milliers 2 2 2 3 4 4 2 3 2 2" xfId="6076"/>
    <cellStyle name="Milliers 2 2 2 3 4 4 2 3 3" xfId="6077"/>
    <cellStyle name="Milliers 2 2 2 3 4 4 2 4" xfId="6078"/>
    <cellStyle name="Milliers 2 2 2 3 4 4 2 4 2" xfId="6079"/>
    <cellStyle name="Milliers 2 2 2 3 4 4 2 5" xfId="6080"/>
    <cellStyle name="Milliers 2 2 2 3 4 4 3" xfId="6081"/>
    <cellStyle name="Milliers 2 2 2 3 4 4 3 2" xfId="6082"/>
    <cellStyle name="Milliers 2 2 2 3 4 4 3 2 2" xfId="6083"/>
    <cellStyle name="Milliers 2 2 2 3 4 4 3 2 2 2" xfId="6084"/>
    <cellStyle name="Milliers 2 2 2 3 4 4 3 2 3" xfId="6085"/>
    <cellStyle name="Milliers 2 2 2 3 4 4 3 3" xfId="6086"/>
    <cellStyle name="Milliers 2 2 2 3 4 4 3 3 2" xfId="6087"/>
    <cellStyle name="Milliers 2 2 2 3 4 4 3 4" xfId="6088"/>
    <cellStyle name="Milliers 2 2 2 3 4 4 4" xfId="6089"/>
    <cellStyle name="Milliers 2 2 2 3 4 4 4 2" xfId="6090"/>
    <cellStyle name="Milliers 2 2 2 3 4 4 4 2 2" xfId="6091"/>
    <cellStyle name="Milliers 2 2 2 3 4 4 4 3" xfId="6092"/>
    <cellStyle name="Milliers 2 2 2 3 4 4 5" xfId="6093"/>
    <cellStyle name="Milliers 2 2 2 3 4 4 5 2" xfId="6094"/>
    <cellStyle name="Milliers 2 2 2 3 4 4 6" xfId="6095"/>
    <cellStyle name="Milliers 2 2 2 3 4 5" xfId="6096"/>
    <cellStyle name="Milliers 2 2 2 3 4 5 2" xfId="6097"/>
    <cellStyle name="Milliers 2 2 2 3 4 5 2 2" xfId="6098"/>
    <cellStyle name="Milliers 2 2 2 3 4 5 2 2 2" xfId="6099"/>
    <cellStyle name="Milliers 2 2 2 3 4 5 2 2 2 2" xfId="6100"/>
    <cellStyle name="Milliers 2 2 2 3 4 5 2 2 3" xfId="6101"/>
    <cellStyle name="Milliers 2 2 2 3 4 5 2 3" xfId="6102"/>
    <cellStyle name="Milliers 2 2 2 3 4 5 2 3 2" xfId="6103"/>
    <cellStyle name="Milliers 2 2 2 3 4 5 2 4" xfId="6104"/>
    <cellStyle name="Milliers 2 2 2 3 4 5 3" xfId="6105"/>
    <cellStyle name="Milliers 2 2 2 3 4 5 3 2" xfId="6106"/>
    <cellStyle name="Milliers 2 2 2 3 4 5 3 2 2" xfId="6107"/>
    <cellStyle name="Milliers 2 2 2 3 4 5 3 3" xfId="6108"/>
    <cellStyle name="Milliers 2 2 2 3 4 5 4" xfId="6109"/>
    <cellStyle name="Milliers 2 2 2 3 4 5 4 2" xfId="6110"/>
    <cellStyle name="Milliers 2 2 2 3 4 5 5" xfId="6111"/>
    <cellStyle name="Milliers 2 2 2 3 4 6" xfId="6112"/>
    <cellStyle name="Milliers 2 2 2 3 4 6 2" xfId="6113"/>
    <cellStyle name="Milliers 2 2 2 3 4 6 2 2" xfId="6114"/>
    <cellStyle name="Milliers 2 2 2 3 4 6 2 2 2" xfId="6115"/>
    <cellStyle name="Milliers 2 2 2 3 4 6 2 3" xfId="6116"/>
    <cellStyle name="Milliers 2 2 2 3 4 6 3" xfId="6117"/>
    <cellStyle name="Milliers 2 2 2 3 4 6 3 2" xfId="6118"/>
    <cellStyle name="Milliers 2 2 2 3 4 6 4" xfId="6119"/>
    <cellStyle name="Milliers 2 2 2 3 4 7" xfId="6120"/>
    <cellStyle name="Milliers 2 2 2 3 4 7 2" xfId="6121"/>
    <cellStyle name="Milliers 2 2 2 3 4 7 2 2" xfId="6122"/>
    <cellStyle name="Milliers 2 2 2 3 4 7 3" xfId="6123"/>
    <cellStyle name="Milliers 2 2 2 3 4 8" xfId="6124"/>
    <cellStyle name="Milliers 2 2 2 3 4 8 2" xfId="6125"/>
    <cellStyle name="Milliers 2 2 2 3 4 9" xfId="6126"/>
    <cellStyle name="Milliers 2 2 2 3 5" xfId="6127"/>
    <cellStyle name="Milliers 2 2 2 3 5 2" xfId="6128"/>
    <cellStyle name="Milliers 2 2 2 3 5 2 2" xfId="6129"/>
    <cellStyle name="Milliers 2 2 2 3 5 2 2 2" xfId="6130"/>
    <cellStyle name="Milliers 2 2 2 3 5 2 2 2 2" xfId="6131"/>
    <cellStyle name="Milliers 2 2 2 3 5 2 2 2 2 2" xfId="6132"/>
    <cellStyle name="Milliers 2 2 2 3 5 2 2 2 2 2 2" xfId="6133"/>
    <cellStyle name="Milliers 2 2 2 3 5 2 2 2 2 2 2 2" xfId="6134"/>
    <cellStyle name="Milliers 2 2 2 3 5 2 2 2 2 2 3" xfId="6135"/>
    <cellStyle name="Milliers 2 2 2 3 5 2 2 2 2 3" xfId="6136"/>
    <cellStyle name="Milliers 2 2 2 3 5 2 2 2 2 3 2" xfId="6137"/>
    <cellStyle name="Milliers 2 2 2 3 5 2 2 2 2 4" xfId="6138"/>
    <cellStyle name="Milliers 2 2 2 3 5 2 2 2 3" xfId="6139"/>
    <cellStyle name="Milliers 2 2 2 3 5 2 2 2 3 2" xfId="6140"/>
    <cellStyle name="Milliers 2 2 2 3 5 2 2 2 3 2 2" xfId="6141"/>
    <cellStyle name="Milliers 2 2 2 3 5 2 2 2 3 3" xfId="6142"/>
    <cellStyle name="Milliers 2 2 2 3 5 2 2 2 4" xfId="6143"/>
    <cellStyle name="Milliers 2 2 2 3 5 2 2 2 4 2" xfId="6144"/>
    <cellStyle name="Milliers 2 2 2 3 5 2 2 2 5" xfId="6145"/>
    <cellStyle name="Milliers 2 2 2 3 5 2 2 3" xfId="6146"/>
    <cellStyle name="Milliers 2 2 2 3 5 2 2 3 2" xfId="6147"/>
    <cellStyle name="Milliers 2 2 2 3 5 2 2 3 2 2" xfId="6148"/>
    <cellStyle name="Milliers 2 2 2 3 5 2 2 3 2 2 2" xfId="6149"/>
    <cellStyle name="Milliers 2 2 2 3 5 2 2 3 2 3" xfId="6150"/>
    <cellStyle name="Milliers 2 2 2 3 5 2 2 3 3" xfId="6151"/>
    <cellStyle name="Milliers 2 2 2 3 5 2 2 3 3 2" xfId="6152"/>
    <cellStyle name="Milliers 2 2 2 3 5 2 2 3 4" xfId="6153"/>
    <cellStyle name="Milliers 2 2 2 3 5 2 2 4" xfId="6154"/>
    <cellStyle name="Milliers 2 2 2 3 5 2 2 4 2" xfId="6155"/>
    <cellStyle name="Milliers 2 2 2 3 5 2 2 4 2 2" xfId="6156"/>
    <cellStyle name="Milliers 2 2 2 3 5 2 2 4 3" xfId="6157"/>
    <cellStyle name="Milliers 2 2 2 3 5 2 2 5" xfId="6158"/>
    <cellStyle name="Milliers 2 2 2 3 5 2 2 5 2" xfId="6159"/>
    <cellStyle name="Milliers 2 2 2 3 5 2 2 6" xfId="6160"/>
    <cellStyle name="Milliers 2 2 2 3 5 2 3" xfId="6161"/>
    <cellStyle name="Milliers 2 2 2 3 5 2 3 2" xfId="6162"/>
    <cellStyle name="Milliers 2 2 2 3 5 2 3 2 2" xfId="6163"/>
    <cellStyle name="Milliers 2 2 2 3 5 2 3 2 2 2" xfId="6164"/>
    <cellStyle name="Milliers 2 2 2 3 5 2 3 2 2 2 2" xfId="6165"/>
    <cellStyle name="Milliers 2 2 2 3 5 2 3 2 2 3" xfId="6166"/>
    <cellStyle name="Milliers 2 2 2 3 5 2 3 2 3" xfId="6167"/>
    <cellStyle name="Milliers 2 2 2 3 5 2 3 2 3 2" xfId="6168"/>
    <cellStyle name="Milliers 2 2 2 3 5 2 3 2 4" xfId="6169"/>
    <cellStyle name="Milliers 2 2 2 3 5 2 3 3" xfId="6170"/>
    <cellStyle name="Milliers 2 2 2 3 5 2 3 3 2" xfId="6171"/>
    <cellStyle name="Milliers 2 2 2 3 5 2 3 3 2 2" xfId="6172"/>
    <cellStyle name="Milliers 2 2 2 3 5 2 3 3 3" xfId="6173"/>
    <cellStyle name="Milliers 2 2 2 3 5 2 3 4" xfId="6174"/>
    <cellStyle name="Milliers 2 2 2 3 5 2 3 4 2" xfId="6175"/>
    <cellStyle name="Milliers 2 2 2 3 5 2 3 5" xfId="6176"/>
    <cellStyle name="Milliers 2 2 2 3 5 2 4" xfId="6177"/>
    <cellStyle name="Milliers 2 2 2 3 5 2 4 2" xfId="6178"/>
    <cellStyle name="Milliers 2 2 2 3 5 2 4 2 2" xfId="6179"/>
    <cellStyle name="Milliers 2 2 2 3 5 2 4 2 2 2" xfId="6180"/>
    <cellStyle name="Milliers 2 2 2 3 5 2 4 2 3" xfId="6181"/>
    <cellStyle name="Milliers 2 2 2 3 5 2 4 3" xfId="6182"/>
    <cellStyle name="Milliers 2 2 2 3 5 2 4 3 2" xfId="6183"/>
    <cellStyle name="Milliers 2 2 2 3 5 2 4 4" xfId="6184"/>
    <cellStyle name="Milliers 2 2 2 3 5 2 5" xfId="6185"/>
    <cellStyle name="Milliers 2 2 2 3 5 2 5 2" xfId="6186"/>
    <cellStyle name="Milliers 2 2 2 3 5 2 5 2 2" xfId="6187"/>
    <cellStyle name="Milliers 2 2 2 3 5 2 5 3" xfId="6188"/>
    <cellStyle name="Milliers 2 2 2 3 5 2 6" xfId="6189"/>
    <cellStyle name="Milliers 2 2 2 3 5 2 6 2" xfId="6190"/>
    <cellStyle name="Milliers 2 2 2 3 5 2 7" xfId="6191"/>
    <cellStyle name="Milliers 2 2 2 3 5 3" xfId="6192"/>
    <cellStyle name="Milliers 2 2 2 3 5 3 2" xfId="6193"/>
    <cellStyle name="Milliers 2 2 2 3 5 3 2 2" xfId="6194"/>
    <cellStyle name="Milliers 2 2 2 3 5 3 2 2 2" xfId="6195"/>
    <cellStyle name="Milliers 2 2 2 3 5 3 2 2 2 2" xfId="6196"/>
    <cellStyle name="Milliers 2 2 2 3 5 3 2 2 2 2 2" xfId="6197"/>
    <cellStyle name="Milliers 2 2 2 3 5 3 2 2 2 3" xfId="6198"/>
    <cellStyle name="Milliers 2 2 2 3 5 3 2 2 3" xfId="6199"/>
    <cellStyle name="Milliers 2 2 2 3 5 3 2 2 3 2" xfId="6200"/>
    <cellStyle name="Milliers 2 2 2 3 5 3 2 2 4" xfId="6201"/>
    <cellStyle name="Milliers 2 2 2 3 5 3 2 3" xfId="6202"/>
    <cellStyle name="Milliers 2 2 2 3 5 3 2 3 2" xfId="6203"/>
    <cellStyle name="Milliers 2 2 2 3 5 3 2 3 2 2" xfId="6204"/>
    <cellStyle name="Milliers 2 2 2 3 5 3 2 3 3" xfId="6205"/>
    <cellStyle name="Milliers 2 2 2 3 5 3 2 4" xfId="6206"/>
    <cellStyle name="Milliers 2 2 2 3 5 3 2 4 2" xfId="6207"/>
    <cellStyle name="Milliers 2 2 2 3 5 3 2 5" xfId="6208"/>
    <cellStyle name="Milliers 2 2 2 3 5 3 3" xfId="6209"/>
    <cellStyle name="Milliers 2 2 2 3 5 3 3 2" xfId="6210"/>
    <cellStyle name="Milliers 2 2 2 3 5 3 3 2 2" xfId="6211"/>
    <cellStyle name="Milliers 2 2 2 3 5 3 3 2 2 2" xfId="6212"/>
    <cellStyle name="Milliers 2 2 2 3 5 3 3 2 3" xfId="6213"/>
    <cellStyle name="Milliers 2 2 2 3 5 3 3 3" xfId="6214"/>
    <cellStyle name="Milliers 2 2 2 3 5 3 3 3 2" xfId="6215"/>
    <cellStyle name="Milliers 2 2 2 3 5 3 3 4" xfId="6216"/>
    <cellStyle name="Milliers 2 2 2 3 5 3 4" xfId="6217"/>
    <cellStyle name="Milliers 2 2 2 3 5 3 4 2" xfId="6218"/>
    <cellStyle name="Milliers 2 2 2 3 5 3 4 2 2" xfId="6219"/>
    <cellStyle name="Milliers 2 2 2 3 5 3 4 3" xfId="6220"/>
    <cellStyle name="Milliers 2 2 2 3 5 3 5" xfId="6221"/>
    <cellStyle name="Milliers 2 2 2 3 5 3 5 2" xfId="6222"/>
    <cellStyle name="Milliers 2 2 2 3 5 3 6" xfId="6223"/>
    <cellStyle name="Milliers 2 2 2 3 5 4" xfId="6224"/>
    <cellStyle name="Milliers 2 2 2 3 5 4 2" xfId="6225"/>
    <cellStyle name="Milliers 2 2 2 3 5 4 2 2" xfId="6226"/>
    <cellStyle name="Milliers 2 2 2 3 5 4 2 2 2" xfId="6227"/>
    <cellStyle name="Milliers 2 2 2 3 5 4 2 2 2 2" xfId="6228"/>
    <cellStyle name="Milliers 2 2 2 3 5 4 2 2 3" xfId="6229"/>
    <cellStyle name="Milliers 2 2 2 3 5 4 2 3" xfId="6230"/>
    <cellStyle name="Milliers 2 2 2 3 5 4 2 3 2" xfId="6231"/>
    <cellStyle name="Milliers 2 2 2 3 5 4 2 4" xfId="6232"/>
    <cellStyle name="Milliers 2 2 2 3 5 4 3" xfId="6233"/>
    <cellStyle name="Milliers 2 2 2 3 5 4 3 2" xfId="6234"/>
    <cellStyle name="Milliers 2 2 2 3 5 4 3 2 2" xfId="6235"/>
    <cellStyle name="Milliers 2 2 2 3 5 4 3 3" xfId="6236"/>
    <cellStyle name="Milliers 2 2 2 3 5 4 4" xfId="6237"/>
    <cellStyle name="Milliers 2 2 2 3 5 4 4 2" xfId="6238"/>
    <cellStyle name="Milliers 2 2 2 3 5 4 5" xfId="6239"/>
    <cellStyle name="Milliers 2 2 2 3 5 5" xfId="6240"/>
    <cellStyle name="Milliers 2 2 2 3 5 5 2" xfId="6241"/>
    <cellStyle name="Milliers 2 2 2 3 5 5 2 2" xfId="6242"/>
    <cellStyle name="Milliers 2 2 2 3 5 5 2 2 2" xfId="6243"/>
    <cellStyle name="Milliers 2 2 2 3 5 5 2 3" xfId="6244"/>
    <cellStyle name="Milliers 2 2 2 3 5 5 3" xfId="6245"/>
    <cellStyle name="Milliers 2 2 2 3 5 5 3 2" xfId="6246"/>
    <cellStyle name="Milliers 2 2 2 3 5 5 4" xfId="6247"/>
    <cellStyle name="Milliers 2 2 2 3 5 6" xfId="6248"/>
    <cellStyle name="Milliers 2 2 2 3 5 6 2" xfId="6249"/>
    <cellStyle name="Milliers 2 2 2 3 5 6 2 2" xfId="6250"/>
    <cellStyle name="Milliers 2 2 2 3 5 6 3" xfId="6251"/>
    <cellStyle name="Milliers 2 2 2 3 5 7" xfId="6252"/>
    <cellStyle name="Milliers 2 2 2 3 5 7 2" xfId="6253"/>
    <cellStyle name="Milliers 2 2 2 3 5 8" xfId="6254"/>
    <cellStyle name="Milliers 2 2 2 3 6" xfId="6255"/>
    <cellStyle name="Milliers 2 2 2 3 6 2" xfId="6256"/>
    <cellStyle name="Milliers 2 2 2 3 6 2 2" xfId="6257"/>
    <cellStyle name="Milliers 2 2 2 3 6 2 2 2" xfId="6258"/>
    <cellStyle name="Milliers 2 2 2 3 6 2 2 2 2" xfId="6259"/>
    <cellStyle name="Milliers 2 2 2 3 6 2 2 2 2 2" xfId="6260"/>
    <cellStyle name="Milliers 2 2 2 3 6 2 2 2 2 2 2" xfId="6261"/>
    <cellStyle name="Milliers 2 2 2 3 6 2 2 2 2 3" xfId="6262"/>
    <cellStyle name="Milliers 2 2 2 3 6 2 2 2 3" xfId="6263"/>
    <cellStyle name="Milliers 2 2 2 3 6 2 2 2 3 2" xfId="6264"/>
    <cellStyle name="Milliers 2 2 2 3 6 2 2 2 4" xfId="6265"/>
    <cellStyle name="Milliers 2 2 2 3 6 2 2 3" xfId="6266"/>
    <cellStyle name="Milliers 2 2 2 3 6 2 2 3 2" xfId="6267"/>
    <cellStyle name="Milliers 2 2 2 3 6 2 2 3 2 2" xfId="6268"/>
    <cellStyle name="Milliers 2 2 2 3 6 2 2 3 3" xfId="6269"/>
    <cellStyle name="Milliers 2 2 2 3 6 2 2 4" xfId="6270"/>
    <cellStyle name="Milliers 2 2 2 3 6 2 2 4 2" xfId="6271"/>
    <cellStyle name="Milliers 2 2 2 3 6 2 2 5" xfId="6272"/>
    <cellStyle name="Milliers 2 2 2 3 6 2 3" xfId="6273"/>
    <cellStyle name="Milliers 2 2 2 3 6 2 3 2" xfId="6274"/>
    <cellStyle name="Milliers 2 2 2 3 6 2 3 2 2" xfId="6275"/>
    <cellStyle name="Milliers 2 2 2 3 6 2 3 2 2 2" xfId="6276"/>
    <cellStyle name="Milliers 2 2 2 3 6 2 3 2 3" xfId="6277"/>
    <cellStyle name="Milliers 2 2 2 3 6 2 3 3" xfId="6278"/>
    <cellStyle name="Milliers 2 2 2 3 6 2 3 3 2" xfId="6279"/>
    <cellStyle name="Milliers 2 2 2 3 6 2 3 4" xfId="6280"/>
    <cellStyle name="Milliers 2 2 2 3 6 2 4" xfId="6281"/>
    <cellStyle name="Milliers 2 2 2 3 6 2 4 2" xfId="6282"/>
    <cellStyle name="Milliers 2 2 2 3 6 2 4 2 2" xfId="6283"/>
    <cellStyle name="Milliers 2 2 2 3 6 2 4 3" xfId="6284"/>
    <cellStyle name="Milliers 2 2 2 3 6 2 5" xfId="6285"/>
    <cellStyle name="Milliers 2 2 2 3 6 2 5 2" xfId="6286"/>
    <cellStyle name="Milliers 2 2 2 3 6 2 6" xfId="6287"/>
    <cellStyle name="Milliers 2 2 2 3 6 3" xfId="6288"/>
    <cellStyle name="Milliers 2 2 2 3 6 3 2" xfId="6289"/>
    <cellStyle name="Milliers 2 2 2 3 6 3 2 2" xfId="6290"/>
    <cellStyle name="Milliers 2 2 2 3 6 3 2 2 2" xfId="6291"/>
    <cellStyle name="Milliers 2 2 2 3 6 3 2 2 2 2" xfId="6292"/>
    <cellStyle name="Milliers 2 2 2 3 6 3 2 2 3" xfId="6293"/>
    <cellStyle name="Milliers 2 2 2 3 6 3 2 3" xfId="6294"/>
    <cellStyle name="Milliers 2 2 2 3 6 3 2 3 2" xfId="6295"/>
    <cellStyle name="Milliers 2 2 2 3 6 3 2 4" xfId="6296"/>
    <cellStyle name="Milliers 2 2 2 3 6 3 3" xfId="6297"/>
    <cellStyle name="Milliers 2 2 2 3 6 3 3 2" xfId="6298"/>
    <cellStyle name="Milliers 2 2 2 3 6 3 3 2 2" xfId="6299"/>
    <cellStyle name="Milliers 2 2 2 3 6 3 3 3" xfId="6300"/>
    <cellStyle name="Milliers 2 2 2 3 6 3 4" xfId="6301"/>
    <cellStyle name="Milliers 2 2 2 3 6 3 4 2" xfId="6302"/>
    <cellStyle name="Milliers 2 2 2 3 6 3 5" xfId="6303"/>
    <cellStyle name="Milliers 2 2 2 3 6 4" xfId="6304"/>
    <cellStyle name="Milliers 2 2 2 3 6 4 2" xfId="6305"/>
    <cellStyle name="Milliers 2 2 2 3 6 4 2 2" xfId="6306"/>
    <cellStyle name="Milliers 2 2 2 3 6 4 2 2 2" xfId="6307"/>
    <cellStyle name="Milliers 2 2 2 3 6 4 2 3" xfId="6308"/>
    <cellStyle name="Milliers 2 2 2 3 6 4 3" xfId="6309"/>
    <cellStyle name="Milliers 2 2 2 3 6 4 3 2" xfId="6310"/>
    <cellStyle name="Milliers 2 2 2 3 6 4 4" xfId="6311"/>
    <cellStyle name="Milliers 2 2 2 3 6 5" xfId="6312"/>
    <cellStyle name="Milliers 2 2 2 3 6 5 2" xfId="6313"/>
    <cellStyle name="Milliers 2 2 2 3 6 5 2 2" xfId="6314"/>
    <cellStyle name="Milliers 2 2 2 3 6 5 3" xfId="6315"/>
    <cellStyle name="Milliers 2 2 2 3 6 6" xfId="6316"/>
    <cellStyle name="Milliers 2 2 2 3 6 6 2" xfId="6317"/>
    <cellStyle name="Milliers 2 2 2 3 6 7" xfId="6318"/>
    <cellStyle name="Milliers 2 2 2 3 7" xfId="6319"/>
    <cellStyle name="Milliers 2 2 2 3 7 2" xfId="6320"/>
    <cellStyle name="Milliers 2 2 2 3 7 2 2" xfId="6321"/>
    <cellStyle name="Milliers 2 2 2 3 7 2 2 2" xfId="6322"/>
    <cellStyle name="Milliers 2 2 2 3 7 2 2 2 2" xfId="6323"/>
    <cellStyle name="Milliers 2 2 2 3 7 2 2 2 2 2" xfId="6324"/>
    <cellStyle name="Milliers 2 2 2 3 7 2 2 2 3" xfId="6325"/>
    <cellStyle name="Milliers 2 2 2 3 7 2 2 3" xfId="6326"/>
    <cellStyle name="Milliers 2 2 2 3 7 2 2 3 2" xfId="6327"/>
    <cellStyle name="Milliers 2 2 2 3 7 2 2 4" xfId="6328"/>
    <cellStyle name="Milliers 2 2 2 3 7 2 3" xfId="6329"/>
    <cellStyle name="Milliers 2 2 2 3 7 2 3 2" xfId="6330"/>
    <cellStyle name="Milliers 2 2 2 3 7 2 3 2 2" xfId="6331"/>
    <cellStyle name="Milliers 2 2 2 3 7 2 3 3" xfId="6332"/>
    <cellStyle name="Milliers 2 2 2 3 7 2 4" xfId="6333"/>
    <cellStyle name="Milliers 2 2 2 3 7 2 4 2" xfId="6334"/>
    <cellStyle name="Milliers 2 2 2 3 7 2 5" xfId="6335"/>
    <cellStyle name="Milliers 2 2 2 3 7 3" xfId="6336"/>
    <cellStyle name="Milliers 2 2 2 3 7 3 2" xfId="6337"/>
    <cellStyle name="Milliers 2 2 2 3 7 3 2 2" xfId="6338"/>
    <cellStyle name="Milliers 2 2 2 3 7 3 2 2 2" xfId="6339"/>
    <cellStyle name="Milliers 2 2 2 3 7 3 2 3" xfId="6340"/>
    <cellStyle name="Milliers 2 2 2 3 7 3 3" xfId="6341"/>
    <cellStyle name="Milliers 2 2 2 3 7 3 3 2" xfId="6342"/>
    <cellStyle name="Milliers 2 2 2 3 7 3 4" xfId="6343"/>
    <cellStyle name="Milliers 2 2 2 3 7 4" xfId="6344"/>
    <cellStyle name="Milliers 2 2 2 3 7 4 2" xfId="6345"/>
    <cellStyle name="Milliers 2 2 2 3 7 4 2 2" xfId="6346"/>
    <cellStyle name="Milliers 2 2 2 3 7 4 3" xfId="6347"/>
    <cellStyle name="Milliers 2 2 2 3 7 5" xfId="6348"/>
    <cellStyle name="Milliers 2 2 2 3 7 5 2" xfId="6349"/>
    <cellStyle name="Milliers 2 2 2 3 7 6" xfId="6350"/>
    <cellStyle name="Milliers 2 2 2 3 8" xfId="6351"/>
    <cellStyle name="Milliers 2 2 2 3 8 2" xfId="6352"/>
    <cellStyle name="Milliers 2 2 2 3 8 2 2" xfId="6353"/>
    <cellStyle name="Milliers 2 2 2 3 8 2 2 2" xfId="6354"/>
    <cellStyle name="Milliers 2 2 2 3 8 2 2 2 2" xfId="6355"/>
    <cellStyle name="Milliers 2 2 2 3 8 2 2 3" xfId="6356"/>
    <cellStyle name="Milliers 2 2 2 3 8 2 3" xfId="6357"/>
    <cellStyle name="Milliers 2 2 2 3 8 2 3 2" xfId="6358"/>
    <cellStyle name="Milliers 2 2 2 3 8 2 4" xfId="6359"/>
    <cellStyle name="Milliers 2 2 2 3 8 3" xfId="6360"/>
    <cellStyle name="Milliers 2 2 2 3 8 3 2" xfId="6361"/>
    <cellStyle name="Milliers 2 2 2 3 8 3 2 2" xfId="6362"/>
    <cellStyle name="Milliers 2 2 2 3 8 3 3" xfId="6363"/>
    <cellStyle name="Milliers 2 2 2 3 8 4" xfId="6364"/>
    <cellStyle name="Milliers 2 2 2 3 8 4 2" xfId="6365"/>
    <cellStyle name="Milliers 2 2 2 3 8 5" xfId="6366"/>
    <cellStyle name="Milliers 2 2 2 3 9" xfId="6367"/>
    <cellStyle name="Milliers 2 2 2 3 9 2" xfId="6368"/>
    <cellStyle name="Milliers 2 2 2 3 9 2 2" xfId="6369"/>
    <cellStyle name="Milliers 2 2 2 3 9 2 2 2" xfId="6370"/>
    <cellStyle name="Milliers 2 2 2 3 9 2 3" xfId="6371"/>
    <cellStyle name="Milliers 2 2 2 3 9 3" xfId="6372"/>
    <cellStyle name="Milliers 2 2 2 3 9 3 2" xfId="6373"/>
    <cellStyle name="Milliers 2 2 2 3 9 4" xfId="6374"/>
    <cellStyle name="Milliers 2 2 2 4" xfId="6375"/>
    <cellStyle name="Milliers 2 2 2 4 10" xfId="6376"/>
    <cellStyle name="Milliers 2 2 2 4 10 2" xfId="6377"/>
    <cellStyle name="Milliers 2 2 2 4 11" xfId="6378"/>
    <cellStyle name="Milliers 2 2 2 4 2" xfId="6379"/>
    <cellStyle name="Milliers 2 2 2 4 2 10" xfId="6380"/>
    <cellStyle name="Milliers 2 2 2 4 2 2" xfId="6381"/>
    <cellStyle name="Milliers 2 2 2 4 2 2 2" xfId="6382"/>
    <cellStyle name="Milliers 2 2 2 4 2 2 2 2" xfId="6383"/>
    <cellStyle name="Milliers 2 2 2 4 2 2 2 2 2" xfId="6384"/>
    <cellStyle name="Milliers 2 2 2 4 2 2 2 2 2 2" xfId="6385"/>
    <cellStyle name="Milliers 2 2 2 4 2 2 2 2 2 2 2" xfId="6386"/>
    <cellStyle name="Milliers 2 2 2 4 2 2 2 2 2 2 2 2" xfId="6387"/>
    <cellStyle name="Milliers 2 2 2 4 2 2 2 2 2 2 2 2 2" xfId="6388"/>
    <cellStyle name="Milliers 2 2 2 4 2 2 2 2 2 2 2 2 2 2" xfId="6389"/>
    <cellStyle name="Milliers 2 2 2 4 2 2 2 2 2 2 2 2 3" xfId="6390"/>
    <cellStyle name="Milliers 2 2 2 4 2 2 2 2 2 2 2 3" xfId="6391"/>
    <cellStyle name="Milliers 2 2 2 4 2 2 2 2 2 2 2 3 2" xfId="6392"/>
    <cellStyle name="Milliers 2 2 2 4 2 2 2 2 2 2 2 4" xfId="6393"/>
    <cellStyle name="Milliers 2 2 2 4 2 2 2 2 2 2 3" xfId="6394"/>
    <cellStyle name="Milliers 2 2 2 4 2 2 2 2 2 2 3 2" xfId="6395"/>
    <cellStyle name="Milliers 2 2 2 4 2 2 2 2 2 2 3 2 2" xfId="6396"/>
    <cellStyle name="Milliers 2 2 2 4 2 2 2 2 2 2 3 3" xfId="6397"/>
    <cellStyle name="Milliers 2 2 2 4 2 2 2 2 2 2 4" xfId="6398"/>
    <cellStyle name="Milliers 2 2 2 4 2 2 2 2 2 2 4 2" xfId="6399"/>
    <cellStyle name="Milliers 2 2 2 4 2 2 2 2 2 2 5" xfId="6400"/>
    <cellStyle name="Milliers 2 2 2 4 2 2 2 2 2 3" xfId="6401"/>
    <cellStyle name="Milliers 2 2 2 4 2 2 2 2 2 3 2" xfId="6402"/>
    <cellStyle name="Milliers 2 2 2 4 2 2 2 2 2 3 2 2" xfId="6403"/>
    <cellStyle name="Milliers 2 2 2 4 2 2 2 2 2 3 2 2 2" xfId="6404"/>
    <cellStyle name="Milliers 2 2 2 4 2 2 2 2 2 3 2 3" xfId="6405"/>
    <cellStyle name="Milliers 2 2 2 4 2 2 2 2 2 3 3" xfId="6406"/>
    <cellStyle name="Milliers 2 2 2 4 2 2 2 2 2 3 3 2" xfId="6407"/>
    <cellStyle name="Milliers 2 2 2 4 2 2 2 2 2 3 4" xfId="6408"/>
    <cellStyle name="Milliers 2 2 2 4 2 2 2 2 2 4" xfId="6409"/>
    <cellStyle name="Milliers 2 2 2 4 2 2 2 2 2 4 2" xfId="6410"/>
    <cellStyle name="Milliers 2 2 2 4 2 2 2 2 2 4 2 2" xfId="6411"/>
    <cellStyle name="Milliers 2 2 2 4 2 2 2 2 2 4 3" xfId="6412"/>
    <cellStyle name="Milliers 2 2 2 4 2 2 2 2 2 5" xfId="6413"/>
    <cellStyle name="Milliers 2 2 2 4 2 2 2 2 2 5 2" xfId="6414"/>
    <cellStyle name="Milliers 2 2 2 4 2 2 2 2 2 6" xfId="6415"/>
    <cellStyle name="Milliers 2 2 2 4 2 2 2 2 3" xfId="6416"/>
    <cellStyle name="Milliers 2 2 2 4 2 2 2 2 3 2" xfId="6417"/>
    <cellStyle name="Milliers 2 2 2 4 2 2 2 2 3 2 2" xfId="6418"/>
    <cellStyle name="Milliers 2 2 2 4 2 2 2 2 3 2 2 2" xfId="6419"/>
    <cellStyle name="Milliers 2 2 2 4 2 2 2 2 3 2 2 2 2" xfId="6420"/>
    <cellStyle name="Milliers 2 2 2 4 2 2 2 2 3 2 2 3" xfId="6421"/>
    <cellStyle name="Milliers 2 2 2 4 2 2 2 2 3 2 3" xfId="6422"/>
    <cellStyle name="Milliers 2 2 2 4 2 2 2 2 3 2 3 2" xfId="6423"/>
    <cellStyle name="Milliers 2 2 2 4 2 2 2 2 3 2 4" xfId="6424"/>
    <cellStyle name="Milliers 2 2 2 4 2 2 2 2 3 3" xfId="6425"/>
    <cellStyle name="Milliers 2 2 2 4 2 2 2 2 3 3 2" xfId="6426"/>
    <cellStyle name="Milliers 2 2 2 4 2 2 2 2 3 3 2 2" xfId="6427"/>
    <cellStyle name="Milliers 2 2 2 4 2 2 2 2 3 3 3" xfId="6428"/>
    <cellStyle name="Milliers 2 2 2 4 2 2 2 2 3 4" xfId="6429"/>
    <cellStyle name="Milliers 2 2 2 4 2 2 2 2 3 4 2" xfId="6430"/>
    <cellStyle name="Milliers 2 2 2 4 2 2 2 2 3 5" xfId="6431"/>
    <cellStyle name="Milliers 2 2 2 4 2 2 2 2 4" xfId="6432"/>
    <cellStyle name="Milliers 2 2 2 4 2 2 2 2 4 2" xfId="6433"/>
    <cellStyle name="Milliers 2 2 2 4 2 2 2 2 4 2 2" xfId="6434"/>
    <cellStyle name="Milliers 2 2 2 4 2 2 2 2 4 2 2 2" xfId="6435"/>
    <cellStyle name="Milliers 2 2 2 4 2 2 2 2 4 2 3" xfId="6436"/>
    <cellStyle name="Milliers 2 2 2 4 2 2 2 2 4 3" xfId="6437"/>
    <cellStyle name="Milliers 2 2 2 4 2 2 2 2 4 3 2" xfId="6438"/>
    <cellStyle name="Milliers 2 2 2 4 2 2 2 2 4 4" xfId="6439"/>
    <cellStyle name="Milliers 2 2 2 4 2 2 2 2 5" xfId="6440"/>
    <cellStyle name="Milliers 2 2 2 4 2 2 2 2 5 2" xfId="6441"/>
    <cellStyle name="Milliers 2 2 2 4 2 2 2 2 5 2 2" xfId="6442"/>
    <cellStyle name="Milliers 2 2 2 4 2 2 2 2 5 3" xfId="6443"/>
    <cellStyle name="Milliers 2 2 2 4 2 2 2 2 6" xfId="6444"/>
    <cellStyle name="Milliers 2 2 2 4 2 2 2 2 6 2" xfId="6445"/>
    <cellStyle name="Milliers 2 2 2 4 2 2 2 2 7" xfId="6446"/>
    <cellStyle name="Milliers 2 2 2 4 2 2 2 3" xfId="6447"/>
    <cellStyle name="Milliers 2 2 2 4 2 2 2 3 2" xfId="6448"/>
    <cellStyle name="Milliers 2 2 2 4 2 2 2 3 2 2" xfId="6449"/>
    <cellStyle name="Milliers 2 2 2 4 2 2 2 3 2 2 2" xfId="6450"/>
    <cellStyle name="Milliers 2 2 2 4 2 2 2 3 2 2 2 2" xfId="6451"/>
    <cellStyle name="Milliers 2 2 2 4 2 2 2 3 2 2 2 2 2" xfId="6452"/>
    <cellStyle name="Milliers 2 2 2 4 2 2 2 3 2 2 2 3" xfId="6453"/>
    <cellStyle name="Milliers 2 2 2 4 2 2 2 3 2 2 3" xfId="6454"/>
    <cellStyle name="Milliers 2 2 2 4 2 2 2 3 2 2 3 2" xfId="6455"/>
    <cellStyle name="Milliers 2 2 2 4 2 2 2 3 2 2 4" xfId="6456"/>
    <cellStyle name="Milliers 2 2 2 4 2 2 2 3 2 3" xfId="6457"/>
    <cellStyle name="Milliers 2 2 2 4 2 2 2 3 2 3 2" xfId="6458"/>
    <cellStyle name="Milliers 2 2 2 4 2 2 2 3 2 3 2 2" xfId="6459"/>
    <cellStyle name="Milliers 2 2 2 4 2 2 2 3 2 3 3" xfId="6460"/>
    <cellStyle name="Milliers 2 2 2 4 2 2 2 3 2 4" xfId="6461"/>
    <cellStyle name="Milliers 2 2 2 4 2 2 2 3 2 4 2" xfId="6462"/>
    <cellStyle name="Milliers 2 2 2 4 2 2 2 3 2 5" xfId="6463"/>
    <cellStyle name="Milliers 2 2 2 4 2 2 2 3 3" xfId="6464"/>
    <cellStyle name="Milliers 2 2 2 4 2 2 2 3 3 2" xfId="6465"/>
    <cellStyle name="Milliers 2 2 2 4 2 2 2 3 3 2 2" xfId="6466"/>
    <cellStyle name="Milliers 2 2 2 4 2 2 2 3 3 2 2 2" xfId="6467"/>
    <cellStyle name="Milliers 2 2 2 4 2 2 2 3 3 2 3" xfId="6468"/>
    <cellStyle name="Milliers 2 2 2 4 2 2 2 3 3 3" xfId="6469"/>
    <cellStyle name="Milliers 2 2 2 4 2 2 2 3 3 3 2" xfId="6470"/>
    <cellStyle name="Milliers 2 2 2 4 2 2 2 3 3 4" xfId="6471"/>
    <cellStyle name="Milliers 2 2 2 4 2 2 2 3 4" xfId="6472"/>
    <cellStyle name="Milliers 2 2 2 4 2 2 2 3 4 2" xfId="6473"/>
    <cellStyle name="Milliers 2 2 2 4 2 2 2 3 4 2 2" xfId="6474"/>
    <cellStyle name="Milliers 2 2 2 4 2 2 2 3 4 3" xfId="6475"/>
    <cellStyle name="Milliers 2 2 2 4 2 2 2 3 5" xfId="6476"/>
    <cellStyle name="Milliers 2 2 2 4 2 2 2 3 5 2" xfId="6477"/>
    <cellStyle name="Milliers 2 2 2 4 2 2 2 3 6" xfId="6478"/>
    <cellStyle name="Milliers 2 2 2 4 2 2 2 4" xfId="6479"/>
    <cellStyle name="Milliers 2 2 2 4 2 2 2 4 2" xfId="6480"/>
    <cellStyle name="Milliers 2 2 2 4 2 2 2 4 2 2" xfId="6481"/>
    <cellStyle name="Milliers 2 2 2 4 2 2 2 4 2 2 2" xfId="6482"/>
    <cellStyle name="Milliers 2 2 2 4 2 2 2 4 2 2 2 2" xfId="6483"/>
    <cellStyle name="Milliers 2 2 2 4 2 2 2 4 2 2 3" xfId="6484"/>
    <cellStyle name="Milliers 2 2 2 4 2 2 2 4 2 3" xfId="6485"/>
    <cellStyle name="Milliers 2 2 2 4 2 2 2 4 2 3 2" xfId="6486"/>
    <cellStyle name="Milliers 2 2 2 4 2 2 2 4 2 4" xfId="6487"/>
    <cellStyle name="Milliers 2 2 2 4 2 2 2 4 3" xfId="6488"/>
    <cellStyle name="Milliers 2 2 2 4 2 2 2 4 3 2" xfId="6489"/>
    <cellStyle name="Milliers 2 2 2 4 2 2 2 4 3 2 2" xfId="6490"/>
    <cellStyle name="Milliers 2 2 2 4 2 2 2 4 3 3" xfId="6491"/>
    <cellStyle name="Milliers 2 2 2 4 2 2 2 4 4" xfId="6492"/>
    <cellStyle name="Milliers 2 2 2 4 2 2 2 4 4 2" xfId="6493"/>
    <cellStyle name="Milliers 2 2 2 4 2 2 2 4 5" xfId="6494"/>
    <cellStyle name="Milliers 2 2 2 4 2 2 2 5" xfId="6495"/>
    <cellStyle name="Milliers 2 2 2 4 2 2 2 5 2" xfId="6496"/>
    <cellStyle name="Milliers 2 2 2 4 2 2 2 5 2 2" xfId="6497"/>
    <cellStyle name="Milliers 2 2 2 4 2 2 2 5 2 2 2" xfId="6498"/>
    <cellStyle name="Milliers 2 2 2 4 2 2 2 5 2 3" xfId="6499"/>
    <cellStyle name="Milliers 2 2 2 4 2 2 2 5 3" xfId="6500"/>
    <cellStyle name="Milliers 2 2 2 4 2 2 2 5 3 2" xfId="6501"/>
    <cellStyle name="Milliers 2 2 2 4 2 2 2 5 4" xfId="6502"/>
    <cellStyle name="Milliers 2 2 2 4 2 2 2 6" xfId="6503"/>
    <cellStyle name="Milliers 2 2 2 4 2 2 2 6 2" xfId="6504"/>
    <cellStyle name="Milliers 2 2 2 4 2 2 2 6 2 2" xfId="6505"/>
    <cellStyle name="Milliers 2 2 2 4 2 2 2 6 3" xfId="6506"/>
    <cellStyle name="Milliers 2 2 2 4 2 2 2 7" xfId="6507"/>
    <cellStyle name="Milliers 2 2 2 4 2 2 2 7 2" xfId="6508"/>
    <cellStyle name="Milliers 2 2 2 4 2 2 2 8" xfId="6509"/>
    <cellStyle name="Milliers 2 2 2 4 2 2 3" xfId="6510"/>
    <cellStyle name="Milliers 2 2 2 4 2 2 3 2" xfId="6511"/>
    <cellStyle name="Milliers 2 2 2 4 2 2 3 2 2" xfId="6512"/>
    <cellStyle name="Milliers 2 2 2 4 2 2 3 2 2 2" xfId="6513"/>
    <cellStyle name="Milliers 2 2 2 4 2 2 3 2 2 2 2" xfId="6514"/>
    <cellStyle name="Milliers 2 2 2 4 2 2 3 2 2 2 2 2" xfId="6515"/>
    <cellStyle name="Milliers 2 2 2 4 2 2 3 2 2 2 2 2 2" xfId="6516"/>
    <cellStyle name="Milliers 2 2 2 4 2 2 3 2 2 2 2 3" xfId="6517"/>
    <cellStyle name="Milliers 2 2 2 4 2 2 3 2 2 2 3" xfId="6518"/>
    <cellStyle name="Milliers 2 2 2 4 2 2 3 2 2 2 3 2" xfId="6519"/>
    <cellStyle name="Milliers 2 2 2 4 2 2 3 2 2 2 4" xfId="6520"/>
    <cellStyle name="Milliers 2 2 2 4 2 2 3 2 2 3" xfId="6521"/>
    <cellStyle name="Milliers 2 2 2 4 2 2 3 2 2 3 2" xfId="6522"/>
    <cellStyle name="Milliers 2 2 2 4 2 2 3 2 2 3 2 2" xfId="6523"/>
    <cellStyle name="Milliers 2 2 2 4 2 2 3 2 2 3 3" xfId="6524"/>
    <cellStyle name="Milliers 2 2 2 4 2 2 3 2 2 4" xfId="6525"/>
    <cellStyle name="Milliers 2 2 2 4 2 2 3 2 2 4 2" xfId="6526"/>
    <cellStyle name="Milliers 2 2 2 4 2 2 3 2 2 5" xfId="6527"/>
    <cellStyle name="Milliers 2 2 2 4 2 2 3 2 3" xfId="6528"/>
    <cellStyle name="Milliers 2 2 2 4 2 2 3 2 3 2" xfId="6529"/>
    <cellStyle name="Milliers 2 2 2 4 2 2 3 2 3 2 2" xfId="6530"/>
    <cellStyle name="Milliers 2 2 2 4 2 2 3 2 3 2 2 2" xfId="6531"/>
    <cellStyle name="Milliers 2 2 2 4 2 2 3 2 3 2 3" xfId="6532"/>
    <cellStyle name="Milliers 2 2 2 4 2 2 3 2 3 3" xfId="6533"/>
    <cellStyle name="Milliers 2 2 2 4 2 2 3 2 3 3 2" xfId="6534"/>
    <cellStyle name="Milliers 2 2 2 4 2 2 3 2 3 4" xfId="6535"/>
    <cellStyle name="Milliers 2 2 2 4 2 2 3 2 4" xfId="6536"/>
    <cellStyle name="Milliers 2 2 2 4 2 2 3 2 4 2" xfId="6537"/>
    <cellStyle name="Milliers 2 2 2 4 2 2 3 2 4 2 2" xfId="6538"/>
    <cellStyle name="Milliers 2 2 2 4 2 2 3 2 4 3" xfId="6539"/>
    <cellStyle name="Milliers 2 2 2 4 2 2 3 2 5" xfId="6540"/>
    <cellStyle name="Milliers 2 2 2 4 2 2 3 2 5 2" xfId="6541"/>
    <cellStyle name="Milliers 2 2 2 4 2 2 3 2 6" xfId="6542"/>
    <cellStyle name="Milliers 2 2 2 4 2 2 3 3" xfId="6543"/>
    <cellStyle name="Milliers 2 2 2 4 2 2 3 3 2" xfId="6544"/>
    <cellStyle name="Milliers 2 2 2 4 2 2 3 3 2 2" xfId="6545"/>
    <cellStyle name="Milliers 2 2 2 4 2 2 3 3 2 2 2" xfId="6546"/>
    <cellStyle name="Milliers 2 2 2 4 2 2 3 3 2 2 2 2" xfId="6547"/>
    <cellStyle name="Milliers 2 2 2 4 2 2 3 3 2 2 3" xfId="6548"/>
    <cellStyle name="Milliers 2 2 2 4 2 2 3 3 2 3" xfId="6549"/>
    <cellStyle name="Milliers 2 2 2 4 2 2 3 3 2 3 2" xfId="6550"/>
    <cellStyle name="Milliers 2 2 2 4 2 2 3 3 2 4" xfId="6551"/>
    <cellStyle name="Milliers 2 2 2 4 2 2 3 3 3" xfId="6552"/>
    <cellStyle name="Milliers 2 2 2 4 2 2 3 3 3 2" xfId="6553"/>
    <cellStyle name="Milliers 2 2 2 4 2 2 3 3 3 2 2" xfId="6554"/>
    <cellStyle name="Milliers 2 2 2 4 2 2 3 3 3 3" xfId="6555"/>
    <cellStyle name="Milliers 2 2 2 4 2 2 3 3 4" xfId="6556"/>
    <cellStyle name="Milliers 2 2 2 4 2 2 3 3 4 2" xfId="6557"/>
    <cellStyle name="Milliers 2 2 2 4 2 2 3 3 5" xfId="6558"/>
    <cellStyle name="Milliers 2 2 2 4 2 2 3 4" xfId="6559"/>
    <cellStyle name="Milliers 2 2 2 4 2 2 3 4 2" xfId="6560"/>
    <cellStyle name="Milliers 2 2 2 4 2 2 3 4 2 2" xfId="6561"/>
    <cellStyle name="Milliers 2 2 2 4 2 2 3 4 2 2 2" xfId="6562"/>
    <cellStyle name="Milliers 2 2 2 4 2 2 3 4 2 3" xfId="6563"/>
    <cellStyle name="Milliers 2 2 2 4 2 2 3 4 3" xfId="6564"/>
    <cellStyle name="Milliers 2 2 2 4 2 2 3 4 3 2" xfId="6565"/>
    <cellStyle name="Milliers 2 2 2 4 2 2 3 4 4" xfId="6566"/>
    <cellStyle name="Milliers 2 2 2 4 2 2 3 5" xfId="6567"/>
    <cellStyle name="Milliers 2 2 2 4 2 2 3 5 2" xfId="6568"/>
    <cellStyle name="Milliers 2 2 2 4 2 2 3 5 2 2" xfId="6569"/>
    <cellStyle name="Milliers 2 2 2 4 2 2 3 5 3" xfId="6570"/>
    <cellStyle name="Milliers 2 2 2 4 2 2 3 6" xfId="6571"/>
    <cellStyle name="Milliers 2 2 2 4 2 2 3 6 2" xfId="6572"/>
    <cellStyle name="Milliers 2 2 2 4 2 2 3 7" xfId="6573"/>
    <cellStyle name="Milliers 2 2 2 4 2 2 4" xfId="6574"/>
    <cellStyle name="Milliers 2 2 2 4 2 2 4 2" xfId="6575"/>
    <cellStyle name="Milliers 2 2 2 4 2 2 4 2 2" xfId="6576"/>
    <cellStyle name="Milliers 2 2 2 4 2 2 4 2 2 2" xfId="6577"/>
    <cellStyle name="Milliers 2 2 2 4 2 2 4 2 2 2 2" xfId="6578"/>
    <cellStyle name="Milliers 2 2 2 4 2 2 4 2 2 2 2 2" xfId="6579"/>
    <cellStyle name="Milliers 2 2 2 4 2 2 4 2 2 2 3" xfId="6580"/>
    <cellStyle name="Milliers 2 2 2 4 2 2 4 2 2 3" xfId="6581"/>
    <cellStyle name="Milliers 2 2 2 4 2 2 4 2 2 3 2" xfId="6582"/>
    <cellStyle name="Milliers 2 2 2 4 2 2 4 2 2 4" xfId="6583"/>
    <cellStyle name="Milliers 2 2 2 4 2 2 4 2 3" xfId="6584"/>
    <cellStyle name="Milliers 2 2 2 4 2 2 4 2 3 2" xfId="6585"/>
    <cellStyle name="Milliers 2 2 2 4 2 2 4 2 3 2 2" xfId="6586"/>
    <cellStyle name="Milliers 2 2 2 4 2 2 4 2 3 3" xfId="6587"/>
    <cellStyle name="Milliers 2 2 2 4 2 2 4 2 4" xfId="6588"/>
    <cellStyle name="Milliers 2 2 2 4 2 2 4 2 4 2" xfId="6589"/>
    <cellStyle name="Milliers 2 2 2 4 2 2 4 2 5" xfId="6590"/>
    <cellStyle name="Milliers 2 2 2 4 2 2 4 3" xfId="6591"/>
    <cellStyle name="Milliers 2 2 2 4 2 2 4 3 2" xfId="6592"/>
    <cellStyle name="Milliers 2 2 2 4 2 2 4 3 2 2" xfId="6593"/>
    <cellStyle name="Milliers 2 2 2 4 2 2 4 3 2 2 2" xfId="6594"/>
    <cellStyle name="Milliers 2 2 2 4 2 2 4 3 2 3" xfId="6595"/>
    <cellStyle name="Milliers 2 2 2 4 2 2 4 3 3" xfId="6596"/>
    <cellStyle name="Milliers 2 2 2 4 2 2 4 3 3 2" xfId="6597"/>
    <cellStyle name="Milliers 2 2 2 4 2 2 4 3 4" xfId="6598"/>
    <cellStyle name="Milliers 2 2 2 4 2 2 4 4" xfId="6599"/>
    <cellStyle name="Milliers 2 2 2 4 2 2 4 4 2" xfId="6600"/>
    <cellStyle name="Milliers 2 2 2 4 2 2 4 4 2 2" xfId="6601"/>
    <cellStyle name="Milliers 2 2 2 4 2 2 4 4 3" xfId="6602"/>
    <cellStyle name="Milliers 2 2 2 4 2 2 4 5" xfId="6603"/>
    <cellStyle name="Milliers 2 2 2 4 2 2 4 5 2" xfId="6604"/>
    <cellStyle name="Milliers 2 2 2 4 2 2 4 6" xfId="6605"/>
    <cellStyle name="Milliers 2 2 2 4 2 2 5" xfId="6606"/>
    <cellStyle name="Milliers 2 2 2 4 2 2 5 2" xfId="6607"/>
    <cellStyle name="Milliers 2 2 2 4 2 2 5 2 2" xfId="6608"/>
    <cellStyle name="Milliers 2 2 2 4 2 2 5 2 2 2" xfId="6609"/>
    <cellStyle name="Milliers 2 2 2 4 2 2 5 2 2 2 2" xfId="6610"/>
    <cellStyle name="Milliers 2 2 2 4 2 2 5 2 2 3" xfId="6611"/>
    <cellStyle name="Milliers 2 2 2 4 2 2 5 2 3" xfId="6612"/>
    <cellStyle name="Milliers 2 2 2 4 2 2 5 2 3 2" xfId="6613"/>
    <cellStyle name="Milliers 2 2 2 4 2 2 5 2 4" xfId="6614"/>
    <cellStyle name="Milliers 2 2 2 4 2 2 5 3" xfId="6615"/>
    <cellStyle name="Milliers 2 2 2 4 2 2 5 3 2" xfId="6616"/>
    <cellStyle name="Milliers 2 2 2 4 2 2 5 3 2 2" xfId="6617"/>
    <cellStyle name="Milliers 2 2 2 4 2 2 5 3 3" xfId="6618"/>
    <cellStyle name="Milliers 2 2 2 4 2 2 5 4" xfId="6619"/>
    <cellStyle name="Milliers 2 2 2 4 2 2 5 4 2" xfId="6620"/>
    <cellStyle name="Milliers 2 2 2 4 2 2 5 5" xfId="6621"/>
    <cellStyle name="Milliers 2 2 2 4 2 2 6" xfId="6622"/>
    <cellStyle name="Milliers 2 2 2 4 2 2 6 2" xfId="6623"/>
    <cellStyle name="Milliers 2 2 2 4 2 2 6 2 2" xfId="6624"/>
    <cellStyle name="Milliers 2 2 2 4 2 2 6 2 2 2" xfId="6625"/>
    <cellStyle name="Milliers 2 2 2 4 2 2 6 2 3" xfId="6626"/>
    <cellStyle name="Milliers 2 2 2 4 2 2 6 3" xfId="6627"/>
    <cellStyle name="Milliers 2 2 2 4 2 2 6 3 2" xfId="6628"/>
    <cellStyle name="Milliers 2 2 2 4 2 2 6 4" xfId="6629"/>
    <cellStyle name="Milliers 2 2 2 4 2 2 7" xfId="6630"/>
    <cellStyle name="Milliers 2 2 2 4 2 2 7 2" xfId="6631"/>
    <cellStyle name="Milliers 2 2 2 4 2 2 7 2 2" xfId="6632"/>
    <cellStyle name="Milliers 2 2 2 4 2 2 7 3" xfId="6633"/>
    <cellStyle name="Milliers 2 2 2 4 2 2 8" xfId="6634"/>
    <cellStyle name="Milliers 2 2 2 4 2 2 8 2" xfId="6635"/>
    <cellStyle name="Milliers 2 2 2 4 2 2 9" xfId="6636"/>
    <cellStyle name="Milliers 2 2 2 4 2 3" xfId="6637"/>
    <cellStyle name="Milliers 2 2 2 4 2 3 2" xfId="6638"/>
    <cellStyle name="Milliers 2 2 2 4 2 3 2 2" xfId="6639"/>
    <cellStyle name="Milliers 2 2 2 4 2 3 2 2 2" xfId="6640"/>
    <cellStyle name="Milliers 2 2 2 4 2 3 2 2 2 2" xfId="6641"/>
    <cellStyle name="Milliers 2 2 2 4 2 3 2 2 2 2 2" xfId="6642"/>
    <cellStyle name="Milliers 2 2 2 4 2 3 2 2 2 2 2 2" xfId="6643"/>
    <cellStyle name="Milliers 2 2 2 4 2 3 2 2 2 2 2 2 2" xfId="6644"/>
    <cellStyle name="Milliers 2 2 2 4 2 3 2 2 2 2 2 3" xfId="6645"/>
    <cellStyle name="Milliers 2 2 2 4 2 3 2 2 2 2 3" xfId="6646"/>
    <cellStyle name="Milliers 2 2 2 4 2 3 2 2 2 2 3 2" xfId="6647"/>
    <cellStyle name="Milliers 2 2 2 4 2 3 2 2 2 2 4" xfId="6648"/>
    <cellStyle name="Milliers 2 2 2 4 2 3 2 2 2 3" xfId="6649"/>
    <cellStyle name="Milliers 2 2 2 4 2 3 2 2 2 3 2" xfId="6650"/>
    <cellStyle name="Milliers 2 2 2 4 2 3 2 2 2 3 2 2" xfId="6651"/>
    <cellStyle name="Milliers 2 2 2 4 2 3 2 2 2 3 3" xfId="6652"/>
    <cellStyle name="Milliers 2 2 2 4 2 3 2 2 2 4" xfId="6653"/>
    <cellStyle name="Milliers 2 2 2 4 2 3 2 2 2 4 2" xfId="6654"/>
    <cellStyle name="Milliers 2 2 2 4 2 3 2 2 2 5" xfId="6655"/>
    <cellStyle name="Milliers 2 2 2 4 2 3 2 2 3" xfId="6656"/>
    <cellStyle name="Milliers 2 2 2 4 2 3 2 2 3 2" xfId="6657"/>
    <cellStyle name="Milliers 2 2 2 4 2 3 2 2 3 2 2" xfId="6658"/>
    <cellStyle name="Milliers 2 2 2 4 2 3 2 2 3 2 2 2" xfId="6659"/>
    <cellStyle name="Milliers 2 2 2 4 2 3 2 2 3 2 3" xfId="6660"/>
    <cellStyle name="Milliers 2 2 2 4 2 3 2 2 3 3" xfId="6661"/>
    <cellStyle name="Milliers 2 2 2 4 2 3 2 2 3 3 2" xfId="6662"/>
    <cellStyle name="Milliers 2 2 2 4 2 3 2 2 3 4" xfId="6663"/>
    <cellStyle name="Milliers 2 2 2 4 2 3 2 2 4" xfId="6664"/>
    <cellStyle name="Milliers 2 2 2 4 2 3 2 2 4 2" xfId="6665"/>
    <cellStyle name="Milliers 2 2 2 4 2 3 2 2 4 2 2" xfId="6666"/>
    <cellStyle name="Milliers 2 2 2 4 2 3 2 2 4 3" xfId="6667"/>
    <cellStyle name="Milliers 2 2 2 4 2 3 2 2 5" xfId="6668"/>
    <cellStyle name="Milliers 2 2 2 4 2 3 2 2 5 2" xfId="6669"/>
    <cellStyle name="Milliers 2 2 2 4 2 3 2 2 6" xfId="6670"/>
    <cellStyle name="Milliers 2 2 2 4 2 3 2 3" xfId="6671"/>
    <cellStyle name="Milliers 2 2 2 4 2 3 2 3 2" xfId="6672"/>
    <cellStyle name="Milliers 2 2 2 4 2 3 2 3 2 2" xfId="6673"/>
    <cellStyle name="Milliers 2 2 2 4 2 3 2 3 2 2 2" xfId="6674"/>
    <cellStyle name="Milliers 2 2 2 4 2 3 2 3 2 2 2 2" xfId="6675"/>
    <cellStyle name="Milliers 2 2 2 4 2 3 2 3 2 2 3" xfId="6676"/>
    <cellStyle name="Milliers 2 2 2 4 2 3 2 3 2 3" xfId="6677"/>
    <cellStyle name="Milliers 2 2 2 4 2 3 2 3 2 3 2" xfId="6678"/>
    <cellStyle name="Milliers 2 2 2 4 2 3 2 3 2 4" xfId="6679"/>
    <cellStyle name="Milliers 2 2 2 4 2 3 2 3 3" xfId="6680"/>
    <cellStyle name="Milliers 2 2 2 4 2 3 2 3 3 2" xfId="6681"/>
    <cellStyle name="Milliers 2 2 2 4 2 3 2 3 3 2 2" xfId="6682"/>
    <cellStyle name="Milliers 2 2 2 4 2 3 2 3 3 3" xfId="6683"/>
    <cellStyle name="Milliers 2 2 2 4 2 3 2 3 4" xfId="6684"/>
    <cellStyle name="Milliers 2 2 2 4 2 3 2 3 4 2" xfId="6685"/>
    <cellStyle name="Milliers 2 2 2 4 2 3 2 3 5" xfId="6686"/>
    <cellStyle name="Milliers 2 2 2 4 2 3 2 4" xfId="6687"/>
    <cellStyle name="Milliers 2 2 2 4 2 3 2 4 2" xfId="6688"/>
    <cellStyle name="Milliers 2 2 2 4 2 3 2 4 2 2" xfId="6689"/>
    <cellStyle name="Milliers 2 2 2 4 2 3 2 4 2 2 2" xfId="6690"/>
    <cellStyle name="Milliers 2 2 2 4 2 3 2 4 2 3" xfId="6691"/>
    <cellStyle name="Milliers 2 2 2 4 2 3 2 4 3" xfId="6692"/>
    <cellStyle name="Milliers 2 2 2 4 2 3 2 4 3 2" xfId="6693"/>
    <cellStyle name="Milliers 2 2 2 4 2 3 2 4 4" xfId="6694"/>
    <cellStyle name="Milliers 2 2 2 4 2 3 2 5" xfId="6695"/>
    <cellStyle name="Milliers 2 2 2 4 2 3 2 5 2" xfId="6696"/>
    <cellStyle name="Milliers 2 2 2 4 2 3 2 5 2 2" xfId="6697"/>
    <cellStyle name="Milliers 2 2 2 4 2 3 2 5 3" xfId="6698"/>
    <cellStyle name="Milliers 2 2 2 4 2 3 2 6" xfId="6699"/>
    <cellStyle name="Milliers 2 2 2 4 2 3 2 6 2" xfId="6700"/>
    <cellStyle name="Milliers 2 2 2 4 2 3 2 7" xfId="6701"/>
    <cellStyle name="Milliers 2 2 2 4 2 3 3" xfId="6702"/>
    <cellStyle name="Milliers 2 2 2 4 2 3 3 2" xfId="6703"/>
    <cellStyle name="Milliers 2 2 2 4 2 3 3 2 2" xfId="6704"/>
    <cellStyle name="Milliers 2 2 2 4 2 3 3 2 2 2" xfId="6705"/>
    <cellStyle name="Milliers 2 2 2 4 2 3 3 2 2 2 2" xfId="6706"/>
    <cellStyle name="Milliers 2 2 2 4 2 3 3 2 2 2 2 2" xfId="6707"/>
    <cellStyle name="Milliers 2 2 2 4 2 3 3 2 2 2 3" xfId="6708"/>
    <cellStyle name="Milliers 2 2 2 4 2 3 3 2 2 3" xfId="6709"/>
    <cellStyle name="Milliers 2 2 2 4 2 3 3 2 2 3 2" xfId="6710"/>
    <cellStyle name="Milliers 2 2 2 4 2 3 3 2 2 4" xfId="6711"/>
    <cellStyle name="Milliers 2 2 2 4 2 3 3 2 3" xfId="6712"/>
    <cellStyle name="Milliers 2 2 2 4 2 3 3 2 3 2" xfId="6713"/>
    <cellStyle name="Milliers 2 2 2 4 2 3 3 2 3 2 2" xfId="6714"/>
    <cellStyle name="Milliers 2 2 2 4 2 3 3 2 3 3" xfId="6715"/>
    <cellStyle name="Milliers 2 2 2 4 2 3 3 2 4" xfId="6716"/>
    <cellStyle name="Milliers 2 2 2 4 2 3 3 2 4 2" xfId="6717"/>
    <cellStyle name="Milliers 2 2 2 4 2 3 3 2 5" xfId="6718"/>
    <cellStyle name="Milliers 2 2 2 4 2 3 3 3" xfId="6719"/>
    <cellStyle name="Milliers 2 2 2 4 2 3 3 3 2" xfId="6720"/>
    <cellStyle name="Milliers 2 2 2 4 2 3 3 3 2 2" xfId="6721"/>
    <cellStyle name="Milliers 2 2 2 4 2 3 3 3 2 2 2" xfId="6722"/>
    <cellStyle name="Milliers 2 2 2 4 2 3 3 3 2 3" xfId="6723"/>
    <cellStyle name="Milliers 2 2 2 4 2 3 3 3 3" xfId="6724"/>
    <cellStyle name="Milliers 2 2 2 4 2 3 3 3 3 2" xfId="6725"/>
    <cellStyle name="Milliers 2 2 2 4 2 3 3 3 4" xfId="6726"/>
    <cellStyle name="Milliers 2 2 2 4 2 3 3 4" xfId="6727"/>
    <cellStyle name="Milliers 2 2 2 4 2 3 3 4 2" xfId="6728"/>
    <cellStyle name="Milliers 2 2 2 4 2 3 3 4 2 2" xfId="6729"/>
    <cellStyle name="Milliers 2 2 2 4 2 3 3 4 3" xfId="6730"/>
    <cellStyle name="Milliers 2 2 2 4 2 3 3 5" xfId="6731"/>
    <cellStyle name="Milliers 2 2 2 4 2 3 3 5 2" xfId="6732"/>
    <cellStyle name="Milliers 2 2 2 4 2 3 3 6" xfId="6733"/>
    <cellStyle name="Milliers 2 2 2 4 2 3 4" xfId="6734"/>
    <cellStyle name="Milliers 2 2 2 4 2 3 4 2" xfId="6735"/>
    <cellStyle name="Milliers 2 2 2 4 2 3 4 2 2" xfId="6736"/>
    <cellStyle name="Milliers 2 2 2 4 2 3 4 2 2 2" xfId="6737"/>
    <cellStyle name="Milliers 2 2 2 4 2 3 4 2 2 2 2" xfId="6738"/>
    <cellStyle name="Milliers 2 2 2 4 2 3 4 2 2 3" xfId="6739"/>
    <cellStyle name="Milliers 2 2 2 4 2 3 4 2 3" xfId="6740"/>
    <cellStyle name="Milliers 2 2 2 4 2 3 4 2 3 2" xfId="6741"/>
    <cellStyle name="Milliers 2 2 2 4 2 3 4 2 4" xfId="6742"/>
    <cellStyle name="Milliers 2 2 2 4 2 3 4 3" xfId="6743"/>
    <cellStyle name="Milliers 2 2 2 4 2 3 4 3 2" xfId="6744"/>
    <cellStyle name="Milliers 2 2 2 4 2 3 4 3 2 2" xfId="6745"/>
    <cellStyle name="Milliers 2 2 2 4 2 3 4 3 3" xfId="6746"/>
    <cellStyle name="Milliers 2 2 2 4 2 3 4 4" xfId="6747"/>
    <cellStyle name="Milliers 2 2 2 4 2 3 4 4 2" xfId="6748"/>
    <cellStyle name="Milliers 2 2 2 4 2 3 4 5" xfId="6749"/>
    <cellStyle name="Milliers 2 2 2 4 2 3 5" xfId="6750"/>
    <cellStyle name="Milliers 2 2 2 4 2 3 5 2" xfId="6751"/>
    <cellStyle name="Milliers 2 2 2 4 2 3 5 2 2" xfId="6752"/>
    <cellStyle name="Milliers 2 2 2 4 2 3 5 2 2 2" xfId="6753"/>
    <cellStyle name="Milliers 2 2 2 4 2 3 5 2 3" xfId="6754"/>
    <cellStyle name="Milliers 2 2 2 4 2 3 5 3" xfId="6755"/>
    <cellStyle name="Milliers 2 2 2 4 2 3 5 3 2" xfId="6756"/>
    <cellStyle name="Milliers 2 2 2 4 2 3 5 4" xfId="6757"/>
    <cellStyle name="Milliers 2 2 2 4 2 3 6" xfId="6758"/>
    <cellStyle name="Milliers 2 2 2 4 2 3 6 2" xfId="6759"/>
    <cellStyle name="Milliers 2 2 2 4 2 3 6 2 2" xfId="6760"/>
    <cellStyle name="Milliers 2 2 2 4 2 3 6 3" xfId="6761"/>
    <cellStyle name="Milliers 2 2 2 4 2 3 7" xfId="6762"/>
    <cellStyle name="Milliers 2 2 2 4 2 3 7 2" xfId="6763"/>
    <cellStyle name="Milliers 2 2 2 4 2 3 8" xfId="6764"/>
    <cellStyle name="Milliers 2 2 2 4 2 4" xfId="6765"/>
    <cellStyle name="Milliers 2 2 2 4 2 4 2" xfId="6766"/>
    <cellStyle name="Milliers 2 2 2 4 2 4 2 2" xfId="6767"/>
    <cellStyle name="Milliers 2 2 2 4 2 4 2 2 2" xfId="6768"/>
    <cellStyle name="Milliers 2 2 2 4 2 4 2 2 2 2" xfId="6769"/>
    <cellStyle name="Milliers 2 2 2 4 2 4 2 2 2 2 2" xfId="6770"/>
    <cellStyle name="Milliers 2 2 2 4 2 4 2 2 2 2 2 2" xfId="6771"/>
    <cellStyle name="Milliers 2 2 2 4 2 4 2 2 2 2 3" xfId="6772"/>
    <cellStyle name="Milliers 2 2 2 4 2 4 2 2 2 3" xfId="6773"/>
    <cellStyle name="Milliers 2 2 2 4 2 4 2 2 2 3 2" xfId="6774"/>
    <cellStyle name="Milliers 2 2 2 4 2 4 2 2 2 4" xfId="6775"/>
    <cellStyle name="Milliers 2 2 2 4 2 4 2 2 3" xfId="6776"/>
    <cellStyle name="Milliers 2 2 2 4 2 4 2 2 3 2" xfId="6777"/>
    <cellStyle name="Milliers 2 2 2 4 2 4 2 2 3 2 2" xfId="6778"/>
    <cellStyle name="Milliers 2 2 2 4 2 4 2 2 3 3" xfId="6779"/>
    <cellStyle name="Milliers 2 2 2 4 2 4 2 2 4" xfId="6780"/>
    <cellStyle name="Milliers 2 2 2 4 2 4 2 2 4 2" xfId="6781"/>
    <cellStyle name="Milliers 2 2 2 4 2 4 2 2 5" xfId="6782"/>
    <cellStyle name="Milliers 2 2 2 4 2 4 2 3" xfId="6783"/>
    <cellStyle name="Milliers 2 2 2 4 2 4 2 3 2" xfId="6784"/>
    <cellStyle name="Milliers 2 2 2 4 2 4 2 3 2 2" xfId="6785"/>
    <cellStyle name="Milliers 2 2 2 4 2 4 2 3 2 2 2" xfId="6786"/>
    <cellStyle name="Milliers 2 2 2 4 2 4 2 3 2 3" xfId="6787"/>
    <cellStyle name="Milliers 2 2 2 4 2 4 2 3 3" xfId="6788"/>
    <cellStyle name="Milliers 2 2 2 4 2 4 2 3 3 2" xfId="6789"/>
    <cellStyle name="Milliers 2 2 2 4 2 4 2 3 4" xfId="6790"/>
    <cellStyle name="Milliers 2 2 2 4 2 4 2 4" xfId="6791"/>
    <cellStyle name="Milliers 2 2 2 4 2 4 2 4 2" xfId="6792"/>
    <cellStyle name="Milliers 2 2 2 4 2 4 2 4 2 2" xfId="6793"/>
    <cellStyle name="Milliers 2 2 2 4 2 4 2 4 3" xfId="6794"/>
    <cellStyle name="Milliers 2 2 2 4 2 4 2 5" xfId="6795"/>
    <cellStyle name="Milliers 2 2 2 4 2 4 2 5 2" xfId="6796"/>
    <cellStyle name="Milliers 2 2 2 4 2 4 2 6" xfId="6797"/>
    <cellStyle name="Milliers 2 2 2 4 2 4 3" xfId="6798"/>
    <cellStyle name="Milliers 2 2 2 4 2 4 3 2" xfId="6799"/>
    <cellStyle name="Milliers 2 2 2 4 2 4 3 2 2" xfId="6800"/>
    <cellStyle name="Milliers 2 2 2 4 2 4 3 2 2 2" xfId="6801"/>
    <cellStyle name="Milliers 2 2 2 4 2 4 3 2 2 2 2" xfId="6802"/>
    <cellStyle name="Milliers 2 2 2 4 2 4 3 2 2 3" xfId="6803"/>
    <cellStyle name="Milliers 2 2 2 4 2 4 3 2 3" xfId="6804"/>
    <cellStyle name="Milliers 2 2 2 4 2 4 3 2 3 2" xfId="6805"/>
    <cellStyle name="Milliers 2 2 2 4 2 4 3 2 4" xfId="6806"/>
    <cellStyle name="Milliers 2 2 2 4 2 4 3 3" xfId="6807"/>
    <cellStyle name="Milliers 2 2 2 4 2 4 3 3 2" xfId="6808"/>
    <cellStyle name="Milliers 2 2 2 4 2 4 3 3 2 2" xfId="6809"/>
    <cellStyle name="Milliers 2 2 2 4 2 4 3 3 3" xfId="6810"/>
    <cellStyle name="Milliers 2 2 2 4 2 4 3 4" xfId="6811"/>
    <cellStyle name="Milliers 2 2 2 4 2 4 3 4 2" xfId="6812"/>
    <cellStyle name="Milliers 2 2 2 4 2 4 3 5" xfId="6813"/>
    <cellStyle name="Milliers 2 2 2 4 2 4 4" xfId="6814"/>
    <cellStyle name="Milliers 2 2 2 4 2 4 4 2" xfId="6815"/>
    <cellStyle name="Milliers 2 2 2 4 2 4 4 2 2" xfId="6816"/>
    <cellStyle name="Milliers 2 2 2 4 2 4 4 2 2 2" xfId="6817"/>
    <cellStyle name="Milliers 2 2 2 4 2 4 4 2 3" xfId="6818"/>
    <cellStyle name="Milliers 2 2 2 4 2 4 4 3" xfId="6819"/>
    <cellStyle name="Milliers 2 2 2 4 2 4 4 3 2" xfId="6820"/>
    <cellStyle name="Milliers 2 2 2 4 2 4 4 4" xfId="6821"/>
    <cellStyle name="Milliers 2 2 2 4 2 4 5" xfId="6822"/>
    <cellStyle name="Milliers 2 2 2 4 2 4 5 2" xfId="6823"/>
    <cellStyle name="Milliers 2 2 2 4 2 4 5 2 2" xfId="6824"/>
    <cellStyle name="Milliers 2 2 2 4 2 4 5 3" xfId="6825"/>
    <cellStyle name="Milliers 2 2 2 4 2 4 6" xfId="6826"/>
    <cellStyle name="Milliers 2 2 2 4 2 4 6 2" xfId="6827"/>
    <cellStyle name="Milliers 2 2 2 4 2 4 7" xfId="6828"/>
    <cellStyle name="Milliers 2 2 2 4 2 5" xfId="6829"/>
    <cellStyle name="Milliers 2 2 2 4 2 5 2" xfId="6830"/>
    <cellStyle name="Milliers 2 2 2 4 2 5 2 2" xfId="6831"/>
    <cellStyle name="Milliers 2 2 2 4 2 5 2 2 2" xfId="6832"/>
    <cellStyle name="Milliers 2 2 2 4 2 5 2 2 2 2" xfId="6833"/>
    <cellStyle name="Milliers 2 2 2 4 2 5 2 2 2 2 2" xfId="6834"/>
    <cellStyle name="Milliers 2 2 2 4 2 5 2 2 2 3" xfId="6835"/>
    <cellStyle name="Milliers 2 2 2 4 2 5 2 2 3" xfId="6836"/>
    <cellStyle name="Milliers 2 2 2 4 2 5 2 2 3 2" xfId="6837"/>
    <cellStyle name="Milliers 2 2 2 4 2 5 2 2 4" xfId="6838"/>
    <cellStyle name="Milliers 2 2 2 4 2 5 2 3" xfId="6839"/>
    <cellStyle name="Milliers 2 2 2 4 2 5 2 3 2" xfId="6840"/>
    <cellStyle name="Milliers 2 2 2 4 2 5 2 3 2 2" xfId="6841"/>
    <cellStyle name="Milliers 2 2 2 4 2 5 2 3 3" xfId="6842"/>
    <cellStyle name="Milliers 2 2 2 4 2 5 2 4" xfId="6843"/>
    <cellStyle name="Milliers 2 2 2 4 2 5 2 4 2" xfId="6844"/>
    <cellStyle name="Milliers 2 2 2 4 2 5 2 5" xfId="6845"/>
    <cellStyle name="Milliers 2 2 2 4 2 5 3" xfId="6846"/>
    <cellStyle name="Milliers 2 2 2 4 2 5 3 2" xfId="6847"/>
    <cellStyle name="Milliers 2 2 2 4 2 5 3 2 2" xfId="6848"/>
    <cellStyle name="Milliers 2 2 2 4 2 5 3 2 2 2" xfId="6849"/>
    <cellStyle name="Milliers 2 2 2 4 2 5 3 2 3" xfId="6850"/>
    <cellStyle name="Milliers 2 2 2 4 2 5 3 3" xfId="6851"/>
    <cellStyle name="Milliers 2 2 2 4 2 5 3 3 2" xfId="6852"/>
    <cellStyle name="Milliers 2 2 2 4 2 5 3 4" xfId="6853"/>
    <cellStyle name="Milliers 2 2 2 4 2 5 4" xfId="6854"/>
    <cellStyle name="Milliers 2 2 2 4 2 5 4 2" xfId="6855"/>
    <cellStyle name="Milliers 2 2 2 4 2 5 4 2 2" xfId="6856"/>
    <cellStyle name="Milliers 2 2 2 4 2 5 4 3" xfId="6857"/>
    <cellStyle name="Milliers 2 2 2 4 2 5 5" xfId="6858"/>
    <cellStyle name="Milliers 2 2 2 4 2 5 5 2" xfId="6859"/>
    <cellStyle name="Milliers 2 2 2 4 2 5 6" xfId="6860"/>
    <cellStyle name="Milliers 2 2 2 4 2 6" xfId="6861"/>
    <cellStyle name="Milliers 2 2 2 4 2 6 2" xfId="6862"/>
    <cellStyle name="Milliers 2 2 2 4 2 6 2 2" xfId="6863"/>
    <cellStyle name="Milliers 2 2 2 4 2 6 2 2 2" xfId="6864"/>
    <cellStyle name="Milliers 2 2 2 4 2 6 2 2 2 2" xfId="6865"/>
    <cellStyle name="Milliers 2 2 2 4 2 6 2 2 3" xfId="6866"/>
    <cellStyle name="Milliers 2 2 2 4 2 6 2 3" xfId="6867"/>
    <cellStyle name="Milliers 2 2 2 4 2 6 2 3 2" xfId="6868"/>
    <cellStyle name="Milliers 2 2 2 4 2 6 2 4" xfId="6869"/>
    <cellStyle name="Milliers 2 2 2 4 2 6 3" xfId="6870"/>
    <cellStyle name="Milliers 2 2 2 4 2 6 3 2" xfId="6871"/>
    <cellStyle name="Milliers 2 2 2 4 2 6 3 2 2" xfId="6872"/>
    <cellStyle name="Milliers 2 2 2 4 2 6 3 3" xfId="6873"/>
    <cellStyle name="Milliers 2 2 2 4 2 6 4" xfId="6874"/>
    <cellStyle name="Milliers 2 2 2 4 2 6 4 2" xfId="6875"/>
    <cellStyle name="Milliers 2 2 2 4 2 6 5" xfId="6876"/>
    <cellStyle name="Milliers 2 2 2 4 2 7" xfId="6877"/>
    <cellStyle name="Milliers 2 2 2 4 2 7 2" xfId="6878"/>
    <cellStyle name="Milliers 2 2 2 4 2 7 2 2" xfId="6879"/>
    <cellStyle name="Milliers 2 2 2 4 2 7 2 2 2" xfId="6880"/>
    <cellStyle name="Milliers 2 2 2 4 2 7 2 3" xfId="6881"/>
    <cellStyle name="Milliers 2 2 2 4 2 7 3" xfId="6882"/>
    <cellStyle name="Milliers 2 2 2 4 2 7 3 2" xfId="6883"/>
    <cellStyle name="Milliers 2 2 2 4 2 7 4" xfId="6884"/>
    <cellStyle name="Milliers 2 2 2 4 2 8" xfId="6885"/>
    <cellStyle name="Milliers 2 2 2 4 2 8 2" xfId="6886"/>
    <cellStyle name="Milliers 2 2 2 4 2 8 2 2" xfId="6887"/>
    <cellStyle name="Milliers 2 2 2 4 2 8 3" xfId="6888"/>
    <cellStyle name="Milliers 2 2 2 4 2 9" xfId="6889"/>
    <cellStyle name="Milliers 2 2 2 4 2 9 2" xfId="6890"/>
    <cellStyle name="Milliers 2 2 2 4 3" xfId="6891"/>
    <cellStyle name="Milliers 2 2 2 4 3 2" xfId="6892"/>
    <cellStyle name="Milliers 2 2 2 4 3 2 2" xfId="6893"/>
    <cellStyle name="Milliers 2 2 2 4 3 2 2 2" xfId="6894"/>
    <cellStyle name="Milliers 2 2 2 4 3 2 2 2 2" xfId="6895"/>
    <cellStyle name="Milliers 2 2 2 4 3 2 2 2 2 2" xfId="6896"/>
    <cellStyle name="Milliers 2 2 2 4 3 2 2 2 2 2 2" xfId="6897"/>
    <cellStyle name="Milliers 2 2 2 4 3 2 2 2 2 2 2 2" xfId="6898"/>
    <cellStyle name="Milliers 2 2 2 4 3 2 2 2 2 2 2 2 2" xfId="6899"/>
    <cellStyle name="Milliers 2 2 2 4 3 2 2 2 2 2 2 3" xfId="6900"/>
    <cellStyle name="Milliers 2 2 2 4 3 2 2 2 2 2 3" xfId="6901"/>
    <cellStyle name="Milliers 2 2 2 4 3 2 2 2 2 2 3 2" xfId="6902"/>
    <cellStyle name="Milliers 2 2 2 4 3 2 2 2 2 2 4" xfId="6903"/>
    <cellStyle name="Milliers 2 2 2 4 3 2 2 2 2 3" xfId="6904"/>
    <cellStyle name="Milliers 2 2 2 4 3 2 2 2 2 3 2" xfId="6905"/>
    <cellStyle name="Milliers 2 2 2 4 3 2 2 2 2 3 2 2" xfId="6906"/>
    <cellStyle name="Milliers 2 2 2 4 3 2 2 2 2 3 3" xfId="6907"/>
    <cellStyle name="Milliers 2 2 2 4 3 2 2 2 2 4" xfId="6908"/>
    <cellStyle name="Milliers 2 2 2 4 3 2 2 2 2 4 2" xfId="6909"/>
    <cellStyle name="Milliers 2 2 2 4 3 2 2 2 2 5" xfId="6910"/>
    <cellStyle name="Milliers 2 2 2 4 3 2 2 2 3" xfId="6911"/>
    <cellStyle name="Milliers 2 2 2 4 3 2 2 2 3 2" xfId="6912"/>
    <cellStyle name="Milliers 2 2 2 4 3 2 2 2 3 2 2" xfId="6913"/>
    <cellStyle name="Milliers 2 2 2 4 3 2 2 2 3 2 2 2" xfId="6914"/>
    <cellStyle name="Milliers 2 2 2 4 3 2 2 2 3 2 3" xfId="6915"/>
    <cellStyle name="Milliers 2 2 2 4 3 2 2 2 3 3" xfId="6916"/>
    <cellStyle name="Milliers 2 2 2 4 3 2 2 2 3 3 2" xfId="6917"/>
    <cellStyle name="Milliers 2 2 2 4 3 2 2 2 3 4" xfId="6918"/>
    <cellStyle name="Milliers 2 2 2 4 3 2 2 2 4" xfId="6919"/>
    <cellStyle name="Milliers 2 2 2 4 3 2 2 2 4 2" xfId="6920"/>
    <cellStyle name="Milliers 2 2 2 4 3 2 2 2 4 2 2" xfId="6921"/>
    <cellStyle name="Milliers 2 2 2 4 3 2 2 2 4 3" xfId="6922"/>
    <cellStyle name="Milliers 2 2 2 4 3 2 2 2 5" xfId="6923"/>
    <cellStyle name="Milliers 2 2 2 4 3 2 2 2 5 2" xfId="6924"/>
    <cellStyle name="Milliers 2 2 2 4 3 2 2 2 6" xfId="6925"/>
    <cellStyle name="Milliers 2 2 2 4 3 2 2 3" xfId="6926"/>
    <cellStyle name="Milliers 2 2 2 4 3 2 2 3 2" xfId="6927"/>
    <cellStyle name="Milliers 2 2 2 4 3 2 2 3 2 2" xfId="6928"/>
    <cellStyle name="Milliers 2 2 2 4 3 2 2 3 2 2 2" xfId="6929"/>
    <cellStyle name="Milliers 2 2 2 4 3 2 2 3 2 2 2 2" xfId="6930"/>
    <cellStyle name="Milliers 2 2 2 4 3 2 2 3 2 2 3" xfId="6931"/>
    <cellStyle name="Milliers 2 2 2 4 3 2 2 3 2 3" xfId="6932"/>
    <cellStyle name="Milliers 2 2 2 4 3 2 2 3 2 3 2" xfId="6933"/>
    <cellStyle name="Milliers 2 2 2 4 3 2 2 3 2 4" xfId="6934"/>
    <cellStyle name="Milliers 2 2 2 4 3 2 2 3 3" xfId="6935"/>
    <cellStyle name="Milliers 2 2 2 4 3 2 2 3 3 2" xfId="6936"/>
    <cellStyle name="Milliers 2 2 2 4 3 2 2 3 3 2 2" xfId="6937"/>
    <cellStyle name="Milliers 2 2 2 4 3 2 2 3 3 3" xfId="6938"/>
    <cellStyle name="Milliers 2 2 2 4 3 2 2 3 4" xfId="6939"/>
    <cellStyle name="Milliers 2 2 2 4 3 2 2 3 4 2" xfId="6940"/>
    <cellStyle name="Milliers 2 2 2 4 3 2 2 3 5" xfId="6941"/>
    <cellStyle name="Milliers 2 2 2 4 3 2 2 4" xfId="6942"/>
    <cellStyle name="Milliers 2 2 2 4 3 2 2 4 2" xfId="6943"/>
    <cellStyle name="Milliers 2 2 2 4 3 2 2 4 2 2" xfId="6944"/>
    <cellStyle name="Milliers 2 2 2 4 3 2 2 4 2 2 2" xfId="6945"/>
    <cellStyle name="Milliers 2 2 2 4 3 2 2 4 2 3" xfId="6946"/>
    <cellStyle name="Milliers 2 2 2 4 3 2 2 4 3" xfId="6947"/>
    <cellStyle name="Milliers 2 2 2 4 3 2 2 4 3 2" xfId="6948"/>
    <cellStyle name="Milliers 2 2 2 4 3 2 2 4 4" xfId="6949"/>
    <cellStyle name="Milliers 2 2 2 4 3 2 2 5" xfId="6950"/>
    <cellStyle name="Milliers 2 2 2 4 3 2 2 5 2" xfId="6951"/>
    <cellStyle name="Milliers 2 2 2 4 3 2 2 5 2 2" xfId="6952"/>
    <cellStyle name="Milliers 2 2 2 4 3 2 2 5 3" xfId="6953"/>
    <cellStyle name="Milliers 2 2 2 4 3 2 2 6" xfId="6954"/>
    <cellStyle name="Milliers 2 2 2 4 3 2 2 6 2" xfId="6955"/>
    <cellStyle name="Milliers 2 2 2 4 3 2 2 7" xfId="6956"/>
    <cellStyle name="Milliers 2 2 2 4 3 2 3" xfId="6957"/>
    <cellStyle name="Milliers 2 2 2 4 3 2 3 2" xfId="6958"/>
    <cellStyle name="Milliers 2 2 2 4 3 2 3 2 2" xfId="6959"/>
    <cellStyle name="Milliers 2 2 2 4 3 2 3 2 2 2" xfId="6960"/>
    <cellStyle name="Milliers 2 2 2 4 3 2 3 2 2 2 2" xfId="6961"/>
    <cellStyle name="Milliers 2 2 2 4 3 2 3 2 2 2 2 2" xfId="6962"/>
    <cellStyle name="Milliers 2 2 2 4 3 2 3 2 2 2 3" xfId="6963"/>
    <cellStyle name="Milliers 2 2 2 4 3 2 3 2 2 3" xfId="6964"/>
    <cellStyle name="Milliers 2 2 2 4 3 2 3 2 2 3 2" xfId="6965"/>
    <cellStyle name="Milliers 2 2 2 4 3 2 3 2 2 4" xfId="6966"/>
    <cellStyle name="Milliers 2 2 2 4 3 2 3 2 3" xfId="6967"/>
    <cellStyle name="Milliers 2 2 2 4 3 2 3 2 3 2" xfId="6968"/>
    <cellStyle name="Milliers 2 2 2 4 3 2 3 2 3 2 2" xfId="6969"/>
    <cellStyle name="Milliers 2 2 2 4 3 2 3 2 3 3" xfId="6970"/>
    <cellStyle name="Milliers 2 2 2 4 3 2 3 2 4" xfId="6971"/>
    <cellStyle name="Milliers 2 2 2 4 3 2 3 2 4 2" xfId="6972"/>
    <cellStyle name="Milliers 2 2 2 4 3 2 3 2 5" xfId="6973"/>
    <cellStyle name="Milliers 2 2 2 4 3 2 3 3" xfId="6974"/>
    <cellStyle name="Milliers 2 2 2 4 3 2 3 3 2" xfId="6975"/>
    <cellStyle name="Milliers 2 2 2 4 3 2 3 3 2 2" xfId="6976"/>
    <cellStyle name="Milliers 2 2 2 4 3 2 3 3 2 2 2" xfId="6977"/>
    <cellStyle name="Milliers 2 2 2 4 3 2 3 3 2 3" xfId="6978"/>
    <cellStyle name="Milliers 2 2 2 4 3 2 3 3 3" xfId="6979"/>
    <cellStyle name="Milliers 2 2 2 4 3 2 3 3 3 2" xfId="6980"/>
    <cellStyle name="Milliers 2 2 2 4 3 2 3 3 4" xfId="6981"/>
    <cellStyle name="Milliers 2 2 2 4 3 2 3 4" xfId="6982"/>
    <cellStyle name="Milliers 2 2 2 4 3 2 3 4 2" xfId="6983"/>
    <cellStyle name="Milliers 2 2 2 4 3 2 3 4 2 2" xfId="6984"/>
    <cellStyle name="Milliers 2 2 2 4 3 2 3 4 3" xfId="6985"/>
    <cellStyle name="Milliers 2 2 2 4 3 2 3 5" xfId="6986"/>
    <cellStyle name="Milliers 2 2 2 4 3 2 3 5 2" xfId="6987"/>
    <cellStyle name="Milliers 2 2 2 4 3 2 3 6" xfId="6988"/>
    <cellStyle name="Milliers 2 2 2 4 3 2 4" xfId="6989"/>
    <cellStyle name="Milliers 2 2 2 4 3 2 4 2" xfId="6990"/>
    <cellStyle name="Milliers 2 2 2 4 3 2 4 2 2" xfId="6991"/>
    <cellStyle name="Milliers 2 2 2 4 3 2 4 2 2 2" xfId="6992"/>
    <cellStyle name="Milliers 2 2 2 4 3 2 4 2 2 2 2" xfId="6993"/>
    <cellStyle name="Milliers 2 2 2 4 3 2 4 2 2 3" xfId="6994"/>
    <cellStyle name="Milliers 2 2 2 4 3 2 4 2 3" xfId="6995"/>
    <cellStyle name="Milliers 2 2 2 4 3 2 4 2 3 2" xfId="6996"/>
    <cellStyle name="Milliers 2 2 2 4 3 2 4 2 4" xfId="6997"/>
    <cellStyle name="Milliers 2 2 2 4 3 2 4 3" xfId="6998"/>
    <cellStyle name="Milliers 2 2 2 4 3 2 4 3 2" xfId="6999"/>
    <cellStyle name="Milliers 2 2 2 4 3 2 4 3 2 2" xfId="7000"/>
    <cellStyle name="Milliers 2 2 2 4 3 2 4 3 3" xfId="7001"/>
    <cellStyle name="Milliers 2 2 2 4 3 2 4 4" xfId="7002"/>
    <cellStyle name="Milliers 2 2 2 4 3 2 4 4 2" xfId="7003"/>
    <cellStyle name="Milliers 2 2 2 4 3 2 4 5" xfId="7004"/>
    <cellStyle name="Milliers 2 2 2 4 3 2 5" xfId="7005"/>
    <cellStyle name="Milliers 2 2 2 4 3 2 5 2" xfId="7006"/>
    <cellStyle name="Milliers 2 2 2 4 3 2 5 2 2" xfId="7007"/>
    <cellStyle name="Milliers 2 2 2 4 3 2 5 2 2 2" xfId="7008"/>
    <cellStyle name="Milliers 2 2 2 4 3 2 5 2 3" xfId="7009"/>
    <cellStyle name="Milliers 2 2 2 4 3 2 5 3" xfId="7010"/>
    <cellStyle name="Milliers 2 2 2 4 3 2 5 3 2" xfId="7011"/>
    <cellStyle name="Milliers 2 2 2 4 3 2 5 4" xfId="7012"/>
    <cellStyle name="Milliers 2 2 2 4 3 2 6" xfId="7013"/>
    <cellStyle name="Milliers 2 2 2 4 3 2 6 2" xfId="7014"/>
    <cellStyle name="Milliers 2 2 2 4 3 2 6 2 2" xfId="7015"/>
    <cellStyle name="Milliers 2 2 2 4 3 2 6 3" xfId="7016"/>
    <cellStyle name="Milliers 2 2 2 4 3 2 7" xfId="7017"/>
    <cellStyle name="Milliers 2 2 2 4 3 2 7 2" xfId="7018"/>
    <cellStyle name="Milliers 2 2 2 4 3 2 8" xfId="7019"/>
    <cellStyle name="Milliers 2 2 2 4 3 3" xfId="7020"/>
    <cellStyle name="Milliers 2 2 2 4 3 3 2" xfId="7021"/>
    <cellStyle name="Milliers 2 2 2 4 3 3 2 2" xfId="7022"/>
    <cellStyle name="Milliers 2 2 2 4 3 3 2 2 2" xfId="7023"/>
    <cellStyle name="Milliers 2 2 2 4 3 3 2 2 2 2" xfId="7024"/>
    <cellStyle name="Milliers 2 2 2 4 3 3 2 2 2 2 2" xfId="7025"/>
    <cellStyle name="Milliers 2 2 2 4 3 3 2 2 2 2 2 2" xfId="7026"/>
    <cellStyle name="Milliers 2 2 2 4 3 3 2 2 2 2 3" xfId="7027"/>
    <cellStyle name="Milliers 2 2 2 4 3 3 2 2 2 3" xfId="7028"/>
    <cellStyle name="Milliers 2 2 2 4 3 3 2 2 2 3 2" xfId="7029"/>
    <cellStyle name="Milliers 2 2 2 4 3 3 2 2 2 4" xfId="7030"/>
    <cellStyle name="Milliers 2 2 2 4 3 3 2 2 3" xfId="7031"/>
    <cellStyle name="Milliers 2 2 2 4 3 3 2 2 3 2" xfId="7032"/>
    <cellStyle name="Milliers 2 2 2 4 3 3 2 2 3 2 2" xfId="7033"/>
    <cellStyle name="Milliers 2 2 2 4 3 3 2 2 3 3" xfId="7034"/>
    <cellStyle name="Milliers 2 2 2 4 3 3 2 2 4" xfId="7035"/>
    <cellStyle name="Milliers 2 2 2 4 3 3 2 2 4 2" xfId="7036"/>
    <cellStyle name="Milliers 2 2 2 4 3 3 2 2 5" xfId="7037"/>
    <cellStyle name="Milliers 2 2 2 4 3 3 2 3" xfId="7038"/>
    <cellStyle name="Milliers 2 2 2 4 3 3 2 3 2" xfId="7039"/>
    <cellStyle name="Milliers 2 2 2 4 3 3 2 3 2 2" xfId="7040"/>
    <cellStyle name="Milliers 2 2 2 4 3 3 2 3 2 2 2" xfId="7041"/>
    <cellStyle name="Milliers 2 2 2 4 3 3 2 3 2 3" xfId="7042"/>
    <cellStyle name="Milliers 2 2 2 4 3 3 2 3 3" xfId="7043"/>
    <cellStyle name="Milliers 2 2 2 4 3 3 2 3 3 2" xfId="7044"/>
    <cellStyle name="Milliers 2 2 2 4 3 3 2 3 4" xfId="7045"/>
    <cellStyle name="Milliers 2 2 2 4 3 3 2 4" xfId="7046"/>
    <cellStyle name="Milliers 2 2 2 4 3 3 2 4 2" xfId="7047"/>
    <cellStyle name="Milliers 2 2 2 4 3 3 2 4 2 2" xfId="7048"/>
    <cellStyle name="Milliers 2 2 2 4 3 3 2 4 3" xfId="7049"/>
    <cellStyle name="Milliers 2 2 2 4 3 3 2 5" xfId="7050"/>
    <cellStyle name="Milliers 2 2 2 4 3 3 2 5 2" xfId="7051"/>
    <cellStyle name="Milliers 2 2 2 4 3 3 2 6" xfId="7052"/>
    <cellStyle name="Milliers 2 2 2 4 3 3 3" xfId="7053"/>
    <cellStyle name="Milliers 2 2 2 4 3 3 3 2" xfId="7054"/>
    <cellStyle name="Milliers 2 2 2 4 3 3 3 2 2" xfId="7055"/>
    <cellStyle name="Milliers 2 2 2 4 3 3 3 2 2 2" xfId="7056"/>
    <cellStyle name="Milliers 2 2 2 4 3 3 3 2 2 2 2" xfId="7057"/>
    <cellStyle name="Milliers 2 2 2 4 3 3 3 2 2 3" xfId="7058"/>
    <cellStyle name="Milliers 2 2 2 4 3 3 3 2 3" xfId="7059"/>
    <cellStyle name="Milliers 2 2 2 4 3 3 3 2 3 2" xfId="7060"/>
    <cellStyle name="Milliers 2 2 2 4 3 3 3 2 4" xfId="7061"/>
    <cellStyle name="Milliers 2 2 2 4 3 3 3 3" xfId="7062"/>
    <cellStyle name="Milliers 2 2 2 4 3 3 3 3 2" xfId="7063"/>
    <cellStyle name="Milliers 2 2 2 4 3 3 3 3 2 2" xfId="7064"/>
    <cellStyle name="Milliers 2 2 2 4 3 3 3 3 3" xfId="7065"/>
    <cellStyle name="Milliers 2 2 2 4 3 3 3 4" xfId="7066"/>
    <cellStyle name="Milliers 2 2 2 4 3 3 3 4 2" xfId="7067"/>
    <cellStyle name="Milliers 2 2 2 4 3 3 3 5" xfId="7068"/>
    <cellStyle name="Milliers 2 2 2 4 3 3 4" xfId="7069"/>
    <cellStyle name="Milliers 2 2 2 4 3 3 4 2" xfId="7070"/>
    <cellStyle name="Milliers 2 2 2 4 3 3 4 2 2" xfId="7071"/>
    <cellStyle name="Milliers 2 2 2 4 3 3 4 2 2 2" xfId="7072"/>
    <cellStyle name="Milliers 2 2 2 4 3 3 4 2 3" xfId="7073"/>
    <cellStyle name="Milliers 2 2 2 4 3 3 4 3" xfId="7074"/>
    <cellStyle name="Milliers 2 2 2 4 3 3 4 3 2" xfId="7075"/>
    <cellStyle name="Milliers 2 2 2 4 3 3 4 4" xfId="7076"/>
    <cellStyle name="Milliers 2 2 2 4 3 3 5" xfId="7077"/>
    <cellStyle name="Milliers 2 2 2 4 3 3 5 2" xfId="7078"/>
    <cellStyle name="Milliers 2 2 2 4 3 3 5 2 2" xfId="7079"/>
    <cellStyle name="Milliers 2 2 2 4 3 3 5 3" xfId="7080"/>
    <cellStyle name="Milliers 2 2 2 4 3 3 6" xfId="7081"/>
    <cellStyle name="Milliers 2 2 2 4 3 3 6 2" xfId="7082"/>
    <cellStyle name="Milliers 2 2 2 4 3 3 7" xfId="7083"/>
    <cellStyle name="Milliers 2 2 2 4 3 4" xfId="7084"/>
    <cellStyle name="Milliers 2 2 2 4 3 4 2" xfId="7085"/>
    <cellStyle name="Milliers 2 2 2 4 3 4 2 2" xfId="7086"/>
    <cellStyle name="Milliers 2 2 2 4 3 4 2 2 2" xfId="7087"/>
    <cellStyle name="Milliers 2 2 2 4 3 4 2 2 2 2" xfId="7088"/>
    <cellStyle name="Milliers 2 2 2 4 3 4 2 2 2 2 2" xfId="7089"/>
    <cellStyle name="Milliers 2 2 2 4 3 4 2 2 2 3" xfId="7090"/>
    <cellStyle name="Milliers 2 2 2 4 3 4 2 2 3" xfId="7091"/>
    <cellStyle name="Milliers 2 2 2 4 3 4 2 2 3 2" xfId="7092"/>
    <cellStyle name="Milliers 2 2 2 4 3 4 2 2 4" xfId="7093"/>
    <cellStyle name="Milliers 2 2 2 4 3 4 2 3" xfId="7094"/>
    <cellStyle name="Milliers 2 2 2 4 3 4 2 3 2" xfId="7095"/>
    <cellStyle name="Milliers 2 2 2 4 3 4 2 3 2 2" xfId="7096"/>
    <cellStyle name="Milliers 2 2 2 4 3 4 2 3 3" xfId="7097"/>
    <cellStyle name="Milliers 2 2 2 4 3 4 2 4" xfId="7098"/>
    <cellStyle name="Milliers 2 2 2 4 3 4 2 4 2" xfId="7099"/>
    <cellStyle name="Milliers 2 2 2 4 3 4 2 5" xfId="7100"/>
    <cellStyle name="Milliers 2 2 2 4 3 4 3" xfId="7101"/>
    <cellStyle name="Milliers 2 2 2 4 3 4 3 2" xfId="7102"/>
    <cellStyle name="Milliers 2 2 2 4 3 4 3 2 2" xfId="7103"/>
    <cellStyle name="Milliers 2 2 2 4 3 4 3 2 2 2" xfId="7104"/>
    <cellStyle name="Milliers 2 2 2 4 3 4 3 2 3" xfId="7105"/>
    <cellStyle name="Milliers 2 2 2 4 3 4 3 3" xfId="7106"/>
    <cellStyle name="Milliers 2 2 2 4 3 4 3 3 2" xfId="7107"/>
    <cellStyle name="Milliers 2 2 2 4 3 4 3 4" xfId="7108"/>
    <cellStyle name="Milliers 2 2 2 4 3 4 4" xfId="7109"/>
    <cellStyle name="Milliers 2 2 2 4 3 4 4 2" xfId="7110"/>
    <cellStyle name="Milliers 2 2 2 4 3 4 4 2 2" xfId="7111"/>
    <cellStyle name="Milliers 2 2 2 4 3 4 4 3" xfId="7112"/>
    <cellStyle name="Milliers 2 2 2 4 3 4 5" xfId="7113"/>
    <cellStyle name="Milliers 2 2 2 4 3 4 5 2" xfId="7114"/>
    <cellStyle name="Milliers 2 2 2 4 3 4 6" xfId="7115"/>
    <cellStyle name="Milliers 2 2 2 4 3 5" xfId="7116"/>
    <cellStyle name="Milliers 2 2 2 4 3 5 2" xfId="7117"/>
    <cellStyle name="Milliers 2 2 2 4 3 5 2 2" xfId="7118"/>
    <cellStyle name="Milliers 2 2 2 4 3 5 2 2 2" xfId="7119"/>
    <cellStyle name="Milliers 2 2 2 4 3 5 2 2 2 2" xfId="7120"/>
    <cellStyle name="Milliers 2 2 2 4 3 5 2 2 3" xfId="7121"/>
    <cellStyle name="Milliers 2 2 2 4 3 5 2 3" xfId="7122"/>
    <cellStyle name="Milliers 2 2 2 4 3 5 2 3 2" xfId="7123"/>
    <cellStyle name="Milliers 2 2 2 4 3 5 2 4" xfId="7124"/>
    <cellStyle name="Milliers 2 2 2 4 3 5 3" xfId="7125"/>
    <cellStyle name="Milliers 2 2 2 4 3 5 3 2" xfId="7126"/>
    <cellStyle name="Milliers 2 2 2 4 3 5 3 2 2" xfId="7127"/>
    <cellStyle name="Milliers 2 2 2 4 3 5 3 3" xfId="7128"/>
    <cellStyle name="Milliers 2 2 2 4 3 5 4" xfId="7129"/>
    <cellStyle name="Milliers 2 2 2 4 3 5 4 2" xfId="7130"/>
    <cellStyle name="Milliers 2 2 2 4 3 5 5" xfId="7131"/>
    <cellStyle name="Milliers 2 2 2 4 3 6" xfId="7132"/>
    <cellStyle name="Milliers 2 2 2 4 3 6 2" xfId="7133"/>
    <cellStyle name="Milliers 2 2 2 4 3 6 2 2" xfId="7134"/>
    <cellStyle name="Milliers 2 2 2 4 3 6 2 2 2" xfId="7135"/>
    <cellStyle name="Milliers 2 2 2 4 3 6 2 3" xfId="7136"/>
    <cellStyle name="Milliers 2 2 2 4 3 6 3" xfId="7137"/>
    <cellStyle name="Milliers 2 2 2 4 3 6 3 2" xfId="7138"/>
    <cellStyle name="Milliers 2 2 2 4 3 6 4" xfId="7139"/>
    <cellStyle name="Milliers 2 2 2 4 3 7" xfId="7140"/>
    <cellStyle name="Milliers 2 2 2 4 3 7 2" xfId="7141"/>
    <cellStyle name="Milliers 2 2 2 4 3 7 2 2" xfId="7142"/>
    <cellStyle name="Milliers 2 2 2 4 3 7 3" xfId="7143"/>
    <cellStyle name="Milliers 2 2 2 4 3 8" xfId="7144"/>
    <cellStyle name="Milliers 2 2 2 4 3 8 2" xfId="7145"/>
    <cellStyle name="Milliers 2 2 2 4 3 9" xfId="7146"/>
    <cellStyle name="Milliers 2 2 2 4 4" xfId="7147"/>
    <cellStyle name="Milliers 2 2 2 4 4 2" xfId="7148"/>
    <cellStyle name="Milliers 2 2 2 4 4 2 2" xfId="7149"/>
    <cellStyle name="Milliers 2 2 2 4 4 2 2 2" xfId="7150"/>
    <cellStyle name="Milliers 2 2 2 4 4 2 2 2 2" xfId="7151"/>
    <cellStyle name="Milliers 2 2 2 4 4 2 2 2 2 2" xfId="7152"/>
    <cellStyle name="Milliers 2 2 2 4 4 2 2 2 2 2 2" xfId="7153"/>
    <cellStyle name="Milliers 2 2 2 4 4 2 2 2 2 2 2 2" xfId="7154"/>
    <cellStyle name="Milliers 2 2 2 4 4 2 2 2 2 2 3" xfId="7155"/>
    <cellStyle name="Milliers 2 2 2 4 4 2 2 2 2 3" xfId="7156"/>
    <cellStyle name="Milliers 2 2 2 4 4 2 2 2 2 3 2" xfId="7157"/>
    <cellStyle name="Milliers 2 2 2 4 4 2 2 2 2 4" xfId="7158"/>
    <cellStyle name="Milliers 2 2 2 4 4 2 2 2 3" xfId="7159"/>
    <cellStyle name="Milliers 2 2 2 4 4 2 2 2 3 2" xfId="7160"/>
    <cellStyle name="Milliers 2 2 2 4 4 2 2 2 3 2 2" xfId="7161"/>
    <cellStyle name="Milliers 2 2 2 4 4 2 2 2 3 3" xfId="7162"/>
    <cellStyle name="Milliers 2 2 2 4 4 2 2 2 4" xfId="7163"/>
    <cellStyle name="Milliers 2 2 2 4 4 2 2 2 4 2" xfId="7164"/>
    <cellStyle name="Milliers 2 2 2 4 4 2 2 2 5" xfId="7165"/>
    <cellStyle name="Milliers 2 2 2 4 4 2 2 3" xfId="7166"/>
    <cellStyle name="Milliers 2 2 2 4 4 2 2 3 2" xfId="7167"/>
    <cellStyle name="Milliers 2 2 2 4 4 2 2 3 2 2" xfId="7168"/>
    <cellStyle name="Milliers 2 2 2 4 4 2 2 3 2 2 2" xfId="7169"/>
    <cellStyle name="Milliers 2 2 2 4 4 2 2 3 2 3" xfId="7170"/>
    <cellStyle name="Milliers 2 2 2 4 4 2 2 3 3" xfId="7171"/>
    <cellStyle name="Milliers 2 2 2 4 4 2 2 3 3 2" xfId="7172"/>
    <cellStyle name="Milliers 2 2 2 4 4 2 2 3 4" xfId="7173"/>
    <cellStyle name="Milliers 2 2 2 4 4 2 2 4" xfId="7174"/>
    <cellStyle name="Milliers 2 2 2 4 4 2 2 4 2" xfId="7175"/>
    <cellStyle name="Milliers 2 2 2 4 4 2 2 4 2 2" xfId="7176"/>
    <cellStyle name="Milliers 2 2 2 4 4 2 2 4 3" xfId="7177"/>
    <cellStyle name="Milliers 2 2 2 4 4 2 2 5" xfId="7178"/>
    <cellStyle name="Milliers 2 2 2 4 4 2 2 5 2" xfId="7179"/>
    <cellStyle name="Milliers 2 2 2 4 4 2 2 6" xfId="7180"/>
    <cellStyle name="Milliers 2 2 2 4 4 2 3" xfId="7181"/>
    <cellStyle name="Milliers 2 2 2 4 4 2 3 2" xfId="7182"/>
    <cellStyle name="Milliers 2 2 2 4 4 2 3 2 2" xfId="7183"/>
    <cellStyle name="Milliers 2 2 2 4 4 2 3 2 2 2" xfId="7184"/>
    <cellStyle name="Milliers 2 2 2 4 4 2 3 2 2 2 2" xfId="7185"/>
    <cellStyle name="Milliers 2 2 2 4 4 2 3 2 2 3" xfId="7186"/>
    <cellStyle name="Milliers 2 2 2 4 4 2 3 2 3" xfId="7187"/>
    <cellStyle name="Milliers 2 2 2 4 4 2 3 2 3 2" xfId="7188"/>
    <cellStyle name="Milliers 2 2 2 4 4 2 3 2 4" xfId="7189"/>
    <cellStyle name="Milliers 2 2 2 4 4 2 3 3" xfId="7190"/>
    <cellStyle name="Milliers 2 2 2 4 4 2 3 3 2" xfId="7191"/>
    <cellStyle name="Milliers 2 2 2 4 4 2 3 3 2 2" xfId="7192"/>
    <cellStyle name="Milliers 2 2 2 4 4 2 3 3 3" xfId="7193"/>
    <cellStyle name="Milliers 2 2 2 4 4 2 3 4" xfId="7194"/>
    <cellStyle name="Milliers 2 2 2 4 4 2 3 4 2" xfId="7195"/>
    <cellStyle name="Milliers 2 2 2 4 4 2 3 5" xfId="7196"/>
    <cellStyle name="Milliers 2 2 2 4 4 2 4" xfId="7197"/>
    <cellStyle name="Milliers 2 2 2 4 4 2 4 2" xfId="7198"/>
    <cellStyle name="Milliers 2 2 2 4 4 2 4 2 2" xfId="7199"/>
    <cellStyle name="Milliers 2 2 2 4 4 2 4 2 2 2" xfId="7200"/>
    <cellStyle name="Milliers 2 2 2 4 4 2 4 2 3" xfId="7201"/>
    <cellStyle name="Milliers 2 2 2 4 4 2 4 3" xfId="7202"/>
    <cellStyle name="Milliers 2 2 2 4 4 2 4 3 2" xfId="7203"/>
    <cellStyle name="Milliers 2 2 2 4 4 2 4 4" xfId="7204"/>
    <cellStyle name="Milliers 2 2 2 4 4 2 5" xfId="7205"/>
    <cellStyle name="Milliers 2 2 2 4 4 2 5 2" xfId="7206"/>
    <cellStyle name="Milliers 2 2 2 4 4 2 5 2 2" xfId="7207"/>
    <cellStyle name="Milliers 2 2 2 4 4 2 5 3" xfId="7208"/>
    <cellStyle name="Milliers 2 2 2 4 4 2 6" xfId="7209"/>
    <cellStyle name="Milliers 2 2 2 4 4 2 6 2" xfId="7210"/>
    <cellStyle name="Milliers 2 2 2 4 4 2 7" xfId="7211"/>
    <cellStyle name="Milliers 2 2 2 4 4 3" xfId="7212"/>
    <cellStyle name="Milliers 2 2 2 4 4 3 2" xfId="7213"/>
    <cellStyle name="Milliers 2 2 2 4 4 3 2 2" xfId="7214"/>
    <cellStyle name="Milliers 2 2 2 4 4 3 2 2 2" xfId="7215"/>
    <cellStyle name="Milliers 2 2 2 4 4 3 2 2 2 2" xfId="7216"/>
    <cellStyle name="Milliers 2 2 2 4 4 3 2 2 2 2 2" xfId="7217"/>
    <cellStyle name="Milliers 2 2 2 4 4 3 2 2 2 3" xfId="7218"/>
    <cellStyle name="Milliers 2 2 2 4 4 3 2 2 3" xfId="7219"/>
    <cellStyle name="Milliers 2 2 2 4 4 3 2 2 3 2" xfId="7220"/>
    <cellStyle name="Milliers 2 2 2 4 4 3 2 2 4" xfId="7221"/>
    <cellStyle name="Milliers 2 2 2 4 4 3 2 3" xfId="7222"/>
    <cellStyle name="Milliers 2 2 2 4 4 3 2 3 2" xfId="7223"/>
    <cellStyle name="Milliers 2 2 2 4 4 3 2 3 2 2" xfId="7224"/>
    <cellStyle name="Milliers 2 2 2 4 4 3 2 3 3" xfId="7225"/>
    <cellStyle name="Milliers 2 2 2 4 4 3 2 4" xfId="7226"/>
    <cellStyle name="Milliers 2 2 2 4 4 3 2 4 2" xfId="7227"/>
    <cellStyle name="Milliers 2 2 2 4 4 3 2 5" xfId="7228"/>
    <cellStyle name="Milliers 2 2 2 4 4 3 3" xfId="7229"/>
    <cellStyle name="Milliers 2 2 2 4 4 3 3 2" xfId="7230"/>
    <cellStyle name="Milliers 2 2 2 4 4 3 3 2 2" xfId="7231"/>
    <cellStyle name="Milliers 2 2 2 4 4 3 3 2 2 2" xfId="7232"/>
    <cellStyle name="Milliers 2 2 2 4 4 3 3 2 3" xfId="7233"/>
    <cellStyle name="Milliers 2 2 2 4 4 3 3 3" xfId="7234"/>
    <cellStyle name="Milliers 2 2 2 4 4 3 3 3 2" xfId="7235"/>
    <cellStyle name="Milliers 2 2 2 4 4 3 3 4" xfId="7236"/>
    <cellStyle name="Milliers 2 2 2 4 4 3 4" xfId="7237"/>
    <cellStyle name="Milliers 2 2 2 4 4 3 4 2" xfId="7238"/>
    <cellStyle name="Milliers 2 2 2 4 4 3 4 2 2" xfId="7239"/>
    <cellStyle name="Milliers 2 2 2 4 4 3 4 3" xfId="7240"/>
    <cellStyle name="Milliers 2 2 2 4 4 3 5" xfId="7241"/>
    <cellStyle name="Milliers 2 2 2 4 4 3 5 2" xfId="7242"/>
    <cellStyle name="Milliers 2 2 2 4 4 3 6" xfId="7243"/>
    <cellStyle name="Milliers 2 2 2 4 4 4" xfId="7244"/>
    <cellStyle name="Milliers 2 2 2 4 4 4 2" xfId="7245"/>
    <cellStyle name="Milliers 2 2 2 4 4 4 2 2" xfId="7246"/>
    <cellStyle name="Milliers 2 2 2 4 4 4 2 2 2" xfId="7247"/>
    <cellStyle name="Milliers 2 2 2 4 4 4 2 2 2 2" xfId="7248"/>
    <cellStyle name="Milliers 2 2 2 4 4 4 2 2 3" xfId="7249"/>
    <cellStyle name="Milliers 2 2 2 4 4 4 2 3" xfId="7250"/>
    <cellStyle name="Milliers 2 2 2 4 4 4 2 3 2" xfId="7251"/>
    <cellStyle name="Milliers 2 2 2 4 4 4 2 4" xfId="7252"/>
    <cellStyle name="Milliers 2 2 2 4 4 4 3" xfId="7253"/>
    <cellStyle name="Milliers 2 2 2 4 4 4 3 2" xfId="7254"/>
    <cellStyle name="Milliers 2 2 2 4 4 4 3 2 2" xfId="7255"/>
    <cellStyle name="Milliers 2 2 2 4 4 4 3 3" xfId="7256"/>
    <cellStyle name="Milliers 2 2 2 4 4 4 4" xfId="7257"/>
    <cellStyle name="Milliers 2 2 2 4 4 4 4 2" xfId="7258"/>
    <cellStyle name="Milliers 2 2 2 4 4 4 5" xfId="7259"/>
    <cellStyle name="Milliers 2 2 2 4 4 5" xfId="7260"/>
    <cellStyle name="Milliers 2 2 2 4 4 5 2" xfId="7261"/>
    <cellStyle name="Milliers 2 2 2 4 4 5 2 2" xfId="7262"/>
    <cellStyle name="Milliers 2 2 2 4 4 5 2 2 2" xfId="7263"/>
    <cellStyle name="Milliers 2 2 2 4 4 5 2 3" xfId="7264"/>
    <cellStyle name="Milliers 2 2 2 4 4 5 3" xfId="7265"/>
    <cellStyle name="Milliers 2 2 2 4 4 5 3 2" xfId="7266"/>
    <cellStyle name="Milliers 2 2 2 4 4 5 4" xfId="7267"/>
    <cellStyle name="Milliers 2 2 2 4 4 6" xfId="7268"/>
    <cellStyle name="Milliers 2 2 2 4 4 6 2" xfId="7269"/>
    <cellStyle name="Milliers 2 2 2 4 4 6 2 2" xfId="7270"/>
    <cellStyle name="Milliers 2 2 2 4 4 6 3" xfId="7271"/>
    <cellStyle name="Milliers 2 2 2 4 4 7" xfId="7272"/>
    <cellStyle name="Milliers 2 2 2 4 4 7 2" xfId="7273"/>
    <cellStyle name="Milliers 2 2 2 4 4 8" xfId="7274"/>
    <cellStyle name="Milliers 2 2 2 4 5" xfId="7275"/>
    <cellStyle name="Milliers 2 2 2 4 5 2" xfId="7276"/>
    <cellStyle name="Milliers 2 2 2 4 5 2 2" xfId="7277"/>
    <cellStyle name="Milliers 2 2 2 4 5 2 2 2" xfId="7278"/>
    <cellStyle name="Milliers 2 2 2 4 5 2 2 2 2" xfId="7279"/>
    <cellStyle name="Milliers 2 2 2 4 5 2 2 2 2 2" xfId="7280"/>
    <cellStyle name="Milliers 2 2 2 4 5 2 2 2 2 2 2" xfId="7281"/>
    <cellStyle name="Milliers 2 2 2 4 5 2 2 2 2 3" xfId="7282"/>
    <cellStyle name="Milliers 2 2 2 4 5 2 2 2 3" xfId="7283"/>
    <cellStyle name="Milliers 2 2 2 4 5 2 2 2 3 2" xfId="7284"/>
    <cellStyle name="Milliers 2 2 2 4 5 2 2 2 4" xfId="7285"/>
    <cellStyle name="Milliers 2 2 2 4 5 2 2 3" xfId="7286"/>
    <cellStyle name="Milliers 2 2 2 4 5 2 2 3 2" xfId="7287"/>
    <cellStyle name="Milliers 2 2 2 4 5 2 2 3 2 2" xfId="7288"/>
    <cellStyle name="Milliers 2 2 2 4 5 2 2 3 3" xfId="7289"/>
    <cellStyle name="Milliers 2 2 2 4 5 2 2 4" xfId="7290"/>
    <cellStyle name="Milliers 2 2 2 4 5 2 2 4 2" xfId="7291"/>
    <cellStyle name="Milliers 2 2 2 4 5 2 2 5" xfId="7292"/>
    <cellStyle name="Milliers 2 2 2 4 5 2 3" xfId="7293"/>
    <cellStyle name="Milliers 2 2 2 4 5 2 3 2" xfId="7294"/>
    <cellStyle name="Milliers 2 2 2 4 5 2 3 2 2" xfId="7295"/>
    <cellStyle name="Milliers 2 2 2 4 5 2 3 2 2 2" xfId="7296"/>
    <cellStyle name="Milliers 2 2 2 4 5 2 3 2 3" xfId="7297"/>
    <cellStyle name="Milliers 2 2 2 4 5 2 3 3" xfId="7298"/>
    <cellStyle name="Milliers 2 2 2 4 5 2 3 3 2" xfId="7299"/>
    <cellStyle name="Milliers 2 2 2 4 5 2 3 4" xfId="7300"/>
    <cellStyle name="Milliers 2 2 2 4 5 2 4" xfId="7301"/>
    <cellStyle name="Milliers 2 2 2 4 5 2 4 2" xfId="7302"/>
    <cellStyle name="Milliers 2 2 2 4 5 2 4 2 2" xfId="7303"/>
    <cellStyle name="Milliers 2 2 2 4 5 2 4 3" xfId="7304"/>
    <cellStyle name="Milliers 2 2 2 4 5 2 5" xfId="7305"/>
    <cellStyle name="Milliers 2 2 2 4 5 2 5 2" xfId="7306"/>
    <cellStyle name="Milliers 2 2 2 4 5 2 6" xfId="7307"/>
    <cellStyle name="Milliers 2 2 2 4 5 3" xfId="7308"/>
    <cellStyle name="Milliers 2 2 2 4 5 3 2" xfId="7309"/>
    <cellStyle name="Milliers 2 2 2 4 5 3 2 2" xfId="7310"/>
    <cellStyle name="Milliers 2 2 2 4 5 3 2 2 2" xfId="7311"/>
    <cellStyle name="Milliers 2 2 2 4 5 3 2 2 2 2" xfId="7312"/>
    <cellStyle name="Milliers 2 2 2 4 5 3 2 2 3" xfId="7313"/>
    <cellStyle name="Milliers 2 2 2 4 5 3 2 3" xfId="7314"/>
    <cellStyle name="Milliers 2 2 2 4 5 3 2 3 2" xfId="7315"/>
    <cellStyle name="Milliers 2 2 2 4 5 3 2 4" xfId="7316"/>
    <cellStyle name="Milliers 2 2 2 4 5 3 3" xfId="7317"/>
    <cellStyle name="Milliers 2 2 2 4 5 3 3 2" xfId="7318"/>
    <cellStyle name="Milliers 2 2 2 4 5 3 3 2 2" xfId="7319"/>
    <cellStyle name="Milliers 2 2 2 4 5 3 3 3" xfId="7320"/>
    <cellStyle name="Milliers 2 2 2 4 5 3 4" xfId="7321"/>
    <cellStyle name="Milliers 2 2 2 4 5 3 4 2" xfId="7322"/>
    <cellStyle name="Milliers 2 2 2 4 5 3 5" xfId="7323"/>
    <cellStyle name="Milliers 2 2 2 4 5 4" xfId="7324"/>
    <cellStyle name="Milliers 2 2 2 4 5 4 2" xfId="7325"/>
    <cellStyle name="Milliers 2 2 2 4 5 4 2 2" xfId="7326"/>
    <cellStyle name="Milliers 2 2 2 4 5 4 2 2 2" xfId="7327"/>
    <cellStyle name="Milliers 2 2 2 4 5 4 2 3" xfId="7328"/>
    <cellStyle name="Milliers 2 2 2 4 5 4 3" xfId="7329"/>
    <cellStyle name="Milliers 2 2 2 4 5 4 3 2" xfId="7330"/>
    <cellStyle name="Milliers 2 2 2 4 5 4 4" xfId="7331"/>
    <cellStyle name="Milliers 2 2 2 4 5 5" xfId="7332"/>
    <cellStyle name="Milliers 2 2 2 4 5 5 2" xfId="7333"/>
    <cellStyle name="Milliers 2 2 2 4 5 5 2 2" xfId="7334"/>
    <cellStyle name="Milliers 2 2 2 4 5 5 3" xfId="7335"/>
    <cellStyle name="Milliers 2 2 2 4 5 6" xfId="7336"/>
    <cellStyle name="Milliers 2 2 2 4 5 6 2" xfId="7337"/>
    <cellStyle name="Milliers 2 2 2 4 5 7" xfId="7338"/>
    <cellStyle name="Milliers 2 2 2 4 6" xfId="7339"/>
    <cellStyle name="Milliers 2 2 2 4 6 2" xfId="7340"/>
    <cellStyle name="Milliers 2 2 2 4 6 2 2" xfId="7341"/>
    <cellStyle name="Milliers 2 2 2 4 6 2 2 2" xfId="7342"/>
    <cellStyle name="Milliers 2 2 2 4 6 2 2 2 2" xfId="7343"/>
    <cellStyle name="Milliers 2 2 2 4 6 2 2 2 2 2" xfId="7344"/>
    <cellStyle name="Milliers 2 2 2 4 6 2 2 2 3" xfId="7345"/>
    <cellStyle name="Milliers 2 2 2 4 6 2 2 3" xfId="7346"/>
    <cellStyle name="Milliers 2 2 2 4 6 2 2 3 2" xfId="7347"/>
    <cellStyle name="Milliers 2 2 2 4 6 2 2 4" xfId="7348"/>
    <cellStyle name="Milliers 2 2 2 4 6 2 3" xfId="7349"/>
    <cellStyle name="Milliers 2 2 2 4 6 2 3 2" xfId="7350"/>
    <cellStyle name="Milliers 2 2 2 4 6 2 3 2 2" xfId="7351"/>
    <cellStyle name="Milliers 2 2 2 4 6 2 3 3" xfId="7352"/>
    <cellStyle name="Milliers 2 2 2 4 6 2 4" xfId="7353"/>
    <cellStyle name="Milliers 2 2 2 4 6 2 4 2" xfId="7354"/>
    <cellStyle name="Milliers 2 2 2 4 6 2 5" xfId="7355"/>
    <cellStyle name="Milliers 2 2 2 4 6 3" xfId="7356"/>
    <cellStyle name="Milliers 2 2 2 4 6 3 2" xfId="7357"/>
    <cellStyle name="Milliers 2 2 2 4 6 3 2 2" xfId="7358"/>
    <cellStyle name="Milliers 2 2 2 4 6 3 2 2 2" xfId="7359"/>
    <cellStyle name="Milliers 2 2 2 4 6 3 2 3" xfId="7360"/>
    <cellStyle name="Milliers 2 2 2 4 6 3 3" xfId="7361"/>
    <cellStyle name="Milliers 2 2 2 4 6 3 3 2" xfId="7362"/>
    <cellStyle name="Milliers 2 2 2 4 6 3 4" xfId="7363"/>
    <cellStyle name="Milliers 2 2 2 4 6 4" xfId="7364"/>
    <cellStyle name="Milliers 2 2 2 4 6 4 2" xfId="7365"/>
    <cellStyle name="Milliers 2 2 2 4 6 4 2 2" xfId="7366"/>
    <cellStyle name="Milliers 2 2 2 4 6 4 3" xfId="7367"/>
    <cellStyle name="Milliers 2 2 2 4 6 5" xfId="7368"/>
    <cellStyle name="Milliers 2 2 2 4 6 5 2" xfId="7369"/>
    <cellStyle name="Milliers 2 2 2 4 6 6" xfId="7370"/>
    <cellStyle name="Milliers 2 2 2 4 7" xfId="7371"/>
    <cellStyle name="Milliers 2 2 2 4 7 2" xfId="7372"/>
    <cellStyle name="Milliers 2 2 2 4 7 2 2" xfId="7373"/>
    <cellStyle name="Milliers 2 2 2 4 7 2 2 2" xfId="7374"/>
    <cellStyle name="Milliers 2 2 2 4 7 2 2 2 2" xfId="7375"/>
    <cellStyle name="Milliers 2 2 2 4 7 2 2 3" xfId="7376"/>
    <cellStyle name="Milliers 2 2 2 4 7 2 3" xfId="7377"/>
    <cellStyle name="Milliers 2 2 2 4 7 2 3 2" xfId="7378"/>
    <cellStyle name="Milliers 2 2 2 4 7 2 4" xfId="7379"/>
    <cellStyle name="Milliers 2 2 2 4 7 3" xfId="7380"/>
    <cellStyle name="Milliers 2 2 2 4 7 3 2" xfId="7381"/>
    <cellStyle name="Milliers 2 2 2 4 7 3 2 2" xfId="7382"/>
    <cellStyle name="Milliers 2 2 2 4 7 3 3" xfId="7383"/>
    <cellStyle name="Milliers 2 2 2 4 7 4" xfId="7384"/>
    <cellStyle name="Milliers 2 2 2 4 7 4 2" xfId="7385"/>
    <cellStyle name="Milliers 2 2 2 4 7 5" xfId="7386"/>
    <cellStyle name="Milliers 2 2 2 4 8" xfId="7387"/>
    <cellStyle name="Milliers 2 2 2 4 8 2" xfId="7388"/>
    <cellStyle name="Milliers 2 2 2 4 8 2 2" xfId="7389"/>
    <cellStyle name="Milliers 2 2 2 4 8 2 2 2" xfId="7390"/>
    <cellStyle name="Milliers 2 2 2 4 8 2 3" xfId="7391"/>
    <cellStyle name="Milliers 2 2 2 4 8 3" xfId="7392"/>
    <cellStyle name="Milliers 2 2 2 4 8 3 2" xfId="7393"/>
    <cellStyle name="Milliers 2 2 2 4 8 4" xfId="7394"/>
    <cellStyle name="Milliers 2 2 2 4 9" xfId="7395"/>
    <cellStyle name="Milliers 2 2 2 4 9 2" xfId="7396"/>
    <cellStyle name="Milliers 2 2 2 4 9 2 2" xfId="7397"/>
    <cellStyle name="Milliers 2 2 2 4 9 3" xfId="7398"/>
    <cellStyle name="Milliers 2 2 2 5" xfId="7399"/>
    <cellStyle name="Milliers 2 2 2 5 10" xfId="7400"/>
    <cellStyle name="Milliers 2 2 2 5 2" xfId="7401"/>
    <cellStyle name="Milliers 2 2 2 5 2 2" xfId="7402"/>
    <cellStyle name="Milliers 2 2 2 5 2 2 2" xfId="7403"/>
    <cellStyle name="Milliers 2 2 2 5 2 2 2 2" xfId="7404"/>
    <cellStyle name="Milliers 2 2 2 5 2 2 2 2 2" xfId="7405"/>
    <cellStyle name="Milliers 2 2 2 5 2 2 2 2 2 2" xfId="7406"/>
    <cellStyle name="Milliers 2 2 2 5 2 2 2 2 2 2 2" xfId="7407"/>
    <cellStyle name="Milliers 2 2 2 5 2 2 2 2 2 2 2 2" xfId="7408"/>
    <cellStyle name="Milliers 2 2 2 5 2 2 2 2 2 2 2 2 2" xfId="7409"/>
    <cellStyle name="Milliers 2 2 2 5 2 2 2 2 2 2 2 3" xfId="7410"/>
    <cellStyle name="Milliers 2 2 2 5 2 2 2 2 2 2 3" xfId="7411"/>
    <cellStyle name="Milliers 2 2 2 5 2 2 2 2 2 2 3 2" xfId="7412"/>
    <cellStyle name="Milliers 2 2 2 5 2 2 2 2 2 2 4" xfId="7413"/>
    <cellStyle name="Milliers 2 2 2 5 2 2 2 2 2 3" xfId="7414"/>
    <cellStyle name="Milliers 2 2 2 5 2 2 2 2 2 3 2" xfId="7415"/>
    <cellStyle name="Milliers 2 2 2 5 2 2 2 2 2 3 2 2" xfId="7416"/>
    <cellStyle name="Milliers 2 2 2 5 2 2 2 2 2 3 3" xfId="7417"/>
    <cellStyle name="Milliers 2 2 2 5 2 2 2 2 2 4" xfId="7418"/>
    <cellStyle name="Milliers 2 2 2 5 2 2 2 2 2 4 2" xfId="7419"/>
    <cellStyle name="Milliers 2 2 2 5 2 2 2 2 2 5" xfId="7420"/>
    <cellStyle name="Milliers 2 2 2 5 2 2 2 2 3" xfId="7421"/>
    <cellStyle name="Milliers 2 2 2 5 2 2 2 2 3 2" xfId="7422"/>
    <cellStyle name="Milliers 2 2 2 5 2 2 2 2 3 2 2" xfId="7423"/>
    <cellStyle name="Milliers 2 2 2 5 2 2 2 2 3 2 2 2" xfId="7424"/>
    <cellStyle name="Milliers 2 2 2 5 2 2 2 2 3 2 3" xfId="7425"/>
    <cellStyle name="Milliers 2 2 2 5 2 2 2 2 3 3" xfId="7426"/>
    <cellStyle name="Milliers 2 2 2 5 2 2 2 2 3 3 2" xfId="7427"/>
    <cellStyle name="Milliers 2 2 2 5 2 2 2 2 3 4" xfId="7428"/>
    <cellStyle name="Milliers 2 2 2 5 2 2 2 2 4" xfId="7429"/>
    <cellStyle name="Milliers 2 2 2 5 2 2 2 2 4 2" xfId="7430"/>
    <cellStyle name="Milliers 2 2 2 5 2 2 2 2 4 2 2" xfId="7431"/>
    <cellStyle name="Milliers 2 2 2 5 2 2 2 2 4 3" xfId="7432"/>
    <cellStyle name="Milliers 2 2 2 5 2 2 2 2 5" xfId="7433"/>
    <cellStyle name="Milliers 2 2 2 5 2 2 2 2 5 2" xfId="7434"/>
    <cellStyle name="Milliers 2 2 2 5 2 2 2 2 6" xfId="7435"/>
    <cellStyle name="Milliers 2 2 2 5 2 2 2 3" xfId="7436"/>
    <cellStyle name="Milliers 2 2 2 5 2 2 2 3 2" xfId="7437"/>
    <cellStyle name="Milliers 2 2 2 5 2 2 2 3 2 2" xfId="7438"/>
    <cellStyle name="Milliers 2 2 2 5 2 2 2 3 2 2 2" xfId="7439"/>
    <cellStyle name="Milliers 2 2 2 5 2 2 2 3 2 2 2 2" xfId="7440"/>
    <cellStyle name="Milliers 2 2 2 5 2 2 2 3 2 2 3" xfId="7441"/>
    <cellStyle name="Milliers 2 2 2 5 2 2 2 3 2 3" xfId="7442"/>
    <cellStyle name="Milliers 2 2 2 5 2 2 2 3 2 3 2" xfId="7443"/>
    <cellStyle name="Milliers 2 2 2 5 2 2 2 3 2 4" xfId="7444"/>
    <cellStyle name="Milliers 2 2 2 5 2 2 2 3 3" xfId="7445"/>
    <cellStyle name="Milliers 2 2 2 5 2 2 2 3 3 2" xfId="7446"/>
    <cellStyle name="Milliers 2 2 2 5 2 2 2 3 3 2 2" xfId="7447"/>
    <cellStyle name="Milliers 2 2 2 5 2 2 2 3 3 3" xfId="7448"/>
    <cellStyle name="Milliers 2 2 2 5 2 2 2 3 4" xfId="7449"/>
    <cellStyle name="Milliers 2 2 2 5 2 2 2 3 4 2" xfId="7450"/>
    <cellStyle name="Milliers 2 2 2 5 2 2 2 3 5" xfId="7451"/>
    <cellStyle name="Milliers 2 2 2 5 2 2 2 4" xfId="7452"/>
    <cellStyle name="Milliers 2 2 2 5 2 2 2 4 2" xfId="7453"/>
    <cellStyle name="Milliers 2 2 2 5 2 2 2 4 2 2" xfId="7454"/>
    <cellStyle name="Milliers 2 2 2 5 2 2 2 4 2 2 2" xfId="7455"/>
    <cellStyle name="Milliers 2 2 2 5 2 2 2 4 2 3" xfId="7456"/>
    <cellStyle name="Milliers 2 2 2 5 2 2 2 4 3" xfId="7457"/>
    <cellStyle name="Milliers 2 2 2 5 2 2 2 4 3 2" xfId="7458"/>
    <cellStyle name="Milliers 2 2 2 5 2 2 2 4 4" xfId="7459"/>
    <cellStyle name="Milliers 2 2 2 5 2 2 2 5" xfId="7460"/>
    <cellStyle name="Milliers 2 2 2 5 2 2 2 5 2" xfId="7461"/>
    <cellStyle name="Milliers 2 2 2 5 2 2 2 5 2 2" xfId="7462"/>
    <cellStyle name="Milliers 2 2 2 5 2 2 2 5 3" xfId="7463"/>
    <cellStyle name="Milliers 2 2 2 5 2 2 2 6" xfId="7464"/>
    <cellStyle name="Milliers 2 2 2 5 2 2 2 6 2" xfId="7465"/>
    <cellStyle name="Milliers 2 2 2 5 2 2 2 7" xfId="7466"/>
    <cellStyle name="Milliers 2 2 2 5 2 2 3" xfId="7467"/>
    <cellStyle name="Milliers 2 2 2 5 2 2 3 2" xfId="7468"/>
    <cellStyle name="Milliers 2 2 2 5 2 2 3 2 2" xfId="7469"/>
    <cellStyle name="Milliers 2 2 2 5 2 2 3 2 2 2" xfId="7470"/>
    <cellStyle name="Milliers 2 2 2 5 2 2 3 2 2 2 2" xfId="7471"/>
    <cellStyle name="Milliers 2 2 2 5 2 2 3 2 2 2 2 2" xfId="7472"/>
    <cellStyle name="Milliers 2 2 2 5 2 2 3 2 2 2 3" xfId="7473"/>
    <cellStyle name="Milliers 2 2 2 5 2 2 3 2 2 3" xfId="7474"/>
    <cellStyle name="Milliers 2 2 2 5 2 2 3 2 2 3 2" xfId="7475"/>
    <cellStyle name="Milliers 2 2 2 5 2 2 3 2 2 4" xfId="7476"/>
    <cellStyle name="Milliers 2 2 2 5 2 2 3 2 3" xfId="7477"/>
    <cellStyle name="Milliers 2 2 2 5 2 2 3 2 3 2" xfId="7478"/>
    <cellStyle name="Milliers 2 2 2 5 2 2 3 2 3 2 2" xfId="7479"/>
    <cellStyle name="Milliers 2 2 2 5 2 2 3 2 3 3" xfId="7480"/>
    <cellStyle name="Milliers 2 2 2 5 2 2 3 2 4" xfId="7481"/>
    <cellStyle name="Milliers 2 2 2 5 2 2 3 2 4 2" xfId="7482"/>
    <cellStyle name="Milliers 2 2 2 5 2 2 3 2 5" xfId="7483"/>
    <cellStyle name="Milliers 2 2 2 5 2 2 3 3" xfId="7484"/>
    <cellStyle name="Milliers 2 2 2 5 2 2 3 3 2" xfId="7485"/>
    <cellStyle name="Milliers 2 2 2 5 2 2 3 3 2 2" xfId="7486"/>
    <cellStyle name="Milliers 2 2 2 5 2 2 3 3 2 2 2" xfId="7487"/>
    <cellStyle name="Milliers 2 2 2 5 2 2 3 3 2 3" xfId="7488"/>
    <cellStyle name="Milliers 2 2 2 5 2 2 3 3 3" xfId="7489"/>
    <cellStyle name="Milliers 2 2 2 5 2 2 3 3 3 2" xfId="7490"/>
    <cellStyle name="Milliers 2 2 2 5 2 2 3 3 4" xfId="7491"/>
    <cellStyle name="Milliers 2 2 2 5 2 2 3 4" xfId="7492"/>
    <cellStyle name="Milliers 2 2 2 5 2 2 3 4 2" xfId="7493"/>
    <cellStyle name="Milliers 2 2 2 5 2 2 3 4 2 2" xfId="7494"/>
    <cellStyle name="Milliers 2 2 2 5 2 2 3 4 3" xfId="7495"/>
    <cellStyle name="Milliers 2 2 2 5 2 2 3 5" xfId="7496"/>
    <cellStyle name="Milliers 2 2 2 5 2 2 3 5 2" xfId="7497"/>
    <cellStyle name="Milliers 2 2 2 5 2 2 3 6" xfId="7498"/>
    <cellStyle name="Milliers 2 2 2 5 2 2 4" xfId="7499"/>
    <cellStyle name="Milliers 2 2 2 5 2 2 4 2" xfId="7500"/>
    <cellStyle name="Milliers 2 2 2 5 2 2 4 2 2" xfId="7501"/>
    <cellStyle name="Milliers 2 2 2 5 2 2 4 2 2 2" xfId="7502"/>
    <cellStyle name="Milliers 2 2 2 5 2 2 4 2 2 2 2" xfId="7503"/>
    <cellStyle name="Milliers 2 2 2 5 2 2 4 2 2 3" xfId="7504"/>
    <cellStyle name="Milliers 2 2 2 5 2 2 4 2 3" xfId="7505"/>
    <cellStyle name="Milliers 2 2 2 5 2 2 4 2 3 2" xfId="7506"/>
    <cellStyle name="Milliers 2 2 2 5 2 2 4 2 4" xfId="7507"/>
    <cellStyle name="Milliers 2 2 2 5 2 2 4 3" xfId="7508"/>
    <cellStyle name="Milliers 2 2 2 5 2 2 4 3 2" xfId="7509"/>
    <cellStyle name="Milliers 2 2 2 5 2 2 4 3 2 2" xfId="7510"/>
    <cellStyle name="Milliers 2 2 2 5 2 2 4 3 3" xfId="7511"/>
    <cellStyle name="Milliers 2 2 2 5 2 2 4 4" xfId="7512"/>
    <cellStyle name="Milliers 2 2 2 5 2 2 4 4 2" xfId="7513"/>
    <cellStyle name="Milliers 2 2 2 5 2 2 4 5" xfId="7514"/>
    <cellStyle name="Milliers 2 2 2 5 2 2 5" xfId="7515"/>
    <cellStyle name="Milliers 2 2 2 5 2 2 5 2" xfId="7516"/>
    <cellStyle name="Milliers 2 2 2 5 2 2 5 2 2" xfId="7517"/>
    <cellStyle name="Milliers 2 2 2 5 2 2 5 2 2 2" xfId="7518"/>
    <cellStyle name="Milliers 2 2 2 5 2 2 5 2 3" xfId="7519"/>
    <cellStyle name="Milliers 2 2 2 5 2 2 5 3" xfId="7520"/>
    <cellStyle name="Milliers 2 2 2 5 2 2 5 3 2" xfId="7521"/>
    <cellStyle name="Milliers 2 2 2 5 2 2 5 4" xfId="7522"/>
    <cellStyle name="Milliers 2 2 2 5 2 2 6" xfId="7523"/>
    <cellStyle name="Milliers 2 2 2 5 2 2 6 2" xfId="7524"/>
    <cellStyle name="Milliers 2 2 2 5 2 2 6 2 2" xfId="7525"/>
    <cellStyle name="Milliers 2 2 2 5 2 2 6 3" xfId="7526"/>
    <cellStyle name="Milliers 2 2 2 5 2 2 7" xfId="7527"/>
    <cellStyle name="Milliers 2 2 2 5 2 2 7 2" xfId="7528"/>
    <cellStyle name="Milliers 2 2 2 5 2 2 8" xfId="7529"/>
    <cellStyle name="Milliers 2 2 2 5 2 3" xfId="7530"/>
    <cellStyle name="Milliers 2 2 2 5 2 3 2" xfId="7531"/>
    <cellStyle name="Milliers 2 2 2 5 2 3 2 2" xfId="7532"/>
    <cellStyle name="Milliers 2 2 2 5 2 3 2 2 2" xfId="7533"/>
    <cellStyle name="Milliers 2 2 2 5 2 3 2 2 2 2" xfId="7534"/>
    <cellStyle name="Milliers 2 2 2 5 2 3 2 2 2 2 2" xfId="7535"/>
    <cellStyle name="Milliers 2 2 2 5 2 3 2 2 2 2 2 2" xfId="7536"/>
    <cellStyle name="Milliers 2 2 2 5 2 3 2 2 2 2 3" xfId="7537"/>
    <cellStyle name="Milliers 2 2 2 5 2 3 2 2 2 3" xfId="7538"/>
    <cellStyle name="Milliers 2 2 2 5 2 3 2 2 2 3 2" xfId="7539"/>
    <cellStyle name="Milliers 2 2 2 5 2 3 2 2 2 4" xfId="7540"/>
    <cellStyle name="Milliers 2 2 2 5 2 3 2 2 3" xfId="7541"/>
    <cellStyle name="Milliers 2 2 2 5 2 3 2 2 3 2" xfId="7542"/>
    <cellStyle name="Milliers 2 2 2 5 2 3 2 2 3 2 2" xfId="7543"/>
    <cellStyle name="Milliers 2 2 2 5 2 3 2 2 3 3" xfId="7544"/>
    <cellStyle name="Milliers 2 2 2 5 2 3 2 2 4" xfId="7545"/>
    <cellStyle name="Milliers 2 2 2 5 2 3 2 2 4 2" xfId="7546"/>
    <cellStyle name="Milliers 2 2 2 5 2 3 2 2 5" xfId="7547"/>
    <cellStyle name="Milliers 2 2 2 5 2 3 2 3" xfId="7548"/>
    <cellStyle name="Milliers 2 2 2 5 2 3 2 3 2" xfId="7549"/>
    <cellStyle name="Milliers 2 2 2 5 2 3 2 3 2 2" xfId="7550"/>
    <cellStyle name="Milliers 2 2 2 5 2 3 2 3 2 2 2" xfId="7551"/>
    <cellStyle name="Milliers 2 2 2 5 2 3 2 3 2 3" xfId="7552"/>
    <cellStyle name="Milliers 2 2 2 5 2 3 2 3 3" xfId="7553"/>
    <cellStyle name="Milliers 2 2 2 5 2 3 2 3 3 2" xfId="7554"/>
    <cellStyle name="Milliers 2 2 2 5 2 3 2 3 4" xfId="7555"/>
    <cellStyle name="Milliers 2 2 2 5 2 3 2 4" xfId="7556"/>
    <cellStyle name="Milliers 2 2 2 5 2 3 2 4 2" xfId="7557"/>
    <cellStyle name="Milliers 2 2 2 5 2 3 2 4 2 2" xfId="7558"/>
    <cellStyle name="Milliers 2 2 2 5 2 3 2 4 3" xfId="7559"/>
    <cellStyle name="Milliers 2 2 2 5 2 3 2 5" xfId="7560"/>
    <cellStyle name="Milliers 2 2 2 5 2 3 2 5 2" xfId="7561"/>
    <cellStyle name="Milliers 2 2 2 5 2 3 2 6" xfId="7562"/>
    <cellStyle name="Milliers 2 2 2 5 2 3 3" xfId="7563"/>
    <cellStyle name="Milliers 2 2 2 5 2 3 3 2" xfId="7564"/>
    <cellStyle name="Milliers 2 2 2 5 2 3 3 2 2" xfId="7565"/>
    <cellStyle name="Milliers 2 2 2 5 2 3 3 2 2 2" xfId="7566"/>
    <cellStyle name="Milliers 2 2 2 5 2 3 3 2 2 2 2" xfId="7567"/>
    <cellStyle name="Milliers 2 2 2 5 2 3 3 2 2 3" xfId="7568"/>
    <cellStyle name="Milliers 2 2 2 5 2 3 3 2 3" xfId="7569"/>
    <cellStyle name="Milliers 2 2 2 5 2 3 3 2 3 2" xfId="7570"/>
    <cellStyle name="Milliers 2 2 2 5 2 3 3 2 4" xfId="7571"/>
    <cellStyle name="Milliers 2 2 2 5 2 3 3 3" xfId="7572"/>
    <cellStyle name="Milliers 2 2 2 5 2 3 3 3 2" xfId="7573"/>
    <cellStyle name="Milliers 2 2 2 5 2 3 3 3 2 2" xfId="7574"/>
    <cellStyle name="Milliers 2 2 2 5 2 3 3 3 3" xfId="7575"/>
    <cellStyle name="Milliers 2 2 2 5 2 3 3 4" xfId="7576"/>
    <cellStyle name="Milliers 2 2 2 5 2 3 3 4 2" xfId="7577"/>
    <cellStyle name="Milliers 2 2 2 5 2 3 3 5" xfId="7578"/>
    <cellStyle name="Milliers 2 2 2 5 2 3 4" xfId="7579"/>
    <cellStyle name="Milliers 2 2 2 5 2 3 4 2" xfId="7580"/>
    <cellStyle name="Milliers 2 2 2 5 2 3 4 2 2" xfId="7581"/>
    <cellStyle name="Milliers 2 2 2 5 2 3 4 2 2 2" xfId="7582"/>
    <cellStyle name="Milliers 2 2 2 5 2 3 4 2 3" xfId="7583"/>
    <cellStyle name="Milliers 2 2 2 5 2 3 4 3" xfId="7584"/>
    <cellStyle name="Milliers 2 2 2 5 2 3 4 3 2" xfId="7585"/>
    <cellStyle name="Milliers 2 2 2 5 2 3 4 4" xfId="7586"/>
    <cellStyle name="Milliers 2 2 2 5 2 3 5" xfId="7587"/>
    <cellStyle name="Milliers 2 2 2 5 2 3 5 2" xfId="7588"/>
    <cellStyle name="Milliers 2 2 2 5 2 3 5 2 2" xfId="7589"/>
    <cellStyle name="Milliers 2 2 2 5 2 3 5 3" xfId="7590"/>
    <cellStyle name="Milliers 2 2 2 5 2 3 6" xfId="7591"/>
    <cellStyle name="Milliers 2 2 2 5 2 3 6 2" xfId="7592"/>
    <cellStyle name="Milliers 2 2 2 5 2 3 7" xfId="7593"/>
    <cellStyle name="Milliers 2 2 2 5 2 4" xfId="7594"/>
    <cellStyle name="Milliers 2 2 2 5 2 4 2" xfId="7595"/>
    <cellStyle name="Milliers 2 2 2 5 2 4 2 2" xfId="7596"/>
    <cellStyle name="Milliers 2 2 2 5 2 4 2 2 2" xfId="7597"/>
    <cellStyle name="Milliers 2 2 2 5 2 4 2 2 2 2" xfId="7598"/>
    <cellStyle name="Milliers 2 2 2 5 2 4 2 2 2 2 2" xfId="7599"/>
    <cellStyle name="Milliers 2 2 2 5 2 4 2 2 2 3" xfId="7600"/>
    <cellStyle name="Milliers 2 2 2 5 2 4 2 2 3" xfId="7601"/>
    <cellStyle name="Milliers 2 2 2 5 2 4 2 2 3 2" xfId="7602"/>
    <cellStyle name="Milliers 2 2 2 5 2 4 2 2 4" xfId="7603"/>
    <cellStyle name="Milliers 2 2 2 5 2 4 2 3" xfId="7604"/>
    <cellStyle name="Milliers 2 2 2 5 2 4 2 3 2" xfId="7605"/>
    <cellStyle name="Milliers 2 2 2 5 2 4 2 3 2 2" xfId="7606"/>
    <cellStyle name="Milliers 2 2 2 5 2 4 2 3 3" xfId="7607"/>
    <cellStyle name="Milliers 2 2 2 5 2 4 2 4" xfId="7608"/>
    <cellStyle name="Milliers 2 2 2 5 2 4 2 4 2" xfId="7609"/>
    <cellStyle name="Milliers 2 2 2 5 2 4 2 5" xfId="7610"/>
    <cellStyle name="Milliers 2 2 2 5 2 4 3" xfId="7611"/>
    <cellStyle name="Milliers 2 2 2 5 2 4 3 2" xfId="7612"/>
    <cellStyle name="Milliers 2 2 2 5 2 4 3 2 2" xfId="7613"/>
    <cellStyle name="Milliers 2 2 2 5 2 4 3 2 2 2" xfId="7614"/>
    <cellStyle name="Milliers 2 2 2 5 2 4 3 2 3" xfId="7615"/>
    <cellStyle name="Milliers 2 2 2 5 2 4 3 3" xfId="7616"/>
    <cellStyle name="Milliers 2 2 2 5 2 4 3 3 2" xfId="7617"/>
    <cellStyle name="Milliers 2 2 2 5 2 4 3 4" xfId="7618"/>
    <cellStyle name="Milliers 2 2 2 5 2 4 4" xfId="7619"/>
    <cellStyle name="Milliers 2 2 2 5 2 4 4 2" xfId="7620"/>
    <cellStyle name="Milliers 2 2 2 5 2 4 4 2 2" xfId="7621"/>
    <cellStyle name="Milliers 2 2 2 5 2 4 4 3" xfId="7622"/>
    <cellStyle name="Milliers 2 2 2 5 2 4 5" xfId="7623"/>
    <cellStyle name="Milliers 2 2 2 5 2 4 5 2" xfId="7624"/>
    <cellStyle name="Milliers 2 2 2 5 2 4 6" xfId="7625"/>
    <cellStyle name="Milliers 2 2 2 5 2 5" xfId="7626"/>
    <cellStyle name="Milliers 2 2 2 5 2 5 2" xfId="7627"/>
    <cellStyle name="Milliers 2 2 2 5 2 5 2 2" xfId="7628"/>
    <cellStyle name="Milliers 2 2 2 5 2 5 2 2 2" xfId="7629"/>
    <cellStyle name="Milliers 2 2 2 5 2 5 2 2 2 2" xfId="7630"/>
    <cellStyle name="Milliers 2 2 2 5 2 5 2 2 3" xfId="7631"/>
    <cellStyle name="Milliers 2 2 2 5 2 5 2 3" xfId="7632"/>
    <cellStyle name="Milliers 2 2 2 5 2 5 2 3 2" xfId="7633"/>
    <cellStyle name="Milliers 2 2 2 5 2 5 2 4" xfId="7634"/>
    <cellStyle name="Milliers 2 2 2 5 2 5 3" xfId="7635"/>
    <cellStyle name="Milliers 2 2 2 5 2 5 3 2" xfId="7636"/>
    <cellStyle name="Milliers 2 2 2 5 2 5 3 2 2" xfId="7637"/>
    <cellStyle name="Milliers 2 2 2 5 2 5 3 3" xfId="7638"/>
    <cellStyle name="Milliers 2 2 2 5 2 5 4" xfId="7639"/>
    <cellStyle name="Milliers 2 2 2 5 2 5 4 2" xfId="7640"/>
    <cellStyle name="Milliers 2 2 2 5 2 5 5" xfId="7641"/>
    <cellStyle name="Milliers 2 2 2 5 2 6" xfId="7642"/>
    <cellStyle name="Milliers 2 2 2 5 2 6 2" xfId="7643"/>
    <cellStyle name="Milliers 2 2 2 5 2 6 2 2" xfId="7644"/>
    <cellStyle name="Milliers 2 2 2 5 2 6 2 2 2" xfId="7645"/>
    <cellStyle name="Milliers 2 2 2 5 2 6 2 3" xfId="7646"/>
    <cellStyle name="Milliers 2 2 2 5 2 6 3" xfId="7647"/>
    <cellStyle name="Milliers 2 2 2 5 2 6 3 2" xfId="7648"/>
    <cellStyle name="Milliers 2 2 2 5 2 6 4" xfId="7649"/>
    <cellStyle name="Milliers 2 2 2 5 2 7" xfId="7650"/>
    <cellStyle name="Milliers 2 2 2 5 2 7 2" xfId="7651"/>
    <cellStyle name="Milliers 2 2 2 5 2 7 2 2" xfId="7652"/>
    <cellStyle name="Milliers 2 2 2 5 2 7 3" xfId="7653"/>
    <cellStyle name="Milliers 2 2 2 5 2 8" xfId="7654"/>
    <cellStyle name="Milliers 2 2 2 5 2 8 2" xfId="7655"/>
    <cellStyle name="Milliers 2 2 2 5 2 9" xfId="7656"/>
    <cellStyle name="Milliers 2 2 2 5 3" xfId="7657"/>
    <cellStyle name="Milliers 2 2 2 5 3 2" xfId="7658"/>
    <cellStyle name="Milliers 2 2 2 5 3 2 2" xfId="7659"/>
    <cellStyle name="Milliers 2 2 2 5 3 2 2 2" xfId="7660"/>
    <cellStyle name="Milliers 2 2 2 5 3 2 2 2 2" xfId="7661"/>
    <cellStyle name="Milliers 2 2 2 5 3 2 2 2 2 2" xfId="7662"/>
    <cellStyle name="Milliers 2 2 2 5 3 2 2 2 2 2 2" xfId="7663"/>
    <cellStyle name="Milliers 2 2 2 5 3 2 2 2 2 2 2 2" xfId="7664"/>
    <cellStyle name="Milliers 2 2 2 5 3 2 2 2 2 2 3" xfId="7665"/>
    <cellStyle name="Milliers 2 2 2 5 3 2 2 2 2 3" xfId="7666"/>
    <cellStyle name="Milliers 2 2 2 5 3 2 2 2 2 3 2" xfId="7667"/>
    <cellStyle name="Milliers 2 2 2 5 3 2 2 2 2 4" xfId="7668"/>
    <cellStyle name="Milliers 2 2 2 5 3 2 2 2 3" xfId="7669"/>
    <cellStyle name="Milliers 2 2 2 5 3 2 2 2 3 2" xfId="7670"/>
    <cellStyle name="Milliers 2 2 2 5 3 2 2 2 3 2 2" xfId="7671"/>
    <cellStyle name="Milliers 2 2 2 5 3 2 2 2 3 3" xfId="7672"/>
    <cellStyle name="Milliers 2 2 2 5 3 2 2 2 4" xfId="7673"/>
    <cellStyle name="Milliers 2 2 2 5 3 2 2 2 4 2" xfId="7674"/>
    <cellStyle name="Milliers 2 2 2 5 3 2 2 2 5" xfId="7675"/>
    <cellStyle name="Milliers 2 2 2 5 3 2 2 3" xfId="7676"/>
    <cellStyle name="Milliers 2 2 2 5 3 2 2 3 2" xfId="7677"/>
    <cellStyle name="Milliers 2 2 2 5 3 2 2 3 2 2" xfId="7678"/>
    <cellStyle name="Milliers 2 2 2 5 3 2 2 3 2 2 2" xfId="7679"/>
    <cellStyle name="Milliers 2 2 2 5 3 2 2 3 2 3" xfId="7680"/>
    <cellStyle name="Milliers 2 2 2 5 3 2 2 3 3" xfId="7681"/>
    <cellStyle name="Milliers 2 2 2 5 3 2 2 3 3 2" xfId="7682"/>
    <cellStyle name="Milliers 2 2 2 5 3 2 2 3 4" xfId="7683"/>
    <cellStyle name="Milliers 2 2 2 5 3 2 2 4" xfId="7684"/>
    <cellStyle name="Milliers 2 2 2 5 3 2 2 4 2" xfId="7685"/>
    <cellStyle name="Milliers 2 2 2 5 3 2 2 4 2 2" xfId="7686"/>
    <cellStyle name="Milliers 2 2 2 5 3 2 2 4 3" xfId="7687"/>
    <cellStyle name="Milliers 2 2 2 5 3 2 2 5" xfId="7688"/>
    <cellStyle name="Milliers 2 2 2 5 3 2 2 5 2" xfId="7689"/>
    <cellStyle name="Milliers 2 2 2 5 3 2 2 6" xfId="7690"/>
    <cellStyle name="Milliers 2 2 2 5 3 2 3" xfId="7691"/>
    <cellStyle name="Milliers 2 2 2 5 3 2 3 2" xfId="7692"/>
    <cellStyle name="Milliers 2 2 2 5 3 2 3 2 2" xfId="7693"/>
    <cellStyle name="Milliers 2 2 2 5 3 2 3 2 2 2" xfId="7694"/>
    <cellStyle name="Milliers 2 2 2 5 3 2 3 2 2 2 2" xfId="7695"/>
    <cellStyle name="Milliers 2 2 2 5 3 2 3 2 2 3" xfId="7696"/>
    <cellStyle name="Milliers 2 2 2 5 3 2 3 2 3" xfId="7697"/>
    <cellStyle name="Milliers 2 2 2 5 3 2 3 2 3 2" xfId="7698"/>
    <cellStyle name="Milliers 2 2 2 5 3 2 3 2 4" xfId="7699"/>
    <cellStyle name="Milliers 2 2 2 5 3 2 3 3" xfId="7700"/>
    <cellStyle name="Milliers 2 2 2 5 3 2 3 3 2" xfId="7701"/>
    <cellStyle name="Milliers 2 2 2 5 3 2 3 3 2 2" xfId="7702"/>
    <cellStyle name="Milliers 2 2 2 5 3 2 3 3 3" xfId="7703"/>
    <cellStyle name="Milliers 2 2 2 5 3 2 3 4" xfId="7704"/>
    <cellStyle name="Milliers 2 2 2 5 3 2 3 4 2" xfId="7705"/>
    <cellStyle name="Milliers 2 2 2 5 3 2 3 5" xfId="7706"/>
    <cellStyle name="Milliers 2 2 2 5 3 2 4" xfId="7707"/>
    <cellStyle name="Milliers 2 2 2 5 3 2 4 2" xfId="7708"/>
    <cellStyle name="Milliers 2 2 2 5 3 2 4 2 2" xfId="7709"/>
    <cellStyle name="Milliers 2 2 2 5 3 2 4 2 2 2" xfId="7710"/>
    <cellStyle name="Milliers 2 2 2 5 3 2 4 2 3" xfId="7711"/>
    <cellStyle name="Milliers 2 2 2 5 3 2 4 3" xfId="7712"/>
    <cellStyle name="Milliers 2 2 2 5 3 2 4 3 2" xfId="7713"/>
    <cellStyle name="Milliers 2 2 2 5 3 2 4 4" xfId="7714"/>
    <cellStyle name="Milliers 2 2 2 5 3 2 5" xfId="7715"/>
    <cellStyle name="Milliers 2 2 2 5 3 2 5 2" xfId="7716"/>
    <cellStyle name="Milliers 2 2 2 5 3 2 5 2 2" xfId="7717"/>
    <cellStyle name="Milliers 2 2 2 5 3 2 5 3" xfId="7718"/>
    <cellStyle name="Milliers 2 2 2 5 3 2 6" xfId="7719"/>
    <cellStyle name="Milliers 2 2 2 5 3 2 6 2" xfId="7720"/>
    <cellStyle name="Milliers 2 2 2 5 3 2 7" xfId="7721"/>
    <cellStyle name="Milliers 2 2 2 5 3 3" xfId="7722"/>
    <cellStyle name="Milliers 2 2 2 5 3 3 2" xfId="7723"/>
    <cellStyle name="Milliers 2 2 2 5 3 3 2 2" xfId="7724"/>
    <cellStyle name="Milliers 2 2 2 5 3 3 2 2 2" xfId="7725"/>
    <cellStyle name="Milliers 2 2 2 5 3 3 2 2 2 2" xfId="7726"/>
    <cellStyle name="Milliers 2 2 2 5 3 3 2 2 2 2 2" xfId="7727"/>
    <cellStyle name="Milliers 2 2 2 5 3 3 2 2 2 3" xfId="7728"/>
    <cellStyle name="Milliers 2 2 2 5 3 3 2 2 3" xfId="7729"/>
    <cellStyle name="Milliers 2 2 2 5 3 3 2 2 3 2" xfId="7730"/>
    <cellStyle name="Milliers 2 2 2 5 3 3 2 2 4" xfId="7731"/>
    <cellStyle name="Milliers 2 2 2 5 3 3 2 3" xfId="7732"/>
    <cellStyle name="Milliers 2 2 2 5 3 3 2 3 2" xfId="7733"/>
    <cellStyle name="Milliers 2 2 2 5 3 3 2 3 2 2" xfId="7734"/>
    <cellStyle name="Milliers 2 2 2 5 3 3 2 3 3" xfId="7735"/>
    <cellStyle name="Milliers 2 2 2 5 3 3 2 4" xfId="7736"/>
    <cellStyle name="Milliers 2 2 2 5 3 3 2 4 2" xfId="7737"/>
    <cellStyle name="Milliers 2 2 2 5 3 3 2 5" xfId="7738"/>
    <cellStyle name="Milliers 2 2 2 5 3 3 3" xfId="7739"/>
    <cellStyle name="Milliers 2 2 2 5 3 3 3 2" xfId="7740"/>
    <cellStyle name="Milliers 2 2 2 5 3 3 3 2 2" xfId="7741"/>
    <cellStyle name="Milliers 2 2 2 5 3 3 3 2 2 2" xfId="7742"/>
    <cellStyle name="Milliers 2 2 2 5 3 3 3 2 3" xfId="7743"/>
    <cellStyle name="Milliers 2 2 2 5 3 3 3 3" xfId="7744"/>
    <cellStyle name="Milliers 2 2 2 5 3 3 3 3 2" xfId="7745"/>
    <cellStyle name="Milliers 2 2 2 5 3 3 3 4" xfId="7746"/>
    <cellStyle name="Milliers 2 2 2 5 3 3 4" xfId="7747"/>
    <cellStyle name="Milliers 2 2 2 5 3 3 4 2" xfId="7748"/>
    <cellStyle name="Milliers 2 2 2 5 3 3 4 2 2" xfId="7749"/>
    <cellStyle name="Milliers 2 2 2 5 3 3 4 3" xfId="7750"/>
    <cellStyle name="Milliers 2 2 2 5 3 3 5" xfId="7751"/>
    <cellStyle name="Milliers 2 2 2 5 3 3 5 2" xfId="7752"/>
    <cellStyle name="Milliers 2 2 2 5 3 3 6" xfId="7753"/>
    <cellStyle name="Milliers 2 2 2 5 3 4" xfId="7754"/>
    <cellStyle name="Milliers 2 2 2 5 3 4 2" xfId="7755"/>
    <cellStyle name="Milliers 2 2 2 5 3 4 2 2" xfId="7756"/>
    <cellStyle name="Milliers 2 2 2 5 3 4 2 2 2" xfId="7757"/>
    <cellStyle name="Milliers 2 2 2 5 3 4 2 2 2 2" xfId="7758"/>
    <cellStyle name="Milliers 2 2 2 5 3 4 2 2 3" xfId="7759"/>
    <cellStyle name="Milliers 2 2 2 5 3 4 2 3" xfId="7760"/>
    <cellStyle name="Milliers 2 2 2 5 3 4 2 3 2" xfId="7761"/>
    <cellStyle name="Milliers 2 2 2 5 3 4 2 4" xfId="7762"/>
    <cellStyle name="Milliers 2 2 2 5 3 4 3" xfId="7763"/>
    <cellStyle name="Milliers 2 2 2 5 3 4 3 2" xfId="7764"/>
    <cellStyle name="Milliers 2 2 2 5 3 4 3 2 2" xfId="7765"/>
    <cellStyle name="Milliers 2 2 2 5 3 4 3 3" xfId="7766"/>
    <cellStyle name="Milliers 2 2 2 5 3 4 4" xfId="7767"/>
    <cellStyle name="Milliers 2 2 2 5 3 4 4 2" xfId="7768"/>
    <cellStyle name="Milliers 2 2 2 5 3 4 5" xfId="7769"/>
    <cellStyle name="Milliers 2 2 2 5 3 5" xfId="7770"/>
    <cellStyle name="Milliers 2 2 2 5 3 5 2" xfId="7771"/>
    <cellStyle name="Milliers 2 2 2 5 3 5 2 2" xfId="7772"/>
    <cellStyle name="Milliers 2 2 2 5 3 5 2 2 2" xfId="7773"/>
    <cellStyle name="Milliers 2 2 2 5 3 5 2 3" xfId="7774"/>
    <cellStyle name="Milliers 2 2 2 5 3 5 3" xfId="7775"/>
    <cellStyle name="Milliers 2 2 2 5 3 5 3 2" xfId="7776"/>
    <cellStyle name="Milliers 2 2 2 5 3 5 4" xfId="7777"/>
    <cellStyle name="Milliers 2 2 2 5 3 6" xfId="7778"/>
    <cellStyle name="Milliers 2 2 2 5 3 6 2" xfId="7779"/>
    <cellStyle name="Milliers 2 2 2 5 3 6 2 2" xfId="7780"/>
    <cellStyle name="Milliers 2 2 2 5 3 6 3" xfId="7781"/>
    <cellStyle name="Milliers 2 2 2 5 3 7" xfId="7782"/>
    <cellStyle name="Milliers 2 2 2 5 3 7 2" xfId="7783"/>
    <cellStyle name="Milliers 2 2 2 5 3 8" xfId="7784"/>
    <cellStyle name="Milliers 2 2 2 5 4" xfId="7785"/>
    <cellStyle name="Milliers 2 2 2 5 4 2" xfId="7786"/>
    <cellStyle name="Milliers 2 2 2 5 4 2 2" xfId="7787"/>
    <cellStyle name="Milliers 2 2 2 5 4 2 2 2" xfId="7788"/>
    <cellStyle name="Milliers 2 2 2 5 4 2 2 2 2" xfId="7789"/>
    <cellStyle name="Milliers 2 2 2 5 4 2 2 2 2 2" xfId="7790"/>
    <cellStyle name="Milliers 2 2 2 5 4 2 2 2 2 2 2" xfId="7791"/>
    <cellStyle name="Milliers 2 2 2 5 4 2 2 2 2 3" xfId="7792"/>
    <cellStyle name="Milliers 2 2 2 5 4 2 2 2 3" xfId="7793"/>
    <cellStyle name="Milliers 2 2 2 5 4 2 2 2 3 2" xfId="7794"/>
    <cellStyle name="Milliers 2 2 2 5 4 2 2 2 4" xfId="7795"/>
    <cellStyle name="Milliers 2 2 2 5 4 2 2 3" xfId="7796"/>
    <cellStyle name="Milliers 2 2 2 5 4 2 2 3 2" xfId="7797"/>
    <cellStyle name="Milliers 2 2 2 5 4 2 2 3 2 2" xfId="7798"/>
    <cellStyle name="Milliers 2 2 2 5 4 2 2 3 3" xfId="7799"/>
    <cellStyle name="Milliers 2 2 2 5 4 2 2 4" xfId="7800"/>
    <cellStyle name="Milliers 2 2 2 5 4 2 2 4 2" xfId="7801"/>
    <cellStyle name="Milliers 2 2 2 5 4 2 2 5" xfId="7802"/>
    <cellStyle name="Milliers 2 2 2 5 4 2 3" xfId="7803"/>
    <cellStyle name="Milliers 2 2 2 5 4 2 3 2" xfId="7804"/>
    <cellStyle name="Milliers 2 2 2 5 4 2 3 2 2" xfId="7805"/>
    <cellStyle name="Milliers 2 2 2 5 4 2 3 2 2 2" xfId="7806"/>
    <cellStyle name="Milliers 2 2 2 5 4 2 3 2 3" xfId="7807"/>
    <cellStyle name="Milliers 2 2 2 5 4 2 3 3" xfId="7808"/>
    <cellStyle name="Milliers 2 2 2 5 4 2 3 3 2" xfId="7809"/>
    <cellStyle name="Milliers 2 2 2 5 4 2 3 4" xfId="7810"/>
    <cellStyle name="Milliers 2 2 2 5 4 2 4" xfId="7811"/>
    <cellStyle name="Milliers 2 2 2 5 4 2 4 2" xfId="7812"/>
    <cellStyle name="Milliers 2 2 2 5 4 2 4 2 2" xfId="7813"/>
    <cellStyle name="Milliers 2 2 2 5 4 2 4 3" xfId="7814"/>
    <cellStyle name="Milliers 2 2 2 5 4 2 5" xfId="7815"/>
    <cellStyle name="Milliers 2 2 2 5 4 2 5 2" xfId="7816"/>
    <cellStyle name="Milliers 2 2 2 5 4 2 6" xfId="7817"/>
    <cellStyle name="Milliers 2 2 2 5 4 3" xfId="7818"/>
    <cellStyle name="Milliers 2 2 2 5 4 3 2" xfId="7819"/>
    <cellStyle name="Milliers 2 2 2 5 4 3 2 2" xfId="7820"/>
    <cellStyle name="Milliers 2 2 2 5 4 3 2 2 2" xfId="7821"/>
    <cellStyle name="Milliers 2 2 2 5 4 3 2 2 2 2" xfId="7822"/>
    <cellStyle name="Milliers 2 2 2 5 4 3 2 2 3" xfId="7823"/>
    <cellStyle name="Milliers 2 2 2 5 4 3 2 3" xfId="7824"/>
    <cellStyle name="Milliers 2 2 2 5 4 3 2 3 2" xfId="7825"/>
    <cellStyle name="Milliers 2 2 2 5 4 3 2 4" xfId="7826"/>
    <cellStyle name="Milliers 2 2 2 5 4 3 3" xfId="7827"/>
    <cellStyle name="Milliers 2 2 2 5 4 3 3 2" xfId="7828"/>
    <cellStyle name="Milliers 2 2 2 5 4 3 3 2 2" xfId="7829"/>
    <cellStyle name="Milliers 2 2 2 5 4 3 3 3" xfId="7830"/>
    <cellStyle name="Milliers 2 2 2 5 4 3 4" xfId="7831"/>
    <cellStyle name="Milliers 2 2 2 5 4 3 4 2" xfId="7832"/>
    <cellStyle name="Milliers 2 2 2 5 4 3 5" xfId="7833"/>
    <cellStyle name="Milliers 2 2 2 5 4 4" xfId="7834"/>
    <cellStyle name="Milliers 2 2 2 5 4 4 2" xfId="7835"/>
    <cellStyle name="Milliers 2 2 2 5 4 4 2 2" xfId="7836"/>
    <cellStyle name="Milliers 2 2 2 5 4 4 2 2 2" xfId="7837"/>
    <cellStyle name="Milliers 2 2 2 5 4 4 2 3" xfId="7838"/>
    <cellStyle name="Milliers 2 2 2 5 4 4 3" xfId="7839"/>
    <cellStyle name="Milliers 2 2 2 5 4 4 3 2" xfId="7840"/>
    <cellStyle name="Milliers 2 2 2 5 4 4 4" xfId="7841"/>
    <cellStyle name="Milliers 2 2 2 5 4 5" xfId="7842"/>
    <cellStyle name="Milliers 2 2 2 5 4 5 2" xfId="7843"/>
    <cellStyle name="Milliers 2 2 2 5 4 5 2 2" xfId="7844"/>
    <cellStyle name="Milliers 2 2 2 5 4 5 3" xfId="7845"/>
    <cellStyle name="Milliers 2 2 2 5 4 6" xfId="7846"/>
    <cellStyle name="Milliers 2 2 2 5 4 6 2" xfId="7847"/>
    <cellStyle name="Milliers 2 2 2 5 4 7" xfId="7848"/>
    <cellStyle name="Milliers 2 2 2 5 5" xfId="7849"/>
    <cellStyle name="Milliers 2 2 2 5 5 2" xfId="7850"/>
    <cellStyle name="Milliers 2 2 2 5 5 2 2" xfId="7851"/>
    <cellStyle name="Milliers 2 2 2 5 5 2 2 2" xfId="7852"/>
    <cellStyle name="Milliers 2 2 2 5 5 2 2 2 2" xfId="7853"/>
    <cellStyle name="Milliers 2 2 2 5 5 2 2 2 2 2" xfId="7854"/>
    <cellStyle name="Milliers 2 2 2 5 5 2 2 2 3" xfId="7855"/>
    <cellStyle name="Milliers 2 2 2 5 5 2 2 3" xfId="7856"/>
    <cellStyle name="Milliers 2 2 2 5 5 2 2 3 2" xfId="7857"/>
    <cellStyle name="Milliers 2 2 2 5 5 2 2 4" xfId="7858"/>
    <cellStyle name="Milliers 2 2 2 5 5 2 3" xfId="7859"/>
    <cellStyle name="Milliers 2 2 2 5 5 2 3 2" xfId="7860"/>
    <cellStyle name="Milliers 2 2 2 5 5 2 3 2 2" xfId="7861"/>
    <cellStyle name="Milliers 2 2 2 5 5 2 3 3" xfId="7862"/>
    <cellStyle name="Milliers 2 2 2 5 5 2 4" xfId="7863"/>
    <cellStyle name="Milliers 2 2 2 5 5 2 4 2" xfId="7864"/>
    <cellStyle name="Milliers 2 2 2 5 5 2 5" xfId="7865"/>
    <cellStyle name="Milliers 2 2 2 5 5 3" xfId="7866"/>
    <cellStyle name="Milliers 2 2 2 5 5 3 2" xfId="7867"/>
    <cellStyle name="Milliers 2 2 2 5 5 3 2 2" xfId="7868"/>
    <cellStyle name="Milliers 2 2 2 5 5 3 2 2 2" xfId="7869"/>
    <cellStyle name="Milliers 2 2 2 5 5 3 2 3" xfId="7870"/>
    <cellStyle name="Milliers 2 2 2 5 5 3 3" xfId="7871"/>
    <cellStyle name="Milliers 2 2 2 5 5 3 3 2" xfId="7872"/>
    <cellStyle name="Milliers 2 2 2 5 5 3 4" xfId="7873"/>
    <cellStyle name="Milliers 2 2 2 5 5 4" xfId="7874"/>
    <cellStyle name="Milliers 2 2 2 5 5 4 2" xfId="7875"/>
    <cellStyle name="Milliers 2 2 2 5 5 4 2 2" xfId="7876"/>
    <cellStyle name="Milliers 2 2 2 5 5 4 3" xfId="7877"/>
    <cellStyle name="Milliers 2 2 2 5 5 5" xfId="7878"/>
    <cellStyle name="Milliers 2 2 2 5 5 5 2" xfId="7879"/>
    <cellStyle name="Milliers 2 2 2 5 5 6" xfId="7880"/>
    <cellStyle name="Milliers 2 2 2 5 6" xfId="7881"/>
    <cellStyle name="Milliers 2 2 2 5 6 2" xfId="7882"/>
    <cellStyle name="Milliers 2 2 2 5 6 2 2" xfId="7883"/>
    <cellStyle name="Milliers 2 2 2 5 6 2 2 2" xfId="7884"/>
    <cellStyle name="Milliers 2 2 2 5 6 2 2 2 2" xfId="7885"/>
    <cellStyle name="Milliers 2 2 2 5 6 2 2 3" xfId="7886"/>
    <cellStyle name="Milliers 2 2 2 5 6 2 3" xfId="7887"/>
    <cellStyle name="Milliers 2 2 2 5 6 2 3 2" xfId="7888"/>
    <cellStyle name="Milliers 2 2 2 5 6 2 4" xfId="7889"/>
    <cellStyle name="Milliers 2 2 2 5 6 3" xfId="7890"/>
    <cellStyle name="Milliers 2 2 2 5 6 3 2" xfId="7891"/>
    <cellStyle name="Milliers 2 2 2 5 6 3 2 2" xfId="7892"/>
    <cellStyle name="Milliers 2 2 2 5 6 3 3" xfId="7893"/>
    <cellStyle name="Milliers 2 2 2 5 6 4" xfId="7894"/>
    <cellStyle name="Milliers 2 2 2 5 6 4 2" xfId="7895"/>
    <cellStyle name="Milliers 2 2 2 5 6 5" xfId="7896"/>
    <cellStyle name="Milliers 2 2 2 5 7" xfId="7897"/>
    <cellStyle name="Milliers 2 2 2 5 7 2" xfId="7898"/>
    <cellStyle name="Milliers 2 2 2 5 7 2 2" xfId="7899"/>
    <cellStyle name="Milliers 2 2 2 5 7 2 2 2" xfId="7900"/>
    <cellStyle name="Milliers 2 2 2 5 7 2 3" xfId="7901"/>
    <cellStyle name="Milliers 2 2 2 5 7 3" xfId="7902"/>
    <cellStyle name="Milliers 2 2 2 5 7 3 2" xfId="7903"/>
    <cellStyle name="Milliers 2 2 2 5 7 4" xfId="7904"/>
    <cellStyle name="Milliers 2 2 2 5 8" xfId="7905"/>
    <cellStyle name="Milliers 2 2 2 5 8 2" xfId="7906"/>
    <cellStyle name="Milliers 2 2 2 5 8 2 2" xfId="7907"/>
    <cellStyle name="Milliers 2 2 2 5 8 3" xfId="7908"/>
    <cellStyle name="Milliers 2 2 2 5 9" xfId="7909"/>
    <cellStyle name="Milliers 2 2 2 5 9 2" xfId="7910"/>
    <cellStyle name="Milliers 2 2 2 6" xfId="7911"/>
    <cellStyle name="Milliers 2 2 2 6 2" xfId="7912"/>
    <cellStyle name="Milliers 2 2 2 6 2 2" xfId="7913"/>
    <cellStyle name="Milliers 2 2 2 6 2 2 2" xfId="7914"/>
    <cellStyle name="Milliers 2 2 2 6 2 2 2 2" xfId="7915"/>
    <cellStyle name="Milliers 2 2 2 6 2 2 2 2 2" xfId="7916"/>
    <cellStyle name="Milliers 2 2 2 6 2 2 2 2 2 2" xfId="7917"/>
    <cellStyle name="Milliers 2 2 2 6 2 2 2 2 2 2 2" xfId="7918"/>
    <cellStyle name="Milliers 2 2 2 6 2 2 2 2 2 2 2 2" xfId="7919"/>
    <cellStyle name="Milliers 2 2 2 6 2 2 2 2 2 2 3" xfId="7920"/>
    <cellStyle name="Milliers 2 2 2 6 2 2 2 2 2 3" xfId="7921"/>
    <cellStyle name="Milliers 2 2 2 6 2 2 2 2 2 3 2" xfId="7922"/>
    <cellStyle name="Milliers 2 2 2 6 2 2 2 2 2 4" xfId="7923"/>
    <cellStyle name="Milliers 2 2 2 6 2 2 2 2 3" xfId="7924"/>
    <cellStyle name="Milliers 2 2 2 6 2 2 2 2 3 2" xfId="7925"/>
    <cellStyle name="Milliers 2 2 2 6 2 2 2 2 3 2 2" xfId="7926"/>
    <cellStyle name="Milliers 2 2 2 6 2 2 2 2 3 3" xfId="7927"/>
    <cellStyle name="Milliers 2 2 2 6 2 2 2 2 4" xfId="7928"/>
    <cellStyle name="Milliers 2 2 2 6 2 2 2 2 4 2" xfId="7929"/>
    <cellStyle name="Milliers 2 2 2 6 2 2 2 2 5" xfId="7930"/>
    <cellStyle name="Milliers 2 2 2 6 2 2 2 3" xfId="7931"/>
    <cellStyle name="Milliers 2 2 2 6 2 2 2 3 2" xfId="7932"/>
    <cellStyle name="Milliers 2 2 2 6 2 2 2 3 2 2" xfId="7933"/>
    <cellStyle name="Milliers 2 2 2 6 2 2 2 3 2 2 2" xfId="7934"/>
    <cellStyle name="Milliers 2 2 2 6 2 2 2 3 2 3" xfId="7935"/>
    <cellStyle name="Milliers 2 2 2 6 2 2 2 3 3" xfId="7936"/>
    <cellStyle name="Milliers 2 2 2 6 2 2 2 3 3 2" xfId="7937"/>
    <cellStyle name="Milliers 2 2 2 6 2 2 2 3 4" xfId="7938"/>
    <cellStyle name="Milliers 2 2 2 6 2 2 2 4" xfId="7939"/>
    <cellStyle name="Milliers 2 2 2 6 2 2 2 4 2" xfId="7940"/>
    <cellStyle name="Milliers 2 2 2 6 2 2 2 4 2 2" xfId="7941"/>
    <cellStyle name="Milliers 2 2 2 6 2 2 2 4 3" xfId="7942"/>
    <cellStyle name="Milliers 2 2 2 6 2 2 2 5" xfId="7943"/>
    <cellStyle name="Milliers 2 2 2 6 2 2 2 5 2" xfId="7944"/>
    <cellStyle name="Milliers 2 2 2 6 2 2 2 6" xfId="7945"/>
    <cellStyle name="Milliers 2 2 2 6 2 2 3" xfId="7946"/>
    <cellStyle name="Milliers 2 2 2 6 2 2 3 2" xfId="7947"/>
    <cellStyle name="Milliers 2 2 2 6 2 2 3 2 2" xfId="7948"/>
    <cellStyle name="Milliers 2 2 2 6 2 2 3 2 2 2" xfId="7949"/>
    <cellStyle name="Milliers 2 2 2 6 2 2 3 2 2 2 2" xfId="7950"/>
    <cellStyle name="Milliers 2 2 2 6 2 2 3 2 2 3" xfId="7951"/>
    <cellStyle name="Milliers 2 2 2 6 2 2 3 2 3" xfId="7952"/>
    <cellStyle name="Milliers 2 2 2 6 2 2 3 2 3 2" xfId="7953"/>
    <cellStyle name="Milliers 2 2 2 6 2 2 3 2 4" xfId="7954"/>
    <cellStyle name="Milliers 2 2 2 6 2 2 3 3" xfId="7955"/>
    <cellStyle name="Milliers 2 2 2 6 2 2 3 3 2" xfId="7956"/>
    <cellStyle name="Milliers 2 2 2 6 2 2 3 3 2 2" xfId="7957"/>
    <cellStyle name="Milliers 2 2 2 6 2 2 3 3 3" xfId="7958"/>
    <cellStyle name="Milliers 2 2 2 6 2 2 3 4" xfId="7959"/>
    <cellStyle name="Milliers 2 2 2 6 2 2 3 4 2" xfId="7960"/>
    <cellStyle name="Milliers 2 2 2 6 2 2 3 5" xfId="7961"/>
    <cellStyle name="Milliers 2 2 2 6 2 2 4" xfId="7962"/>
    <cellStyle name="Milliers 2 2 2 6 2 2 4 2" xfId="7963"/>
    <cellStyle name="Milliers 2 2 2 6 2 2 4 2 2" xfId="7964"/>
    <cellStyle name="Milliers 2 2 2 6 2 2 4 2 2 2" xfId="7965"/>
    <cellStyle name="Milliers 2 2 2 6 2 2 4 2 3" xfId="7966"/>
    <cellStyle name="Milliers 2 2 2 6 2 2 4 3" xfId="7967"/>
    <cellStyle name="Milliers 2 2 2 6 2 2 4 3 2" xfId="7968"/>
    <cellStyle name="Milliers 2 2 2 6 2 2 4 4" xfId="7969"/>
    <cellStyle name="Milliers 2 2 2 6 2 2 5" xfId="7970"/>
    <cellStyle name="Milliers 2 2 2 6 2 2 5 2" xfId="7971"/>
    <cellStyle name="Milliers 2 2 2 6 2 2 5 2 2" xfId="7972"/>
    <cellStyle name="Milliers 2 2 2 6 2 2 5 3" xfId="7973"/>
    <cellStyle name="Milliers 2 2 2 6 2 2 6" xfId="7974"/>
    <cellStyle name="Milliers 2 2 2 6 2 2 6 2" xfId="7975"/>
    <cellStyle name="Milliers 2 2 2 6 2 2 7" xfId="7976"/>
    <cellStyle name="Milliers 2 2 2 6 2 3" xfId="7977"/>
    <cellStyle name="Milliers 2 2 2 6 2 3 2" xfId="7978"/>
    <cellStyle name="Milliers 2 2 2 6 2 3 2 2" xfId="7979"/>
    <cellStyle name="Milliers 2 2 2 6 2 3 2 2 2" xfId="7980"/>
    <cellStyle name="Milliers 2 2 2 6 2 3 2 2 2 2" xfId="7981"/>
    <cellStyle name="Milliers 2 2 2 6 2 3 2 2 2 2 2" xfId="7982"/>
    <cellStyle name="Milliers 2 2 2 6 2 3 2 2 2 3" xfId="7983"/>
    <cellStyle name="Milliers 2 2 2 6 2 3 2 2 3" xfId="7984"/>
    <cellStyle name="Milliers 2 2 2 6 2 3 2 2 3 2" xfId="7985"/>
    <cellStyle name="Milliers 2 2 2 6 2 3 2 2 4" xfId="7986"/>
    <cellStyle name="Milliers 2 2 2 6 2 3 2 3" xfId="7987"/>
    <cellStyle name="Milliers 2 2 2 6 2 3 2 3 2" xfId="7988"/>
    <cellStyle name="Milliers 2 2 2 6 2 3 2 3 2 2" xfId="7989"/>
    <cellStyle name="Milliers 2 2 2 6 2 3 2 3 3" xfId="7990"/>
    <cellStyle name="Milliers 2 2 2 6 2 3 2 4" xfId="7991"/>
    <cellStyle name="Milliers 2 2 2 6 2 3 2 4 2" xfId="7992"/>
    <cellStyle name="Milliers 2 2 2 6 2 3 2 5" xfId="7993"/>
    <cellStyle name="Milliers 2 2 2 6 2 3 3" xfId="7994"/>
    <cellStyle name="Milliers 2 2 2 6 2 3 3 2" xfId="7995"/>
    <cellStyle name="Milliers 2 2 2 6 2 3 3 2 2" xfId="7996"/>
    <cellStyle name="Milliers 2 2 2 6 2 3 3 2 2 2" xfId="7997"/>
    <cellStyle name="Milliers 2 2 2 6 2 3 3 2 3" xfId="7998"/>
    <cellStyle name="Milliers 2 2 2 6 2 3 3 3" xfId="7999"/>
    <cellStyle name="Milliers 2 2 2 6 2 3 3 3 2" xfId="8000"/>
    <cellStyle name="Milliers 2 2 2 6 2 3 3 4" xfId="8001"/>
    <cellStyle name="Milliers 2 2 2 6 2 3 4" xfId="8002"/>
    <cellStyle name="Milliers 2 2 2 6 2 3 4 2" xfId="8003"/>
    <cellStyle name="Milliers 2 2 2 6 2 3 4 2 2" xfId="8004"/>
    <cellStyle name="Milliers 2 2 2 6 2 3 4 3" xfId="8005"/>
    <cellStyle name="Milliers 2 2 2 6 2 3 5" xfId="8006"/>
    <cellStyle name="Milliers 2 2 2 6 2 3 5 2" xfId="8007"/>
    <cellStyle name="Milliers 2 2 2 6 2 3 6" xfId="8008"/>
    <cellStyle name="Milliers 2 2 2 6 2 4" xfId="8009"/>
    <cellStyle name="Milliers 2 2 2 6 2 4 2" xfId="8010"/>
    <cellStyle name="Milliers 2 2 2 6 2 4 2 2" xfId="8011"/>
    <cellStyle name="Milliers 2 2 2 6 2 4 2 2 2" xfId="8012"/>
    <cellStyle name="Milliers 2 2 2 6 2 4 2 2 2 2" xfId="8013"/>
    <cellStyle name="Milliers 2 2 2 6 2 4 2 2 3" xfId="8014"/>
    <cellStyle name="Milliers 2 2 2 6 2 4 2 3" xfId="8015"/>
    <cellStyle name="Milliers 2 2 2 6 2 4 2 3 2" xfId="8016"/>
    <cellStyle name="Milliers 2 2 2 6 2 4 2 4" xfId="8017"/>
    <cellStyle name="Milliers 2 2 2 6 2 4 3" xfId="8018"/>
    <cellStyle name="Milliers 2 2 2 6 2 4 3 2" xfId="8019"/>
    <cellStyle name="Milliers 2 2 2 6 2 4 3 2 2" xfId="8020"/>
    <cellStyle name="Milliers 2 2 2 6 2 4 3 3" xfId="8021"/>
    <cellStyle name="Milliers 2 2 2 6 2 4 4" xfId="8022"/>
    <cellStyle name="Milliers 2 2 2 6 2 4 4 2" xfId="8023"/>
    <cellStyle name="Milliers 2 2 2 6 2 4 5" xfId="8024"/>
    <cellStyle name="Milliers 2 2 2 6 2 5" xfId="8025"/>
    <cellStyle name="Milliers 2 2 2 6 2 5 2" xfId="8026"/>
    <cellStyle name="Milliers 2 2 2 6 2 5 2 2" xfId="8027"/>
    <cellStyle name="Milliers 2 2 2 6 2 5 2 2 2" xfId="8028"/>
    <cellStyle name="Milliers 2 2 2 6 2 5 2 3" xfId="8029"/>
    <cellStyle name="Milliers 2 2 2 6 2 5 3" xfId="8030"/>
    <cellStyle name="Milliers 2 2 2 6 2 5 3 2" xfId="8031"/>
    <cellStyle name="Milliers 2 2 2 6 2 5 4" xfId="8032"/>
    <cellStyle name="Milliers 2 2 2 6 2 6" xfId="8033"/>
    <cellStyle name="Milliers 2 2 2 6 2 6 2" xfId="8034"/>
    <cellStyle name="Milliers 2 2 2 6 2 6 2 2" xfId="8035"/>
    <cellStyle name="Milliers 2 2 2 6 2 6 3" xfId="8036"/>
    <cellStyle name="Milliers 2 2 2 6 2 7" xfId="8037"/>
    <cellStyle name="Milliers 2 2 2 6 2 7 2" xfId="8038"/>
    <cellStyle name="Milliers 2 2 2 6 2 8" xfId="8039"/>
    <cellStyle name="Milliers 2 2 2 6 3" xfId="8040"/>
    <cellStyle name="Milliers 2 2 2 6 3 2" xfId="8041"/>
    <cellStyle name="Milliers 2 2 2 6 3 2 2" xfId="8042"/>
    <cellStyle name="Milliers 2 2 2 6 3 2 2 2" xfId="8043"/>
    <cellStyle name="Milliers 2 2 2 6 3 2 2 2 2" xfId="8044"/>
    <cellStyle name="Milliers 2 2 2 6 3 2 2 2 2 2" xfId="8045"/>
    <cellStyle name="Milliers 2 2 2 6 3 2 2 2 2 2 2" xfId="8046"/>
    <cellStyle name="Milliers 2 2 2 6 3 2 2 2 2 3" xfId="8047"/>
    <cellStyle name="Milliers 2 2 2 6 3 2 2 2 3" xfId="8048"/>
    <cellStyle name="Milliers 2 2 2 6 3 2 2 2 3 2" xfId="8049"/>
    <cellStyle name="Milliers 2 2 2 6 3 2 2 2 4" xfId="8050"/>
    <cellStyle name="Milliers 2 2 2 6 3 2 2 3" xfId="8051"/>
    <cellStyle name="Milliers 2 2 2 6 3 2 2 3 2" xfId="8052"/>
    <cellStyle name="Milliers 2 2 2 6 3 2 2 3 2 2" xfId="8053"/>
    <cellStyle name="Milliers 2 2 2 6 3 2 2 3 3" xfId="8054"/>
    <cellStyle name="Milliers 2 2 2 6 3 2 2 4" xfId="8055"/>
    <cellStyle name="Milliers 2 2 2 6 3 2 2 4 2" xfId="8056"/>
    <cellStyle name="Milliers 2 2 2 6 3 2 2 5" xfId="8057"/>
    <cellStyle name="Milliers 2 2 2 6 3 2 3" xfId="8058"/>
    <cellStyle name="Milliers 2 2 2 6 3 2 3 2" xfId="8059"/>
    <cellStyle name="Milliers 2 2 2 6 3 2 3 2 2" xfId="8060"/>
    <cellStyle name="Milliers 2 2 2 6 3 2 3 2 2 2" xfId="8061"/>
    <cellStyle name="Milliers 2 2 2 6 3 2 3 2 3" xfId="8062"/>
    <cellStyle name="Milliers 2 2 2 6 3 2 3 3" xfId="8063"/>
    <cellStyle name="Milliers 2 2 2 6 3 2 3 3 2" xfId="8064"/>
    <cellStyle name="Milliers 2 2 2 6 3 2 3 4" xfId="8065"/>
    <cellStyle name="Milliers 2 2 2 6 3 2 4" xfId="8066"/>
    <cellStyle name="Milliers 2 2 2 6 3 2 4 2" xfId="8067"/>
    <cellStyle name="Milliers 2 2 2 6 3 2 4 2 2" xfId="8068"/>
    <cellStyle name="Milliers 2 2 2 6 3 2 4 3" xfId="8069"/>
    <cellStyle name="Milliers 2 2 2 6 3 2 5" xfId="8070"/>
    <cellStyle name="Milliers 2 2 2 6 3 2 5 2" xfId="8071"/>
    <cellStyle name="Milliers 2 2 2 6 3 2 6" xfId="8072"/>
    <cellStyle name="Milliers 2 2 2 6 3 3" xfId="8073"/>
    <cellStyle name="Milliers 2 2 2 6 3 3 2" xfId="8074"/>
    <cellStyle name="Milliers 2 2 2 6 3 3 2 2" xfId="8075"/>
    <cellStyle name="Milliers 2 2 2 6 3 3 2 2 2" xfId="8076"/>
    <cellStyle name="Milliers 2 2 2 6 3 3 2 2 2 2" xfId="8077"/>
    <cellStyle name="Milliers 2 2 2 6 3 3 2 2 3" xfId="8078"/>
    <cellStyle name="Milliers 2 2 2 6 3 3 2 3" xfId="8079"/>
    <cellStyle name="Milliers 2 2 2 6 3 3 2 3 2" xfId="8080"/>
    <cellStyle name="Milliers 2 2 2 6 3 3 2 4" xfId="8081"/>
    <cellStyle name="Milliers 2 2 2 6 3 3 3" xfId="8082"/>
    <cellStyle name="Milliers 2 2 2 6 3 3 3 2" xfId="8083"/>
    <cellStyle name="Milliers 2 2 2 6 3 3 3 2 2" xfId="8084"/>
    <cellStyle name="Milliers 2 2 2 6 3 3 3 3" xfId="8085"/>
    <cellStyle name="Milliers 2 2 2 6 3 3 4" xfId="8086"/>
    <cellStyle name="Milliers 2 2 2 6 3 3 4 2" xfId="8087"/>
    <cellStyle name="Milliers 2 2 2 6 3 3 5" xfId="8088"/>
    <cellStyle name="Milliers 2 2 2 6 3 4" xfId="8089"/>
    <cellStyle name="Milliers 2 2 2 6 3 4 2" xfId="8090"/>
    <cellStyle name="Milliers 2 2 2 6 3 4 2 2" xfId="8091"/>
    <cellStyle name="Milliers 2 2 2 6 3 4 2 2 2" xfId="8092"/>
    <cellStyle name="Milliers 2 2 2 6 3 4 2 3" xfId="8093"/>
    <cellStyle name="Milliers 2 2 2 6 3 4 3" xfId="8094"/>
    <cellStyle name="Milliers 2 2 2 6 3 4 3 2" xfId="8095"/>
    <cellStyle name="Milliers 2 2 2 6 3 4 4" xfId="8096"/>
    <cellStyle name="Milliers 2 2 2 6 3 5" xfId="8097"/>
    <cellStyle name="Milliers 2 2 2 6 3 5 2" xfId="8098"/>
    <cellStyle name="Milliers 2 2 2 6 3 5 2 2" xfId="8099"/>
    <cellStyle name="Milliers 2 2 2 6 3 5 3" xfId="8100"/>
    <cellStyle name="Milliers 2 2 2 6 3 6" xfId="8101"/>
    <cellStyle name="Milliers 2 2 2 6 3 6 2" xfId="8102"/>
    <cellStyle name="Milliers 2 2 2 6 3 7" xfId="8103"/>
    <cellStyle name="Milliers 2 2 2 6 4" xfId="8104"/>
    <cellStyle name="Milliers 2 2 2 6 4 2" xfId="8105"/>
    <cellStyle name="Milliers 2 2 2 6 4 2 2" xfId="8106"/>
    <cellStyle name="Milliers 2 2 2 6 4 2 2 2" xfId="8107"/>
    <cellStyle name="Milliers 2 2 2 6 4 2 2 2 2" xfId="8108"/>
    <cellStyle name="Milliers 2 2 2 6 4 2 2 2 2 2" xfId="8109"/>
    <cellStyle name="Milliers 2 2 2 6 4 2 2 2 3" xfId="8110"/>
    <cellStyle name="Milliers 2 2 2 6 4 2 2 3" xfId="8111"/>
    <cellStyle name="Milliers 2 2 2 6 4 2 2 3 2" xfId="8112"/>
    <cellStyle name="Milliers 2 2 2 6 4 2 2 4" xfId="8113"/>
    <cellStyle name="Milliers 2 2 2 6 4 2 3" xfId="8114"/>
    <cellStyle name="Milliers 2 2 2 6 4 2 3 2" xfId="8115"/>
    <cellStyle name="Milliers 2 2 2 6 4 2 3 2 2" xfId="8116"/>
    <cellStyle name="Milliers 2 2 2 6 4 2 3 3" xfId="8117"/>
    <cellStyle name="Milliers 2 2 2 6 4 2 4" xfId="8118"/>
    <cellStyle name="Milliers 2 2 2 6 4 2 4 2" xfId="8119"/>
    <cellStyle name="Milliers 2 2 2 6 4 2 5" xfId="8120"/>
    <cellStyle name="Milliers 2 2 2 6 4 3" xfId="8121"/>
    <cellStyle name="Milliers 2 2 2 6 4 3 2" xfId="8122"/>
    <cellStyle name="Milliers 2 2 2 6 4 3 2 2" xfId="8123"/>
    <cellStyle name="Milliers 2 2 2 6 4 3 2 2 2" xfId="8124"/>
    <cellStyle name="Milliers 2 2 2 6 4 3 2 3" xfId="8125"/>
    <cellStyle name="Milliers 2 2 2 6 4 3 3" xfId="8126"/>
    <cellStyle name="Milliers 2 2 2 6 4 3 3 2" xfId="8127"/>
    <cellStyle name="Milliers 2 2 2 6 4 3 4" xfId="8128"/>
    <cellStyle name="Milliers 2 2 2 6 4 4" xfId="8129"/>
    <cellStyle name="Milliers 2 2 2 6 4 4 2" xfId="8130"/>
    <cellStyle name="Milliers 2 2 2 6 4 4 2 2" xfId="8131"/>
    <cellStyle name="Milliers 2 2 2 6 4 4 3" xfId="8132"/>
    <cellStyle name="Milliers 2 2 2 6 4 5" xfId="8133"/>
    <cellStyle name="Milliers 2 2 2 6 4 5 2" xfId="8134"/>
    <cellStyle name="Milliers 2 2 2 6 4 6" xfId="8135"/>
    <cellStyle name="Milliers 2 2 2 6 5" xfId="8136"/>
    <cellStyle name="Milliers 2 2 2 6 5 2" xfId="8137"/>
    <cellStyle name="Milliers 2 2 2 6 5 2 2" xfId="8138"/>
    <cellStyle name="Milliers 2 2 2 6 5 2 2 2" xfId="8139"/>
    <cellStyle name="Milliers 2 2 2 6 5 2 2 2 2" xfId="8140"/>
    <cellStyle name="Milliers 2 2 2 6 5 2 2 3" xfId="8141"/>
    <cellStyle name="Milliers 2 2 2 6 5 2 3" xfId="8142"/>
    <cellStyle name="Milliers 2 2 2 6 5 2 3 2" xfId="8143"/>
    <cellStyle name="Milliers 2 2 2 6 5 2 4" xfId="8144"/>
    <cellStyle name="Milliers 2 2 2 6 5 3" xfId="8145"/>
    <cellStyle name="Milliers 2 2 2 6 5 3 2" xfId="8146"/>
    <cellStyle name="Milliers 2 2 2 6 5 3 2 2" xfId="8147"/>
    <cellStyle name="Milliers 2 2 2 6 5 3 3" xfId="8148"/>
    <cellStyle name="Milliers 2 2 2 6 5 4" xfId="8149"/>
    <cellStyle name="Milliers 2 2 2 6 5 4 2" xfId="8150"/>
    <cellStyle name="Milliers 2 2 2 6 5 5" xfId="8151"/>
    <cellStyle name="Milliers 2 2 2 6 6" xfId="8152"/>
    <cellStyle name="Milliers 2 2 2 6 6 2" xfId="8153"/>
    <cellStyle name="Milliers 2 2 2 6 6 2 2" xfId="8154"/>
    <cellStyle name="Milliers 2 2 2 6 6 2 2 2" xfId="8155"/>
    <cellStyle name="Milliers 2 2 2 6 6 2 3" xfId="8156"/>
    <cellStyle name="Milliers 2 2 2 6 6 3" xfId="8157"/>
    <cellStyle name="Milliers 2 2 2 6 6 3 2" xfId="8158"/>
    <cellStyle name="Milliers 2 2 2 6 6 4" xfId="8159"/>
    <cellStyle name="Milliers 2 2 2 6 7" xfId="8160"/>
    <cellStyle name="Milliers 2 2 2 6 7 2" xfId="8161"/>
    <cellStyle name="Milliers 2 2 2 6 7 2 2" xfId="8162"/>
    <cellStyle name="Milliers 2 2 2 6 7 3" xfId="8163"/>
    <cellStyle name="Milliers 2 2 2 6 8" xfId="8164"/>
    <cellStyle name="Milliers 2 2 2 6 8 2" xfId="8165"/>
    <cellStyle name="Milliers 2 2 2 6 9" xfId="8166"/>
    <cellStyle name="Milliers 2 2 2 7" xfId="8167"/>
    <cellStyle name="Milliers 2 2 2 7 2" xfId="8168"/>
    <cellStyle name="Milliers 2 2 2 7 2 2" xfId="8169"/>
    <cellStyle name="Milliers 2 2 2 7 2 2 2" xfId="8170"/>
    <cellStyle name="Milliers 2 2 2 7 2 2 2 2" xfId="8171"/>
    <cellStyle name="Milliers 2 2 2 7 2 2 2 2 2" xfId="8172"/>
    <cellStyle name="Milliers 2 2 2 7 2 2 2 2 2 2" xfId="8173"/>
    <cellStyle name="Milliers 2 2 2 7 2 2 2 2 2 2 2" xfId="8174"/>
    <cellStyle name="Milliers 2 2 2 7 2 2 2 2 2 3" xfId="8175"/>
    <cellStyle name="Milliers 2 2 2 7 2 2 2 2 3" xfId="8176"/>
    <cellStyle name="Milliers 2 2 2 7 2 2 2 2 3 2" xfId="8177"/>
    <cellStyle name="Milliers 2 2 2 7 2 2 2 2 4" xfId="8178"/>
    <cellStyle name="Milliers 2 2 2 7 2 2 2 3" xfId="8179"/>
    <cellStyle name="Milliers 2 2 2 7 2 2 2 3 2" xfId="8180"/>
    <cellStyle name="Milliers 2 2 2 7 2 2 2 3 2 2" xfId="8181"/>
    <cellStyle name="Milliers 2 2 2 7 2 2 2 3 3" xfId="8182"/>
    <cellStyle name="Milliers 2 2 2 7 2 2 2 4" xfId="8183"/>
    <cellStyle name="Milliers 2 2 2 7 2 2 2 4 2" xfId="8184"/>
    <cellStyle name="Milliers 2 2 2 7 2 2 2 5" xfId="8185"/>
    <cellStyle name="Milliers 2 2 2 7 2 2 3" xfId="8186"/>
    <cellStyle name="Milliers 2 2 2 7 2 2 3 2" xfId="8187"/>
    <cellStyle name="Milliers 2 2 2 7 2 2 3 2 2" xfId="8188"/>
    <cellStyle name="Milliers 2 2 2 7 2 2 3 2 2 2" xfId="8189"/>
    <cellStyle name="Milliers 2 2 2 7 2 2 3 2 3" xfId="8190"/>
    <cellStyle name="Milliers 2 2 2 7 2 2 3 3" xfId="8191"/>
    <cellStyle name="Milliers 2 2 2 7 2 2 3 3 2" xfId="8192"/>
    <cellStyle name="Milliers 2 2 2 7 2 2 3 4" xfId="8193"/>
    <cellStyle name="Milliers 2 2 2 7 2 2 4" xfId="8194"/>
    <cellStyle name="Milliers 2 2 2 7 2 2 4 2" xfId="8195"/>
    <cellStyle name="Milliers 2 2 2 7 2 2 4 2 2" xfId="8196"/>
    <cellStyle name="Milliers 2 2 2 7 2 2 4 3" xfId="8197"/>
    <cellStyle name="Milliers 2 2 2 7 2 2 5" xfId="8198"/>
    <cellStyle name="Milliers 2 2 2 7 2 2 5 2" xfId="8199"/>
    <cellStyle name="Milliers 2 2 2 7 2 2 6" xfId="8200"/>
    <cellStyle name="Milliers 2 2 2 7 2 3" xfId="8201"/>
    <cellStyle name="Milliers 2 2 2 7 2 3 2" xfId="8202"/>
    <cellStyle name="Milliers 2 2 2 7 2 3 2 2" xfId="8203"/>
    <cellStyle name="Milliers 2 2 2 7 2 3 2 2 2" xfId="8204"/>
    <cellStyle name="Milliers 2 2 2 7 2 3 2 2 2 2" xfId="8205"/>
    <cellStyle name="Milliers 2 2 2 7 2 3 2 2 3" xfId="8206"/>
    <cellStyle name="Milliers 2 2 2 7 2 3 2 3" xfId="8207"/>
    <cellStyle name="Milliers 2 2 2 7 2 3 2 3 2" xfId="8208"/>
    <cellStyle name="Milliers 2 2 2 7 2 3 2 4" xfId="8209"/>
    <cellStyle name="Milliers 2 2 2 7 2 3 3" xfId="8210"/>
    <cellStyle name="Milliers 2 2 2 7 2 3 3 2" xfId="8211"/>
    <cellStyle name="Milliers 2 2 2 7 2 3 3 2 2" xfId="8212"/>
    <cellStyle name="Milliers 2 2 2 7 2 3 3 3" xfId="8213"/>
    <cellStyle name="Milliers 2 2 2 7 2 3 4" xfId="8214"/>
    <cellStyle name="Milliers 2 2 2 7 2 3 4 2" xfId="8215"/>
    <cellStyle name="Milliers 2 2 2 7 2 3 5" xfId="8216"/>
    <cellStyle name="Milliers 2 2 2 7 2 4" xfId="8217"/>
    <cellStyle name="Milliers 2 2 2 7 2 4 2" xfId="8218"/>
    <cellStyle name="Milliers 2 2 2 7 2 4 2 2" xfId="8219"/>
    <cellStyle name="Milliers 2 2 2 7 2 4 2 2 2" xfId="8220"/>
    <cellStyle name="Milliers 2 2 2 7 2 4 2 3" xfId="8221"/>
    <cellStyle name="Milliers 2 2 2 7 2 4 3" xfId="8222"/>
    <cellStyle name="Milliers 2 2 2 7 2 4 3 2" xfId="8223"/>
    <cellStyle name="Milliers 2 2 2 7 2 4 4" xfId="8224"/>
    <cellStyle name="Milliers 2 2 2 7 2 5" xfId="8225"/>
    <cellStyle name="Milliers 2 2 2 7 2 5 2" xfId="8226"/>
    <cellStyle name="Milliers 2 2 2 7 2 5 2 2" xfId="8227"/>
    <cellStyle name="Milliers 2 2 2 7 2 5 3" xfId="8228"/>
    <cellStyle name="Milliers 2 2 2 7 2 6" xfId="8229"/>
    <cellStyle name="Milliers 2 2 2 7 2 6 2" xfId="8230"/>
    <cellStyle name="Milliers 2 2 2 7 2 7" xfId="8231"/>
    <cellStyle name="Milliers 2 2 2 7 3" xfId="8232"/>
    <cellStyle name="Milliers 2 2 2 7 3 2" xfId="8233"/>
    <cellStyle name="Milliers 2 2 2 7 3 2 2" xfId="8234"/>
    <cellStyle name="Milliers 2 2 2 7 3 2 2 2" xfId="8235"/>
    <cellStyle name="Milliers 2 2 2 7 3 2 2 2 2" xfId="8236"/>
    <cellStyle name="Milliers 2 2 2 7 3 2 2 2 2 2" xfId="8237"/>
    <cellStyle name="Milliers 2 2 2 7 3 2 2 2 3" xfId="8238"/>
    <cellStyle name="Milliers 2 2 2 7 3 2 2 3" xfId="8239"/>
    <cellStyle name="Milliers 2 2 2 7 3 2 2 3 2" xfId="8240"/>
    <cellStyle name="Milliers 2 2 2 7 3 2 2 4" xfId="8241"/>
    <cellStyle name="Milliers 2 2 2 7 3 2 3" xfId="8242"/>
    <cellStyle name="Milliers 2 2 2 7 3 2 3 2" xfId="8243"/>
    <cellStyle name="Milliers 2 2 2 7 3 2 3 2 2" xfId="8244"/>
    <cellStyle name="Milliers 2 2 2 7 3 2 3 3" xfId="8245"/>
    <cellStyle name="Milliers 2 2 2 7 3 2 4" xfId="8246"/>
    <cellStyle name="Milliers 2 2 2 7 3 2 4 2" xfId="8247"/>
    <cellStyle name="Milliers 2 2 2 7 3 2 5" xfId="8248"/>
    <cellStyle name="Milliers 2 2 2 7 3 3" xfId="8249"/>
    <cellStyle name="Milliers 2 2 2 7 3 3 2" xfId="8250"/>
    <cellStyle name="Milliers 2 2 2 7 3 3 2 2" xfId="8251"/>
    <cellStyle name="Milliers 2 2 2 7 3 3 2 2 2" xfId="8252"/>
    <cellStyle name="Milliers 2 2 2 7 3 3 2 3" xfId="8253"/>
    <cellStyle name="Milliers 2 2 2 7 3 3 3" xfId="8254"/>
    <cellStyle name="Milliers 2 2 2 7 3 3 3 2" xfId="8255"/>
    <cellStyle name="Milliers 2 2 2 7 3 3 4" xfId="8256"/>
    <cellStyle name="Milliers 2 2 2 7 3 4" xfId="8257"/>
    <cellStyle name="Milliers 2 2 2 7 3 4 2" xfId="8258"/>
    <cellStyle name="Milliers 2 2 2 7 3 4 2 2" xfId="8259"/>
    <cellStyle name="Milliers 2 2 2 7 3 4 3" xfId="8260"/>
    <cellStyle name="Milliers 2 2 2 7 3 5" xfId="8261"/>
    <cellStyle name="Milliers 2 2 2 7 3 5 2" xfId="8262"/>
    <cellStyle name="Milliers 2 2 2 7 3 6" xfId="8263"/>
    <cellStyle name="Milliers 2 2 2 7 4" xfId="8264"/>
    <cellStyle name="Milliers 2 2 2 7 4 2" xfId="8265"/>
    <cellStyle name="Milliers 2 2 2 7 4 2 2" xfId="8266"/>
    <cellStyle name="Milliers 2 2 2 7 4 2 2 2" xfId="8267"/>
    <cellStyle name="Milliers 2 2 2 7 4 2 2 2 2" xfId="8268"/>
    <cellStyle name="Milliers 2 2 2 7 4 2 2 3" xfId="8269"/>
    <cellStyle name="Milliers 2 2 2 7 4 2 3" xfId="8270"/>
    <cellStyle name="Milliers 2 2 2 7 4 2 3 2" xfId="8271"/>
    <cellStyle name="Milliers 2 2 2 7 4 2 4" xfId="8272"/>
    <cellStyle name="Milliers 2 2 2 7 4 3" xfId="8273"/>
    <cellStyle name="Milliers 2 2 2 7 4 3 2" xfId="8274"/>
    <cellStyle name="Milliers 2 2 2 7 4 3 2 2" xfId="8275"/>
    <cellStyle name="Milliers 2 2 2 7 4 3 3" xfId="8276"/>
    <cellStyle name="Milliers 2 2 2 7 4 4" xfId="8277"/>
    <cellStyle name="Milliers 2 2 2 7 4 4 2" xfId="8278"/>
    <cellStyle name="Milliers 2 2 2 7 4 5" xfId="8279"/>
    <cellStyle name="Milliers 2 2 2 7 5" xfId="8280"/>
    <cellStyle name="Milliers 2 2 2 7 5 2" xfId="8281"/>
    <cellStyle name="Milliers 2 2 2 7 5 2 2" xfId="8282"/>
    <cellStyle name="Milliers 2 2 2 7 5 2 2 2" xfId="8283"/>
    <cellStyle name="Milliers 2 2 2 7 5 2 3" xfId="8284"/>
    <cellStyle name="Milliers 2 2 2 7 5 3" xfId="8285"/>
    <cellStyle name="Milliers 2 2 2 7 5 3 2" xfId="8286"/>
    <cellStyle name="Milliers 2 2 2 7 5 4" xfId="8287"/>
    <cellStyle name="Milliers 2 2 2 7 6" xfId="8288"/>
    <cellStyle name="Milliers 2 2 2 7 6 2" xfId="8289"/>
    <cellStyle name="Milliers 2 2 2 7 6 2 2" xfId="8290"/>
    <cellStyle name="Milliers 2 2 2 7 6 3" xfId="8291"/>
    <cellStyle name="Milliers 2 2 2 7 7" xfId="8292"/>
    <cellStyle name="Milliers 2 2 2 7 7 2" xfId="8293"/>
    <cellStyle name="Milliers 2 2 2 7 8" xfId="8294"/>
    <cellStyle name="Milliers 2 2 2 8" xfId="8295"/>
    <cellStyle name="Milliers 2 2 2 8 2" xfId="8296"/>
    <cellStyle name="Milliers 2 2 2 8 2 2" xfId="8297"/>
    <cellStyle name="Milliers 2 2 2 8 2 2 2" xfId="8298"/>
    <cellStyle name="Milliers 2 2 2 8 2 2 2 2" xfId="8299"/>
    <cellStyle name="Milliers 2 2 2 8 2 2 2 2 2" xfId="8300"/>
    <cellStyle name="Milliers 2 2 2 8 2 2 2 2 2 2" xfId="8301"/>
    <cellStyle name="Milliers 2 2 2 8 2 2 2 2 3" xfId="8302"/>
    <cellStyle name="Milliers 2 2 2 8 2 2 2 3" xfId="8303"/>
    <cellStyle name="Milliers 2 2 2 8 2 2 2 3 2" xfId="8304"/>
    <cellStyle name="Milliers 2 2 2 8 2 2 2 4" xfId="8305"/>
    <cellStyle name="Milliers 2 2 2 8 2 2 3" xfId="8306"/>
    <cellStyle name="Milliers 2 2 2 8 2 2 3 2" xfId="8307"/>
    <cellStyle name="Milliers 2 2 2 8 2 2 3 2 2" xfId="8308"/>
    <cellStyle name="Milliers 2 2 2 8 2 2 3 3" xfId="8309"/>
    <cellStyle name="Milliers 2 2 2 8 2 2 4" xfId="8310"/>
    <cellStyle name="Milliers 2 2 2 8 2 2 4 2" xfId="8311"/>
    <cellStyle name="Milliers 2 2 2 8 2 2 5" xfId="8312"/>
    <cellStyle name="Milliers 2 2 2 8 2 3" xfId="8313"/>
    <cellStyle name="Milliers 2 2 2 8 2 3 2" xfId="8314"/>
    <cellStyle name="Milliers 2 2 2 8 2 3 2 2" xfId="8315"/>
    <cellStyle name="Milliers 2 2 2 8 2 3 2 2 2" xfId="8316"/>
    <cellStyle name="Milliers 2 2 2 8 2 3 2 3" xfId="8317"/>
    <cellStyle name="Milliers 2 2 2 8 2 3 3" xfId="8318"/>
    <cellStyle name="Milliers 2 2 2 8 2 3 3 2" xfId="8319"/>
    <cellStyle name="Milliers 2 2 2 8 2 3 4" xfId="8320"/>
    <cellStyle name="Milliers 2 2 2 8 2 4" xfId="8321"/>
    <cellStyle name="Milliers 2 2 2 8 2 4 2" xfId="8322"/>
    <cellStyle name="Milliers 2 2 2 8 2 4 2 2" xfId="8323"/>
    <cellStyle name="Milliers 2 2 2 8 2 4 3" xfId="8324"/>
    <cellStyle name="Milliers 2 2 2 8 2 5" xfId="8325"/>
    <cellStyle name="Milliers 2 2 2 8 2 5 2" xfId="8326"/>
    <cellStyle name="Milliers 2 2 2 8 2 6" xfId="8327"/>
    <cellStyle name="Milliers 2 2 2 8 3" xfId="8328"/>
    <cellStyle name="Milliers 2 2 2 8 3 2" xfId="8329"/>
    <cellStyle name="Milliers 2 2 2 8 3 2 2" xfId="8330"/>
    <cellStyle name="Milliers 2 2 2 8 3 2 2 2" xfId="8331"/>
    <cellStyle name="Milliers 2 2 2 8 3 2 2 2 2" xfId="8332"/>
    <cellStyle name="Milliers 2 2 2 8 3 2 2 3" xfId="8333"/>
    <cellStyle name="Milliers 2 2 2 8 3 2 3" xfId="8334"/>
    <cellStyle name="Milliers 2 2 2 8 3 2 3 2" xfId="8335"/>
    <cellStyle name="Milliers 2 2 2 8 3 2 4" xfId="8336"/>
    <cellStyle name="Milliers 2 2 2 8 3 3" xfId="8337"/>
    <cellStyle name="Milliers 2 2 2 8 3 3 2" xfId="8338"/>
    <cellStyle name="Milliers 2 2 2 8 3 3 2 2" xfId="8339"/>
    <cellStyle name="Milliers 2 2 2 8 3 3 3" xfId="8340"/>
    <cellStyle name="Milliers 2 2 2 8 3 4" xfId="8341"/>
    <cellStyle name="Milliers 2 2 2 8 3 4 2" xfId="8342"/>
    <cellStyle name="Milliers 2 2 2 8 3 5" xfId="8343"/>
    <cellStyle name="Milliers 2 2 2 8 4" xfId="8344"/>
    <cellStyle name="Milliers 2 2 2 8 4 2" xfId="8345"/>
    <cellStyle name="Milliers 2 2 2 8 4 2 2" xfId="8346"/>
    <cellStyle name="Milliers 2 2 2 8 4 2 2 2" xfId="8347"/>
    <cellStyle name="Milliers 2 2 2 8 4 2 3" xfId="8348"/>
    <cellStyle name="Milliers 2 2 2 8 4 3" xfId="8349"/>
    <cellStyle name="Milliers 2 2 2 8 4 3 2" xfId="8350"/>
    <cellStyle name="Milliers 2 2 2 8 4 4" xfId="8351"/>
    <cellStyle name="Milliers 2 2 2 8 5" xfId="8352"/>
    <cellStyle name="Milliers 2 2 2 8 5 2" xfId="8353"/>
    <cellStyle name="Milliers 2 2 2 8 5 2 2" xfId="8354"/>
    <cellStyle name="Milliers 2 2 2 8 5 3" xfId="8355"/>
    <cellStyle name="Milliers 2 2 2 8 6" xfId="8356"/>
    <cellStyle name="Milliers 2 2 2 8 6 2" xfId="8357"/>
    <cellStyle name="Milliers 2 2 2 8 7" xfId="8358"/>
    <cellStyle name="Milliers 2 2 2 9" xfId="8359"/>
    <cellStyle name="Milliers 2 2 2 9 2" xfId="8360"/>
    <cellStyle name="Milliers 2 2 2 9 2 2" xfId="8361"/>
    <cellStyle name="Milliers 2 2 2 9 2 2 2" xfId="8362"/>
    <cellStyle name="Milliers 2 2 2 9 2 2 2 2" xfId="8363"/>
    <cellStyle name="Milliers 2 2 2 9 2 2 2 2 2" xfId="8364"/>
    <cellStyle name="Milliers 2 2 2 9 2 2 2 3" xfId="8365"/>
    <cellStyle name="Milliers 2 2 2 9 2 2 3" xfId="8366"/>
    <cellStyle name="Milliers 2 2 2 9 2 2 3 2" xfId="8367"/>
    <cellStyle name="Milliers 2 2 2 9 2 2 4" xfId="8368"/>
    <cellStyle name="Milliers 2 2 2 9 2 3" xfId="8369"/>
    <cellStyle name="Milliers 2 2 2 9 2 3 2" xfId="8370"/>
    <cellStyle name="Milliers 2 2 2 9 2 3 2 2" xfId="8371"/>
    <cellStyle name="Milliers 2 2 2 9 2 3 3" xfId="8372"/>
    <cellStyle name="Milliers 2 2 2 9 2 4" xfId="8373"/>
    <cellStyle name="Milliers 2 2 2 9 2 4 2" xfId="8374"/>
    <cellStyle name="Milliers 2 2 2 9 2 5" xfId="8375"/>
    <cellStyle name="Milliers 2 2 2 9 3" xfId="8376"/>
    <cellStyle name="Milliers 2 2 2 9 3 2" xfId="8377"/>
    <cellStyle name="Milliers 2 2 2 9 3 2 2" xfId="8378"/>
    <cellStyle name="Milliers 2 2 2 9 3 2 2 2" xfId="8379"/>
    <cellStyle name="Milliers 2 2 2 9 3 2 3" xfId="8380"/>
    <cellStyle name="Milliers 2 2 2 9 3 3" xfId="8381"/>
    <cellStyle name="Milliers 2 2 2 9 3 3 2" xfId="8382"/>
    <cellStyle name="Milliers 2 2 2 9 3 4" xfId="8383"/>
    <cellStyle name="Milliers 2 2 2 9 4" xfId="8384"/>
    <cellStyle name="Milliers 2 2 2 9 4 2" xfId="8385"/>
    <cellStyle name="Milliers 2 2 2 9 4 2 2" xfId="8386"/>
    <cellStyle name="Milliers 2 2 2 9 4 3" xfId="8387"/>
    <cellStyle name="Milliers 2 2 2 9 5" xfId="8388"/>
    <cellStyle name="Milliers 2 2 2 9 5 2" xfId="8389"/>
    <cellStyle name="Milliers 2 2 2 9 6" xfId="8390"/>
    <cellStyle name="Milliers 2 2 3" xfId="8391"/>
    <cellStyle name="Milliers 2 2 3 10" xfId="8392"/>
    <cellStyle name="Milliers 2 2 3 10 2" xfId="8393"/>
    <cellStyle name="Milliers 2 2 3 10 2 2" xfId="8394"/>
    <cellStyle name="Milliers 2 2 3 10 2 2 2" xfId="8395"/>
    <cellStyle name="Milliers 2 2 3 10 2 3" xfId="8396"/>
    <cellStyle name="Milliers 2 2 3 10 3" xfId="8397"/>
    <cellStyle name="Milliers 2 2 3 10 3 2" xfId="8398"/>
    <cellStyle name="Milliers 2 2 3 10 4" xfId="8399"/>
    <cellStyle name="Milliers 2 2 3 11" xfId="8400"/>
    <cellStyle name="Milliers 2 2 3 11 2" xfId="8401"/>
    <cellStyle name="Milliers 2 2 3 11 2 2" xfId="8402"/>
    <cellStyle name="Milliers 2 2 3 11 3" xfId="8403"/>
    <cellStyle name="Milliers 2 2 3 12" xfId="8404"/>
    <cellStyle name="Milliers 2 2 3 12 2" xfId="8405"/>
    <cellStyle name="Milliers 2 2 3 13" xfId="8406"/>
    <cellStyle name="Milliers 2 2 3 2" xfId="8407"/>
    <cellStyle name="Milliers 2 2 3 2 10" xfId="8408"/>
    <cellStyle name="Milliers 2 2 3 2 10 2" xfId="8409"/>
    <cellStyle name="Milliers 2 2 3 2 10 2 2" xfId="8410"/>
    <cellStyle name="Milliers 2 2 3 2 10 3" xfId="8411"/>
    <cellStyle name="Milliers 2 2 3 2 11" xfId="8412"/>
    <cellStyle name="Milliers 2 2 3 2 11 2" xfId="8413"/>
    <cellStyle name="Milliers 2 2 3 2 12" xfId="8414"/>
    <cellStyle name="Milliers 2 2 3 2 2" xfId="8415"/>
    <cellStyle name="Milliers 2 2 3 2 2 10" xfId="8416"/>
    <cellStyle name="Milliers 2 2 3 2 2 10 2" xfId="8417"/>
    <cellStyle name="Milliers 2 2 3 2 2 11" xfId="8418"/>
    <cellStyle name="Milliers 2 2 3 2 2 2" xfId="8419"/>
    <cellStyle name="Milliers 2 2 3 2 2 2 10" xfId="8420"/>
    <cellStyle name="Milliers 2 2 3 2 2 2 2" xfId="8421"/>
    <cellStyle name="Milliers 2 2 3 2 2 2 2 2" xfId="8422"/>
    <cellStyle name="Milliers 2 2 3 2 2 2 2 2 2" xfId="8423"/>
    <cellStyle name="Milliers 2 2 3 2 2 2 2 2 2 2" xfId="8424"/>
    <cellStyle name="Milliers 2 2 3 2 2 2 2 2 2 2 2" xfId="8425"/>
    <cellStyle name="Milliers 2 2 3 2 2 2 2 2 2 2 2 2" xfId="8426"/>
    <cellStyle name="Milliers 2 2 3 2 2 2 2 2 2 2 2 2 2" xfId="8427"/>
    <cellStyle name="Milliers 2 2 3 2 2 2 2 2 2 2 2 2 2 2" xfId="8428"/>
    <cellStyle name="Milliers 2 2 3 2 2 2 2 2 2 2 2 2 2 2 2" xfId="8429"/>
    <cellStyle name="Milliers 2 2 3 2 2 2 2 2 2 2 2 2 2 3" xfId="8430"/>
    <cellStyle name="Milliers 2 2 3 2 2 2 2 2 2 2 2 2 3" xfId="8431"/>
    <cellStyle name="Milliers 2 2 3 2 2 2 2 2 2 2 2 2 3 2" xfId="8432"/>
    <cellStyle name="Milliers 2 2 3 2 2 2 2 2 2 2 2 2 4" xfId="8433"/>
    <cellStyle name="Milliers 2 2 3 2 2 2 2 2 2 2 2 3" xfId="8434"/>
    <cellStyle name="Milliers 2 2 3 2 2 2 2 2 2 2 2 3 2" xfId="8435"/>
    <cellStyle name="Milliers 2 2 3 2 2 2 2 2 2 2 2 3 2 2" xfId="8436"/>
    <cellStyle name="Milliers 2 2 3 2 2 2 2 2 2 2 2 3 3" xfId="8437"/>
    <cellStyle name="Milliers 2 2 3 2 2 2 2 2 2 2 2 4" xfId="8438"/>
    <cellStyle name="Milliers 2 2 3 2 2 2 2 2 2 2 2 4 2" xfId="8439"/>
    <cellStyle name="Milliers 2 2 3 2 2 2 2 2 2 2 2 5" xfId="8440"/>
    <cellStyle name="Milliers 2 2 3 2 2 2 2 2 2 2 3" xfId="8441"/>
    <cellStyle name="Milliers 2 2 3 2 2 2 2 2 2 2 3 2" xfId="8442"/>
    <cellStyle name="Milliers 2 2 3 2 2 2 2 2 2 2 3 2 2" xfId="8443"/>
    <cellStyle name="Milliers 2 2 3 2 2 2 2 2 2 2 3 2 2 2" xfId="8444"/>
    <cellStyle name="Milliers 2 2 3 2 2 2 2 2 2 2 3 2 3" xfId="8445"/>
    <cellStyle name="Milliers 2 2 3 2 2 2 2 2 2 2 3 3" xfId="8446"/>
    <cellStyle name="Milliers 2 2 3 2 2 2 2 2 2 2 3 3 2" xfId="8447"/>
    <cellStyle name="Milliers 2 2 3 2 2 2 2 2 2 2 3 4" xfId="8448"/>
    <cellStyle name="Milliers 2 2 3 2 2 2 2 2 2 2 4" xfId="8449"/>
    <cellStyle name="Milliers 2 2 3 2 2 2 2 2 2 2 4 2" xfId="8450"/>
    <cellStyle name="Milliers 2 2 3 2 2 2 2 2 2 2 4 2 2" xfId="8451"/>
    <cellStyle name="Milliers 2 2 3 2 2 2 2 2 2 2 4 3" xfId="8452"/>
    <cellStyle name="Milliers 2 2 3 2 2 2 2 2 2 2 5" xfId="8453"/>
    <cellStyle name="Milliers 2 2 3 2 2 2 2 2 2 2 5 2" xfId="8454"/>
    <cellStyle name="Milliers 2 2 3 2 2 2 2 2 2 2 6" xfId="8455"/>
    <cellStyle name="Milliers 2 2 3 2 2 2 2 2 2 3" xfId="8456"/>
    <cellStyle name="Milliers 2 2 3 2 2 2 2 2 2 3 2" xfId="8457"/>
    <cellStyle name="Milliers 2 2 3 2 2 2 2 2 2 3 2 2" xfId="8458"/>
    <cellStyle name="Milliers 2 2 3 2 2 2 2 2 2 3 2 2 2" xfId="8459"/>
    <cellStyle name="Milliers 2 2 3 2 2 2 2 2 2 3 2 2 2 2" xfId="8460"/>
    <cellStyle name="Milliers 2 2 3 2 2 2 2 2 2 3 2 2 3" xfId="8461"/>
    <cellStyle name="Milliers 2 2 3 2 2 2 2 2 2 3 2 3" xfId="8462"/>
    <cellStyle name="Milliers 2 2 3 2 2 2 2 2 2 3 2 3 2" xfId="8463"/>
    <cellStyle name="Milliers 2 2 3 2 2 2 2 2 2 3 2 4" xfId="8464"/>
    <cellStyle name="Milliers 2 2 3 2 2 2 2 2 2 3 3" xfId="8465"/>
    <cellStyle name="Milliers 2 2 3 2 2 2 2 2 2 3 3 2" xfId="8466"/>
    <cellStyle name="Milliers 2 2 3 2 2 2 2 2 2 3 3 2 2" xfId="8467"/>
    <cellStyle name="Milliers 2 2 3 2 2 2 2 2 2 3 3 3" xfId="8468"/>
    <cellStyle name="Milliers 2 2 3 2 2 2 2 2 2 3 4" xfId="8469"/>
    <cellStyle name="Milliers 2 2 3 2 2 2 2 2 2 3 4 2" xfId="8470"/>
    <cellStyle name="Milliers 2 2 3 2 2 2 2 2 2 3 5" xfId="8471"/>
    <cellStyle name="Milliers 2 2 3 2 2 2 2 2 2 4" xfId="8472"/>
    <cellStyle name="Milliers 2 2 3 2 2 2 2 2 2 4 2" xfId="8473"/>
    <cellStyle name="Milliers 2 2 3 2 2 2 2 2 2 4 2 2" xfId="8474"/>
    <cellStyle name="Milliers 2 2 3 2 2 2 2 2 2 4 2 2 2" xfId="8475"/>
    <cellStyle name="Milliers 2 2 3 2 2 2 2 2 2 4 2 3" xfId="8476"/>
    <cellStyle name="Milliers 2 2 3 2 2 2 2 2 2 4 3" xfId="8477"/>
    <cellStyle name="Milliers 2 2 3 2 2 2 2 2 2 4 3 2" xfId="8478"/>
    <cellStyle name="Milliers 2 2 3 2 2 2 2 2 2 4 4" xfId="8479"/>
    <cellStyle name="Milliers 2 2 3 2 2 2 2 2 2 5" xfId="8480"/>
    <cellStyle name="Milliers 2 2 3 2 2 2 2 2 2 5 2" xfId="8481"/>
    <cellStyle name="Milliers 2 2 3 2 2 2 2 2 2 5 2 2" xfId="8482"/>
    <cellStyle name="Milliers 2 2 3 2 2 2 2 2 2 5 3" xfId="8483"/>
    <cellStyle name="Milliers 2 2 3 2 2 2 2 2 2 6" xfId="8484"/>
    <cellStyle name="Milliers 2 2 3 2 2 2 2 2 2 6 2" xfId="8485"/>
    <cellStyle name="Milliers 2 2 3 2 2 2 2 2 2 7" xfId="8486"/>
    <cellStyle name="Milliers 2 2 3 2 2 2 2 2 3" xfId="8487"/>
    <cellStyle name="Milliers 2 2 3 2 2 2 2 2 3 2" xfId="8488"/>
    <cellStyle name="Milliers 2 2 3 2 2 2 2 2 3 2 2" xfId="8489"/>
    <cellStyle name="Milliers 2 2 3 2 2 2 2 2 3 2 2 2" xfId="8490"/>
    <cellStyle name="Milliers 2 2 3 2 2 2 2 2 3 2 2 2 2" xfId="8491"/>
    <cellStyle name="Milliers 2 2 3 2 2 2 2 2 3 2 2 2 2 2" xfId="8492"/>
    <cellStyle name="Milliers 2 2 3 2 2 2 2 2 3 2 2 2 3" xfId="8493"/>
    <cellStyle name="Milliers 2 2 3 2 2 2 2 2 3 2 2 3" xfId="8494"/>
    <cellStyle name="Milliers 2 2 3 2 2 2 2 2 3 2 2 3 2" xfId="8495"/>
    <cellStyle name="Milliers 2 2 3 2 2 2 2 2 3 2 2 4" xfId="8496"/>
    <cellStyle name="Milliers 2 2 3 2 2 2 2 2 3 2 3" xfId="8497"/>
    <cellStyle name="Milliers 2 2 3 2 2 2 2 2 3 2 3 2" xfId="8498"/>
    <cellStyle name="Milliers 2 2 3 2 2 2 2 2 3 2 3 2 2" xfId="8499"/>
    <cellStyle name="Milliers 2 2 3 2 2 2 2 2 3 2 3 3" xfId="8500"/>
    <cellStyle name="Milliers 2 2 3 2 2 2 2 2 3 2 4" xfId="8501"/>
    <cellStyle name="Milliers 2 2 3 2 2 2 2 2 3 2 4 2" xfId="8502"/>
    <cellStyle name="Milliers 2 2 3 2 2 2 2 2 3 2 5" xfId="8503"/>
    <cellStyle name="Milliers 2 2 3 2 2 2 2 2 3 3" xfId="8504"/>
    <cellStyle name="Milliers 2 2 3 2 2 2 2 2 3 3 2" xfId="8505"/>
    <cellStyle name="Milliers 2 2 3 2 2 2 2 2 3 3 2 2" xfId="8506"/>
    <cellStyle name="Milliers 2 2 3 2 2 2 2 2 3 3 2 2 2" xfId="8507"/>
    <cellStyle name="Milliers 2 2 3 2 2 2 2 2 3 3 2 3" xfId="8508"/>
    <cellStyle name="Milliers 2 2 3 2 2 2 2 2 3 3 3" xfId="8509"/>
    <cellStyle name="Milliers 2 2 3 2 2 2 2 2 3 3 3 2" xfId="8510"/>
    <cellStyle name="Milliers 2 2 3 2 2 2 2 2 3 3 4" xfId="8511"/>
    <cellStyle name="Milliers 2 2 3 2 2 2 2 2 3 4" xfId="8512"/>
    <cellStyle name="Milliers 2 2 3 2 2 2 2 2 3 4 2" xfId="8513"/>
    <cellStyle name="Milliers 2 2 3 2 2 2 2 2 3 4 2 2" xfId="8514"/>
    <cellStyle name="Milliers 2 2 3 2 2 2 2 2 3 4 3" xfId="8515"/>
    <cellStyle name="Milliers 2 2 3 2 2 2 2 2 3 5" xfId="8516"/>
    <cellStyle name="Milliers 2 2 3 2 2 2 2 2 3 5 2" xfId="8517"/>
    <cellStyle name="Milliers 2 2 3 2 2 2 2 2 3 6" xfId="8518"/>
    <cellStyle name="Milliers 2 2 3 2 2 2 2 2 4" xfId="8519"/>
    <cellStyle name="Milliers 2 2 3 2 2 2 2 2 4 2" xfId="8520"/>
    <cellStyle name="Milliers 2 2 3 2 2 2 2 2 4 2 2" xfId="8521"/>
    <cellStyle name="Milliers 2 2 3 2 2 2 2 2 4 2 2 2" xfId="8522"/>
    <cellStyle name="Milliers 2 2 3 2 2 2 2 2 4 2 2 2 2" xfId="8523"/>
    <cellStyle name="Milliers 2 2 3 2 2 2 2 2 4 2 2 3" xfId="8524"/>
    <cellStyle name="Milliers 2 2 3 2 2 2 2 2 4 2 3" xfId="8525"/>
    <cellStyle name="Milliers 2 2 3 2 2 2 2 2 4 2 3 2" xfId="8526"/>
    <cellStyle name="Milliers 2 2 3 2 2 2 2 2 4 2 4" xfId="8527"/>
    <cellStyle name="Milliers 2 2 3 2 2 2 2 2 4 3" xfId="8528"/>
    <cellStyle name="Milliers 2 2 3 2 2 2 2 2 4 3 2" xfId="8529"/>
    <cellStyle name="Milliers 2 2 3 2 2 2 2 2 4 3 2 2" xfId="8530"/>
    <cellStyle name="Milliers 2 2 3 2 2 2 2 2 4 3 3" xfId="8531"/>
    <cellStyle name="Milliers 2 2 3 2 2 2 2 2 4 4" xfId="8532"/>
    <cellStyle name="Milliers 2 2 3 2 2 2 2 2 4 4 2" xfId="8533"/>
    <cellStyle name="Milliers 2 2 3 2 2 2 2 2 4 5" xfId="8534"/>
    <cellStyle name="Milliers 2 2 3 2 2 2 2 2 5" xfId="8535"/>
    <cellStyle name="Milliers 2 2 3 2 2 2 2 2 5 2" xfId="8536"/>
    <cellStyle name="Milliers 2 2 3 2 2 2 2 2 5 2 2" xfId="8537"/>
    <cellStyle name="Milliers 2 2 3 2 2 2 2 2 5 2 2 2" xfId="8538"/>
    <cellStyle name="Milliers 2 2 3 2 2 2 2 2 5 2 3" xfId="8539"/>
    <cellStyle name="Milliers 2 2 3 2 2 2 2 2 5 3" xfId="8540"/>
    <cellStyle name="Milliers 2 2 3 2 2 2 2 2 5 3 2" xfId="8541"/>
    <cellStyle name="Milliers 2 2 3 2 2 2 2 2 5 4" xfId="8542"/>
    <cellStyle name="Milliers 2 2 3 2 2 2 2 2 6" xfId="8543"/>
    <cellStyle name="Milliers 2 2 3 2 2 2 2 2 6 2" xfId="8544"/>
    <cellStyle name="Milliers 2 2 3 2 2 2 2 2 6 2 2" xfId="8545"/>
    <cellStyle name="Milliers 2 2 3 2 2 2 2 2 6 3" xfId="8546"/>
    <cellStyle name="Milliers 2 2 3 2 2 2 2 2 7" xfId="8547"/>
    <cellStyle name="Milliers 2 2 3 2 2 2 2 2 7 2" xfId="8548"/>
    <cellStyle name="Milliers 2 2 3 2 2 2 2 2 8" xfId="8549"/>
    <cellStyle name="Milliers 2 2 3 2 2 2 2 3" xfId="8550"/>
    <cellStyle name="Milliers 2 2 3 2 2 2 2 3 2" xfId="8551"/>
    <cellStyle name="Milliers 2 2 3 2 2 2 2 3 2 2" xfId="8552"/>
    <cellStyle name="Milliers 2 2 3 2 2 2 2 3 2 2 2" xfId="8553"/>
    <cellStyle name="Milliers 2 2 3 2 2 2 2 3 2 2 2 2" xfId="8554"/>
    <cellStyle name="Milliers 2 2 3 2 2 2 2 3 2 2 2 2 2" xfId="8555"/>
    <cellStyle name="Milliers 2 2 3 2 2 2 2 3 2 2 2 2 2 2" xfId="8556"/>
    <cellStyle name="Milliers 2 2 3 2 2 2 2 3 2 2 2 2 3" xfId="8557"/>
    <cellStyle name="Milliers 2 2 3 2 2 2 2 3 2 2 2 3" xfId="8558"/>
    <cellStyle name="Milliers 2 2 3 2 2 2 2 3 2 2 2 3 2" xfId="8559"/>
    <cellStyle name="Milliers 2 2 3 2 2 2 2 3 2 2 2 4" xfId="8560"/>
    <cellStyle name="Milliers 2 2 3 2 2 2 2 3 2 2 3" xfId="8561"/>
    <cellStyle name="Milliers 2 2 3 2 2 2 2 3 2 2 3 2" xfId="8562"/>
    <cellStyle name="Milliers 2 2 3 2 2 2 2 3 2 2 3 2 2" xfId="8563"/>
    <cellStyle name="Milliers 2 2 3 2 2 2 2 3 2 2 3 3" xfId="8564"/>
    <cellStyle name="Milliers 2 2 3 2 2 2 2 3 2 2 4" xfId="8565"/>
    <cellStyle name="Milliers 2 2 3 2 2 2 2 3 2 2 4 2" xfId="8566"/>
    <cellStyle name="Milliers 2 2 3 2 2 2 2 3 2 2 5" xfId="8567"/>
    <cellStyle name="Milliers 2 2 3 2 2 2 2 3 2 3" xfId="8568"/>
    <cellStyle name="Milliers 2 2 3 2 2 2 2 3 2 3 2" xfId="8569"/>
    <cellStyle name="Milliers 2 2 3 2 2 2 2 3 2 3 2 2" xfId="8570"/>
    <cellStyle name="Milliers 2 2 3 2 2 2 2 3 2 3 2 2 2" xfId="8571"/>
    <cellStyle name="Milliers 2 2 3 2 2 2 2 3 2 3 2 3" xfId="8572"/>
    <cellStyle name="Milliers 2 2 3 2 2 2 2 3 2 3 3" xfId="8573"/>
    <cellStyle name="Milliers 2 2 3 2 2 2 2 3 2 3 3 2" xfId="8574"/>
    <cellStyle name="Milliers 2 2 3 2 2 2 2 3 2 3 4" xfId="8575"/>
    <cellStyle name="Milliers 2 2 3 2 2 2 2 3 2 4" xfId="8576"/>
    <cellStyle name="Milliers 2 2 3 2 2 2 2 3 2 4 2" xfId="8577"/>
    <cellStyle name="Milliers 2 2 3 2 2 2 2 3 2 4 2 2" xfId="8578"/>
    <cellStyle name="Milliers 2 2 3 2 2 2 2 3 2 4 3" xfId="8579"/>
    <cellStyle name="Milliers 2 2 3 2 2 2 2 3 2 5" xfId="8580"/>
    <cellStyle name="Milliers 2 2 3 2 2 2 2 3 2 5 2" xfId="8581"/>
    <cellStyle name="Milliers 2 2 3 2 2 2 2 3 2 6" xfId="8582"/>
    <cellStyle name="Milliers 2 2 3 2 2 2 2 3 3" xfId="8583"/>
    <cellStyle name="Milliers 2 2 3 2 2 2 2 3 3 2" xfId="8584"/>
    <cellStyle name="Milliers 2 2 3 2 2 2 2 3 3 2 2" xfId="8585"/>
    <cellStyle name="Milliers 2 2 3 2 2 2 2 3 3 2 2 2" xfId="8586"/>
    <cellStyle name="Milliers 2 2 3 2 2 2 2 3 3 2 2 2 2" xfId="8587"/>
    <cellStyle name="Milliers 2 2 3 2 2 2 2 3 3 2 2 3" xfId="8588"/>
    <cellStyle name="Milliers 2 2 3 2 2 2 2 3 3 2 3" xfId="8589"/>
    <cellStyle name="Milliers 2 2 3 2 2 2 2 3 3 2 3 2" xfId="8590"/>
    <cellStyle name="Milliers 2 2 3 2 2 2 2 3 3 2 4" xfId="8591"/>
    <cellStyle name="Milliers 2 2 3 2 2 2 2 3 3 3" xfId="8592"/>
    <cellStyle name="Milliers 2 2 3 2 2 2 2 3 3 3 2" xfId="8593"/>
    <cellStyle name="Milliers 2 2 3 2 2 2 2 3 3 3 2 2" xfId="8594"/>
    <cellStyle name="Milliers 2 2 3 2 2 2 2 3 3 3 3" xfId="8595"/>
    <cellStyle name="Milliers 2 2 3 2 2 2 2 3 3 4" xfId="8596"/>
    <cellStyle name="Milliers 2 2 3 2 2 2 2 3 3 4 2" xfId="8597"/>
    <cellStyle name="Milliers 2 2 3 2 2 2 2 3 3 5" xfId="8598"/>
    <cellStyle name="Milliers 2 2 3 2 2 2 2 3 4" xfId="8599"/>
    <cellStyle name="Milliers 2 2 3 2 2 2 2 3 4 2" xfId="8600"/>
    <cellStyle name="Milliers 2 2 3 2 2 2 2 3 4 2 2" xfId="8601"/>
    <cellStyle name="Milliers 2 2 3 2 2 2 2 3 4 2 2 2" xfId="8602"/>
    <cellStyle name="Milliers 2 2 3 2 2 2 2 3 4 2 3" xfId="8603"/>
    <cellStyle name="Milliers 2 2 3 2 2 2 2 3 4 3" xfId="8604"/>
    <cellStyle name="Milliers 2 2 3 2 2 2 2 3 4 3 2" xfId="8605"/>
    <cellStyle name="Milliers 2 2 3 2 2 2 2 3 4 4" xfId="8606"/>
    <cellStyle name="Milliers 2 2 3 2 2 2 2 3 5" xfId="8607"/>
    <cellStyle name="Milliers 2 2 3 2 2 2 2 3 5 2" xfId="8608"/>
    <cellStyle name="Milliers 2 2 3 2 2 2 2 3 5 2 2" xfId="8609"/>
    <cellStyle name="Milliers 2 2 3 2 2 2 2 3 5 3" xfId="8610"/>
    <cellStyle name="Milliers 2 2 3 2 2 2 2 3 6" xfId="8611"/>
    <cellStyle name="Milliers 2 2 3 2 2 2 2 3 6 2" xfId="8612"/>
    <cellStyle name="Milliers 2 2 3 2 2 2 2 3 7" xfId="8613"/>
    <cellStyle name="Milliers 2 2 3 2 2 2 2 4" xfId="8614"/>
    <cellStyle name="Milliers 2 2 3 2 2 2 2 4 2" xfId="8615"/>
    <cellStyle name="Milliers 2 2 3 2 2 2 2 4 2 2" xfId="8616"/>
    <cellStyle name="Milliers 2 2 3 2 2 2 2 4 2 2 2" xfId="8617"/>
    <cellStyle name="Milliers 2 2 3 2 2 2 2 4 2 2 2 2" xfId="8618"/>
    <cellStyle name="Milliers 2 2 3 2 2 2 2 4 2 2 2 2 2" xfId="8619"/>
    <cellStyle name="Milliers 2 2 3 2 2 2 2 4 2 2 2 3" xfId="8620"/>
    <cellStyle name="Milliers 2 2 3 2 2 2 2 4 2 2 3" xfId="8621"/>
    <cellStyle name="Milliers 2 2 3 2 2 2 2 4 2 2 3 2" xfId="8622"/>
    <cellStyle name="Milliers 2 2 3 2 2 2 2 4 2 2 4" xfId="8623"/>
    <cellStyle name="Milliers 2 2 3 2 2 2 2 4 2 3" xfId="8624"/>
    <cellStyle name="Milliers 2 2 3 2 2 2 2 4 2 3 2" xfId="8625"/>
    <cellStyle name="Milliers 2 2 3 2 2 2 2 4 2 3 2 2" xfId="8626"/>
    <cellStyle name="Milliers 2 2 3 2 2 2 2 4 2 3 3" xfId="8627"/>
    <cellStyle name="Milliers 2 2 3 2 2 2 2 4 2 4" xfId="8628"/>
    <cellStyle name="Milliers 2 2 3 2 2 2 2 4 2 4 2" xfId="8629"/>
    <cellStyle name="Milliers 2 2 3 2 2 2 2 4 2 5" xfId="8630"/>
    <cellStyle name="Milliers 2 2 3 2 2 2 2 4 3" xfId="8631"/>
    <cellStyle name="Milliers 2 2 3 2 2 2 2 4 3 2" xfId="8632"/>
    <cellStyle name="Milliers 2 2 3 2 2 2 2 4 3 2 2" xfId="8633"/>
    <cellStyle name="Milliers 2 2 3 2 2 2 2 4 3 2 2 2" xfId="8634"/>
    <cellStyle name="Milliers 2 2 3 2 2 2 2 4 3 2 3" xfId="8635"/>
    <cellStyle name="Milliers 2 2 3 2 2 2 2 4 3 3" xfId="8636"/>
    <cellStyle name="Milliers 2 2 3 2 2 2 2 4 3 3 2" xfId="8637"/>
    <cellStyle name="Milliers 2 2 3 2 2 2 2 4 3 4" xfId="8638"/>
    <cellStyle name="Milliers 2 2 3 2 2 2 2 4 4" xfId="8639"/>
    <cellStyle name="Milliers 2 2 3 2 2 2 2 4 4 2" xfId="8640"/>
    <cellStyle name="Milliers 2 2 3 2 2 2 2 4 4 2 2" xfId="8641"/>
    <cellStyle name="Milliers 2 2 3 2 2 2 2 4 4 3" xfId="8642"/>
    <cellStyle name="Milliers 2 2 3 2 2 2 2 4 5" xfId="8643"/>
    <cellStyle name="Milliers 2 2 3 2 2 2 2 4 5 2" xfId="8644"/>
    <cellStyle name="Milliers 2 2 3 2 2 2 2 4 6" xfId="8645"/>
    <cellStyle name="Milliers 2 2 3 2 2 2 2 5" xfId="8646"/>
    <cellStyle name="Milliers 2 2 3 2 2 2 2 5 2" xfId="8647"/>
    <cellStyle name="Milliers 2 2 3 2 2 2 2 5 2 2" xfId="8648"/>
    <cellStyle name="Milliers 2 2 3 2 2 2 2 5 2 2 2" xfId="8649"/>
    <cellStyle name="Milliers 2 2 3 2 2 2 2 5 2 2 2 2" xfId="8650"/>
    <cellStyle name="Milliers 2 2 3 2 2 2 2 5 2 2 3" xfId="8651"/>
    <cellStyle name="Milliers 2 2 3 2 2 2 2 5 2 3" xfId="8652"/>
    <cellStyle name="Milliers 2 2 3 2 2 2 2 5 2 3 2" xfId="8653"/>
    <cellStyle name="Milliers 2 2 3 2 2 2 2 5 2 4" xfId="8654"/>
    <cellStyle name="Milliers 2 2 3 2 2 2 2 5 3" xfId="8655"/>
    <cellStyle name="Milliers 2 2 3 2 2 2 2 5 3 2" xfId="8656"/>
    <cellStyle name="Milliers 2 2 3 2 2 2 2 5 3 2 2" xfId="8657"/>
    <cellStyle name="Milliers 2 2 3 2 2 2 2 5 3 3" xfId="8658"/>
    <cellStyle name="Milliers 2 2 3 2 2 2 2 5 4" xfId="8659"/>
    <cellStyle name="Milliers 2 2 3 2 2 2 2 5 4 2" xfId="8660"/>
    <cellStyle name="Milliers 2 2 3 2 2 2 2 5 5" xfId="8661"/>
    <cellStyle name="Milliers 2 2 3 2 2 2 2 6" xfId="8662"/>
    <cellStyle name="Milliers 2 2 3 2 2 2 2 6 2" xfId="8663"/>
    <cellStyle name="Milliers 2 2 3 2 2 2 2 6 2 2" xfId="8664"/>
    <cellStyle name="Milliers 2 2 3 2 2 2 2 6 2 2 2" xfId="8665"/>
    <cellStyle name="Milliers 2 2 3 2 2 2 2 6 2 3" xfId="8666"/>
    <cellStyle name="Milliers 2 2 3 2 2 2 2 6 3" xfId="8667"/>
    <cellStyle name="Milliers 2 2 3 2 2 2 2 6 3 2" xfId="8668"/>
    <cellStyle name="Milliers 2 2 3 2 2 2 2 6 4" xfId="8669"/>
    <cellStyle name="Milliers 2 2 3 2 2 2 2 7" xfId="8670"/>
    <cellStyle name="Milliers 2 2 3 2 2 2 2 7 2" xfId="8671"/>
    <cellStyle name="Milliers 2 2 3 2 2 2 2 7 2 2" xfId="8672"/>
    <cellStyle name="Milliers 2 2 3 2 2 2 2 7 3" xfId="8673"/>
    <cellStyle name="Milliers 2 2 3 2 2 2 2 8" xfId="8674"/>
    <cellStyle name="Milliers 2 2 3 2 2 2 2 8 2" xfId="8675"/>
    <cellStyle name="Milliers 2 2 3 2 2 2 2 9" xfId="8676"/>
    <cellStyle name="Milliers 2 2 3 2 2 2 3" xfId="8677"/>
    <cellStyle name="Milliers 2 2 3 2 2 2 3 2" xfId="8678"/>
    <cellStyle name="Milliers 2 2 3 2 2 2 3 2 2" xfId="8679"/>
    <cellStyle name="Milliers 2 2 3 2 2 2 3 2 2 2" xfId="8680"/>
    <cellStyle name="Milliers 2 2 3 2 2 2 3 2 2 2 2" xfId="8681"/>
    <cellStyle name="Milliers 2 2 3 2 2 2 3 2 2 2 2 2" xfId="8682"/>
    <cellStyle name="Milliers 2 2 3 2 2 2 3 2 2 2 2 2 2" xfId="8683"/>
    <cellStyle name="Milliers 2 2 3 2 2 2 3 2 2 2 2 2 2 2" xfId="8684"/>
    <cellStyle name="Milliers 2 2 3 2 2 2 3 2 2 2 2 2 3" xfId="8685"/>
    <cellStyle name="Milliers 2 2 3 2 2 2 3 2 2 2 2 3" xfId="8686"/>
    <cellStyle name="Milliers 2 2 3 2 2 2 3 2 2 2 2 3 2" xfId="8687"/>
    <cellStyle name="Milliers 2 2 3 2 2 2 3 2 2 2 2 4" xfId="8688"/>
    <cellStyle name="Milliers 2 2 3 2 2 2 3 2 2 2 3" xfId="8689"/>
    <cellStyle name="Milliers 2 2 3 2 2 2 3 2 2 2 3 2" xfId="8690"/>
    <cellStyle name="Milliers 2 2 3 2 2 2 3 2 2 2 3 2 2" xfId="8691"/>
    <cellStyle name="Milliers 2 2 3 2 2 2 3 2 2 2 3 3" xfId="8692"/>
    <cellStyle name="Milliers 2 2 3 2 2 2 3 2 2 2 4" xfId="8693"/>
    <cellStyle name="Milliers 2 2 3 2 2 2 3 2 2 2 4 2" xfId="8694"/>
    <cellStyle name="Milliers 2 2 3 2 2 2 3 2 2 2 5" xfId="8695"/>
    <cellStyle name="Milliers 2 2 3 2 2 2 3 2 2 3" xfId="8696"/>
    <cellStyle name="Milliers 2 2 3 2 2 2 3 2 2 3 2" xfId="8697"/>
    <cellStyle name="Milliers 2 2 3 2 2 2 3 2 2 3 2 2" xfId="8698"/>
    <cellStyle name="Milliers 2 2 3 2 2 2 3 2 2 3 2 2 2" xfId="8699"/>
    <cellStyle name="Milliers 2 2 3 2 2 2 3 2 2 3 2 3" xfId="8700"/>
    <cellStyle name="Milliers 2 2 3 2 2 2 3 2 2 3 3" xfId="8701"/>
    <cellStyle name="Milliers 2 2 3 2 2 2 3 2 2 3 3 2" xfId="8702"/>
    <cellStyle name="Milliers 2 2 3 2 2 2 3 2 2 3 4" xfId="8703"/>
    <cellStyle name="Milliers 2 2 3 2 2 2 3 2 2 4" xfId="8704"/>
    <cellStyle name="Milliers 2 2 3 2 2 2 3 2 2 4 2" xfId="8705"/>
    <cellStyle name="Milliers 2 2 3 2 2 2 3 2 2 4 2 2" xfId="8706"/>
    <cellStyle name="Milliers 2 2 3 2 2 2 3 2 2 4 3" xfId="8707"/>
    <cellStyle name="Milliers 2 2 3 2 2 2 3 2 2 5" xfId="8708"/>
    <cellStyle name="Milliers 2 2 3 2 2 2 3 2 2 5 2" xfId="8709"/>
    <cellStyle name="Milliers 2 2 3 2 2 2 3 2 2 6" xfId="8710"/>
    <cellStyle name="Milliers 2 2 3 2 2 2 3 2 3" xfId="8711"/>
    <cellStyle name="Milliers 2 2 3 2 2 2 3 2 3 2" xfId="8712"/>
    <cellStyle name="Milliers 2 2 3 2 2 2 3 2 3 2 2" xfId="8713"/>
    <cellStyle name="Milliers 2 2 3 2 2 2 3 2 3 2 2 2" xfId="8714"/>
    <cellStyle name="Milliers 2 2 3 2 2 2 3 2 3 2 2 2 2" xfId="8715"/>
    <cellStyle name="Milliers 2 2 3 2 2 2 3 2 3 2 2 3" xfId="8716"/>
    <cellStyle name="Milliers 2 2 3 2 2 2 3 2 3 2 3" xfId="8717"/>
    <cellStyle name="Milliers 2 2 3 2 2 2 3 2 3 2 3 2" xfId="8718"/>
    <cellStyle name="Milliers 2 2 3 2 2 2 3 2 3 2 4" xfId="8719"/>
    <cellStyle name="Milliers 2 2 3 2 2 2 3 2 3 3" xfId="8720"/>
    <cellStyle name="Milliers 2 2 3 2 2 2 3 2 3 3 2" xfId="8721"/>
    <cellStyle name="Milliers 2 2 3 2 2 2 3 2 3 3 2 2" xfId="8722"/>
    <cellStyle name="Milliers 2 2 3 2 2 2 3 2 3 3 3" xfId="8723"/>
    <cellStyle name="Milliers 2 2 3 2 2 2 3 2 3 4" xfId="8724"/>
    <cellStyle name="Milliers 2 2 3 2 2 2 3 2 3 4 2" xfId="8725"/>
    <cellStyle name="Milliers 2 2 3 2 2 2 3 2 3 5" xfId="8726"/>
    <cellStyle name="Milliers 2 2 3 2 2 2 3 2 4" xfId="8727"/>
    <cellStyle name="Milliers 2 2 3 2 2 2 3 2 4 2" xfId="8728"/>
    <cellStyle name="Milliers 2 2 3 2 2 2 3 2 4 2 2" xfId="8729"/>
    <cellStyle name="Milliers 2 2 3 2 2 2 3 2 4 2 2 2" xfId="8730"/>
    <cellStyle name="Milliers 2 2 3 2 2 2 3 2 4 2 3" xfId="8731"/>
    <cellStyle name="Milliers 2 2 3 2 2 2 3 2 4 3" xfId="8732"/>
    <cellStyle name="Milliers 2 2 3 2 2 2 3 2 4 3 2" xfId="8733"/>
    <cellStyle name="Milliers 2 2 3 2 2 2 3 2 4 4" xfId="8734"/>
    <cellStyle name="Milliers 2 2 3 2 2 2 3 2 5" xfId="8735"/>
    <cellStyle name="Milliers 2 2 3 2 2 2 3 2 5 2" xfId="8736"/>
    <cellStyle name="Milliers 2 2 3 2 2 2 3 2 5 2 2" xfId="8737"/>
    <cellStyle name="Milliers 2 2 3 2 2 2 3 2 5 3" xfId="8738"/>
    <cellStyle name="Milliers 2 2 3 2 2 2 3 2 6" xfId="8739"/>
    <cellStyle name="Milliers 2 2 3 2 2 2 3 2 6 2" xfId="8740"/>
    <cellStyle name="Milliers 2 2 3 2 2 2 3 2 7" xfId="8741"/>
    <cellStyle name="Milliers 2 2 3 2 2 2 3 3" xfId="8742"/>
    <cellStyle name="Milliers 2 2 3 2 2 2 3 3 2" xfId="8743"/>
    <cellStyle name="Milliers 2 2 3 2 2 2 3 3 2 2" xfId="8744"/>
    <cellStyle name="Milliers 2 2 3 2 2 2 3 3 2 2 2" xfId="8745"/>
    <cellStyle name="Milliers 2 2 3 2 2 2 3 3 2 2 2 2" xfId="8746"/>
    <cellStyle name="Milliers 2 2 3 2 2 2 3 3 2 2 2 2 2" xfId="8747"/>
    <cellStyle name="Milliers 2 2 3 2 2 2 3 3 2 2 2 3" xfId="8748"/>
    <cellStyle name="Milliers 2 2 3 2 2 2 3 3 2 2 3" xfId="8749"/>
    <cellStyle name="Milliers 2 2 3 2 2 2 3 3 2 2 3 2" xfId="8750"/>
    <cellStyle name="Milliers 2 2 3 2 2 2 3 3 2 2 4" xfId="8751"/>
    <cellStyle name="Milliers 2 2 3 2 2 2 3 3 2 3" xfId="8752"/>
    <cellStyle name="Milliers 2 2 3 2 2 2 3 3 2 3 2" xfId="8753"/>
    <cellStyle name="Milliers 2 2 3 2 2 2 3 3 2 3 2 2" xfId="8754"/>
    <cellStyle name="Milliers 2 2 3 2 2 2 3 3 2 3 3" xfId="8755"/>
    <cellStyle name="Milliers 2 2 3 2 2 2 3 3 2 4" xfId="8756"/>
    <cellStyle name="Milliers 2 2 3 2 2 2 3 3 2 4 2" xfId="8757"/>
    <cellStyle name="Milliers 2 2 3 2 2 2 3 3 2 5" xfId="8758"/>
    <cellStyle name="Milliers 2 2 3 2 2 2 3 3 3" xfId="8759"/>
    <cellStyle name="Milliers 2 2 3 2 2 2 3 3 3 2" xfId="8760"/>
    <cellStyle name="Milliers 2 2 3 2 2 2 3 3 3 2 2" xfId="8761"/>
    <cellStyle name="Milliers 2 2 3 2 2 2 3 3 3 2 2 2" xfId="8762"/>
    <cellStyle name="Milliers 2 2 3 2 2 2 3 3 3 2 3" xfId="8763"/>
    <cellStyle name="Milliers 2 2 3 2 2 2 3 3 3 3" xfId="8764"/>
    <cellStyle name="Milliers 2 2 3 2 2 2 3 3 3 3 2" xfId="8765"/>
    <cellStyle name="Milliers 2 2 3 2 2 2 3 3 3 4" xfId="8766"/>
    <cellStyle name="Milliers 2 2 3 2 2 2 3 3 4" xfId="8767"/>
    <cellStyle name="Milliers 2 2 3 2 2 2 3 3 4 2" xfId="8768"/>
    <cellStyle name="Milliers 2 2 3 2 2 2 3 3 4 2 2" xfId="8769"/>
    <cellStyle name="Milliers 2 2 3 2 2 2 3 3 4 3" xfId="8770"/>
    <cellStyle name="Milliers 2 2 3 2 2 2 3 3 5" xfId="8771"/>
    <cellStyle name="Milliers 2 2 3 2 2 2 3 3 5 2" xfId="8772"/>
    <cellStyle name="Milliers 2 2 3 2 2 2 3 3 6" xfId="8773"/>
    <cellStyle name="Milliers 2 2 3 2 2 2 3 4" xfId="8774"/>
    <cellStyle name="Milliers 2 2 3 2 2 2 3 4 2" xfId="8775"/>
    <cellStyle name="Milliers 2 2 3 2 2 2 3 4 2 2" xfId="8776"/>
    <cellStyle name="Milliers 2 2 3 2 2 2 3 4 2 2 2" xfId="8777"/>
    <cellStyle name="Milliers 2 2 3 2 2 2 3 4 2 2 2 2" xfId="8778"/>
    <cellStyle name="Milliers 2 2 3 2 2 2 3 4 2 2 3" xfId="8779"/>
    <cellStyle name="Milliers 2 2 3 2 2 2 3 4 2 3" xfId="8780"/>
    <cellStyle name="Milliers 2 2 3 2 2 2 3 4 2 3 2" xfId="8781"/>
    <cellStyle name="Milliers 2 2 3 2 2 2 3 4 2 4" xfId="8782"/>
    <cellStyle name="Milliers 2 2 3 2 2 2 3 4 3" xfId="8783"/>
    <cellStyle name="Milliers 2 2 3 2 2 2 3 4 3 2" xfId="8784"/>
    <cellStyle name="Milliers 2 2 3 2 2 2 3 4 3 2 2" xfId="8785"/>
    <cellStyle name="Milliers 2 2 3 2 2 2 3 4 3 3" xfId="8786"/>
    <cellStyle name="Milliers 2 2 3 2 2 2 3 4 4" xfId="8787"/>
    <cellStyle name="Milliers 2 2 3 2 2 2 3 4 4 2" xfId="8788"/>
    <cellStyle name="Milliers 2 2 3 2 2 2 3 4 5" xfId="8789"/>
    <cellStyle name="Milliers 2 2 3 2 2 2 3 5" xfId="8790"/>
    <cellStyle name="Milliers 2 2 3 2 2 2 3 5 2" xfId="8791"/>
    <cellStyle name="Milliers 2 2 3 2 2 2 3 5 2 2" xfId="8792"/>
    <cellStyle name="Milliers 2 2 3 2 2 2 3 5 2 2 2" xfId="8793"/>
    <cellStyle name="Milliers 2 2 3 2 2 2 3 5 2 3" xfId="8794"/>
    <cellStyle name="Milliers 2 2 3 2 2 2 3 5 3" xfId="8795"/>
    <cellStyle name="Milliers 2 2 3 2 2 2 3 5 3 2" xfId="8796"/>
    <cellStyle name="Milliers 2 2 3 2 2 2 3 5 4" xfId="8797"/>
    <cellStyle name="Milliers 2 2 3 2 2 2 3 6" xfId="8798"/>
    <cellStyle name="Milliers 2 2 3 2 2 2 3 6 2" xfId="8799"/>
    <cellStyle name="Milliers 2 2 3 2 2 2 3 6 2 2" xfId="8800"/>
    <cellStyle name="Milliers 2 2 3 2 2 2 3 6 3" xfId="8801"/>
    <cellStyle name="Milliers 2 2 3 2 2 2 3 7" xfId="8802"/>
    <cellStyle name="Milliers 2 2 3 2 2 2 3 7 2" xfId="8803"/>
    <cellStyle name="Milliers 2 2 3 2 2 2 3 8" xfId="8804"/>
    <cellStyle name="Milliers 2 2 3 2 2 2 4" xfId="8805"/>
    <cellStyle name="Milliers 2 2 3 2 2 2 4 2" xfId="8806"/>
    <cellStyle name="Milliers 2 2 3 2 2 2 4 2 2" xfId="8807"/>
    <cellStyle name="Milliers 2 2 3 2 2 2 4 2 2 2" xfId="8808"/>
    <cellStyle name="Milliers 2 2 3 2 2 2 4 2 2 2 2" xfId="8809"/>
    <cellStyle name="Milliers 2 2 3 2 2 2 4 2 2 2 2 2" xfId="8810"/>
    <cellStyle name="Milliers 2 2 3 2 2 2 4 2 2 2 2 2 2" xfId="8811"/>
    <cellStyle name="Milliers 2 2 3 2 2 2 4 2 2 2 2 3" xfId="8812"/>
    <cellStyle name="Milliers 2 2 3 2 2 2 4 2 2 2 3" xfId="8813"/>
    <cellStyle name="Milliers 2 2 3 2 2 2 4 2 2 2 3 2" xfId="8814"/>
    <cellStyle name="Milliers 2 2 3 2 2 2 4 2 2 2 4" xfId="8815"/>
    <cellStyle name="Milliers 2 2 3 2 2 2 4 2 2 3" xfId="8816"/>
    <cellStyle name="Milliers 2 2 3 2 2 2 4 2 2 3 2" xfId="8817"/>
    <cellStyle name="Milliers 2 2 3 2 2 2 4 2 2 3 2 2" xfId="8818"/>
    <cellStyle name="Milliers 2 2 3 2 2 2 4 2 2 3 3" xfId="8819"/>
    <cellStyle name="Milliers 2 2 3 2 2 2 4 2 2 4" xfId="8820"/>
    <cellStyle name="Milliers 2 2 3 2 2 2 4 2 2 4 2" xfId="8821"/>
    <cellStyle name="Milliers 2 2 3 2 2 2 4 2 2 5" xfId="8822"/>
    <cellStyle name="Milliers 2 2 3 2 2 2 4 2 3" xfId="8823"/>
    <cellStyle name="Milliers 2 2 3 2 2 2 4 2 3 2" xfId="8824"/>
    <cellStyle name="Milliers 2 2 3 2 2 2 4 2 3 2 2" xfId="8825"/>
    <cellStyle name="Milliers 2 2 3 2 2 2 4 2 3 2 2 2" xfId="8826"/>
    <cellStyle name="Milliers 2 2 3 2 2 2 4 2 3 2 3" xfId="8827"/>
    <cellStyle name="Milliers 2 2 3 2 2 2 4 2 3 3" xfId="8828"/>
    <cellStyle name="Milliers 2 2 3 2 2 2 4 2 3 3 2" xfId="8829"/>
    <cellStyle name="Milliers 2 2 3 2 2 2 4 2 3 4" xfId="8830"/>
    <cellStyle name="Milliers 2 2 3 2 2 2 4 2 4" xfId="8831"/>
    <cellStyle name="Milliers 2 2 3 2 2 2 4 2 4 2" xfId="8832"/>
    <cellStyle name="Milliers 2 2 3 2 2 2 4 2 4 2 2" xfId="8833"/>
    <cellStyle name="Milliers 2 2 3 2 2 2 4 2 4 3" xfId="8834"/>
    <cellStyle name="Milliers 2 2 3 2 2 2 4 2 5" xfId="8835"/>
    <cellStyle name="Milliers 2 2 3 2 2 2 4 2 5 2" xfId="8836"/>
    <cellStyle name="Milliers 2 2 3 2 2 2 4 2 6" xfId="8837"/>
    <cellStyle name="Milliers 2 2 3 2 2 2 4 3" xfId="8838"/>
    <cellStyle name="Milliers 2 2 3 2 2 2 4 3 2" xfId="8839"/>
    <cellStyle name="Milliers 2 2 3 2 2 2 4 3 2 2" xfId="8840"/>
    <cellStyle name="Milliers 2 2 3 2 2 2 4 3 2 2 2" xfId="8841"/>
    <cellStyle name="Milliers 2 2 3 2 2 2 4 3 2 2 2 2" xfId="8842"/>
    <cellStyle name="Milliers 2 2 3 2 2 2 4 3 2 2 3" xfId="8843"/>
    <cellStyle name="Milliers 2 2 3 2 2 2 4 3 2 3" xfId="8844"/>
    <cellStyle name="Milliers 2 2 3 2 2 2 4 3 2 3 2" xfId="8845"/>
    <cellStyle name="Milliers 2 2 3 2 2 2 4 3 2 4" xfId="8846"/>
    <cellStyle name="Milliers 2 2 3 2 2 2 4 3 3" xfId="8847"/>
    <cellStyle name="Milliers 2 2 3 2 2 2 4 3 3 2" xfId="8848"/>
    <cellStyle name="Milliers 2 2 3 2 2 2 4 3 3 2 2" xfId="8849"/>
    <cellStyle name="Milliers 2 2 3 2 2 2 4 3 3 3" xfId="8850"/>
    <cellStyle name="Milliers 2 2 3 2 2 2 4 3 4" xfId="8851"/>
    <cellStyle name="Milliers 2 2 3 2 2 2 4 3 4 2" xfId="8852"/>
    <cellStyle name="Milliers 2 2 3 2 2 2 4 3 5" xfId="8853"/>
    <cellStyle name="Milliers 2 2 3 2 2 2 4 4" xfId="8854"/>
    <cellStyle name="Milliers 2 2 3 2 2 2 4 4 2" xfId="8855"/>
    <cellStyle name="Milliers 2 2 3 2 2 2 4 4 2 2" xfId="8856"/>
    <cellStyle name="Milliers 2 2 3 2 2 2 4 4 2 2 2" xfId="8857"/>
    <cellStyle name="Milliers 2 2 3 2 2 2 4 4 2 3" xfId="8858"/>
    <cellStyle name="Milliers 2 2 3 2 2 2 4 4 3" xfId="8859"/>
    <cellStyle name="Milliers 2 2 3 2 2 2 4 4 3 2" xfId="8860"/>
    <cellStyle name="Milliers 2 2 3 2 2 2 4 4 4" xfId="8861"/>
    <cellStyle name="Milliers 2 2 3 2 2 2 4 5" xfId="8862"/>
    <cellStyle name="Milliers 2 2 3 2 2 2 4 5 2" xfId="8863"/>
    <cellStyle name="Milliers 2 2 3 2 2 2 4 5 2 2" xfId="8864"/>
    <cellStyle name="Milliers 2 2 3 2 2 2 4 5 3" xfId="8865"/>
    <cellStyle name="Milliers 2 2 3 2 2 2 4 6" xfId="8866"/>
    <cellStyle name="Milliers 2 2 3 2 2 2 4 6 2" xfId="8867"/>
    <cellStyle name="Milliers 2 2 3 2 2 2 4 7" xfId="8868"/>
    <cellStyle name="Milliers 2 2 3 2 2 2 5" xfId="8869"/>
    <cellStyle name="Milliers 2 2 3 2 2 2 5 2" xfId="8870"/>
    <cellStyle name="Milliers 2 2 3 2 2 2 5 2 2" xfId="8871"/>
    <cellStyle name="Milliers 2 2 3 2 2 2 5 2 2 2" xfId="8872"/>
    <cellStyle name="Milliers 2 2 3 2 2 2 5 2 2 2 2" xfId="8873"/>
    <cellStyle name="Milliers 2 2 3 2 2 2 5 2 2 2 2 2" xfId="8874"/>
    <cellStyle name="Milliers 2 2 3 2 2 2 5 2 2 2 3" xfId="8875"/>
    <cellStyle name="Milliers 2 2 3 2 2 2 5 2 2 3" xfId="8876"/>
    <cellStyle name="Milliers 2 2 3 2 2 2 5 2 2 3 2" xfId="8877"/>
    <cellStyle name="Milliers 2 2 3 2 2 2 5 2 2 4" xfId="8878"/>
    <cellStyle name="Milliers 2 2 3 2 2 2 5 2 3" xfId="8879"/>
    <cellStyle name="Milliers 2 2 3 2 2 2 5 2 3 2" xfId="8880"/>
    <cellStyle name="Milliers 2 2 3 2 2 2 5 2 3 2 2" xfId="8881"/>
    <cellStyle name="Milliers 2 2 3 2 2 2 5 2 3 3" xfId="8882"/>
    <cellStyle name="Milliers 2 2 3 2 2 2 5 2 4" xfId="8883"/>
    <cellStyle name="Milliers 2 2 3 2 2 2 5 2 4 2" xfId="8884"/>
    <cellStyle name="Milliers 2 2 3 2 2 2 5 2 5" xfId="8885"/>
    <cellStyle name="Milliers 2 2 3 2 2 2 5 3" xfId="8886"/>
    <cellStyle name="Milliers 2 2 3 2 2 2 5 3 2" xfId="8887"/>
    <cellStyle name="Milliers 2 2 3 2 2 2 5 3 2 2" xfId="8888"/>
    <cellStyle name="Milliers 2 2 3 2 2 2 5 3 2 2 2" xfId="8889"/>
    <cellStyle name="Milliers 2 2 3 2 2 2 5 3 2 3" xfId="8890"/>
    <cellStyle name="Milliers 2 2 3 2 2 2 5 3 3" xfId="8891"/>
    <cellStyle name="Milliers 2 2 3 2 2 2 5 3 3 2" xfId="8892"/>
    <cellStyle name="Milliers 2 2 3 2 2 2 5 3 4" xfId="8893"/>
    <cellStyle name="Milliers 2 2 3 2 2 2 5 4" xfId="8894"/>
    <cellStyle name="Milliers 2 2 3 2 2 2 5 4 2" xfId="8895"/>
    <cellStyle name="Milliers 2 2 3 2 2 2 5 4 2 2" xfId="8896"/>
    <cellStyle name="Milliers 2 2 3 2 2 2 5 4 3" xfId="8897"/>
    <cellStyle name="Milliers 2 2 3 2 2 2 5 5" xfId="8898"/>
    <cellStyle name="Milliers 2 2 3 2 2 2 5 5 2" xfId="8899"/>
    <cellStyle name="Milliers 2 2 3 2 2 2 5 6" xfId="8900"/>
    <cellStyle name="Milliers 2 2 3 2 2 2 6" xfId="8901"/>
    <cellStyle name="Milliers 2 2 3 2 2 2 6 2" xfId="8902"/>
    <cellStyle name="Milliers 2 2 3 2 2 2 6 2 2" xfId="8903"/>
    <cellStyle name="Milliers 2 2 3 2 2 2 6 2 2 2" xfId="8904"/>
    <cellStyle name="Milliers 2 2 3 2 2 2 6 2 2 2 2" xfId="8905"/>
    <cellStyle name="Milliers 2 2 3 2 2 2 6 2 2 3" xfId="8906"/>
    <cellStyle name="Milliers 2 2 3 2 2 2 6 2 3" xfId="8907"/>
    <cellStyle name="Milliers 2 2 3 2 2 2 6 2 3 2" xfId="8908"/>
    <cellStyle name="Milliers 2 2 3 2 2 2 6 2 4" xfId="8909"/>
    <cellStyle name="Milliers 2 2 3 2 2 2 6 3" xfId="8910"/>
    <cellStyle name="Milliers 2 2 3 2 2 2 6 3 2" xfId="8911"/>
    <cellStyle name="Milliers 2 2 3 2 2 2 6 3 2 2" xfId="8912"/>
    <cellStyle name="Milliers 2 2 3 2 2 2 6 3 3" xfId="8913"/>
    <cellStyle name="Milliers 2 2 3 2 2 2 6 4" xfId="8914"/>
    <cellStyle name="Milliers 2 2 3 2 2 2 6 4 2" xfId="8915"/>
    <cellStyle name="Milliers 2 2 3 2 2 2 6 5" xfId="8916"/>
    <cellStyle name="Milliers 2 2 3 2 2 2 7" xfId="8917"/>
    <cellStyle name="Milliers 2 2 3 2 2 2 7 2" xfId="8918"/>
    <cellStyle name="Milliers 2 2 3 2 2 2 7 2 2" xfId="8919"/>
    <cellStyle name="Milliers 2 2 3 2 2 2 7 2 2 2" xfId="8920"/>
    <cellStyle name="Milliers 2 2 3 2 2 2 7 2 3" xfId="8921"/>
    <cellStyle name="Milliers 2 2 3 2 2 2 7 3" xfId="8922"/>
    <cellStyle name="Milliers 2 2 3 2 2 2 7 3 2" xfId="8923"/>
    <cellStyle name="Milliers 2 2 3 2 2 2 7 4" xfId="8924"/>
    <cellStyle name="Milliers 2 2 3 2 2 2 8" xfId="8925"/>
    <cellStyle name="Milliers 2 2 3 2 2 2 8 2" xfId="8926"/>
    <cellStyle name="Milliers 2 2 3 2 2 2 8 2 2" xfId="8927"/>
    <cellStyle name="Milliers 2 2 3 2 2 2 8 3" xfId="8928"/>
    <cellStyle name="Milliers 2 2 3 2 2 2 9" xfId="8929"/>
    <cellStyle name="Milliers 2 2 3 2 2 2 9 2" xfId="8930"/>
    <cellStyle name="Milliers 2 2 3 2 2 3" xfId="8931"/>
    <cellStyle name="Milliers 2 2 3 2 2 3 2" xfId="8932"/>
    <cellStyle name="Milliers 2 2 3 2 2 3 2 2" xfId="8933"/>
    <cellStyle name="Milliers 2 2 3 2 2 3 2 2 2" xfId="8934"/>
    <cellStyle name="Milliers 2 2 3 2 2 3 2 2 2 2" xfId="8935"/>
    <cellStyle name="Milliers 2 2 3 2 2 3 2 2 2 2 2" xfId="8936"/>
    <cellStyle name="Milliers 2 2 3 2 2 3 2 2 2 2 2 2" xfId="8937"/>
    <cellStyle name="Milliers 2 2 3 2 2 3 2 2 2 2 2 2 2" xfId="8938"/>
    <cellStyle name="Milliers 2 2 3 2 2 3 2 2 2 2 2 2 2 2" xfId="8939"/>
    <cellStyle name="Milliers 2 2 3 2 2 3 2 2 2 2 2 2 3" xfId="8940"/>
    <cellStyle name="Milliers 2 2 3 2 2 3 2 2 2 2 2 3" xfId="8941"/>
    <cellStyle name="Milliers 2 2 3 2 2 3 2 2 2 2 2 3 2" xfId="8942"/>
    <cellStyle name="Milliers 2 2 3 2 2 3 2 2 2 2 2 4" xfId="8943"/>
    <cellStyle name="Milliers 2 2 3 2 2 3 2 2 2 2 3" xfId="8944"/>
    <cellStyle name="Milliers 2 2 3 2 2 3 2 2 2 2 3 2" xfId="8945"/>
    <cellStyle name="Milliers 2 2 3 2 2 3 2 2 2 2 3 2 2" xfId="8946"/>
    <cellStyle name="Milliers 2 2 3 2 2 3 2 2 2 2 3 3" xfId="8947"/>
    <cellStyle name="Milliers 2 2 3 2 2 3 2 2 2 2 4" xfId="8948"/>
    <cellStyle name="Milliers 2 2 3 2 2 3 2 2 2 2 4 2" xfId="8949"/>
    <cellStyle name="Milliers 2 2 3 2 2 3 2 2 2 2 5" xfId="8950"/>
    <cellStyle name="Milliers 2 2 3 2 2 3 2 2 2 3" xfId="8951"/>
    <cellStyle name="Milliers 2 2 3 2 2 3 2 2 2 3 2" xfId="8952"/>
    <cellStyle name="Milliers 2 2 3 2 2 3 2 2 2 3 2 2" xfId="8953"/>
    <cellStyle name="Milliers 2 2 3 2 2 3 2 2 2 3 2 2 2" xfId="8954"/>
    <cellStyle name="Milliers 2 2 3 2 2 3 2 2 2 3 2 3" xfId="8955"/>
    <cellStyle name="Milliers 2 2 3 2 2 3 2 2 2 3 3" xfId="8956"/>
    <cellStyle name="Milliers 2 2 3 2 2 3 2 2 2 3 3 2" xfId="8957"/>
    <cellStyle name="Milliers 2 2 3 2 2 3 2 2 2 3 4" xfId="8958"/>
    <cellStyle name="Milliers 2 2 3 2 2 3 2 2 2 4" xfId="8959"/>
    <cellStyle name="Milliers 2 2 3 2 2 3 2 2 2 4 2" xfId="8960"/>
    <cellStyle name="Milliers 2 2 3 2 2 3 2 2 2 4 2 2" xfId="8961"/>
    <cellStyle name="Milliers 2 2 3 2 2 3 2 2 2 4 3" xfId="8962"/>
    <cellStyle name="Milliers 2 2 3 2 2 3 2 2 2 5" xfId="8963"/>
    <cellStyle name="Milliers 2 2 3 2 2 3 2 2 2 5 2" xfId="8964"/>
    <cellStyle name="Milliers 2 2 3 2 2 3 2 2 2 6" xfId="8965"/>
    <cellStyle name="Milliers 2 2 3 2 2 3 2 2 3" xfId="8966"/>
    <cellStyle name="Milliers 2 2 3 2 2 3 2 2 3 2" xfId="8967"/>
    <cellStyle name="Milliers 2 2 3 2 2 3 2 2 3 2 2" xfId="8968"/>
    <cellStyle name="Milliers 2 2 3 2 2 3 2 2 3 2 2 2" xfId="8969"/>
    <cellStyle name="Milliers 2 2 3 2 2 3 2 2 3 2 2 2 2" xfId="8970"/>
    <cellStyle name="Milliers 2 2 3 2 2 3 2 2 3 2 2 3" xfId="8971"/>
    <cellStyle name="Milliers 2 2 3 2 2 3 2 2 3 2 3" xfId="8972"/>
    <cellStyle name="Milliers 2 2 3 2 2 3 2 2 3 2 3 2" xfId="8973"/>
    <cellStyle name="Milliers 2 2 3 2 2 3 2 2 3 2 4" xfId="8974"/>
    <cellStyle name="Milliers 2 2 3 2 2 3 2 2 3 3" xfId="8975"/>
    <cellStyle name="Milliers 2 2 3 2 2 3 2 2 3 3 2" xfId="8976"/>
    <cellStyle name="Milliers 2 2 3 2 2 3 2 2 3 3 2 2" xfId="8977"/>
    <cellStyle name="Milliers 2 2 3 2 2 3 2 2 3 3 3" xfId="8978"/>
    <cellStyle name="Milliers 2 2 3 2 2 3 2 2 3 4" xfId="8979"/>
    <cellStyle name="Milliers 2 2 3 2 2 3 2 2 3 4 2" xfId="8980"/>
    <cellStyle name="Milliers 2 2 3 2 2 3 2 2 3 5" xfId="8981"/>
    <cellStyle name="Milliers 2 2 3 2 2 3 2 2 4" xfId="8982"/>
    <cellStyle name="Milliers 2 2 3 2 2 3 2 2 4 2" xfId="8983"/>
    <cellStyle name="Milliers 2 2 3 2 2 3 2 2 4 2 2" xfId="8984"/>
    <cellStyle name="Milliers 2 2 3 2 2 3 2 2 4 2 2 2" xfId="8985"/>
    <cellStyle name="Milliers 2 2 3 2 2 3 2 2 4 2 3" xfId="8986"/>
    <cellStyle name="Milliers 2 2 3 2 2 3 2 2 4 3" xfId="8987"/>
    <cellStyle name="Milliers 2 2 3 2 2 3 2 2 4 3 2" xfId="8988"/>
    <cellStyle name="Milliers 2 2 3 2 2 3 2 2 4 4" xfId="8989"/>
    <cellStyle name="Milliers 2 2 3 2 2 3 2 2 5" xfId="8990"/>
    <cellStyle name="Milliers 2 2 3 2 2 3 2 2 5 2" xfId="8991"/>
    <cellStyle name="Milliers 2 2 3 2 2 3 2 2 5 2 2" xfId="8992"/>
    <cellStyle name="Milliers 2 2 3 2 2 3 2 2 5 3" xfId="8993"/>
    <cellStyle name="Milliers 2 2 3 2 2 3 2 2 6" xfId="8994"/>
    <cellStyle name="Milliers 2 2 3 2 2 3 2 2 6 2" xfId="8995"/>
    <cellStyle name="Milliers 2 2 3 2 2 3 2 2 7" xfId="8996"/>
    <cellStyle name="Milliers 2 2 3 2 2 3 2 3" xfId="8997"/>
    <cellStyle name="Milliers 2 2 3 2 2 3 2 3 2" xfId="8998"/>
    <cellStyle name="Milliers 2 2 3 2 2 3 2 3 2 2" xfId="8999"/>
    <cellStyle name="Milliers 2 2 3 2 2 3 2 3 2 2 2" xfId="9000"/>
    <cellStyle name="Milliers 2 2 3 2 2 3 2 3 2 2 2 2" xfId="9001"/>
    <cellStyle name="Milliers 2 2 3 2 2 3 2 3 2 2 2 2 2" xfId="9002"/>
    <cellStyle name="Milliers 2 2 3 2 2 3 2 3 2 2 2 3" xfId="9003"/>
    <cellStyle name="Milliers 2 2 3 2 2 3 2 3 2 2 3" xfId="9004"/>
    <cellStyle name="Milliers 2 2 3 2 2 3 2 3 2 2 3 2" xfId="9005"/>
    <cellStyle name="Milliers 2 2 3 2 2 3 2 3 2 2 4" xfId="9006"/>
    <cellStyle name="Milliers 2 2 3 2 2 3 2 3 2 3" xfId="9007"/>
    <cellStyle name="Milliers 2 2 3 2 2 3 2 3 2 3 2" xfId="9008"/>
    <cellStyle name="Milliers 2 2 3 2 2 3 2 3 2 3 2 2" xfId="9009"/>
    <cellStyle name="Milliers 2 2 3 2 2 3 2 3 2 3 3" xfId="9010"/>
    <cellStyle name="Milliers 2 2 3 2 2 3 2 3 2 4" xfId="9011"/>
    <cellStyle name="Milliers 2 2 3 2 2 3 2 3 2 4 2" xfId="9012"/>
    <cellStyle name="Milliers 2 2 3 2 2 3 2 3 2 5" xfId="9013"/>
    <cellStyle name="Milliers 2 2 3 2 2 3 2 3 3" xfId="9014"/>
    <cellStyle name="Milliers 2 2 3 2 2 3 2 3 3 2" xfId="9015"/>
    <cellStyle name="Milliers 2 2 3 2 2 3 2 3 3 2 2" xfId="9016"/>
    <cellStyle name="Milliers 2 2 3 2 2 3 2 3 3 2 2 2" xfId="9017"/>
    <cellStyle name="Milliers 2 2 3 2 2 3 2 3 3 2 3" xfId="9018"/>
    <cellStyle name="Milliers 2 2 3 2 2 3 2 3 3 3" xfId="9019"/>
    <cellStyle name="Milliers 2 2 3 2 2 3 2 3 3 3 2" xfId="9020"/>
    <cellStyle name="Milliers 2 2 3 2 2 3 2 3 3 4" xfId="9021"/>
    <cellStyle name="Milliers 2 2 3 2 2 3 2 3 4" xfId="9022"/>
    <cellStyle name="Milliers 2 2 3 2 2 3 2 3 4 2" xfId="9023"/>
    <cellStyle name="Milliers 2 2 3 2 2 3 2 3 4 2 2" xfId="9024"/>
    <cellStyle name="Milliers 2 2 3 2 2 3 2 3 4 3" xfId="9025"/>
    <cellStyle name="Milliers 2 2 3 2 2 3 2 3 5" xfId="9026"/>
    <cellStyle name="Milliers 2 2 3 2 2 3 2 3 5 2" xfId="9027"/>
    <cellStyle name="Milliers 2 2 3 2 2 3 2 3 6" xfId="9028"/>
    <cellStyle name="Milliers 2 2 3 2 2 3 2 4" xfId="9029"/>
    <cellStyle name="Milliers 2 2 3 2 2 3 2 4 2" xfId="9030"/>
    <cellStyle name="Milliers 2 2 3 2 2 3 2 4 2 2" xfId="9031"/>
    <cellStyle name="Milliers 2 2 3 2 2 3 2 4 2 2 2" xfId="9032"/>
    <cellStyle name="Milliers 2 2 3 2 2 3 2 4 2 2 2 2" xfId="9033"/>
    <cellStyle name="Milliers 2 2 3 2 2 3 2 4 2 2 3" xfId="9034"/>
    <cellStyle name="Milliers 2 2 3 2 2 3 2 4 2 3" xfId="9035"/>
    <cellStyle name="Milliers 2 2 3 2 2 3 2 4 2 3 2" xfId="9036"/>
    <cellStyle name="Milliers 2 2 3 2 2 3 2 4 2 4" xfId="9037"/>
    <cellStyle name="Milliers 2 2 3 2 2 3 2 4 3" xfId="9038"/>
    <cellStyle name="Milliers 2 2 3 2 2 3 2 4 3 2" xfId="9039"/>
    <cellStyle name="Milliers 2 2 3 2 2 3 2 4 3 2 2" xfId="9040"/>
    <cellStyle name="Milliers 2 2 3 2 2 3 2 4 3 3" xfId="9041"/>
    <cellStyle name="Milliers 2 2 3 2 2 3 2 4 4" xfId="9042"/>
    <cellStyle name="Milliers 2 2 3 2 2 3 2 4 4 2" xfId="9043"/>
    <cellStyle name="Milliers 2 2 3 2 2 3 2 4 5" xfId="9044"/>
    <cellStyle name="Milliers 2 2 3 2 2 3 2 5" xfId="9045"/>
    <cellStyle name="Milliers 2 2 3 2 2 3 2 5 2" xfId="9046"/>
    <cellStyle name="Milliers 2 2 3 2 2 3 2 5 2 2" xfId="9047"/>
    <cellStyle name="Milliers 2 2 3 2 2 3 2 5 2 2 2" xfId="9048"/>
    <cellStyle name="Milliers 2 2 3 2 2 3 2 5 2 3" xfId="9049"/>
    <cellStyle name="Milliers 2 2 3 2 2 3 2 5 3" xfId="9050"/>
    <cellStyle name="Milliers 2 2 3 2 2 3 2 5 3 2" xfId="9051"/>
    <cellStyle name="Milliers 2 2 3 2 2 3 2 5 4" xfId="9052"/>
    <cellStyle name="Milliers 2 2 3 2 2 3 2 6" xfId="9053"/>
    <cellStyle name="Milliers 2 2 3 2 2 3 2 6 2" xfId="9054"/>
    <cellStyle name="Milliers 2 2 3 2 2 3 2 6 2 2" xfId="9055"/>
    <cellStyle name="Milliers 2 2 3 2 2 3 2 6 3" xfId="9056"/>
    <cellStyle name="Milliers 2 2 3 2 2 3 2 7" xfId="9057"/>
    <cellStyle name="Milliers 2 2 3 2 2 3 2 7 2" xfId="9058"/>
    <cellStyle name="Milliers 2 2 3 2 2 3 2 8" xfId="9059"/>
    <cellStyle name="Milliers 2 2 3 2 2 3 3" xfId="9060"/>
    <cellStyle name="Milliers 2 2 3 2 2 3 3 2" xfId="9061"/>
    <cellStyle name="Milliers 2 2 3 2 2 3 3 2 2" xfId="9062"/>
    <cellStyle name="Milliers 2 2 3 2 2 3 3 2 2 2" xfId="9063"/>
    <cellStyle name="Milliers 2 2 3 2 2 3 3 2 2 2 2" xfId="9064"/>
    <cellStyle name="Milliers 2 2 3 2 2 3 3 2 2 2 2 2" xfId="9065"/>
    <cellStyle name="Milliers 2 2 3 2 2 3 3 2 2 2 2 2 2" xfId="9066"/>
    <cellStyle name="Milliers 2 2 3 2 2 3 3 2 2 2 2 3" xfId="9067"/>
    <cellStyle name="Milliers 2 2 3 2 2 3 3 2 2 2 3" xfId="9068"/>
    <cellStyle name="Milliers 2 2 3 2 2 3 3 2 2 2 3 2" xfId="9069"/>
    <cellStyle name="Milliers 2 2 3 2 2 3 3 2 2 2 4" xfId="9070"/>
    <cellStyle name="Milliers 2 2 3 2 2 3 3 2 2 3" xfId="9071"/>
    <cellStyle name="Milliers 2 2 3 2 2 3 3 2 2 3 2" xfId="9072"/>
    <cellStyle name="Milliers 2 2 3 2 2 3 3 2 2 3 2 2" xfId="9073"/>
    <cellStyle name="Milliers 2 2 3 2 2 3 3 2 2 3 3" xfId="9074"/>
    <cellStyle name="Milliers 2 2 3 2 2 3 3 2 2 4" xfId="9075"/>
    <cellStyle name="Milliers 2 2 3 2 2 3 3 2 2 4 2" xfId="9076"/>
    <cellStyle name="Milliers 2 2 3 2 2 3 3 2 2 5" xfId="9077"/>
    <cellStyle name="Milliers 2 2 3 2 2 3 3 2 3" xfId="9078"/>
    <cellStyle name="Milliers 2 2 3 2 2 3 3 2 3 2" xfId="9079"/>
    <cellStyle name="Milliers 2 2 3 2 2 3 3 2 3 2 2" xfId="9080"/>
    <cellStyle name="Milliers 2 2 3 2 2 3 3 2 3 2 2 2" xfId="9081"/>
    <cellStyle name="Milliers 2 2 3 2 2 3 3 2 3 2 3" xfId="9082"/>
    <cellStyle name="Milliers 2 2 3 2 2 3 3 2 3 3" xfId="9083"/>
    <cellStyle name="Milliers 2 2 3 2 2 3 3 2 3 3 2" xfId="9084"/>
    <cellStyle name="Milliers 2 2 3 2 2 3 3 2 3 4" xfId="9085"/>
    <cellStyle name="Milliers 2 2 3 2 2 3 3 2 4" xfId="9086"/>
    <cellStyle name="Milliers 2 2 3 2 2 3 3 2 4 2" xfId="9087"/>
    <cellStyle name="Milliers 2 2 3 2 2 3 3 2 4 2 2" xfId="9088"/>
    <cellStyle name="Milliers 2 2 3 2 2 3 3 2 4 3" xfId="9089"/>
    <cellStyle name="Milliers 2 2 3 2 2 3 3 2 5" xfId="9090"/>
    <cellStyle name="Milliers 2 2 3 2 2 3 3 2 5 2" xfId="9091"/>
    <cellStyle name="Milliers 2 2 3 2 2 3 3 2 6" xfId="9092"/>
    <cellStyle name="Milliers 2 2 3 2 2 3 3 3" xfId="9093"/>
    <cellStyle name="Milliers 2 2 3 2 2 3 3 3 2" xfId="9094"/>
    <cellStyle name="Milliers 2 2 3 2 2 3 3 3 2 2" xfId="9095"/>
    <cellStyle name="Milliers 2 2 3 2 2 3 3 3 2 2 2" xfId="9096"/>
    <cellStyle name="Milliers 2 2 3 2 2 3 3 3 2 2 2 2" xfId="9097"/>
    <cellStyle name="Milliers 2 2 3 2 2 3 3 3 2 2 3" xfId="9098"/>
    <cellStyle name="Milliers 2 2 3 2 2 3 3 3 2 3" xfId="9099"/>
    <cellStyle name="Milliers 2 2 3 2 2 3 3 3 2 3 2" xfId="9100"/>
    <cellStyle name="Milliers 2 2 3 2 2 3 3 3 2 4" xfId="9101"/>
    <cellStyle name="Milliers 2 2 3 2 2 3 3 3 3" xfId="9102"/>
    <cellStyle name="Milliers 2 2 3 2 2 3 3 3 3 2" xfId="9103"/>
    <cellStyle name="Milliers 2 2 3 2 2 3 3 3 3 2 2" xfId="9104"/>
    <cellStyle name="Milliers 2 2 3 2 2 3 3 3 3 3" xfId="9105"/>
    <cellStyle name="Milliers 2 2 3 2 2 3 3 3 4" xfId="9106"/>
    <cellStyle name="Milliers 2 2 3 2 2 3 3 3 4 2" xfId="9107"/>
    <cellStyle name="Milliers 2 2 3 2 2 3 3 3 5" xfId="9108"/>
    <cellStyle name="Milliers 2 2 3 2 2 3 3 4" xfId="9109"/>
    <cellStyle name="Milliers 2 2 3 2 2 3 3 4 2" xfId="9110"/>
    <cellStyle name="Milliers 2 2 3 2 2 3 3 4 2 2" xfId="9111"/>
    <cellStyle name="Milliers 2 2 3 2 2 3 3 4 2 2 2" xfId="9112"/>
    <cellStyle name="Milliers 2 2 3 2 2 3 3 4 2 3" xfId="9113"/>
    <cellStyle name="Milliers 2 2 3 2 2 3 3 4 3" xfId="9114"/>
    <cellStyle name="Milliers 2 2 3 2 2 3 3 4 3 2" xfId="9115"/>
    <cellStyle name="Milliers 2 2 3 2 2 3 3 4 4" xfId="9116"/>
    <cellStyle name="Milliers 2 2 3 2 2 3 3 5" xfId="9117"/>
    <cellStyle name="Milliers 2 2 3 2 2 3 3 5 2" xfId="9118"/>
    <cellStyle name="Milliers 2 2 3 2 2 3 3 5 2 2" xfId="9119"/>
    <cellStyle name="Milliers 2 2 3 2 2 3 3 5 3" xfId="9120"/>
    <cellStyle name="Milliers 2 2 3 2 2 3 3 6" xfId="9121"/>
    <cellStyle name="Milliers 2 2 3 2 2 3 3 6 2" xfId="9122"/>
    <cellStyle name="Milliers 2 2 3 2 2 3 3 7" xfId="9123"/>
    <cellStyle name="Milliers 2 2 3 2 2 3 4" xfId="9124"/>
    <cellStyle name="Milliers 2 2 3 2 2 3 4 2" xfId="9125"/>
    <cellStyle name="Milliers 2 2 3 2 2 3 4 2 2" xfId="9126"/>
    <cellStyle name="Milliers 2 2 3 2 2 3 4 2 2 2" xfId="9127"/>
    <cellStyle name="Milliers 2 2 3 2 2 3 4 2 2 2 2" xfId="9128"/>
    <cellStyle name="Milliers 2 2 3 2 2 3 4 2 2 2 2 2" xfId="9129"/>
    <cellStyle name="Milliers 2 2 3 2 2 3 4 2 2 2 3" xfId="9130"/>
    <cellStyle name="Milliers 2 2 3 2 2 3 4 2 2 3" xfId="9131"/>
    <cellStyle name="Milliers 2 2 3 2 2 3 4 2 2 3 2" xfId="9132"/>
    <cellStyle name="Milliers 2 2 3 2 2 3 4 2 2 4" xfId="9133"/>
    <cellStyle name="Milliers 2 2 3 2 2 3 4 2 3" xfId="9134"/>
    <cellStyle name="Milliers 2 2 3 2 2 3 4 2 3 2" xfId="9135"/>
    <cellStyle name="Milliers 2 2 3 2 2 3 4 2 3 2 2" xfId="9136"/>
    <cellStyle name="Milliers 2 2 3 2 2 3 4 2 3 3" xfId="9137"/>
    <cellStyle name="Milliers 2 2 3 2 2 3 4 2 4" xfId="9138"/>
    <cellStyle name="Milliers 2 2 3 2 2 3 4 2 4 2" xfId="9139"/>
    <cellStyle name="Milliers 2 2 3 2 2 3 4 2 5" xfId="9140"/>
    <cellStyle name="Milliers 2 2 3 2 2 3 4 3" xfId="9141"/>
    <cellStyle name="Milliers 2 2 3 2 2 3 4 3 2" xfId="9142"/>
    <cellStyle name="Milliers 2 2 3 2 2 3 4 3 2 2" xfId="9143"/>
    <cellStyle name="Milliers 2 2 3 2 2 3 4 3 2 2 2" xfId="9144"/>
    <cellStyle name="Milliers 2 2 3 2 2 3 4 3 2 3" xfId="9145"/>
    <cellStyle name="Milliers 2 2 3 2 2 3 4 3 3" xfId="9146"/>
    <cellStyle name="Milliers 2 2 3 2 2 3 4 3 3 2" xfId="9147"/>
    <cellStyle name="Milliers 2 2 3 2 2 3 4 3 4" xfId="9148"/>
    <cellStyle name="Milliers 2 2 3 2 2 3 4 4" xfId="9149"/>
    <cellStyle name="Milliers 2 2 3 2 2 3 4 4 2" xfId="9150"/>
    <cellStyle name="Milliers 2 2 3 2 2 3 4 4 2 2" xfId="9151"/>
    <cellStyle name="Milliers 2 2 3 2 2 3 4 4 3" xfId="9152"/>
    <cellStyle name="Milliers 2 2 3 2 2 3 4 5" xfId="9153"/>
    <cellStyle name="Milliers 2 2 3 2 2 3 4 5 2" xfId="9154"/>
    <cellStyle name="Milliers 2 2 3 2 2 3 4 6" xfId="9155"/>
    <cellStyle name="Milliers 2 2 3 2 2 3 5" xfId="9156"/>
    <cellStyle name="Milliers 2 2 3 2 2 3 5 2" xfId="9157"/>
    <cellStyle name="Milliers 2 2 3 2 2 3 5 2 2" xfId="9158"/>
    <cellStyle name="Milliers 2 2 3 2 2 3 5 2 2 2" xfId="9159"/>
    <cellStyle name="Milliers 2 2 3 2 2 3 5 2 2 2 2" xfId="9160"/>
    <cellStyle name="Milliers 2 2 3 2 2 3 5 2 2 3" xfId="9161"/>
    <cellStyle name="Milliers 2 2 3 2 2 3 5 2 3" xfId="9162"/>
    <cellStyle name="Milliers 2 2 3 2 2 3 5 2 3 2" xfId="9163"/>
    <cellStyle name="Milliers 2 2 3 2 2 3 5 2 4" xfId="9164"/>
    <cellStyle name="Milliers 2 2 3 2 2 3 5 3" xfId="9165"/>
    <cellStyle name="Milliers 2 2 3 2 2 3 5 3 2" xfId="9166"/>
    <cellStyle name="Milliers 2 2 3 2 2 3 5 3 2 2" xfId="9167"/>
    <cellStyle name="Milliers 2 2 3 2 2 3 5 3 3" xfId="9168"/>
    <cellStyle name="Milliers 2 2 3 2 2 3 5 4" xfId="9169"/>
    <cellStyle name="Milliers 2 2 3 2 2 3 5 4 2" xfId="9170"/>
    <cellStyle name="Milliers 2 2 3 2 2 3 5 5" xfId="9171"/>
    <cellStyle name="Milliers 2 2 3 2 2 3 6" xfId="9172"/>
    <cellStyle name="Milliers 2 2 3 2 2 3 6 2" xfId="9173"/>
    <cellStyle name="Milliers 2 2 3 2 2 3 6 2 2" xfId="9174"/>
    <cellStyle name="Milliers 2 2 3 2 2 3 6 2 2 2" xfId="9175"/>
    <cellStyle name="Milliers 2 2 3 2 2 3 6 2 3" xfId="9176"/>
    <cellStyle name="Milliers 2 2 3 2 2 3 6 3" xfId="9177"/>
    <cellStyle name="Milliers 2 2 3 2 2 3 6 3 2" xfId="9178"/>
    <cellStyle name="Milliers 2 2 3 2 2 3 6 4" xfId="9179"/>
    <cellStyle name="Milliers 2 2 3 2 2 3 7" xfId="9180"/>
    <cellStyle name="Milliers 2 2 3 2 2 3 7 2" xfId="9181"/>
    <cellStyle name="Milliers 2 2 3 2 2 3 7 2 2" xfId="9182"/>
    <cellStyle name="Milliers 2 2 3 2 2 3 7 3" xfId="9183"/>
    <cellStyle name="Milliers 2 2 3 2 2 3 8" xfId="9184"/>
    <cellStyle name="Milliers 2 2 3 2 2 3 8 2" xfId="9185"/>
    <cellStyle name="Milliers 2 2 3 2 2 3 9" xfId="9186"/>
    <cellStyle name="Milliers 2 2 3 2 2 4" xfId="9187"/>
    <cellStyle name="Milliers 2 2 3 2 2 4 2" xfId="9188"/>
    <cellStyle name="Milliers 2 2 3 2 2 4 2 2" xfId="9189"/>
    <cellStyle name="Milliers 2 2 3 2 2 4 2 2 2" xfId="9190"/>
    <cellStyle name="Milliers 2 2 3 2 2 4 2 2 2 2" xfId="9191"/>
    <cellStyle name="Milliers 2 2 3 2 2 4 2 2 2 2 2" xfId="9192"/>
    <cellStyle name="Milliers 2 2 3 2 2 4 2 2 2 2 2 2" xfId="9193"/>
    <cellStyle name="Milliers 2 2 3 2 2 4 2 2 2 2 2 2 2" xfId="9194"/>
    <cellStyle name="Milliers 2 2 3 2 2 4 2 2 2 2 2 3" xfId="9195"/>
    <cellStyle name="Milliers 2 2 3 2 2 4 2 2 2 2 3" xfId="9196"/>
    <cellStyle name="Milliers 2 2 3 2 2 4 2 2 2 2 3 2" xfId="9197"/>
    <cellStyle name="Milliers 2 2 3 2 2 4 2 2 2 2 4" xfId="9198"/>
    <cellStyle name="Milliers 2 2 3 2 2 4 2 2 2 3" xfId="9199"/>
    <cellStyle name="Milliers 2 2 3 2 2 4 2 2 2 3 2" xfId="9200"/>
    <cellStyle name="Milliers 2 2 3 2 2 4 2 2 2 3 2 2" xfId="9201"/>
    <cellStyle name="Milliers 2 2 3 2 2 4 2 2 2 3 3" xfId="9202"/>
    <cellStyle name="Milliers 2 2 3 2 2 4 2 2 2 4" xfId="9203"/>
    <cellStyle name="Milliers 2 2 3 2 2 4 2 2 2 4 2" xfId="9204"/>
    <cellStyle name="Milliers 2 2 3 2 2 4 2 2 2 5" xfId="9205"/>
    <cellStyle name="Milliers 2 2 3 2 2 4 2 2 3" xfId="9206"/>
    <cellStyle name="Milliers 2 2 3 2 2 4 2 2 3 2" xfId="9207"/>
    <cellStyle name="Milliers 2 2 3 2 2 4 2 2 3 2 2" xfId="9208"/>
    <cellStyle name="Milliers 2 2 3 2 2 4 2 2 3 2 2 2" xfId="9209"/>
    <cellStyle name="Milliers 2 2 3 2 2 4 2 2 3 2 3" xfId="9210"/>
    <cellStyle name="Milliers 2 2 3 2 2 4 2 2 3 3" xfId="9211"/>
    <cellStyle name="Milliers 2 2 3 2 2 4 2 2 3 3 2" xfId="9212"/>
    <cellStyle name="Milliers 2 2 3 2 2 4 2 2 3 4" xfId="9213"/>
    <cellStyle name="Milliers 2 2 3 2 2 4 2 2 4" xfId="9214"/>
    <cellStyle name="Milliers 2 2 3 2 2 4 2 2 4 2" xfId="9215"/>
    <cellStyle name="Milliers 2 2 3 2 2 4 2 2 4 2 2" xfId="9216"/>
    <cellStyle name="Milliers 2 2 3 2 2 4 2 2 4 3" xfId="9217"/>
    <cellStyle name="Milliers 2 2 3 2 2 4 2 2 5" xfId="9218"/>
    <cellStyle name="Milliers 2 2 3 2 2 4 2 2 5 2" xfId="9219"/>
    <cellStyle name="Milliers 2 2 3 2 2 4 2 2 6" xfId="9220"/>
    <cellStyle name="Milliers 2 2 3 2 2 4 2 3" xfId="9221"/>
    <cellStyle name="Milliers 2 2 3 2 2 4 2 3 2" xfId="9222"/>
    <cellStyle name="Milliers 2 2 3 2 2 4 2 3 2 2" xfId="9223"/>
    <cellStyle name="Milliers 2 2 3 2 2 4 2 3 2 2 2" xfId="9224"/>
    <cellStyle name="Milliers 2 2 3 2 2 4 2 3 2 2 2 2" xfId="9225"/>
    <cellStyle name="Milliers 2 2 3 2 2 4 2 3 2 2 3" xfId="9226"/>
    <cellStyle name="Milliers 2 2 3 2 2 4 2 3 2 3" xfId="9227"/>
    <cellStyle name="Milliers 2 2 3 2 2 4 2 3 2 3 2" xfId="9228"/>
    <cellStyle name="Milliers 2 2 3 2 2 4 2 3 2 4" xfId="9229"/>
    <cellStyle name="Milliers 2 2 3 2 2 4 2 3 3" xfId="9230"/>
    <cellStyle name="Milliers 2 2 3 2 2 4 2 3 3 2" xfId="9231"/>
    <cellStyle name="Milliers 2 2 3 2 2 4 2 3 3 2 2" xfId="9232"/>
    <cellStyle name="Milliers 2 2 3 2 2 4 2 3 3 3" xfId="9233"/>
    <cellStyle name="Milliers 2 2 3 2 2 4 2 3 4" xfId="9234"/>
    <cellStyle name="Milliers 2 2 3 2 2 4 2 3 4 2" xfId="9235"/>
    <cellStyle name="Milliers 2 2 3 2 2 4 2 3 5" xfId="9236"/>
    <cellStyle name="Milliers 2 2 3 2 2 4 2 4" xfId="9237"/>
    <cellStyle name="Milliers 2 2 3 2 2 4 2 4 2" xfId="9238"/>
    <cellStyle name="Milliers 2 2 3 2 2 4 2 4 2 2" xfId="9239"/>
    <cellStyle name="Milliers 2 2 3 2 2 4 2 4 2 2 2" xfId="9240"/>
    <cellStyle name="Milliers 2 2 3 2 2 4 2 4 2 3" xfId="9241"/>
    <cellStyle name="Milliers 2 2 3 2 2 4 2 4 3" xfId="9242"/>
    <cellStyle name="Milliers 2 2 3 2 2 4 2 4 3 2" xfId="9243"/>
    <cellStyle name="Milliers 2 2 3 2 2 4 2 4 4" xfId="9244"/>
    <cellStyle name="Milliers 2 2 3 2 2 4 2 5" xfId="9245"/>
    <cellStyle name="Milliers 2 2 3 2 2 4 2 5 2" xfId="9246"/>
    <cellStyle name="Milliers 2 2 3 2 2 4 2 5 2 2" xfId="9247"/>
    <cellStyle name="Milliers 2 2 3 2 2 4 2 5 3" xfId="9248"/>
    <cellStyle name="Milliers 2 2 3 2 2 4 2 6" xfId="9249"/>
    <cellStyle name="Milliers 2 2 3 2 2 4 2 6 2" xfId="9250"/>
    <cellStyle name="Milliers 2 2 3 2 2 4 2 7" xfId="9251"/>
    <cellStyle name="Milliers 2 2 3 2 2 4 3" xfId="9252"/>
    <cellStyle name="Milliers 2 2 3 2 2 4 3 2" xfId="9253"/>
    <cellStyle name="Milliers 2 2 3 2 2 4 3 2 2" xfId="9254"/>
    <cellStyle name="Milliers 2 2 3 2 2 4 3 2 2 2" xfId="9255"/>
    <cellStyle name="Milliers 2 2 3 2 2 4 3 2 2 2 2" xfId="9256"/>
    <cellStyle name="Milliers 2 2 3 2 2 4 3 2 2 2 2 2" xfId="9257"/>
    <cellStyle name="Milliers 2 2 3 2 2 4 3 2 2 2 3" xfId="9258"/>
    <cellStyle name="Milliers 2 2 3 2 2 4 3 2 2 3" xfId="9259"/>
    <cellStyle name="Milliers 2 2 3 2 2 4 3 2 2 3 2" xfId="9260"/>
    <cellStyle name="Milliers 2 2 3 2 2 4 3 2 2 4" xfId="9261"/>
    <cellStyle name="Milliers 2 2 3 2 2 4 3 2 3" xfId="9262"/>
    <cellStyle name="Milliers 2 2 3 2 2 4 3 2 3 2" xfId="9263"/>
    <cellStyle name="Milliers 2 2 3 2 2 4 3 2 3 2 2" xfId="9264"/>
    <cellStyle name="Milliers 2 2 3 2 2 4 3 2 3 3" xfId="9265"/>
    <cellStyle name="Milliers 2 2 3 2 2 4 3 2 4" xfId="9266"/>
    <cellStyle name="Milliers 2 2 3 2 2 4 3 2 4 2" xfId="9267"/>
    <cellStyle name="Milliers 2 2 3 2 2 4 3 2 5" xfId="9268"/>
    <cellStyle name="Milliers 2 2 3 2 2 4 3 3" xfId="9269"/>
    <cellStyle name="Milliers 2 2 3 2 2 4 3 3 2" xfId="9270"/>
    <cellStyle name="Milliers 2 2 3 2 2 4 3 3 2 2" xfId="9271"/>
    <cellStyle name="Milliers 2 2 3 2 2 4 3 3 2 2 2" xfId="9272"/>
    <cellStyle name="Milliers 2 2 3 2 2 4 3 3 2 3" xfId="9273"/>
    <cellStyle name="Milliers 2 2 3 2 2 4 3 3 3" xfId="9274"/>
    <cellStyle name="Milliers 2 2 3 2 2 4 3 3 3 2" xfId="9275"/>
    <cellStyle name="Milliers 2 2 3 2 2 4 3 3 4" xfId="9276"/>
    <cellStyle name="Milliers 2 2 3 2 2 4 3 4" xfId="9277"/>
    <cellStyle name="Milliers 2 2 3 2 2 4 3 4 2" xfId="9278"/>
    <cellStyle name="Milliers 2 2 3 2 2 4 3 4 2 2" xfId="9279"/>
    <cellStyle name="Milliers 2 2 3 2 2 4 3 4 3" xfId="9280"/>
    <cellStyle name="Milliers 2 2 3 2 2 4 3 5" xfId="9281"/>
    <cellStyle name="Milliers 2 2 3 2 2 4 3 5 2" xfId="9282"/>
    <cellStyle name="Milliers 2 2 3 2 2 4 3 6" xfId="9283"/>
    <cellStyle name="Milliers 2 2 3 2 2 4 4" xfId="9284"/>
    <cellStyle name="Milliers 2 2 3 2 2 4 4 2" xfId="9285"/>
    <cellStyle name="Milliers 2 2 3 2 2 4 4 2 2" xfId="9286"/>
    <cellStyle name="Milliers 2 2 3 2 2 4 4 2 2 2" xfId="9287"/>
    <cellStyle name="Milliers 2 2 3 2 2 4 4 2 2 2 2" xfId="9288"/>
    <cellStyle name="Milliers 2 2 3 2 2 4 4 2 2 3" xfId="9289"/>
    <cellStyle name="Milliers 2 2 3 2 2 4 4 2 3" xfId="9290"/>
    <cellStyle name="Milliers 2 2 3 2 2 4 4 2 3 2" xfId="9291"/>
    <cellStyle name="Milliers 2 2 3 2 2 4 4 2 4" xfId="9292"/>
    <cellStyle name="Milliers 2 2 3 2 2 4 4 3" xfId="9293"/>
    <cellStyle name="Milliers 2 2 3 2 2 4 4 3 2" xfId="9294"/>
    <cellStyle name="Milliers 2 2 3 2 2 4 4 3 2 2" xfId="9295"/>
    <cellStyle name="Milliers 2 2 3 2 2 4 4 3 3" xfId="9296"/>
    <cellStyle name="Milliers 2 2 3 2 2 4 4 4" xfId="9297"/>
    <cellStyle name="Milliers 2 2 3 2 2 4 4 4 2" xfId="9298"/>
    <cellStyle name="Milliers 2 2 3 2 2 4 4 5" xfId="9299"/>
    <cellStyle name="Milliers 2 2 3 2 2 4 5" xfId="9300"/>
    <cellStyle name="Milliers 2 2 3 2 2 4 5 2" xfId="9301"/>
    <cellStyle name="Milliers 2 2 3 2 2 4 5 2 2" xfId="9302"/>
    <cellStyle name="Milliers 2 2 3 2 2 4 5 2 2 2" xfId="9303"/>
    <cellStyle name="Milliers 2 2 3 2 2 4 5 2 3" xfId="9304"/>
    <cellStyle name="Milliers 2 2 3 2 2 4 5 3" xfId="9305"/>
    <cellStyle name="Milliers 2 2 3 2 2 4 5 3 2" xfId="9306"/>
    <cellStyle name="Milliers 2 2 3 2 2 4 5 4" xfId="9307"/>
    <cellStyle name="Milliers 2 2 3 2 2 4 6" xfId="9308"/>
    <cellStyle name="Milliers 2 2 3 2 2 4 6 2" xfId="9309"/>
    <cellStyle name="Milliers 2 2 3 2 2 4 6 2 2" xfId="9310"/>
    <cellStyle name="Milliers 2 2 3 2 2 4 6 3" xfId="9311"/>
    <cellStyle name="Milliers 2 2 3 2 2 4 7" xfId="9312"/>
    <cellStyle name="Milliers 2 2 3 2 2 4 7 2" xfId="9313"/>
    <cellStyle name="Milliers 2 2 3 2 2 4 8" xfId="9314"/>
    <cellStyle name="Milliers 2 2 3 2 2 5" xfId="9315"/>
    <cellStyle name="Milliers 2 2 3 2 2 5 2" xfId="9316"/>
    <cellStyle name="Milliers 2 2 3 2 2 5 2 2" xfId="9317"/>
    <cellStyle name="Milliers 2 2 3 2 2 5 2 2 2" xfId="9318"/>
    <cellStyle name="Milliers 2 2 3 2 2 5 2 2 2 2" xfId="9319"/>
    <cellStyle name="Milliers 2 2 3 2 2 5 2 2 2 2 2" xfId="9320"/>
    <cellStyle name="Milliers 2 2 3 2 2 5 2 2 2 2 2 2" xfId="9321"/>
    <cellStyle name="Milliers 2 2 3 2 2 5 2 2 2 2 3" xfId="9322"/>
    <cellStyle name="Milliers 2 2 3 2 2 5 2 2 2 3" xfId="9323"/>
    <cellStyle name="Milliers 2 2 3 2 2 5 2 2 2 3 2" xfId="9324"/>
    <cellStyle name="Milliers 2 2 3 2 2 5 2 2 2 4" xfId="9325"/>
    <cellStyle name="Milliers 2 2 3 2 2 5 2 2 3" xfId="9326"/>
    <cellStyle name="Milliers 2 2 3 2 2 5 2 2 3 2" xfId="9327"/>
    <cellStyle name="Milliers 2 2 3 2 2 5 2 2 3 2 2" xfId="9328"/>
    <cellStyle name="Milliers 2 2 3 2 2 5 2 2 3 3" xfId="9329"/>
    <cellStyle name="Milliers 2 2 3 2 2 5 2 2 4" xfId="9330"/>
    <cellStyle name="Milliers 2 2 3 2 2 5 2 2 4 2" xfId="9331"/>
    <cellStyle name="Milliers 2 2 3 2 2 5 2 2 5" xfId="9332"/>
    <cellStyle name="Milliers 2 2 3 2 2 5 2 3" xfId="9333"/>
    <cellStyle name="Milliers 2 2 3 2 2 5 2 3 2" xfId="9334"/>
    <cellStyle name="Milliers 2 2 3 2 2 5 2 3 2 2" xfId="9335"/>
    <cellStyle name="Milliers 2 2 3 2 2 5 2 3 2 2 2" xfId="9336"/>
    <cellStyle name="Milliers 2 2 3 2 2 5 2 3 2 3" xfId="9337"/>
    <cellStyle name="Milliers 2 2 3 2 2 5 2 3 3" xfId="9338"/>
    <cellStyle name="Milliers 2 2 3 2 2 5 2 3 3 2" xfId="9339"/>
    <cellStyle name="Milliers 2 2 3 2 2 5 2 3 4" xfId="9340"/>
    <cellStyle name="Milliers 2 2 3 2 2 5 2 4" xfId="9341"/>
    <cellStyle name="Milliers 2 2 3 2 2 5 2 4 2" xfId="9342"/>
    <cellStyle name="Milliers 2 2 3 2 2 5 2 4 2 2" xfId="9343"/>
    <cellStyle name="Milliers 2 2 3 2 2 5 2 4 3" xfId="9344"/>
    <cellStyle name="Milliers 2 2 3 2 2 5 2 5" xfId="9345"/>
    <cellStyle name="Milliers 2 2 3 2 2 5 2 5 2" xfId="9346"/>
    <cellStyle name="Milliers 2 2 3 2 2 5 2 6" xfId="9347"/>
    <cellStyle name="Milliers 2 2 3 2 2 5 3" xfId="9348"/>
    <cellStyle name="Milliers 2 2 3 2 2 5 3 2" xfId="9349"/>
    <cellStyle name="Milliers 2 2 3 2 2 5 3 2 2" xfId="9350"/>
    <cellStyle name="Milliers 2 2 3 2 2 5 3 2 2 2" xfId="9351"/>
    <cellStyle name="Milliers 2 2 3 2 2 5 3 2 2 2 2" xfId="9352"/>
    <cellStyle name="Milliers 2 2 3 2 2 5 3 2 2 3" xfId="9353"/>
    <cellStyle name="Milliers 2 2 3 2 2 5 3 2 3" xfId="9354"/>
    <cellStyle name="Milliers 2 2 3 2 2 5 3 2 3 2" xfId="9355"/>
    <cellStyle name="Milliers 2 2 3 2 2 5 3 2 4" xfId="9356"/>
    <cellStyle name="Milliers 2 2 3 2 2 5 3 3" xfId="9357"/>
    <cellStyle name="Milliers 2 2 3 2 2 5 3 3 2" xfId="9358"/>
    <cellStyle name="Milliers 2 2 3 2 2 5 3 3 2 2" xfId="9359"/>
    <cellStyle name="Milliers 2 2 3 2 2 5 3 3 3" xfId="9360"/>
    <cellStyle name="Milliers 2 2 3 2 2 5 3 4" xfId="9361"/>
    <cellStyle name="Milliers 2 2 3 2 2 5 3 4 2" xfId="9362"/>
    <cellStyle name="Milliers 2 2 3 2 2 5 3 5" xfId="9363"/>
    <cellStyle name="Milliers 2 2 3 2 2 5 4" xfId="9364"/>
    <cellStyle name="Milliers 2 2 3 2 2 5 4 2" xfId="9365"/>
    <cellStyle name="Milliers 2 2 3 2 2 5 4 2 2" xfId="9366"/>
    <cellStyle name="Milliers 2 2 3 2 2 5 4 2 2 2" xfId="9367"/>
    <cellStyle name="Milliers 2 2 3 2 2 5 4 2 3" xfId="9368"/>
    <cellStyle name="Milliers 2 2 3 2 2 5 4 3" xfId="9369"/>
    <cellStyle name="Milliers 2 2 3 2 2 5 4 3 2" xfId="9370"/>
    <cellStyle name="Milliers 2 2 3 2 2 5 4 4" xfId="9371"/>
    <cellStyle name="Milliers 2 2 3 2 2 5 5" xfId="9372"/>
    <cellStyle name="Milliers 2 2 3 2 2 5 5 2" xfId="9373"/>
    <cellStyle name="Milliers 2 2 3 2 2 5 5 2 2" xfId="9374"/>
    <cellStyle name="Milliers 2 2 3 2 2 5 5 3" xfId="9375"/>
    <cellStyle name="Milliers 2 2 3 2 2 5 6" xfId="9376"/>
    <cellStyle name="Milliers 2 2 3 2 2 5 6 2" xfId="9377"/>
    <cellStyle name="Milliers 2 2 3 2 2 5 7" xfId="9378"/>
    <cellStyle name="Milliers 2 2 3 2 2 6" xfId="9379"/>
    <cellStyle name="Milliers 2 2 3 2 2 6 2" xfId="9380"/>
    <cellStyle name="Milliers 2 2 3 2 2 6 2 2" xfId="9381"/>
    <cellStyle name="Milliers 2 2 3 2 2 6 2 2 2" xfId="9382"/>
    <cellStyle name="Milliers 2 2 3 2 2 6 2 2 2 2" xfId="9383"/>
    <cellStyle name="Milliers 2 2 3 2 2 6 2 2 2 2 2" xfId="9384"/>
    <cellStyle name="Milliers 2 2 3 2 2 6 2 2 2 3" xfId="9385"/>
    <cellStyle name="Milliers 2 2 3 2 2 6 2 2 3" xfId="9386"/>
    <cellStyle name="Milliers 2 2 3 2 2 6 2 2 3 2" xfId="9387"/>
    <cellStyle name="Milliers 2 2 3 2 2 6 2 2 4" xfId="9388"/>
    <cellStyle name="Milliers 2 2 3 2 2 6 2 3" xfId="9389"/>
    <cellStyle name="Milliers 2 2 3 2 2 6 2 3 2" xfId="9390"/>
    <cellStyle name="Milliers 2 2 3 2 2 6 2 3 2 2" xfId="9391"/>
    <cellStyle name="Milliers 2 2 3 2 2 6 2 3 3" xfId="9392"/>
    <cellStyle name="Milliers 2 2 3 2 2 6 2 4" xfId="9393"/>
    <cellStyle name="Milliers 2 2 3 2 2 6 2 4 2" xfId="9394"/>
    <cellStyle name="Milliers 2 2 3 2 2 6 2 5" xfId="9395"/>
    <cellStyle name="Milliers 2 2 3 2 2 6 3" xfId="9396"/>
    <cellStyle name="Milliers 2 2 3 2 2 6 3 2" xfId="9397"/>
    <cellStyle name="Milliers 2 2 3 2 2 6 3 2 2" xfId="9398"/>
    <cellStyle name="Milliers 2 2 3 2 2 6 3 2 2 2" xfId="9399"/>
    <cellStyle name="Milliers 2 2 3 2 2 6 3 2 3" xfId="9400"/>
    <cellStyle name="Milliers 2 2 3 2 2 6 3 3" xfId="9401"/>
    <cellStyle name="Milliers 2 2 3 2 2 6 3 3 2" xfId="9402"/>
    <cellStyle name="Milliers 2 2 3 2 2 6 3 4" xfId="9403"/>
    <cellStyle name="Milliers 2 2 3 2 2 6 4" xfId="9404"/>
    <cellStyle name="Milliers 2 2 3 2 2 6 4 2" xfId="9405"/>
    <cellStyle name="Milliers 2 2 3 2 2 6 4 2 2" xfId="9406"/>
    <cellStyle name="Milliers 2 2 3 2 2 6 4 3" xfId="9407"/>
    <cellStyle name="Milliers 2 2 3 2 2 6 5" xfId="9408"/>
    <cellStyle name="Milliers 2 2 3 2 2 6 5 2" xfId="9409"/>
    <cellStyle name="Milliers 2 2 3 2 2 6 6" xfId="9410"/>
    <cellStyle name="Milliers 2 2 3 2 2 7" xfId="9411"/>
    <cellStyle name="Milliers 2 2 3 2 2 7 2" xfId="9412"/>
    <cellStyle name="Milliers 2 2 3 2 2 7 2 2" xfId="9413"/>
    <cellStyle name="Milliers 2 2 3 2 2 7 2 2 2" xfId="9414"/>
    <cellStyle name="Milliers 2 2 3 2 2 7 2 2 2 2" xfId="9415"/>
    <cellStyle name="Milliers 2 2 3 2 2 7 2 2 3" xfId="9416"/>
    <cellStyle name="Milliers 2 2 3 2 2 7 2 3" xfId="9417"/>
    <cellStyle name="Milliers 2 2 3 2 2 7 2 3 2" xfId="9418"/>
    <cellStyle name="Milliers 2 2 3 2 2 7 2 4" xfId="9419"/>
    <cellStyle name="Milliers 2 2 3 2 2 7 3" xfId="9420"/>
    <cellStyle name="Milliers 2 2 3 2 2 7 3 2" xfId="9421"/>
    <cellStyle name="Milliers 2 2 3 2 2 7 3 2 2" xfId="9422"/>
    <cellStyle name="Milliers 2 2 3 2 2 7 3 3" xfId="9423"/>
    <cellStyle name="Milliers 2 2 3 2 2 7 4" xfId="9424"/>
    <cellStyle name="Milliers 2 2 3 2 2 7 4 2" xfId="9425"/>
    <cellStyle name="Milliers 2 2 3 2 2 7 5" xfId="9426"/>
    <cellStyle name="Milliers 2 2 3 2 2 8" xfId="9427"/>
    <cellStyle name="Milliers 2 2 3 2 2 8 2" xfId="9428"/>
    <cellStyle name="Milliers 2 2 3 2 2 8 2 2" xfId="9429"/>
    <cellStyle name="Milliers 2 2 3 2 2 8 2 2 2" xfId="9430"/>
    <cellStyle name="Milliers 2 2 3 2 2 8 2 3" xfId="9431"/>
    <cellStyle name="Milliers 2 2 3 2 2 8 3" xfId="9432"/>
    <cellStyle name="Milliers 2 2 3 2 2 8 3 2" xfId="9433"/>
    <cellStyle name="Milliers 2 2 3 2 2 8 4" xfId="9434"/>
    <cellStyle name="Milliers 2 2 3 2 2 9" xfId="9435"/>
    <cellStyle name="Milliers 2 2 3 2 2 9 2" xfId="9436"/>
    <cellStyle name="Milliers 2 2 3 2 2 9 2 2" xfId="9437"/>
    <cellStyle name="Milliers 2 2 3 2 2 9 3" xfId="9438"/>
    <cellStyle name="Milliers 2 2 3 2 3" xfId="9439"/>
    <cellStyle name="Milliers 2 2 3 2 3 10" xfId="9440"/>
    <cellStyle name="Milliers 2 2 3 2 3 2" xfId="9441"/>
    <cellStyle name="Milliers 2 2 3 2 3 2 2" xfId="9442"/>
    <cellStyle name="Milliers 2 2 3 2 3 2 2 2" xfId="9443"/>
    <cellStyle name="Milliers 2 2 3 2 3 2 2 2 2" xfId="9444"/>
    <cellStyle name="Milliers 2 2 3 2 3 2 2 2 2 2" xfId="9445"/>
    <cellStyle name="Milliers 2 2 3 2 3 2 2 2 2 2 2" xfId="9446"/>
    <cellStyle name="Milliers 2 2 3 2 3 2 2 2 2 2 2 2" xfId="9447"/>
    <cellStyle name="Milliers 2 2 3 2 3 2 2 2 2 2 2 2 2" xfId="9448"/>
    <cellStyle name="Milliers 2 2 3 2 3 2 2 2 2 2 2 2 2 2" xfId="9449"/>
    <cellStyle name="Milliers 2 2 3 2 3 2 2 2 2 2 2 2 3" xfId="9450"/>
    <cellStyle name="Milliers 2 2 3 2 3 2 2 2 2 2 2 3" xfId="9451"/>
    <cellStyle name="Milliers 2 2 3 2 3 2 2 2 2 2 2 3 2" xfId="9452"/>
    <cellStyle name="Milliers 2 2 3 2 3 2 2 2 2 2 2 4" xfId="9453"/>
    <cellStyle name="Milliers 2 2 3 2 3 2 2 2 2 2 3" xfId="9454"/>
    <cellStyle name="Milliers 2 2 3 2 3 2 2 2 2 2 3 2" xfId="9455"/>
    <cellStyle name="Milliers 2 2 3 2 3 2 2 2 2 2 3 2 2" xfId="9456"/>
    <cellStyle name="Milliers 2 2 3 2 3 2 2 2 2 2 3 3" xfId="9457"/>
    <cellStyle name="Milliers 2 2 3 2 3 2 2 2 2 2 4" xfId="9458"/>
    <cellStyle name="Milliers 2 2 3 2 3 2 2 2 2 2 4 2" xfId="9459"/>
    <cellStyle name="Milliers 2 2 3 2 3 2 2 2 2 2 5" xfId="9460"/>
    <cellStyle name="Milliers 2 2 3 2 3 2 2 2 2 3" xfId="9461"/>
    <cellStyle name="Milliers 2 2 3 2 3 2 2 2 2 3 2" xfId="9462"/>
    <cellStyle name="Milliers 2 2 3 2 3 2 2 2 2 3 2 2" xfId="9463"/>
    <cellStyle name="Milliers 2 2 3 2 3 2 2 2 2 3 2 2 2" xfId="9464"/>
    <cellStyle name="Milliers 2 2 3 2 3 2 2 2 2 3 2 3" xfId="9465"/>
    <cellStyle name="Milliers 2 2 3 2 3 2 2 2 2 3 3" xfId="9466"/>
    <cellStyle name="Milliers 2 2 3 2 3 2 2 2 2 3 3 2" xfId="9467"/>
    <cellStyle name="Milliers 2 2 3 2 3 2 2 2 2 3 4" xfId="9468"/>
    <cellStyle name="Milliers 2 2 3 2 3 2 2 2 2 4" xfId="9469"/>
    <cellStyle name="Milliers 2 2 3 2 3 2 2 2 2 4 2" xfId="9470"/>
    <cellStyle name="Milliers 2 2 3 2 3 2 2 2 2 4 2 2" xfId="9471"/>
    <cellStyle name="Milliers 2 2 3 2 3 2 2 2 2 4 3" xfId="9472"/>
    <cellStyle name="Milliers 2 2 3 2 3 2 2 2 2 5" xfId="9473"/>
    <cellStyle name="Milliers 2 2 3 2 3 2 2 2 2 5 2" xfId="9474"/>
    <cellStyle name="Milliers 2 2 3 2 3 2 2 2 2 6" xfId="9475"/>
    <cellStyle name="Milliers 2 2 3 2 3 2 2 2 3" xfId="9476"/>
    <cellStyle name="Milliers 2 2 3 2 3 2 2 2 3 2" xfId="9477"/>
    <cellStyle name="Milliers 2 2 3 2 3 2 2 2 3 2 2" xfId="9478"/>
    <cellStyle name="Milliers 2 2 3 2 3 2 2 2 3 2 2 2" xfId="9479"/>
    <cellStyle name="Milliers 2 2 3 2 3 2 2 2 3 2 2 2 2" xfId="9480"/>
    <cellStyle name="Milliers 2 2 3 2 3 2 2 2 3 2 2 3" xfId="9481"/>
    <cellStyle name="Milliers 2 2 3 2 3 2 2 2 3 2 3" xfId="9482"/>
    <cellStyle name="Milliers 2 2 3 2 3 2 2 2 3 2 3 2" xfId="9483"/>
    <cellStyle name="Milliers 2 2 3 2 3 2 2 2 3 2 4" xfId="9484"/>
    <cellStyle name="Milliers 2 2 3 2 3 2 2 2 3 3" xfId="9485"/>
    <cellStyle name="Milliers 2 2 3 2 3 2 2 2 3 3 2" xfId="9486"/>
    <cellStyle name="Milliers 2 2 3 2 3 2 2 2 3 3 2 2" xfId="9487"/>
    <cellStyle name="Milliers 2 2 3 2 3 2 2 2 3 3 3" xfId="9488"/>
    <cellStyle name="Milliers 2 2 3 2 3 2 2 2 3 4" xfId="9489"/>
    <cellStyle name="Milliers 2 2 3 2 3 2 2 2 3 4 2" xfId="9490"/>
    <cellStyle name="Milliers 2 2 3 2 3 2 2 2 3 5" xfId="9491"/>
    <cellStyle name="Milliers 2 2 3 2 3 2 2 2 4" xfId="9492"/>
    <cellStyle name="Milliers 2 2 3 2 3 2 2 2 4 2" xfId="9493"/>
    <cellStyle name="Milliers 2 2 3 2 3 2 2 2 4 2 2" xfId="9494"/>
    <cellStyle name="Milliers 2 2 3 2 3 2 2 2 4 2 2 2" xfId="9495"/>
    <cellStyle name="Milliers 2 2 3 2 3 2 2 2 4 2 3" xfId="9496"/>
    <cellStyle name="Milliers 2 2 3 2 3 2 2 2 4 3" xfId="9497"/>
    <cellStyle name="Milliers 2 2 3 2 3 2 2 2 4 3 2" xfId="9498"/>
    <cellStyle name="Milliers 2 2 3 2 3 2 2 2 4 4" xfId="9499"/>
    <cellStyle name="Milliers 2 2 3 2 3 2 2 2 5" xfId="9500"/>
    <cellStyle name="Milliers 2 2 3 2 3 2 2 2 5 2" xfId="9501"/>
    <cellStyle name="Milliers 2 2 3 2 3 2 2 2 5 2 2" xfId="9502"/>
    <cellStyle name="Milliers 2 2 3 2 3 2 2 2 5 3" xfId="9503"/>
    <cellStyle name="Milliers 2 2 3 2 3 2 2 2 6" xfId="9504"/>
    <cellStyle name="Milliers 2 2 3 2 3 2 2 2 6 2" xfId="9505"/>
    <cellStyle name="Milliers 2 2 3 2 3 2 2 2 7" xfId="9506"/>
    <cellStyle name="Milliers 2 2 3 2 3 2 2 3" xfId="9507"/>
    <cellStyle name="Milliers 2 2 3 2 3 2 2 3 2" xfId="9508"/>
    <cellStyle name="Milliers 2 2 3 2 3 2 2 3 2 2" xfId="9509"/>
    <cellStyle name="Milliers 2 2 3 2 3 2 2 3 2 2 2" xfId="9510"/>
    <cellStyle name="Milliers 2 2 3 2 3 2 2 3 2 2 2 2" xfId="9511"/>
    <cellStyle name="Milliers 2 2 3 2 3 2 2 3 2 2 2 2 2" xfId="9512"/>
    <cellStyle name="Milliers 2 2 3 2 3 2 2 3 2 2 2 3" xfId="9513"/>
    <cellStyle name="Milliers 2 2 3 2 3 2 2 3 2 2 3" xfId="9514"/>
    <cellStyle name="Milliers 2 2 3 2 3 2 2 3 2 2 3 2" xfId="9515"/>
    <cellStyle name="Milliers 2 2 3 2 3 2 2 3 2 2 4" xfId="9516"/>
    <cellStyle name="Milliers 2 2 3 2 3 2 2 3 2 3" xfId="9517"/>
    <cellStyle name="Milliers 2 2 3 2 3 2 2 3 2 3 2" xfId="9518"/>
    <cellStyle name="Milliers 2 2 3 2 3 2 2 3 2 3 2 2" xfId="9519"/>
    <cellStyle name="Milliers 2 2 3 2 3 2 2 3 2 3 3" xfId="9520"/>
    <cellStyle name="Milliers 2 2 3 2 3 2 2 3 2 4" xfId="9521"/>
    <cellStyle name="Milliers 2 2 3 2 3 2 2 3 2 4 2" xfId="9522"/>
    <cellStyle name="Milliers 2 2 3 2 3 2 2 3 2 5" xfId="9523"/>
    <cellStyle name="Milliers 2 2 3 2 3 2 2 3 3" xfId="9524"/>
    <cellStyle name="Milliers 2 2 3 2 3 2 2 3 3 2" xfId="9525"/>
    <cellStyle name="Milliers 2 2 3 2 3 2 2 3 3 2 2" xfId="9526"/>
    <cellStyle name="Milliers 2 2 3 2 3 2 2 3 3 2 2 2" xfId="9527"/>
    <cellStyle name="Milliers 2 2 3 2 3 2 2 3 3 2 3" xfId="9528"/>
    <cellStyle name="Milliers 2 2 3 2 3 2 2 3 3 3" xfId="9529"/>
    <cellStyle name="Milliers 2 2 3 2 3 2 2 3 3 3 2" xfId="9530"/>
    <cellStyle name="Milliers 2 2 3 2 3 2 2 3 3 4" xfId="9531"/>
    <cellStyle name="Milliers 2 2 3 2 3 2 2 3 4" xfId="9532"/>
    <cellStyle name="Milliers 2 2 3 2 3 2 2 3 4 2" xfId="9533"/>
    <cellStyle name="Milliers 2 2 3 2 3 2 2 3 4 2 2" xfId="9534"/>
    <cellStyle name="Milliers 2 2 3 2 3 2 2 3 4 3" xfId="9535"/>
    <cellStyle name="Milliers 2 2 3 2 3 2 2 3 5" xfId="9536"/>
    <cellStyle name="Milliers 2 2 3 2 3 2 2 3 5 2" xfId="9537"/>
    <cellStyle name="Milliers 2 2 3 2 3 2 2 3 6" xfId="9538"/>
    <cellStyle name="Milliers 2 2 3 2 3 2 2 4" xfId="9539"/>
    <cellStyle name="Milliers 2 2 3 2 3 2 2 4 2" xfId="9540"/>
    <cellStyle name="Milliers 2 2 3 2 3 2 2 4 2 2" xfId="9541"/>
    <cellStyle name="Milliers 2 2 3 2 3 2 2 4 2 2 2" xfId="9542"/>
    <cellStyle name="Milliers 2 2 3 2 3 2 2 4 2 2 2 2" xfId="9543"/>
    <cellStyle name="Milliers 2 2 3 2 3 2 2 4 2 2 3" xfId="9544"/>
    <cellStyle name="Milliers 2 2 3 2 3 2 2 4 2 3" xfId="9545"/>
    <cellStyle name="Milliers 2 2 3 2 3 2 2 4 2 3 2" xfId="9546"/>
    <cellStyle name="Milliers 2 2 3 2 3 2 2 4 2 4" xfId="9547"/>
    <cellStyle name="Milliers 2 2 3 2 3 2 2 4 3" xfId="9548"/>
    <cellStyle name="Milliers 2 2 3 2 3 2 2 4 3 2" xfId="9549"/>
    <cellStyle name="Milliers 2 2 3 2 3 2 2 4 3 2 2" xfId="9550"/>
    <cellStyle name="Milliers 2 2 3 2 3 2 2 4 3 3" xfId="9551"/>
    <cellStyle name="Milliers 2 2 3 2 3 2 2 4 4" xfId="9552"/>
    <cellStyle name="Milliers 2 2 3 2 3 2 2 4 4 2" xfId="9553"/>
    <cellStyle name="Milliers 2 2 3 2 3 2 2 4 5" xfId="9554"/>
    <cellStyle name="Milliers 2 2 3 2 3 2 2 5" xfId="9555"/>
    <cellStyle name="Milliers 2 2 3 2 3 2 2 5 2" xfId="9556"/>
    <cellStyle name="Milliers 2 2 3 2 3 2 2 5 2 2" xfId="9557"/>
    <cellStyle name="Milliers 2 2 3 2 3 2 2 5 2 2 2" xfId="9558"/>
    <cellStyle name="Milliers 2 2 3 2 3 2 2 5 2 3" xfId="9559"/>
    <cellStyle name="Milliers 2 2 3 2 3 2 2 5 3" xfId="9560"/>
    <cellStyle name="Milliers 2 2 3 2 3 2 2 5 3 2" xfId="9561"/>
    <cellStyle name="Milliers 2 2 3 2 3 2 2 5 4" xfId="9562"/>
    <cellStyle name="Milliers 2 2 3 2 3 2 2 6" xfId="9563"/>
    <cellStyle name="Milliers 2 2 3 2 3 2 2 6 2" xfId="9564"/>
    <cellStyle name="Milliers 2 2 3 2 3 2 2 6 2 2" xfId="9565"/>
    <cellStyle name="Milliers 2 2 3 2 3 2 2 6 3" xfId="9566"/>
    <cellStyle name="Milliers 2 2 3 2 3 2 2 7" xfId="9567"/>
    <cellStyle name="Milliers 2 2 3 2 3 2 2 7 2" xfId="9568"/>
    <cellStyle name="Milliers 2 2 3 2 3 2 2 8" xfId="9569"/>
    <cellStyle name="Milliers 2 2 3 2 3 2 3" xfId="9570"/>
    <cellStyle name="Milliers 2 2 3 2 3 2 3 2" xfId="9571"/>
    <cellStyle name="Milliers 2 2 3 2 3 2 3 2 2" xfId="9572"/>
    <cellStyle name="Milliers 2 2 3 2 3 2 3 2 2 2" xfId="9573"/>
    <cellStyle name="Milliers 2 2 3 2 3 2 3 2 2 2 2" xfId="9574"/>
    <cellStyle name="Milliers 2 2 3 2 3 2 3 2 2 2 2 2" xfId="9575"/>
    <cellStyle name="Milliers 2 2 3 2 3 2 3 2 2 2 2 2 2" xfId="9576"/>
    <cellStyle name="Milliers 2 2 3 2 3 2 3 2 2 2 2 3" xfId="9577"/>
    <cellStyle name="Milliers 2 2 3 2 3 2 3 2 2 2 3" xfId="9578"/>
    <cellStyle name="Milliers 2 2 3 2 3 2 3 2 2 2 3 2" xfId="9579"/>
    <cellStyle name="Milliers 2 2 3 2 3 2 3 2 2 2 4" xfId="9580"/>
    <cellStyle name="Milliers 2 2 3 2 3 2 3 2 2 3" xfId="9581"/>
    <cellStyle name="Milliers 2 2 3 2 3 2 3 2 2 3 2" xfId="9582"/>
    <cellStyle name="Milliers 2 2 3 2 3 2 3 2 2 3 2 2" xfId="9583"/>
    <cellStyle name="Milliers 2 2 3 2 3 2 3 2 2 3 3" xfId="9584"/>
    <cellStyle name="Milliers 2 2 3 2 3 2 3 2 2 4" xfId="9585"/>
    <cellStyle name="Milliers 2 2 3 2 3 2 3 2 2 4 2" xfId="9586"/>
    <cellStyle name="Milliers 2 2 3 2 3 2 3 2 2 5" xfId="9587"/>
    <cellStyle name="Milliers 2 2 3 2 3 2 3 2 3" xfId="9588"/>
    <cellStyle name="Milliers 2 2 3 2 3 2 3 2 3 2" xfId="9589"/>
    <cellStyle name="Milliers 2 2 3 2 3 2 3 2 3 2 2" xfId="9590"/>
    <cellStyle name="Milliers 2 2 3 2 3 2 3 2 3 2 2 2" xfId="9591"/>
    <cellStyle name="Milliers 2 2 3 2 3 2 3 2 3 2 3" xfId="9592"/>
    <cellStyle name="Milliers 2 2 3 2 3 2 3 2 3 3" xfId="9593"/>
    <cellStyle name="Milliers 2 2 3 2 3 2 3 2 3 3 2" xfId="9594"/>
    <cellStyle name="Milliers 2 2 3 2 3 2 3 2 3 4" xfId="9595"/>
    <cellStyle name="Milliers 2 2 3 2 3 2 3 2 4" xfId="9596"/>
    <cellStyle name="Milliers 2 2 3 2 3 2 3 2 4 2" xfId="9597"/>
    <cellStyle name="Milliers 2 2 3 2 3 2 3 2 4 2 2" xfId="9598"/>
    <cellStyle name="Milliers 2 2 3 2 3 2 3 2 4 3" xfId="9599"/>
    <cellStyle name="Milliers 2 2 3 2 3 2 3 2 5" xfId="9600"/>
    <cellStyle name="Milliers 2 2 3 2 3 2 3 2 5 2" xfId="9601"/>
    <cellStyle name="Milliers 2 2 3 2 3 2 3 2 6" xfId="9602"/>
    <cellStyle name="Milliers 2 2 3 2 3 2 3 3" xfId="9603"/>
    <cellStyle name="Milliers 2 2 3 2 3 2 3 3 2" xfId="9604"/>
    <cellStyle name="Milliers 2 2 3 2 3 2 3 3 2 2" xfId="9605"/>
    <cellStyle name="Milliers 2 2 3 2 3 2 3 3 2 2 2" xfId="9606"/>
    <cellStyle name="Milliers 2 2 3 2 3 2 3 3 2 2 2 2" xfId="9607"/>
    <cellStyle name="Milliers 2 2 3 2 3 2 3 3 2 2 3" xfId="9608"/>
    <cellStyle name="Milliers 2 2 3 2 3 2 3 3 2 3" xfId="9609"/>
    <cellStyle name="Milliers 2 2 3 2 3 2 3 3 2 3 2" xfId="9610"/>
    <cellStyle name="Milliers 2 2 3 2 3 2 3 3 2 4" xfId="9611"/>
    <cellStyle name="Milliers 2 2 3 2 3 2 3 3 3" xfId="9612"/>
    <cellStyle name="Milliers 2 2 3 2 3 2 3 3 3 2" xfId="9613"/>
    <cellStyle name="Milliers 2 2 3 2 3 2 3 3 3 2 2" xfId="9614"/>
    <cellStyle name="Milliers 2 2 3 2 3 2 3 3 3 3" xfId="9615"/>
    <cellStyle name="Milliers 2 2 3 2 3 2 3 3 4" xfId="9616"/>
    <cellStyle name="Milliers 2 2 3 2 3 2 3 3 4 2" xfId="9617"/>
    <cellStyle name="Milliers 2 2 3 2 3 2 3 3 5" xfId="9618"/>
    <cellStyle name="Milliers 2 2 3 2 3 2 3 4" xfId="9619"/>
    <cellStyle name="Milliers 2 2 3 2 3 2 3 4 2" xfId="9620"/>
    <cellStyle name="Milliers 2 2 3 2 3 2 3 4 2 2" xfId="9621"/>
    <cellStyle name="Milliers 2 2 3 2 3 2 3 4 2 2 2" xfId="9622"/>
    <cellStyle name="Milliers 2 2 3 2 3 2 3 4 2 3" xfId="9623"/>
    <cellStyle name="Milliers 2 2 3 2 3 2 3 4 3" xfId="9624"/>
    <cellStyle name="Milliers 2 2 3 2 3 2 3 4 3 2" xfId="9625"/>
    <cellStyle name="Milliers 2 2 3 2 3 2 3 4 4" xfId="9626"/>
    <cellStyle name="Milliers 2 2 3 2 3 2 3 5" xfId="9627"/>
    <cellStyle name="Milliers 2 2 3 2 3 2 3 5 2" xfId="9628"/>
    <cellStyle name="Milliers 2 2 3 2 3 2 3 5 2 2" xfId="9629"/>
    <cellStyle name="Milliers 2 2 3 2 3 2 3 5 3" xfId="9630"/>
    <cellStyle name="Milliers 2 2 3 2 3 2 3 6" xfId="9631"/>
    <cellStyle name="Milliers 2 2 3 2 3 2 3 6 2" xfId="9632"/>
    <cellStyle name="Milliers 2 2 3 2 3 2 3 7" xfId="9633"/>
    <cellStyle name="Milliers 2 2 3 2 3 2 4" xfId="9634"/>
    <cellStyle name="Milliers 2 2 3 2 3 2 4 2" xfId="9635"/>
    <cellStyle name="Milliers 2 2 3 2 3 2 4 2 2" xfId="9636"/>
    <cellStyle name="Milliers 2 2 3 2 3 2 4 2 2 2" xfId="9637"/>
    <cellStyle name="Milliers 2 2 3 2 3 2 4 2 2 2 2" xfId="9638"/>
    <cellStyle name="Milliers 2 2 3 2 3 2 4 2 2 2 2 2" xfId="9639"/>
    <cellStyle name="Milliers 2 2 3 2 3 2 4 2 2 2 3" xfId="9640"/>
    <cellStyle name="Milliers 2 2 3 2 3 2 4 2 2 3" xfId="9641"/>
    <cellStyle name="Milliers 2 2 3 2 3 2 4 2 2 3 2" xfId="9642"/>
    <cellStyle name="Milliers 2 2 3 2 3 2 4 2 2 4" xfId="9643"/>
    <cellStyle name="Milliers 2 2 3 2 3 2 4 2 3" xfId="9644"/>
    <cellStyle name="Milliers 2 2 3 2 3 2 4 2 3 2" xfId="9645"/>
    <cellStyle name="Milliers 2 2 3 2 3 2 4 2 3 2 2" xfId="9646"/>
    <cellStyle name="Milliers 2 2 3 2 3 2 4 2 3 3" xfId="9647"/>
    <cellStyle name="Milliers 2 2 3 2 3 2 4 2 4" xfId="9648"/>
    <cellStyle name="Milliers 2 2 3 2 3 2 4 2 4 2" xfId="9649"/>
    <cellStyle name="Milliers 2 2 3 2 3 2 4 2 5" xfId="9650"/>
    <cellStyle name="Milliers 2 2 3 2 3 2 4 3" xfId="9651"/>
    <cellStyle name="Milliers 2 2 3 2 3 2 4 3 2" xfId="9652"/>
    <cellStyle name="Milliers 2 2 3 2 3 2 4 3 2 2" xfId="9653"/>
    <cellStyle name="Milliers 2 2 3 2 3 2 4 3 2 2 2" xfId="9654"/>
    <cellStyle name="Milliers 2 2 3 2 3 2 4 3 2 3" xfId="9655"/>
    <cellStyle name="Milliers 2 2 3 2 3 2 4 3 3" xfId="9656"/>
    <cellStyle name="Milliers 2 2 3 2 3 2 4 3 3 2" xfId="9657"/>
    <cellStyle name="Milliers 2 2 3 2 3 2 4 3 4" xfId="9658"/>
    <cellStyle name="Milliers 2 2 3 2 3 2 4 4" xfId="9659"/>
    <cellStyle name="Milliers 2 2 3 2 3 2 4 4 2" xfId="9660"/>
    <cellStyle name="Milliers 2 2 3 2 3 2 4 4 2 2" xfId="9661"/>
    <cellStyle name="Milliers 2 2 3 2 3 2 4 4 3" xfId="9662"/>
    <cellStyle name="Milliers 2 2 3 2 3 2 4 5" xfId="9663"/>
    <cellStyle name="Milliers 2 2 3 2 3 2 4 5 2" xfId="9664"/>
    <cellStyle name="Milliers 2 2 3 2 3 2 4 6" xfId="9665"/>
    <cellStyle name="Milliers 2 2 3 2 3 2 5" xfId="9666"/>
    <cellStyle name="Milliers 2 2 3 2 3 2 5 2" xfId="9667"/>
    <cellStyle name="Milliers 2 2 3 2 3 2 5 2 2" xfId="9668"/>
    <cellStyle name="Milliers 2 2 3 2 3 2 5 2 2 2" xfId="9669"/>
    <cellStyle name="Milliers 2 2 3 2 3 2 5 2 2 2 2" xfId="9670"/>
    <cellStyle name="Milliers 2 2 3 2 3 2 5 2 2 3" xfId="9671"/>
    <cellStyle name="Milliers 2 2 3 2 3 2 5 2 3" xfId="9672"/>
    <cellStyle name="Milliers 2 2 3 2 3 2 5 2 3 2" xfId="9673"/>
    <cellStyle name="Milliers 2 2 3 2 3 2 5 2 4" xfId="9674"/>
    <cellStyle name="Milliers 2 2 3 2 3 2 5 3" xfId="9675"/>
    <cellStyle name="Milliers 2 2 3 2 3 2 5 3 2" xfId="9676"/>
    <cellStyle name="Milliers 2 2 3 2 3 2 5 3 2 2" xfId="9677"/>
    <cellStyle name="Milliers 2 2 3 2 3 2 5 3 3" xfId="9678"/>
    <cellStyle name="Milliers 2 2 3 2 3 2 5 4" xfId="9679"/>
    <cellStyle name="Milliers 2 2 3 2 3 2 5 4 2" xfId="9680"/>
    <cellStyle name="Milliers 2 2 3 2 3 2 5 5" xfId="9681"/>
    <cellStyle name="Milliers 2 2 3 2 3 2 6" xfId="9682"/>
    <cellStyle name="Milliers 2 2 3 2 3 2 6 2" xfId="9683"/>
    <cellStyle name="Milliers 2 2 3 2 3 2 6 2 2" xfId="9684"/>
    <cellStyle name="Milliers 2 2 3 2 3 2 6 2 2 2" xfId="9685"/>
    <cellStyle name="Milliers 2 2 3 2 3 2 6 2 3" xfId="9686"/>
    <cellStyle name="Milliers 2 2 3 2 3 2 6 3" xfId="9687"/>
    <cellStyle name="Milliers 2 2 3 2 3 2 6 3 2" xfId="9688"/>
    <cellStyle name="Milliers 2 2 3 2 3 2 6 4" xfId="9689"/>
    <cellStyle name="Milliers 2 2 3 2 3 2 7" xfId="9690"/>
    <cellStyle name="Milliers 2 2 3 2 3 2 7 2" xfId="9691"/>
    <cellStyle name="Milliers 2 2 3 2 3 2 7 2 2" xfId="9692"/>
    <cellStyle name="Milliers 2 2 3 2 3 2 7 3" xfId="9693"/>
    <cellStyle name="Milliers 2 2 3 2 3 2 8" xfId="9694"/>
    <cellStyle name="Milliers 2 2 3 2 3 2 8 2" xfId="9695"/>
    <cellStyle name="Milliers 2 2 3 2 3 2 9" xfId="9696"/>
    <cellStyle name="Milliers 2 2 3 2 3 3" xfId="9697"/>
    <cellStyle name="Milliers 2 2 3 2 3 3 2" xfId="9698"/>
    <cellStyle name="Milliers 2 2 3 2 3 3 2 2" xfId="9699"/>
    <cellStyle name="Milliers 2 2 3 2 3 3 2 2 2" xfId="9700"/>
    <cellStyle name="Milliers 2 2 3 2 3 3 2 2 2 2" xfId="9701"/>
    <cellStyle name="Milliers 2 2 3 2 3 3 2 2 2 2 2" xfId="9702"/>
    <cellStyle name="Milliers 2 2 3 2 3 3 2 2 2 2 2 2" xfId="9703"/>
    <cellStyle name="Milliers 2 2 3 2 3 3 2 2 2 2 2 2 2" xfId="9704"/>
    <cellStyle name="Milliers 2 2 3 2 3 3 2 2 2 2 2 3" xfId="9705"/>
    <cellStyle name="Milliers 2 2 3 2 3 3 2 2 2 2 3" xfId="9706"/>
    <cellStyle name="Milliers 2 2 3 2 3 3 2 2 2 2 3 2" xfId="9707"/>
    <cellStyle name="Milliers 2 2 3 2 3 3 2 2 2 2 4" xfId="9708"/>
    <cellStyle name="Milliers 2 2 3 2 3 3 2 2 2 3" xfId="9709"/>
    <cellStyle name="Milliers 2 2 3 2 3 3 2 2 2 3 2" xfId="9710"/>
    <cellStyle name="Milliers 2 2 3 2 3 3 2 2 2 3 2 2" xfId="9711"/>
    <cellStyle name="Milliers 2 2 3 2 3 3 2 2 2 3 3" xfId="9712"/>
    <cellStyle name="Milliers 2 2 3 2 3 3 2 2 2 4" xfId="9713"/>
    <cellStyle name="Milliers 2 2 3 2 3 3 2 2 2 4 2" xfId="9714"/>
    <cellStyle name="Milliers 2 2 3 2 3 3 2 2 2 5" xfId="9715"/>
    <cellStyle name="Milliers 2 2 3 2 3 3 2 2 3" xfId="9716"/>
    <cellStyle name="Milliers 2 2 3 2 3 3 2 2 3 2" xfId="9717"/>
    <cellStyle name="Milliers 2 2 3 2 3 3 2 2 3 2 2" xfId="9718"/>
    <cellStyle name="Milliers 2 2 3 2 3 3 2 2 3 2 2 2" xfId="9719"/>
    <cellStyle name="Milliers 2 2 3 2 3 3 2 2 3 2 3" xfId="9720"/>
    <cellStyle name="Milliers 2 2 3 2 3 3 2 2 3 3" xfId="9721"/>
    <cellStyle name="Milliers 2 2 3 2 3 3 2 2 3 3 2" xfId="9722"/>
    <cellStyle name="Milliers 2 2 3 2 3 3 2 2 3 4" xfId="9723"/>
    <cellStyle name="Milliers 2 2 3 2 3 3 2 2 4" xfId="9724"/>
    <cellStyle name="Milliers 2 2 3 2 3 3 2 2 4 2" xfId="9725"/>
    <cellStyle name="Milliers 2 2 3 2 3 3 2 2 4 2 2" xfId="9726"/>
    <cellStyle name="Milliers 2 2 3 2 3 3 2 2 4 3" xfId="9727"/>
    <cellStyle name="Milliers 2 2 3 2 3 3 2 2 5" xfId="9728"/>
    <cellStyle name="Milliers 2 2 3 2 3 3 2 2 5 2" xfId="9729"/>
    <cellStyle name="Milliers 2 2 3 2 3 3 2 2 6" xfId="9730"/>
    <cellStyle name="Milliers 2 2 3 2 3 3 2 3" xfId="9731"/>
    <cellStyle name="Milliers 2 2 3 2 3 3 2 3 2" xfId="9732"/>
    <cellStyle name="Milliers 2 2 3 2 3 3 2 3 2 2" xfId="9733"/>
    <cellStyle name="Milliers 2 2 3 2 3 3 2 3 2 2 2" xfId="9734"/>
    <cellStyle name="Milliers 2 2 3 2 3 3 2 3 2 2 2 2" xfId="9735"/>
    <cellStyle name="Milliers 2 2 3 2 3 3 2 3 2 2 3" xfId="9736"/>
    <cellStyle name="Milliers 2 2 3 2 3 3 2 3 2 3" xfId="9737"/>
    <cellStyle name="Milliers 2 2 3 2 3 3 2 3 2 3 2" xfId="9738"/>
    <cellStyle name="Milliers 2 2 3 2 3 3 2 3 2 4" xfId="9739"/>
    <cellStyle name="Milliers 2 2 3 2 3 3 2 3 3" xfId="9740"/>
    <cellStyle name="Milliers 2 2 3 2 3 3 2 3 3 2" xfId="9741"/>
    <cellStyle name="Milliers 2 2 3 2 3 3 2 3 3 2 2" xfId="9742"/>
    <cellStyle name="Milliers 2 2 3 2 3 3 2 3 3 3" xfId="9743"/>
    <cellStyle name="Milliers 2 2 3 2 3 3 2 3 4" xfId="9744"/>
    <cellStyle name="Milliers 2 2 3 2 3 3 2 3 4 2" xfId="9745"/>
    <cellStyle name="Milliers 2 2 3 2 3 3 2 3 5" xfId="9746"/>
    <cellStyle name="Milliers 2 2 3 2 3 3 2 4" xfId="9747"/>
    <cellStyle name="Milliers 2 2 3 2 3 3 2 4 2" xfId="9748"/>
    <cellStyle name="Milliers 2 2 3 2 3 3 2 4 2 2" xfId="9749"/>
    <cellStyle name="Milliers 2 2 3 2 3 3 2 4 2 2 2" xfId="9750"/>
    <cellStyle name="Milliers 2 2 3 2 3 3 2 4 2 3" xfId="9751"/>
    <cellStyle name="Milliers 2 2 3 2 3 3 2 4 3" xfId="9752"/>
    <cellStyle name="Milliers 2 2 3 2 3 3 2 4 3 2" xfId="9753"/>
    <cellStyle name="Milliers 2 2 3 2 3 3 2 4 4" xfId="9754"/>
    <cellStyle name="Milliers 2 2 3 2 3 3 2 5" xfId="9755"/>
    <cellStyle name="Milliers 2 2 3 2 3 3 2 5 2" xfId="9756"/>
    <cellStyle name="Milliers 2 2 3 2 3 3 2 5 2 2" xfId="9757"/>
    <cellStyle name="Milliers 2 2 3 2 3 3 2 5 3" xfId="9758"/>
    <cellStyle name="Milliers 2 2 3 2 3 3 2 6" xfId="9759"/>
    <cellStyle name="Milliers 2 2 3 2 3 3 2 6 2" xfId="9760"/>
    <cellStyle name="Milliers 2 2 3 2 3 3 2 7" xfId="9761"/>
    <cellStyle name="Milliers 2 2 3 2 3 3 3" xfId="9762"/>
    <cellStyle name="Milliers 2 2 3 2 3 3 3 2" xfId="9763"/>
    <cellStyle name="Milliers 2 2 3 2 3 3 3 2 2" xfId="9764"/>
    <cellStyle name="Milliers 2 2 3 2 3 3 3 2 2 2" xfId="9765"/>
    <cellStyle name="Milliers 2 2 3 2 3 3 3 2 2 2 2" xfId="9766"/>
    <cellStyle name="Milliers 2 2 3 2 3 3 3 2 2 2 2 2" xfId="9767"/>
    <cellStyle name="Milliers 2 2 3 2 3 3 3 2 2 2 3" xfId="9768"/>
    <cellStyle name="Milliers 2 2 3 2 3 3 3 2 2 3" xfId="9769"/>
    <cellStyle name="Milliers 2 2 3 2 3 3 3 2 2 3 2" xfId="9770"/>
    <cellStyle name="Milliers 2 2 3 2 3 3 3 2 2 4" xfId="9771"/>
    <cellStyle name="Milliers 2 2 3 2 3 3 3 2 3" xfId="9772"/>
    <cellStyle name="Milliers 2 2 3 2 3 3 3 2 3 2" xfId="9773"/>
    <cellStyle name="Milliers 2 2 3 2 3 3 3 2 3 2 2" xfId="9774"/>
    <cellStyle name="Milliers 2 2 3 2 3 3 3 2 3 3" xfId="9775"/>
    <cellStyle name="Milliers 2 2 3 2 3 3 3 2 4" xfId="9776"/>
    <cellStyle name="Milliers 2 2 3 2 3 3 3 2 4 2" xfId="9777"/>
    <cellStyle name="Milliers 2 2 3 2 3 3 3 2 5" xfId="9778"/>
    <cellStyle name="Milliers 2 2 3 2 3 3 3 3" xfId="9779"/>
    <cellStyle name="Milliers 2 2 3 2 3 3 3 3 2" xfId="9780"/>
    <cellStyle name="Milliers 2 2 3 2 3 3 3 3 2 2" xfId="9781"/>
    <cellStyle name="Milliers 2 2 3 2 3 3 3 3 2 2 2" xfId="9782"/>
    <cellStyle name="Milliers 2 2 3 2 3 3 3 3 2 3" xfId="9783"/>
    <cellStyle name="Milliers 2 2 3 2 3 3 3 3 3" xfId="9784"/>
    <cellStyle name="Milliers 2 2 3 2 3 3 3 3 3 2" xfId="9785"/>
    <cellStyle name="Milliers 2 2 3 2 3 3 3 3 4" xfId="9786"/>
    <cellStyle name="Milliers 2 2 3 2 3 3 3 4" xfId="9787"/>
    <cellStyle name="Milliers 2 2 3 2 3 3 3 4 2" xfId="9788"/>
    <cellStyle name="Milliers 2 2 3 2 3 3 3 4 2 2" xfId="9789"/>
    <cellStyle name="Milliers 2 2 3 2 3 3 3 4 3" xfId="9790"/>
    <cellStyle name="Milliers 2 2 3 2 3 3 3 5" xfId="9791"/>
    <cellStyle name="Milliers 2 2 3 2 3 3 3 5 2" xfId="9792"/>
    <cellStyle name="Milliers 2 2 3 2 3 3 3 6" xfId="9793"/>
    <cellStyle name="Milliers 2 2 3 2 3 3 4" xfId="9794"/>
    <cellStyle name="Milliers 2 2 3 2 3 3 4 2" xfId="9795"/>
    <cellStyle name="Milliers 2 2 3 2 3 3 4 2 2" xfId="9796"/>
    <cellStyle name="Milliers 2 2 3 2 3 3 4 2 2 2" xfId="9797"/>
    <cellStyle name="Milliers 2 2 3 2 3 3 4 2 2 2 2" xfId="9798"/>
    <cellStyle name="Milliers 2 2 3 2 3 3 4 2 2 3" xfId="9799"/>
    <cellStyle name="Milliers 2 2 3 2 3 3 4 2 3" xfId="9800"/>
    <cellStyle name="Milliers 2 2 3 2 3 3 4 2 3 2" xfId="9801"/>
    <cellStyle name="Milliers 2 2 3 2 3 3 4 2 4" xfId="9802"/>
    <cellStyle name="Milliers 2 2 3 2 3 3 4 3" xfId="9803"/>
    <cellStyle name="Milliers 2 2 3 2 3 3 4 3 2" xfId="9804"/>
    <cellStyle name="Milliers 2 2 3 2 3 3 4 3 2 2" xfId="9805"/>
    <cellStyle name="Milliers 2 2 3 2 3 3 4 3 3" xfId="9806"/>
    <cellStyle name="Milliers 2 2 3 2 3 3 4 4" xfId="9807"/>
    <cellStyle name="Milliers 2 2 3 2 3 3 4 4 2" xfId="9808"/>
    <cellStyle name="Milliers 2 2 3 2 3 3 4 5" xfId="9809"/>
    <cellStyle name="Milliers 2 2 3 2 3 3 5" xfId="9810"/>
    <cellStyle name="Milliers 2 2 3 2 3 3 5 2" xfId="9811"/>
    <cellStyle name="Milliers 2 2 3 2 3 3 5 2 2" xfId="9812"/>
    <cellStyle name="Milliers 2 2 3 2 3 3 5 2 2 2" xfId="9813"/>
    <cellStyle name="Milliers 2 2 3 2 3 3 5 2 3" xfId="9814"/>
    <cellStyle name="Milliers 2 2 3 2 3 3 5 3" xfId="9815"/>
    <cellStyle name="Milliers 2 2 3 2 3 3 5 3 2" xfId="9816"/>
    <cellStyle name="Milliers 2 2 3 2 3 3 5 4" xfId="9817"/>
    <cellStyle name="Milliers 2 2 3 2 3 3 6" xfId="9818"/>
    <cellStyle name="Milliers 2 2 3 2 3 3 6 2" xfId="9819"/>
    <cellStyle name="Milliers 2 2 3 2 3 3 6 2 2" xfId="9820"/>
    <cellStyle name="Milliers 2 2 3 2 3 3 6 3" xfId="9821"/>
    <cellStyle name="Milliers 2 2 3 2 3 3 7" xfId="9822"/>
    <cellStyle name="Milliers 2 2 3 2 3 3 7 2" xfId="9823"/>
    <cellStyle name="Milliers 2 2 3 2 3 3 8" xfId="9824"/>
    <cellStyle name="Milliers 2 2 3 2 3 4" xfId="9825"/>
    <cellStyle name="Milliers 2 2 3 2 3 4 2" xfId="9826"/>
    <cellStyle name="Milliers 2 2 3 2 3 4 2 2" xfId="9827"/>
    <cellStyle name="Milliers 2 2 3 2 3 4 2 2 2" xfId="9828"/>
    <cellStyle name="Milliers 2 2 3 2 3 4 2 2 2 2" xfId="9829"/>
    <cellStyle name="Milliers 2 2 3 2 3 4 2 2 2 2 2" xfId="9830"/>
    <cellStyle name="Milliers 2 2 3 2 3 4 2 2 2 2 2 2" xfId="9831"/>
    <cellStyle name="Milliers 2 2 3 2 3 4 2 2 2 2 3" xfId="9832"/>
    <cellStyle name="Milliers 2 2 3 2 3 4 2 2 2 3" xfId="9833"/>
    <cellStyle name="Milliers 2 2 3 2 3 4 2 2 2 3 2" xfId="9834"/>
    <cellStyle name="Milliers 2 2 3 2 3 4 2 2 2 4" xfId="9835"/>
    <cellStyle name="Milliers 2 2 3 2 3 4 2 2 3" xfId="9836"/>
    <cellStyle name="Milliers 2 2 3 2 3 4 2 2 3 2" xfId="9837"/>
    <cellStyle name="Milliers 2 2 3 2 3 4 2 2 3 2 2" xfId="9838"/>
    <cellStyle name="Milliers 2 2 3 2 3 4 2 2 3 3" xfId="9839"/>
    <cellStyle name="Milliers 2 2 3 2 3 4 2 2 4" xfId="9840"/>
    <cellStyle name="Milliers 2 2 3 2 3 4 2 2 4 2" xfId="9841"/>
    <cellStyle name="Milliers 2 2 3 2 3 4 2 2 5" xfId="9842"/>
    <cellStyle name="Milliers 2 2 3 2 3 4 2 3" xfId="9843"/>
    <cellStyle name="Milliers 2 2 3 2 3 4 2 3 2" xfId="9844"/>
    <cellStyle name="Milliers 2 2 3 2 3 4 2 3 2 2" xfId="9845"/>
    <cellStyle name="Milliers 2 2 3 2 3 4 2 3 2 2 2" xfId="9846"/>
    <cellStyle name="Milliers 2 2 3 2 3 4 2 3 2 3" xfId="9847"/>
    <cellStyle name="Milliers 2 2 3 2 3 4 2 3 3" xfId="9848"/>
    <cellStyle name="Milliers 2 2 3 2 3 4 2 3 3 2" xfId="9849"/>
    <cellStyle name="Milliers 2 2 3 2 3 4 2 3 4" xfId="9850"/>
    <cellStyle name="Milliers 2 2 3 2 3 4 2 4" xfId="9851"/>
    <cellStyle name="Milliers 2 2 3 2 3 4 2 4 2" xfId="9852"/>
    <cellStyle name="Milliers 2 2 3 2 3 4 2 4 2 2" xfId="9853"/>
    <cellStyle name="Milliers 2 2 3 2 3 4 2 4 3" xfId="9854"/>
    <cellStyle name="Milliers 2 2 3 2 3 4 2 5" xfId="9855"/>
    <cellStyle name="Milliers 2 2 3 2 3 4 2 5 2" xfId="9856"/>
    <cellStyle name="Milliers 2 2 3 2 3 4 2 6" xfId="9857"/>
    <cellStyle name="Milliers 2 2 3 2 3 4 3" xfId="9858"/>
    <cellStyle name="Milliers 2 2 3 2 3 4 3 2" xfId="9859"/>
    <cellStyle name="Milliers 2 2 3 2 3 4 3 2 2" xfId="9860"/>
    <cellStyle name="Milliers 2 2 3 2 3 4 3 2 2 2" xfId="9861"/>
    <cellStyle name="Milliers 2 2 3 2 3 4 3 2 2 2 2" xfId="9862"/>
    <cellStyle name="Milliers 2 2 3 2 3 4 3 2 2 3" xfId="9863"/>
    <cellStyle name="Milliers 2 2 3 2 3 4 3 2 3" xfId="9864"/>
    <cellStyle name="Milliers 2 2 3 2 3 4 3 2 3 2" xfId="9865"/>
    <cellStyle name="Milliers 2 2 3 2 3 4 3 2 4" xfId="9866"/>
    <cellStyle name="Milliers 2 2 3 2 3 4 3 3" xfId="9867"/>
    <cellStyle name="Milliers 2 2 3 2 3 4 3 3 2" xfId="9868"/>
    <cellStyle name="Milliers 2 2 3 2 3 4 3 3 2 2" xfId="9869"/>
    <cellStyle name="Milliers 2 2 3 2 3 4 3 3 3" xfId="9870"/>
    <cellStyle name="Milliers 2 2 3 2 3 4 3 4" xfId="9871"/>
    <cellStyle name="Milliers 2 2 3 2 3 4 3 4 2" xfId="9872"/>
    <cellStyle name="Milliers 2 2 3 2 3 4 3 5" xfId="9873"/>
    <cellStyle name="Milliers 2 2 3 2 3 4 4" xfId="9874"/>
    <cellStyle name="Milliers 2 2 3 2 3 4 4 2" xfId="9875"/>
    <cellStyle name="Milliers 2 2 3 2 3 4 4 2 2" xfId="9876"/>
    <cellStyle name="Milliers 2 2 3 2 3 4 4 2 2 2" xfId="9877"/>
    <cellStyle name="Milliers 2 2 3 2 3 4 4 2 3" xfId="9878"/>
    <cellStyle name="Milliers 2 2 3 2 3 4 4 3" xfId="9879"/>
    <cellStyle name="Milliers 2 2 3 2 3 4 4 3 2" xfId="9880"/>
    <cellStyle name="Milliers 2 2 3 2 3 4 4 4" xfId="9881"/>
    <cellStyle name="Milliers 2 2 3 2 3 4 5" xfId="9882"/>
    <cellStyle name="Milliers 2 2 3 2 3 4 5 2" xfId="9883"/>
    <cellStyle name="Milliers 2 2 3 2 3 4 5 2 2" xfId="9884"/>
    <cellStyle name="Milliers 2 2 3 2 3 4 5 3" xfId="9885"/>
    <cellStyle name="Milliers 2 2 3 2 3 4 6" xfId="9886"/>
    <cellStyle name="Milliers 2 2 3 2 3 4 6 2" xfId="9887"/>
    <cellStyle name="Milliers 2 2 3 2 3 4 7" xfId="9888"/>
    <cellStyle name="Milliers 2 2 3 2 3 5" xfId="9889"/>
    <cellStyle name="Milliers 2 2 3 2 3 5 2" xfId="9890"/>
    <cellStyle name="Milliers 2 2 3 2 3 5 2 2" xfId="9891"/>
    <cellStyle name="Milliers 2 2 3 2 3 5 2 2 2" xfId="9892"/>
    <cellStyle name="Milliers 2 2 3 2 3 5 2 2 2 2" xfId="9893"/>
    <cellStyle name="Milliers 2 2 3 2 3 5 2 2 2 2 2" xfId="9894"/>
    <cellStyle name="Milliers 2 2 3 2 3 5 2 2 2 3" xfId="9895"/>
    <cellStyle name="Milliers 2 2 3 2 3 5 2 2 3" xfId="9896"/>
    <cellStyle name="Milliers 2 2 3 2 3 5 2 2 3 2" xfId="9897"/>
    <cellStyle name="Milliers 2 2 3 2 3 5 2 2 4" xfId="9898"/>
    <cellStyle name="Milliers 2 2 3 2 3 5 2 3" xfId="9899"/>
    <cellStyle name="Milliers 2 2 3 2 3 5 2 3 2" xfId="9900"/>
    <cellStyle name="Milliers 2 2 3 2 3 5 2 3 2 2" xfId="9901"/>
    <cellStyle name="Milliers 2 2 3 2 3 5 2 3 3" xfId="9902"/>
    <cellStyle name="Milliers 2 2 3 2 3 5 2 4" xfId="9903"/>
    <cellStyle name="Milliers 2 2 3 2 3 5 2 4 2" xfId="9904"/>
    <cellStyle name="Milliers 2 2 3 2 3 5 2 5" xfId="9905"/>
    <cellStyle name="Milliers 2 2 3 2 3 5 3" xfId="9906"/>
    <cellStyle name="Milliers 2 2 3 2 3 5 3 2" xfId="9907"/>
    <cellStyle name="Milliers 2 2 3 2 3 5 3 2 2" xfId="9908"/>
    <cellStyle name="Milliers 2 2 3 2 3 5 3 2 2 2" xfId="9909"/>
    <cellStyle name="Milliers 2 2 3 2 3 5 3 2 3" xfId="9910"/>
    <cellStyle name="Milliers 2 2 3 2 3 5 3 3" xfId="9911"/>
    <cellStyle name="Milliers 2 2 3 2 3 5 3 3 2" xfId="9912"/>
    <cellStyle name="Milliers 2 2 3 2 3 5 3 4" xfId="9913"/>
    <cellStyle name="Milliers 2 2 3 2 3 5 4" xfId="9914"/>
    <cellStyle name="Milliers 2 2 3 2 3 5 4 2" xfId="9915"/>
    <cellStyle name="Milliers 2 2 3 2 3 5 4 2 2" xfId="9916"/>
    <cellStyle name="Milliers 2 2 3 2 3 5 4 3" xfId="9917"/>
    <cellStyle name="Milliers 2 2 3 2 3 5 5" xfId="9918"/>
    <cellStyle name="Milliers 2 2 3 2 3 5 5 2" xfId="9919"/>
    <cellStyle name="Milliers 2 2 3 2 3 5 6" xfId="9920"/>
    <cellStyle name="Milliers 2 2 3 2 3 6" xfId="9921"/>
    <cellStyle name="Milliers 2 2 3 2 3 6 2" xfId="9922"/>
    <cellStyle name="Milliers 2 2 3 2 3 6 2 2" xfId="9923"/>
    <cellStyle name="Milliers 2 2 3 2 3 6 2 2 2" xfId="9924"/>
    <cellStyle name="Milliers 2 2 3 2 3 6 2 2 2 2" xfId="9925"/>
    <cellStyle name="Milliers 2 2 3 2 3 6 2 2 3" xfId="9926"/>
    <cellStyle name="Milliers 2 2 3 2 3 6 2 3" xfId="9927"/>
    <cellStyle name="Milliers 2 2 3 2 3 6 2 3 2" xfId="9928"/>
    <cellStyle name="Milliers 2 2 3 2 3 6 2 4" xfId="9929"/>
    <cellStyle name="Milliers 2 2 3 2 3 6 3" xfId="9930"/>
    <cellStyle name="Milliers 2 2 3 2 3 6 3 2" xfId="9931"/>
    <cellStyle name="Milliers 2 2 3 2 3 6 3 2 2" xfId="9932"/>
    <cellStyle name="Milliers 2 2 3 2 3 6 3 3" xfId="9933"/>
    <cellStyle name="Milliers 2 2 3 2 3 6 4" xfId="9934"/>
    <cellStyle name="Milliers 2 2 3 2 3 6 4 2" xfId="9935"/>
    <cellStyle name="Milliers 2 2 3 2 3 6 5" xfId="9936"/>
    <cellStyle name="Milliers 2 2 3 2 3 7" xfId="9937"/>
    <cellStyle name="Milliers 2 2 3 2 3 7 2" xfId="9938"/>
    <cellStyle name="Milliers 2 2 3 2 3 7 2 2" xfId="9939"/>
    <cellStyle name="Milliers 2 2 3 2 3 7 2 2 2" xfId="9940"/>
    <cellStyle name="Milliers 2 2 3 2 3 7 2 3" xfId="9941"/>
    <cellStyle name="Milliers 2 2 3 2 3 7 3" xfId="9942"/>
    <cellStyle name="Milliers 2 2 3 2 3 7 3 2" xfId="9943"/>
    <cellStyle name="Milliers 2 2 3 2 3 7 4" xfId="9944"/>
    <cellStyle name="Milliers 2 2 3 2 3 8" xfId="9945"/>
    <cellStyle name="Milliers 2 2 3 2 3 8 2" xfId="9946"/>
    <cellStyle name="Milliers 2 2 3 2 3 8 2 2" xfId="9947"/>
    <cellStyle name="Milliers 2 2 3 2 3 8 3" xfId="9948"/>
    <cellStyle name="Milliers 2 2 3 2 3 9" xfId="9949"/>
    <cellStyle name="Milliers 2 2 3 2 3 9 2" xfId="9950"/>
    <cellStyle name="Milliers 2 2 3 2 4" xfId="9951"/>
    <cellStyle name="Milliers 2 2 3 2 4 2" xfId="9952"/>
    <cellStyle name="Milliers 2 2 3 2 4 2 2" xfId="9953"/>
    <cellStyle name="Milliers 2 2 3 2 4 2 2 2" xfId="9954"/>
    <cellStyle name="Milliers 2 2 3 2 4 2 2 2 2" xfId="9955"/>
    <cellStyle name="Milliers 2 2 3 2 4 2 2 2 2 2" xfId="9956"/>
    <cellStyle name="Milliers 2 2 3 2 4 2 2 2 2 2 2" xfId="9957"/>
    <cellStyle name="Milliers 2 2 3 2 4 2 2 2 2 2 2 2" xfId="9958"/>
    <cellStyle name="Milliers 2 2 3 2 4 2 2 2 2 2 2 2 2" xfId="9959"/>
    <cellStyle name="Milliers 2 2 3 2 4 2 2 2 2 2 2 3" xfId="9960"/>
    <cellStyle name="Milliers 2 2 3 2 4 2 2 2 2 2 3" xfId="9961"/>
    <cellStyle name="Milliers 2 2 3 2 4 2 2 2 2 2 3 2" xfId="9962"/>
    <cellStyle name="Milliers 2 2 3 2 4 2 2 2 2 2 4" xfId="9963"/>
    <cellStyle name="Milliers 2 2 3 2 4 2 2 2 2 3" xfId="9964"/>
    <cellStyle name="Milliers 2 2 3 2 4 2 2 2 2 3 2" xfId="9965"/>
    <cellStyle name="Milliers 2 2 3 2 4 2 2 2 2 3 2 2" xfId="9966"/>
    <cellStyle name="Milliers 2 2 3 2 4 2 2 2 2 3 3" xfId="9967"/>
    <cellStyle name="Milliers 2 2 3 2 4 2 2 2 2 4" xfId="9968"/>
    <cellStyle name="Milliers 2 2 3 2 4 2 2 2 2 4 2" xfId="9969"/>
    <cellStyle name="Milliers 2 2 3 2 4 2 2 2 2 5" xfId="9970"/>
    <cellStyle name="Milliers 2 2 3 2 4 2 2 2 3" xfId="9971"/>
    <cellStyle name="Milliers 2 2 3 2 4 2 2 2 3 2" xfId="9972"/>
    <cellStyle name="Milliers 2 2 3 2 4 2 2 2 3 2 2" xfId="9973"/>
    <cellStyle name="Milliers 2 2 3 2 4 2 2 2 3 2 2 2" xfId="9974"/>
    <cellStyle name="Milliers 2 2 3 2 4 2 2 2 3 2 3" xfId="9975"/>
    <cellStyle name="Milliers 2 2 3 2 4 2 2 2 3 3" xfId="9976"/>
    <cellStyle name="Milliers 2 2 3 2 4 2 2 2 3 3 2" xfId="9977"/>
    <cellStyle name="Milliers 2 2 3 2 4 2 2 2 3 4" xfId="9978"/>
    <cellStyle name="Milliers 2 2 3 2 4 2 2 2 4" xfId="9979"/>
    <cellStyle name="Milliers 2 2 3 2 4 2 2 2 4 2" xfId="9980"/>
    <cellStyle name="Milliers 2 2 3 2 4 2 2 2 4 2 2" xfId="9981"/>
    <cellStyle name="Milliers 2 2 3 2 4 2 2 2 4 3" xfId="9982"/>
    <cellStyle name="Milliers 2 2 3 2 4 2 2 2 5" xfId="9983"/>
    <cellStyle name="Milliers 2 2 3 2 4 2 2 2 5 2" xfId="9984"/>
    <cellStyle name="Milliers 2 2 3 2 4 2 2 2 6" xfId="9985"/>
    <cellStyle name="Milliers 2 2 3 2 4 2 2 3" xfId="9986"/>
    <cellStyle name="Milliers 2 2 3 2 4 2 2 3 2" xfId="9987"/>
    <cellStyle name="Milliers 2 2 3 2 4 2 2 3 2 2" xfId="9988"/>
    <cellStyle name="Milliers 2 2 3 2 4 2 2 3 2 2 2" xfId="9989"/>
    <cellStyle name="Milliers 2 2 3 2 4 2 2 3 2 2 2 2" xfId="9990"/>
    <cellStyle name="Milliers 2 2 3 2 4 2 2 3 2 2 3" xfId="9991"/>
    <cellStyle name="Milliers 2 2 3 2 4 2 2 3 2 3" xfId="9992"/>
    <cellStyle name="Milliers 2 2 3 2 4 2 2 3 2 3 2" xfId="9993"/>
    <cellStyle name="Milliers 2 2 3 2 4 2 2 3 2 4" xfId="9994"/>
    <cellStyle name="Milliers 2 2 3 2 4 2 2 3 3" xfId="9995"/>
    <cellStyle name="Milliers 2 2 3 2 4 2 2 3 3 2" xfId="9996"/>
    <cellStyle name="Milliers 2 2 3 2 4 2 2 3 3 2 2" xfId="9997"/>
    <cellStyle name="Milliers 2 2 3 2 4 2 2 3 3 3" xfId="9998"/>
    <cellStyle name="Milliers 2 2 3 2 4 2 2 3 4" xfId="9999"/>
    <cellStyle name="Milliers 2 2 3 2 4 2 2 3 4 2" xfId="10000"/>
    <cellStyle name="Milliers 2 2 3 2 4 2 2 3 5" xfId="10001"/>
    <cellStyle name="Milliers 2 2 3 2 4 2 2 4" xfId="10002"/>
    <cellStyle name="Milliers 2 2 3 2 4 2 2 4 2" xfId="10003"/>
    <cellStyle name="Milliers 2 2 3 2 4 2 2 4 2 2" xfId="10004"/>
    <cellStyle name="Milliers 2 2 3 2 4 2 2 4 2 2 2" xfId="10005"/>
    <cellStyle name="Milliers 2 2 3 2 4 2 2 4 2 3" xfId="10006"/>
    <cellStyle name="Milliers 2 2 3 2 4 2 2 4 3" xfId="10007"/>
    <cellStyle name="Milliers 2 2 3 2 4 2 2 4 3 2" xfId="10008"/>
    <cellStyle name="Milliers 2 2 3 2 4 2 2 4 4" xfId="10009"/>
    <cellStyle name="Milliers 2 2 3 2 4 2 2 5" xfId="10010"/>
    <cellStyle name="Milliers 2 2 3 2 4 2 2 5 2" xfId="10011"/>
    <cellStyle name="Milliers 2 2 3 2 4 2 2 5 2 2" xfId="10012"/>
    <cellStyle name="Milliers 2 2 3 2 4 2 2 5 3" xfId="10013"/>
    <cellStyle name="Milliers 2 2 3 2 4 2 2 6" xfId="10014"/>
    <cellStyle name="Milliers 2 2 3 2 4 2 2 6 2" xfId="10015"/>
    <cellStyle name="Milliers 2 2 3 2 4 2 2 7" xfId="10016"/>
    <cellStyle name="Milliers 2 2 3 2 4 2 3" xfId="10017"/>
    <cellStyle name="Milliers 2 2 3 2 4 2 3 2" xfId="10018"/>
    <cellStyle name="Milliers 2 2 3 2 4 2 3 2 2" xfId="10019"/>
    <cellStyle name="Milliers 2 2 3 2 4 2 3 2 2 2" xfId="10020"/>
    <cellStyle name="Milliers 2 2 3 2 4 2 3 2 2 2 2" xfId="10021"/>
    <cellStyle name="Milliers 2 2 3 2 4 2 3 2 2 2 2 2" xfId="10022"/>
    <cellStyle name="Milliers 2 2 3 2 4 2 3 2 2 2 3" xfId="10023"/>
    <cellStyle name="Milliers 2 2 3 2 4 2 3 2 2 3" xfId="10024"/>
    <cellStyle name="Milliers 2 2 3 2 4 2 3 2 2 3 2" xfId="10025"/>
    <cellStyle name="Milliers 2 2 3 2 4 2 3 2 2 4" xfId="10026"/>
    <cellStyle name="Milliers 2 2 3 2 4 2 3 2 3" xfId="10027"/>
    <cellStyle name="Milliers 2 2 3 2 4 2 3 2 3 2" xfId="10028"/>
    <cellStyle name="Milliers 2 2 3 2 4 2 3 2 3 2 2" xfId="10029"/>
    <cellStyle name="Milliers 2 2 3 2 4 2 3 2 3 3" xfId="10030"/>
    <cellStyle name="Milliers 2 2 3 2 4 2 3 2 4" xfId="10031"/>
    <cellStyle name="Milliers 2 2 3 2 4 2 3 2 4 2" xfId="10032"/>
    <cellStyle name="Milliers 2 2 3 2 4 2 3 2 5" xfId="10033"/>
    <cellStyle name="Milliers 2 2 3 2 4 2 3 3" xfId="10034"/>
    <cellStyle name="Milliers 2 2 3 2 4 2 3 3 2" xfId="10035"/>
    <cellStyle name="Milliers 2 2 3 2 4 2 3 3 2 2" xfId="10036"/>
    <cellStyle name="Milliers 2 2 3 2 4 2 3 3 2 2 2" xfId="10037"/>
    <cellStyle name="Milliers 2 2 3 2 4 2 3 3 2 3" xfId="10038"/>
    <cellStyle name="Milliers 2 2 3 2 4 2 3 3 3" xfId="10039"/>
    <cellStyle name="Milliers 2 2 3 2 4 2 3 3 3 2" xfId="10040"/>
    <cellStyle name="Milliers 2 2 3 2 4 2 3 3 4" xfId="10041"/>
    <cellStyle name="Milliers 2 2 3 2 4 2 3 4" xfId="10042"/>
    <cellStyle name="Milliers 2 2 3 2 4 2 3 4 2" xfId="10043"/>
    <cellStyle name="Milliers 2 2 3 2 4 2 3 4 2 2" xfId="10044"/>
    <cellStyle name="Milliers 2 2 3 2 4 2 3 4 3" xfId="10045"/>
    <cellStyle name="Milliers 2 2 3 2 4 2 3 5" xfId="10046"/>
    <cellStyle name="Milliers 2 2 3 2 4 2 3 5 2" xfId="10047"/>
    <cellStyle name="Milliers 2 2 3 2 4 2 3 6" xfId="10048"/>
    <cellStyle name="Milliers 2 2 3 2 4 2 4" xfId="10049"/>
    <cellStyle name="Milliers 2 2 3 2 4 2 4 2" xfId="10050"/>
    <cellStyle name="Milliers 2 2 3 2 4 2 4 2 2" xfId="10051"/>
    <cellStyle name="Milliers 2 2 3 2 4 2 4 2 2 2" xfId="10052"/>
    <cellStyle name="Milliers 2 2 3 2 4 2 4 2 2 2 2" xfId="10053"/>
    <cellStyle name="Milliers 2 2 3 2 4 2 4 2 2 3" xfId="10054"/>
    <cellStyle name="Milliers 2 2 3 2 4 2 4 2 3" xfId="10055"/>
    <cellStyle name="Milliers 2 2 3 2 4 2 4 2 3 2" xfId="10056"/>
    <cellStyle name="Milliers 2 2 3 2 4 2 4 2 4" xfId="10057"/>
    <cellStyle name="Milliers 2 2 3 2 4 2 4 3" xfId="10058"/>
    <cellStyle name="Milliers 2 2 3 2 4 2 4 3 2" xfId="10059"/>
    <cellStyle name="Milliers 2 2 3 2 4 2 4 3 2 2" xfId="10060"/>
    <cellStyle name="Milliers 2 2 3 2 4 2 4 3 3" xfId="10061"/>
    <cellStyle name="Milliers 2 2 3 2 4 2 4 4" xfId="10062"/>
    <cellStyle name="Milliers 2 2 3 2 4 2 4 4 2" xfId="10063"/>
    <cellStyle name="Milliers 2 2 3 2 4 2 4 5" xfId="10064"/>
    <cellStyle name="Milliers 2 2 3 2 4 2 5" xfId="10065"/>
    <cellStyle name="Milliers 2 2 3 2 4 2 5 2" xfId="10066"/>
    <cellStyle name="Milliers 2 2 3 2 4 2 5 2 2" xfId="10067"/>
    <cellStyle name="Milliers 2 2 3 2 4 2 5 2 2 2" xfId="10068"/>
    <cellStyle name="Milliers 2 2 3 2 4 2 5 2 3" xfId="10069"/>
    <cellStyle name="Milliers 2 2 3 2 4 2 5 3" xfId="10070"/>
    <cellStyle name="Milliers 2 2 3 2 4 2 5 3 2" xfId="10071"/>
    <cellStyle name="Milliers 2 2 3 2 4 2 5 4" xfId="10072"/>
    <cellStyle name="Milliers 2 2 3 2 4 2 6" xfId="10073"/>
    <cellStyle name="Milliers 2 2 3 2 4 2 6 2" xfId="10074"/>
    <cellStyle name="Milliers 2 2 3 2 4 2 6 2 2" xfId="10075"/>
    <cellStyle name="Milliers 2 2 3 2 4 2 6 3" xfId="10076"/>
    <cellStyle name="Milliers 2 2 3 2 4 2 7" xfId="10077"/>
    <cellStyle name="Milliers 2 2 3 2 4 2 7 2" xfId="10078"/>
    <cellStyle name="Milliers 2 2 3 2 4 2 8" xfId="10079"/>
    <cellStyle name="Milliers 2 2 3 2 4 3" xfId="10080"/>
    <cellStyle name="Milliers 2 2 3 2 4 3 2" xfId="10081"/>
    <cellStyle name="Milliers 2 2 3 2 4 3 2 2" xfId="10082"/>
    <cellStyle name="Milliers 2 2 3 2 4 3 2 2 2" xfId="10083"/>
    <cellStyle name="Milliers 2 2 3 2 4 3 2 2 2 2" xfId="10084"/>
    <cellStyle name="Milliers 2 2 3 2 4 3 2 2 2 2 2" xfId="10085"/>
    <cellStyle name="Milliers 2 2 3 2 4 3 2 2 2 2 2 2" xfId="10086"/>
    <cellStyle name="Milliers 2 2 3 2 4 3 2 2 2 2 3" xfId="10087"/>
    <cellStyle name="Milliers 2 2 3 2 4 3 2 2 2 3" xfId="10088"/>
    <cellStyle name="Milliers 2 2 3 2 4 3 2 2 2 3 2" xfId="10089"/>
    <cellStyle name="Milliers 2 2 3 2 4 3 2 2 2 4" xfId="10090"/>
    <cellStyle name="Milliers 2 2 3 2 4 3 2 2 3" xfId="10091"/>
    <cellStyle name="Milliers 2 2 3 2 4 3 2 2 3 2" xfId="10092"/>
    <cellStyle name="Milliers 2 2 3 2 4 3 2 2 3 2 2" xfId="10093"/>
    <cellStyle name="Milliers 2 2 3 2 4 3 2 2 3 3" xfId="10094"/>
    <cellStyle name="Milliers 2 2 3 2 4 3 2 2 4" xfId="10095"/>
    <cellStyle name="Milliers 2 2 3 2 4 3 2 2 4 2" xfId="10096"/>
    <cellStyle name="Milliers 2 2 3 2 4 3 2 2 5" xfId="10097"/>
    <cellStyle name="Milliers 2 2 3 2 4 3 2 3" xfId="10098"/>
    <cellStyle name="Milliers 2 2 3 2 4 3 2 3 2" xfId="10099"/>
    <cellStyle name="Milliers 2 2 3 2 4 3 2 3 2 2" xfId="10100"/>
    <cellStyle name="Milliers 2 2 3 2 4 3 2 3 2 2 2" xfId="10101"/>
    <cellStyle name="Milliers 2 2 3 2 4 3 2 3 2 3" xfId="10102"/>
    <cellStyle name="Milliers 2 2 3 2 4 3 2 3 3" xfId="10103"/>
    <cellStyle name="Milliers 2 2 3 2 4 3 2 3 3 2" xfId="10104"/>
    <cellStyle name="Milliers 2 2 3 2 4 3 2 3 4" xfId="10105"/>
    <cellStyle name="Milliers 2 2 3 2 4 3 2 4" xfId="10106"/>
    <cellStyle name="Milliers 2 2 3 2 4 3 2 4 2" xfId="10107"/>
    <cellStyle name="Milliers 2 2 3 2 4 3 2 4 2 2" xfId="10108"/>
    <cellStyle name="Milliers 2 2 3 2 4 3 2 4 3" xfId="10109"/>
    <cellStyle name="Milliers 2 2 3 2 4 3 2 5" xfId="10110"/>
    <cellStyle name="Milliers 2 2 3 2 4 3 2 5 2" xfId="10111"/>
    <cellStyle name="Milliers 2 2 3 2 4 3 2 6" xfId="10112"/>
    <cellStyle name="Milliers 2 2 3 2 4 3 3" xfId="10113"/>
    <cellStyle name="Milliers 2 2 3 2 4 3 3 2" xfId="10114"/>
    <cellStyle name="Milliers 2 2 3 2 4 3 3 2 2" xfId="10115"/>
    <cellStyle name="Milliers 2 2 3 2 4 3 3 2 2 2" xfId="10116"/>
    <cellStyle name="Milliers 2 2 3 2 4 3 3 2 2 2 2" xfId="10117"/>
    <cellStyle name="Milliers 2 2 3 2 4 3 3 2 2 3" xfId="10118"/>
    <cellStyle name="Milliers 2 2 3 2 4 3 3 2 3" xfId="10119"/>
    <cellStyle name="Milliers 2 2 3 2 4 3 3 2 3 2" xfId="10120"/>
    <cellStyle name="Milliers 2 2 3 2 4 3 3 2 4" xfId="10121"/>
    <cellStyle name="Milliers 2 2 3 2 4 3 3 3" xfId="10122"/>
    <cellStyle name="Milliers 2 2 3 2 4 3 3 3 2" xfId="10123"/>
    <cellStyle name="Milliers 2 2 3 2 4 3 3 3 2 2" xfId="10124"/>
    <cellStyle name="Milliers 2 2 3 2 4 3 3 3 3" xfId="10125"/>
    <cellStyle name="Milliers 2 2 3 2 4 3 3 4" xfId="10126"/>
    <cellStyle name="Milliers 2 2 3 2 4 3 3 4 2" xfId="10127"/>
    <cellStyle name="Milliers 2 2 3 2 4 3 3 5" xfId="10128"/>
    <cellStyle name="Milliers 2 2 3 2 4 3 4" xfId="10129"/>
    <cellStyle name="Milliers 2 2 3 2 4 3 4 2" xfId="10130"/>
    <cellStyle name="Milliers 2 2 3 2 4 3 4 2 2" xfId="10131"/>
    <cellStyle name="Milliers 2 2 3 2 4 3 4 2 2 2" xfId="10132"/>
    <cellStyle name="Milliers 2 2 3 2 4 3 4 2 3" xfId="10133"/>
    <cellStyle name="Milliers 2 2 3 2 4 3 4 3" xfId="10134"/>
    <cellStyle name="Milliers 2 2 3 2 4 3 4 3 2" xfId="10135"/>
    <cellStyle name="Milliers 2 2 3 2 4 3 4 4" xfId="10136"/>
    <cellStyle name="Milliers 2 2 3 2 4 3 5" xfId="10137"/>
    <cellStyle name="Milliers 2 2 3 2 4 3 5 2" xfId="10138"/>
    <cellStyle name="Milliers 2 2 3 2 4 3 5 2 2" xfId="10139"/>
    <cellStyle name="Milliers 2 2 3 2 4 3 5 3" xfId="10140"/>
    <cellStyle name="Milliers 2 2 3 2 4 3 6" xfId="10141"/>
    <cellStyle name="Milliers 2 2 3 2 4 3 6 2" xfId="10142"/>
    <cellStyle name="Milliers 2 2 3 2 4 3 7" xfId="10143"/>
    <cellStyle name="Milliers 2 2 3 2 4 4" xfId="10144"/>
    <cellStyle name="Milliers 2 2 3 2 4 4 2" xfId="10145"/>
    <cellStyle name="Milliers 2 2 3 2 4 4 2 2" xfId="10146"/>
    <cellStyle name="Milliers 2 2 3 2 4 4 2 2 2" xfId="10147"/>
    <cellStyle name="Milliers 2 2 3 2 4 4 2 2 2 2" xfId="10148"/>
    <cellStyle name="Milliers 2 2 3 2 4 4 2 2 2 2 2" xfId="10149"/>
    <cellStyle name="Milliers 2 2 3 2 4 4 2 2 2 3" xfId="10150"/>
    <cellStyle name="Milliers 2 2 3 2 4 4 2 2 3" xfId="10151"/>
    <cellStyle name="Milliers 2 2 3 2 4 4 2 2 3 2" xfId="10152"/>
    <cellStyle name="Milliers 2 2 3 2 4 4 2 2 4" xfId="10153"/>
    <cellStyle name="Milliers 2 2 3 2 4 4 2 3" xfId="10154"/>
    <cellStyle name="Milliers 2 2 3 2 4 4 2 3 2" xfId="10155"/>
    <cellStyle name="Milliers 2 2 3 2 4 4 2 3 2 2" xfId="10156"/>
    <cellStyle name="Milliers 2 2 3 2 4 4 2 3 3" xfId="10157"/>
    <cellStyle name="Milliers 2 2 3 2 4 4 2 4" xfId="10158"/>
    <cellStyle name="Milliers 2 2 3 2 4 4 2 4 2" xfId="10159"/>
    <cellStyle name="Milliers 2 2 3 2 4 4 2 5" xfId="10160"/>
    <cellStyle name="Milliers 2 2 3 2 4 4 3" xfId="10161"/>
    <cellStyle name="Milliers 2 2 3 2 4 4 3 2" xfId="10162"/>
    <cellStyle name="Milliers 2 2 3 2 4 4 3 2 2" xfId="10163"/>
    <cellStyle name="Milliers 2 2 3 2 4 4 3 2 2 2" xfId="10164"/>
    <cellStyle name="Milliers 2 2 3 2 4 4 3 2 3" xfId="10165"/>
    <cellStyle name="Milliers 2 2 3 2 4 4 3 3" xfId="10166"/>
    <cellStyle name="Milliers 2 2 3 2 4 4 3 3 2" xfId="10167"/>
    <cellStyle name="Milliers 2 2 3 2 4 4 3 4" xfId="10168"/>
    <cellStyle name="Milliers 2 2 3 2 4 4 4" xfId="10169"/>
    <cellStyle name="Milliers 2 2 3 2 4 4 4 2" xfId="10170"/>
    <cellStyle name="Milliers 2 2 3 2 4 4 4 2 2" xfId="10171"/>
    <cellStyle name="Milliers 2 2 3 2 4 4 4 3" xfId="10172"/>
    <cellStyle name="Milliers 2 2 3 2 4 4 5" xfId="10173"/>
    <cellStyle name="Milliers 2 2 3 2 4 4 5 2" xfId="10174"/>
    <cellStyle name="Milliers 2 2 3 2 4 4 6" xfId="10175"/>
    <cellStyle name="Milliers 2 2 3 2 4 5" xfId="10176"/>
    <cellStyle name="Milliers 2 2 3 2 4 5 2" xfId="10177"/>
    <cellStyle name="Milliers 2 2 3 2 4 5 2 2" xfId="10178"/>
    <cellStyle name="Milliers 2 2 3 2 4 5 2 2 2" xfId="10179"/>
    <cellStyle name="Milliers 2 2 3 2 4 5 2 2 2 2" xfId="10180"/>
    <cellStyle name="Milliers 2 2 3 2 4 5 2 2 3" xfId="10181"/>
    <cellStyle name="Milliers 2 2 3 2 4 5 2 3" xfId="10182"/>
    <cellStyle name="Milliers 2 2 3 2 4 5 2 3 2" xfId="10183"/>
    <cellStyle name="Milliers 2 2 3 2 4 5 2 4" xfId="10184"/>
    <cellStyle name="Milliers 2 2 3 2 4 5 3" xfId="10185"/>
    <cellStyle name="Milliers 2 2 3 2 4 5 3 2" xfId="10186"/>
    <cellStyle name="Milliers 2 2 3 2 4 5 3 2 2" xfId="10187"/>
    <cellStyle name="Milliers 2 2 3 2 4 5 3 3" xfId="10188"/>
    <cellStyle name="Milliers 2 2 3 2 4 5 4" xfId="10189"/>
    <cellStyle name="Milliers 2 2 3 2 4 5 4 2" xfId="10190"/>
    <cellStyle name="Milliers 2 2 3 2 4 5 5" xfId="10191"/>
    <cellStyle name="Milliers 2 2 3 2 4 6" xfId="10192"/>
    <cellStyle name="Milliers 2 2 3 2 4 6 2" xfId="10193"/>
    <cellStyle name="Milliers 2 2 3 2 4 6 2 2" xfId="10194"/>
    <cellStyle name="Milliers 2 2 3 2 4 6 2 2 2" xfId="10195"/>
    <cellStyle name="Milliers 2 2 3 2 4 6 2 3" xfId="10196"/>
    <cellStyle name="Milliers 2 2 3 2 4 6 3" xfId="10197"/>
    <cellStyle name="Milliers 2 2 3 2 4 6 3 2" xfId="10198"/>
    <cellStyle name="Milliers 2 2 3 2 4 6 4" xfId="10199"/>
    <cellStyle name="Milliers 2 2 3 2 4 7" xfId="10200"/>
    <cellStyle name="Milliers 2 2 3 2 4 7 2" xfId="10201"/>
    <cellStyle name="Milliers 2 2 3 2 4 7 2 2" xfId="10202"/>
    <cellStyle name="Milliers 2 2 3 2 4 7 3" xfId="10203"/>
    <cellStyle name="Milliers 2 2 3 2 4 8" xfId="10204"/>
    <cellStyle name="Milliers 2 2 3 2 4 8 2" xfId="10205"/>
    <cellStyle name="Milliers 2 2 3 2 4 9" xfId="10206"/>
    <cellStyle name="Milliers 2 2 3 2 5" xfId="10207"/>
    <cellStyle name="Milliers 2 2 3 2 5 2" xfId="10208"/>
    <cellStyle name="Milliers 2 2 3 2 5 2 2" xfId="10209"/>
    <cellStyle name="Milliers 2 2 3 2 5 2 2 2" xfId="10210"/>
    <cellStyle name="Milliers 2 2 3 2 5 2 2 2 2" xfId="10211"/>
    <cellStyle name="Milliers 2 2 3 2 5 2 2 2 2 2" xfId="10212"/>
    <cellStyle name="Milliers 2 2 3 2 5 2 2 2 2 2 2" xfId="10213"/>
    <cellStyle name="Milliers 2 2 3 2 5 2 2 2 2 2 2 2" xfId="10214"/>
    <cellStyle name="Milliers 2 2 3 2 5 2 2 2 2 2 3" xfId="10215"/>
    <cellStyle name="Milliers 2 2 3 2 5 2 2 2 2 3" xfId="10216"/>
    <cellStyle name="Milliers 2 2 3 2 5 2 2 2 2 3 2" xfId="10217"/>
    <cellStyle name="Milliers 2 2 3 2 5 2 2 2 2 4" xfId="10218"/>
    <cellStyle name="Milliers 2 2 3 2 5 2 2 2 3" xfId="10219"/>
    <cellStyle name="Milliers 2 2 3 2 5 2 2 2 3 2" xfId="10220"/>
    <cellStyle name="Milliers 2 2 3 2 5 2 2 2 3 2 2" xfId="10221"/>
    <cellStyle name="Milliers 2 2 3 2 5 2 2 2 3 3" xfId="10222"/>
    <cellStyle name="Milliers 2 2 3 2 5 2 2 2 4" xfId="10223"/>
    <cellStyle name="Milliers 2 2 3 2 5 2 2 2 4 2" xfId="10224"/>
    <cellStyle name="Milliers 2 2 3 2 5 2 2 2 5" xfId="10225"/>
    <cellStyle name="Milliers 2 2 3 2 5 2 2 3" xfId="10226"/>
    <cellStyle name="Milliers 2 2 3 2 5 2 2 3 2" xfId="10227"/>
    <cellStyle name="Milliers 2 2 3 2 5 2 2 3 2 2" xfId="10228"/>
    <cellStyle name="Milliers 2 2 3 2 5 2 2 3 2 2 2" xfId="10229"/>
    <cellStyle name="Milliers 2 2 3 2 5 2 2 3 2 3" xfId="10230"/>
    <cellStyle name="Milliers 2 2 3 2 5 2 2 3 3" xfId="10231"/>
    <cellStyle name="Milliers 2 2 3 2 5 2 2 3 3 2" xfId="10232"/>
    <cellStyle name="Milliers 2 2 3 2 5 2 2 3 4" xfId="10233"/>
    <cellStyle name="Milliers 2 2 3 2 5 2 2 4" xfId="10234"/>
    <cellStyle name="Milliers 2 2 3 2 5 2 2 4 2" xfId="10235"/>
    <cellStyle name="Milliers 2 2 3 2 5 2 2 4 2 2" xfId="10236"/>
    <cellStyle name="Milliers 2 2 3 2 5 2 2 4 3" xfId="10237"/>
    <cellStyle name="Milliers 2 2 3 2 5 2 2 5" xfId="10238"/>
    <cellStyle name="Milliers 2 2 3 2 5 2 2 5 2" xfId="10239"/>
    <cellStyle name="Milliers 2 2 3 2 5 2 2 6" xfId="10240"/>
    <cellStyle name="Milliers 2 2 3 2 5 2 3" xfId="10241"/>
    <cellStyle name="Milliers 2 2 3 2 5 2 3 2" xfId="10242"/>
    <cellStyle name="Milliers 2 2 3 2 5 2 3 2 2" xfId="10243"/>
    <cellStyle name="Milliers 2 2 3 2 5 2 3 2 2 2" xfId="10244"/>
    <cellStyle name="Milliers 2 2 3 2 5 2 3 2 2 2 2" xfId="10245"/>
    <cellStyle name="Milliers 2 2 3 2 5 2 3 2 2 3" xfId="10246"/>
    <cellStyle name="Milliers 2 2 3 2 5 2 3 2 3" xfId="10247"/>
    <cellStyle name="Milliers 2 2 3 2 5 2 3 2 3 2" xfId="10248"/>
    <cellStyle name="Milliers 2 2 3 2 5 2 3 2 4" xfId="10249"/>
    <cellStyle name="Milliers 2 2 3 2 5 2 3 3" xfId="10250"/>
    <cellStyle name="Milliers 2 2 3 2 5 2 3 3 2" xfId="10251"/>
    <cellStyle name="Milliers 2 2 3 2 5 2 3 3 2 2" xfId="10252"/>
    <cellStyle name="Milliers 2 2 3 2 5 2 3 3 3" xfId="10253"/>
    <cellStyle name="Milliers 2 2 3 2 5 2 3 4" xfId="10254"/>
    <cellStyle name="Milliers 2 2 3 2 5 2 3 4 2" xfId="10255"/>
    <cellStyle name="Milliers 2 2 3 2 5 2 3 5" xfId="10256"/>
    <cellStyle name="Milliers 2 2 3 2 5 2 4" xfId="10257"/>
    <cellStyle name="Milliers 2 2 3 2 5 2 4 2" xfId="10258"/>
    <cellStyle name="Milliers 2 2 3 2 5 2 4 2 2" xfId="10259"/>
    <cellStyle name="Milliers 2 2 3 2 5 2 4 2 2 2" xfId="10260"/>
    <cellStyle name="Milliers 2 2 3 2 5 2 4 2 3" xfId="10261"/>
    <cellStyle name="Milliers 2 2 3 2 5 2 4 3" xfId="10262"/>
    <cellStyle name="Milliers 2 2 3 2 5 2 4 3 2" xfId="10263"/>
    <cellStyle name="Milliers 2 2 3 2 5 2 4 4" xfId="10264"/>
    <cellStyle name="Milliers 2 2 3 2 5 2 5" xfId="10265"/>
    <cellStyle name="Milliers 2 2 3 2 5 2 5 2" xfId="10266"/>
    <cellStyle name="Milliers 2 2 3 2 5 2 5 2 2" xfId="10267"/>
    <cellStyle name="Milliers 2 2 3 2 5 2 5 3" xfId="10268"/>
    <cellStyle name="Milliers 2 2 3 2 5 2 6" xfId="10269"/>
    <cellStyle name="Milliers 2 2 3 2 5 2 6 2" xfId="10270"/>
    <cellStyle name="Milliers 2 2 3 2 5 2 7" xfId="10271"/>
    <cellStyle name="Milliers 2 2 3 2 5 3" xfId="10272"/>
    <cellStyle name="Milliers 2 2 3 2 5 3 2" xfId="10273"/>
    <cellStyle name="Milliers 2 2 3 2 5 3 2 2" xfId="10274"/>
    <cellStyle name="Milliers 2 2 3 2 5 3 2 2 2" xfId="10275"/>
    <cellStyle name="Milliers 2 2 3 2 5 3 2 2 2 2" xfId="10276"/>
    <cellStyle name="Milliers 2 2 3 2 5 3 2 2 2 2 2" xfId="10277"/>
    <cellStyle name="Milliers 2 2 3 2 5 3 2 2 2 3" xfId="10278"/>
    <cellStyle name="Milliers 2 2 3 2 5 3 2 2 3" xfId="10279"/>
    <cellStyle name="Milliers 2 2 3 2 5 3 2 2 3 2" xfId="10280"/>
    <cellStyle name="Milliers 2 2 3 2 5 3 2 2 4" xfId="10281"/>
    <cellStyle name="Milliers 2 2 3 2 5 3 2 3" xfId="10282"/>
    <cellStyle name="Milliers 2 2 3 2 5 3 2 3 2" xfId="10283"/>
    <cellStyle name="Milliers 2 2 3 2 5 3 2 3 2 2" xfId="10284"/>
    <cellStyle name="Milliers 2 2 3 2 5 3 2 3 3" xfId="10285"/>
    <cellStyle name="Milliers 2 2 3 2 5 3 2 4" xfId="10286"/>
    <cellStyle name="Milliers 2 2 3 2 5 3 2 4 2" xfId="10287"/>
    <cellStyle name="Milliers 2 2 3 2 5 3 2 5" xfId="10288"/>
    <cellStyle name="Milliers 2 2 3 2 5 3 3" xfId="10289"/>
    <cellStyle name="Milliers 2 2 3 2 5 3 3 2" xfId="10290"/>
    <cellStyle name="Milliers 2 2 3 2 5 3 3 2 2" xfId="10291"/>
    <cellStyle name="Milliers 2 2 3 2 5 3 3 2 2 2" xfId="10292"/>
    <cellStyle name="Milliers 2 2 3 2 5 3 3 2 3" xfId="10293"/>
    <cellStyle name="Milliers 2 2 3 2 5 3 3 3" xfId="10294"/>
    <cellStyle name="Milliers 2 2 3 2 5 3 3 3 2" xfId="10295"/>
    <cellStyle name="Milliers 2 2 3 2 5 3 3 4" xfId="10296"/>
    <cellStyle name="Milliers 2 2 3 2 5 3 4" xfId="10297"/>
    <cellStyle name="Milliers 2 2 3 2 5 3 4 2" xfId="10298"/>
    <cellStyle name="Milliers 2 2 3 2 5 3 4 2 2" xfId="10299"/>
    <cellStyle name="Milliers 2 2 3 2 5 3 4 3" xfId="10300"/>
    <cellStyle name="Milliers 2 2 3 2 5 3 5" xfId="10301"/>
    <cellStyle name="Milliers 2 2 3 2 5 3 5 2" xfId="10302"/>
    <cellStyle name="Milliers 2 2 3 2 5 3 6" xfId="10303"/>
    <cellStyle name="Milliers 2 2 3 2 5 4" xfId="10304"/>
    <cellStyle name="Milliers 2 2 3 2 5 4 2" xfId="10305"/>
    <cellStyle name="Milliers 2 2 3 2 5 4 2 2" xfId="10306"/>
    <cellStyle name="Milliers 2 2 3 2 5 4 2 2 2" xfId="10307"/>
    <cellStyle name="Milliers 2 2 3 2 5 4 2 2 2 2" xfId="10308"/>
    <cellStyle name="Milliers 2 2 3 2 5 4 2 2 3" xfId="10309"/>
    <cellStyle name="Milliers 2 2 3 2 5 4 2 3" xfId="10310"/>
    <cellStyle name="Milliers 2 2 3 2 5 4 2 3 2" xfId="10311"/>
    <cellStyle name="Milliers 2 2 3 2 5 4 2 4" xfId="10312"/>
    <cellStyle name="Milliers 2 2 3 2 5 4 3" xfId="10313"/>
    <cellStyle name="Milliers 2 2 3 2 5 4 3 2" xfId="10314"/>
    <cellStyle name="Milliers 2 2 3 2 5 4 3 2 2" xfId="10315"/>
    <cellStyle name="Milliers 2 2 3 2 5 4 3 3" xfId="10316"/>
    <cellStyle name="Milliers 2 2 3 2 5 4 4" xfId="10317"/>
    <cellStyle name="Milliers 2 2 3 2 5 4 4 2" xfId="10318"/>
    <cellStyle name="Milliers 2 2 3 2 5 4 5" xfId="10319"/>
    <cellStyle name="Milliers 2 2 3 2 5 5" xfId="10320"/>
    <cellStyle name="Milliers 2 2 3 2 5 5 2" xfId="10321"/>
    <cellStyle name="Milliers 2 2 3 2 5 5 2 2" xfId="10322"/>
    <cellStyle name="Milliers 2 2 3 2 5 5 2 2 2" xfId="10323"/>
    <cellStyle name="Milliers 2 2 3 2 5 5 2 3" xfId="10324"/>
    <cellStyle name="Milliers 2 2 3 2 5 5 3" xfId="10325"/>
    <cellStyle name="Milliers 2 2 3 2 5 5 3 2" xfId="10326"/>
    <cellStyle name="Milliers 2 2 3 2 5 5 4" xfId="10327"/>
    <cellStyle name="Milliers 2 2 3 2 5 6" xfId="10328"/>
    <cellStyle name="Milliers 2 2 3 2 5 6 2" xfId="10329"/>
    <cellStyle name="Milliers 2 2 3 2 5 6 2 2" xfId="10330"/>
    <cellStyle name="Milliers 2 2 3 2 5 6 3" xfId="10331"/>
    <cellStyle name="Milliers 2 2 3 2 5 7" xfId="10332"/>
    <cellStyle name="Milliers 2 2 3 2 5 7 2" xfId="10333"/>
    <cellStyle name="Milliers 2 2 3 2 5 8" xfId="10334"/>
    <cellStyle name="Milliers 2 2 3 2 6" xfId="10335"/>
    <cellStyle name="Milliers 2 2 3 2 6 2" xfId="10336"/>
    <cellStyle name="Milliers 2 2 3 2 6 2 2" xfId="10337"/>
    <cellStyle name="Milliers 2 2 3 2 6 2 2 2" xfId="10338"/>
    <cellStyle name="Milliers 2 2 3 2 6 2 2 2 2" xfId="10339"/>
    <cellStyle name="Milliers 2 2 3 2 6 2 2 2 2 2" xfId="10340"/>
    <cellStyle name="Milliers 2 2 3 2 6 2 2 2 2 2 2" xfId="10341"/>
    <cellStyle name="Milliers 2 2 3 2 6 2 2 2 2 3" xfId="10342"/>
    <cellStyle name="Milliers 2 2 3 2 6 2 2 2 3" xfId="10343"/>
    <cellStyle name="Milliers 2 2 3 2 6 2 2 2 3 2" xfId="10344"/>
    <cellStyle name="Milliers 2 2 3 2 6 2 2 2 4" xfId="10345"/>
    <cellStyle name="Milliers 2 2 3 2 6 2 2 3" xfId="10346"/>
    <cellStyle name="Milliers 2 2 3 2 6 2 2 3 2" xfId="10347"/>
    <cellStyle name="Milliers 2 2 3 2 6 2 2 3 2 2" xfId="10348"/>
    <cellStyle name="Milliers 2 2 3 2 6 2 2 3 3" xfId="10349"/>
    <cellStyle name="Milliers 2 2 3 2 6 2 2 4" xfId="10350"/>
    <cellStyle name="Milliers 2 2 3 2 6 2 2 4 2" xfId="10351"/>
    <cellStyle name="Milliers 2 2 3 2 6 2 2 5" xfId="10352"/>
    <cellStyle name="Milliers 2 2 3 2 6 2 3" xfId="10353"/>
    <cellStyle name="Milliers 2 2 3 2 6 2 3 2" xfId="10354"/>
    <cellStyle name="Milliers 2 2 3 2 6 2 3 2 2" xfId="10355"/>
    <cellStyle name="Milliers 2 2 3 2 6 2 3 2 2 2" xfId="10356"/>
    <cellStyle name="Milliers 2 2 3 2 6 2 3 2 3" xfId="10357"/>
    <cellStyle name="Milliers 2 2 3 2 6 2 3 3" xfId="10358"/>
    <cellStyle name="Milliers 2 2 3 2 6 2 3 3 2" xfId="10359"/>
    <cellStyle name="Milliers 2 2 3 2 6 2 3 4" xfId="10360"/>
    <cellStyle name="Milliers 2 2 3 2 6 2 4" xfId="10361"/>
    <cellStyle name="Milliers 2 2 3 2 6 2 4 2" xfId="10362"/>
    <cellStyle name="Milliers 2 2 3 2 6 2 4 2 2" xfId="10363"/>
    <cellStyle name="Milliers 2 2 3 2 6 2 4 3" xfId="10364"/>
    <cellStyle name="Milliers 2 2 3 2 6 2 5" xfId="10365"/>
    <cellStyle name="Milliers 2 2 3 2 6 2 5 2" xfId="10366"/>
    <cellStyle name="Milliers 2 2 3 2 6 2 6" xfId="10367"/>
    <cellStyle name="Milliers 2 2 3 2 6 3" xfId="10368"/>
    <cellStyle name="Milliers 2 2 3 2 6 3 2" xfId="10369"/>
    <cellStyle name="Milliers 2 2 3 2 6 3 2 2" xfId="10370"/>
    <cellStyle name="Milliers 2 2 3 2 6 3 2 2 2" xfId="10371"/>
    <cellStyle name="Milliers 2 2 3 2 6 3 2 2 2 2" xfId="10372"/>
    <cellStyle name="Milliers 2 2 3 2 6 3 2 2 3" xfId="10373"/>
    <cellStyle name="Milliers 2 2 3 2 6 3 2 3" xfId="10374"/>
    <cellStyle name="Milliers 2 2 3 2 6 3 2 3 2" xfId="10375"/>
    <cellStyle name="Milliers 2 2 3 2 6 3 2 4" xfId="10376"/>
    <cellStyle name="Milliers 2 2 3 2 6 3 3" xfId="10377"/>
    <cellStyle name="Milliers 2 2 3 2 6 3 3 2" xfId="10378"/>
    <cellStyle name="Milliers 2 2 3 2 6 3 3 2 2" xfId="10379"/>
    <cellStyle name="Milliers 2 2 3 2 6 3 3 3" xfId="10380"/>
    <cellStyle name="Milliers 2 2 3 2 6 3 4" xfId="10381"/>
    <cellStyle name="Milliers 2 2 3 2 6 3 4 2" xfId="10382"/>
    <cellStyle name="Milliers 2 2 3 2 6 3 5" xfId="10383"/>
    <cellStyle name="Milliers 2 2 3 2 6 4" xfId="10384"/>
    <cellStyle name="Milliers 2 2 3 2 6 4 2" xfId="10385"/>
    <cellStyle name="Milliers 2 2 3 2 6 4 2 2" xfId="10386"/>
    <cellStyle name="Milliers 2 2 3 2 6 4 2 2 2" xfId="10387"/>
    <cellStyle name="Milliers 2 2 3 2 6 4 2 3" xfId="10388"/>
    <cellStyle name="Milliers 2 2 3 2 6 4 3" xfId="10389"/>
    <cellStyle name="Milliers 2 2 3 2 6 4 3 2" xfId="10390"/>
    <cellStyle name="Milliers 2 2 3 2 6 4 4" xfId="10391"/>
    <cellStyle name="Milliers 2 2 3 2 6 5" xfId="10392"/>
    <cellStyle name="Milliers 2 2 3 2 6 5 2" xfId="10393"/>
    <cellStyle name="Milliers 2 2 3 2 6 5 2 2" xfId="10394"/>
    <cellStyle name="Milliers 2 2 3 2 6 5 3" xfId="10395"/>
    <cellStyle name="Milliers 2 2 3 2 6 6" xfId="10396"/>
    <cellStyle name="Milliers 2 2 3 2 6 6 2" xfId="10397"/>
    <cellStyle name="Milliers 2 2 3 2 6 7" xfId="10398"/>
    <cellStyle name="Milliers 2 2 3 2 7" xfId="10399"/>
    <cellStyle name="Milliers 2 2 3 2 7 2" xfId="10400"/>
    <cellStyle name="Milliers 2 2 3 2 7 2 2" xfId="10401"/>
    <cellStyle name="Milliers 2 2 3 2 7 2 2 2" xfId="10402"/>
    <cellStyle name="Milliers 2 2 3 2 7 2 2 2 2" xfId="10403"/>
    <cellStyle name="Milliers 2 2 3 2 7 2 2 2 2 2" xfId="10404"/>
    <cellStyle name="Milliers 2 2 3 2 7 2 2 2 3" xfId="10405"/>
    <cellStyle name="Milliers 2 2 3 2 7 2 2 3" xfId="10406"/>
    <cellStyle name="Milliers 2 2 3 2 7 2 2 3 2" xfId="10407"/>
    <cellStyle name="Milliers 2 2 3 2 7 2 2 4" xfId="10408"/>
    <cellStyle name="Milliers 2 2 3 2 7 2 3" xfId="10409"/>
    <cellStyle name="Milliers 2 2 3 2 7 2 3 2" xfId="10410"/>
    <cellStyle name="Milliers 2 2 3 2 7 2 3 2 2" xfId="10411"/>
    <cellStyle name="Milliers 2 2 3 2 7 2 3 3" xfId="10412"/>
    <cellStyle name="Milliers 2 2 3 2 7 2 4" xfId="10413"/>
    <cellStyle name="Milliers 2 2 3 2 7 2 4 2" xfId="10414"/>
    <cellStyle name="Milliers 2 2 3 2 7 2 5" xfId="10415"/>
    <cellStyle name="Milliers 2 2 3 2 7 3" xfId="10416"/>
    <cellStyle name="Milliers 2 2 3 2 7 3 2" xfId="10417"/>
    <cellStyle name="Milliers 2 2 3 2 7 3 2 2" xfId="10418"/>
    <cellStyle name="Milliers 2 2 3 2 7 3 2 2 2" xfId="10419"/>
    <cellStyle name="Milliers 2 2 3 2 7 3 2 3" xfId="10420"/>
    <cellStyle name="Milliers 2 2 3 2 7 3 3" xfId="10421"/>
    <cellStyle name="Milliers 2 2 3 2 7 3 3 2" xfId="10422"/>
    <cellStyle name="Milliers 2 2 3 2 7 3 4" xfId="10423"/>
    <cellStyle name="Milliers 2 2 3 2 7 4" xfId="10424"/>
    <cellStyle name="Milliers 2 2 3 2 7 4 2" xfId="10425"/>
    <cellStyle name="Milliers 2 2 3 2 7 4 2 2" xfId="10426"/>
    <cellStyle name="Milliers 2 2 3 2 7 4 3" xfId="10427"/>
    <cellStyle name="Milliers 2 2 3 2 7 5" xfId="10428"/>
    <cellStyle name="Milliers 2 2 3 2 7 5 2" xfId="10429"/>
    <cellStyle name="Milliers 2 2 3 2 7 6" xfId="10430"/>
    <cellStyle name="Milliers 2 2 3 2 8" xfId="10431"/>
    <cellStyle name="Milliers 2 2 3 2 8 2" xfId="10432"/>
    <cellStyle name="Milliers 2 2 3 2 8 2 2" xfId="10433"/>
    <cellStyle name="Milliers 2 2 3 2 8 2 2 2" xfId="10434"/>
    <cellStyle name="Milliers 2 2 3 2 8 2 2 2 2" xfId="10435"/>
    <cellStyle name="Milliers 2 2 3 2 8 2 2 3" xfId="10436"/>
    <cellStyle name="Milliers 2 2 3 2 8 2 3" xfId="10437"/>
    <cellStyle name="Milliers 2 2 3 2 8 2 3 2" xfId="10438"/>
    <cellStyle name="Milliers 2 2 3 2 8 2 4" xfId="10439"/>
    <cellStyle name="Milliers 2 2 3 2 8 3" xfId="10440"/>
    <cellStyle name="Milliers 2 2 3 2 8 3 2" xfId="10441"/>
    <cellStyle name="Milliers 2 2 3 2 8 3 2 2" xfId="10442"/>
    <cellStyle name="Milliers 2 2 3 2 8 3 3" xfId="10443"/>
    <cellStyle name="Milliers 2 2 3 2 8 4" xfId="10444"/>
    <cellStyle name="Milliers 2 2 3 2 8 4 2" xfId="10445"/>
    <cellStyle name="Milliers 2 2 3 2 8 5" xfId="10446"/>
    <cellStyle name="Milliers 2 2 3 2 9" xfId="10447"/>
    <cellStyle name="Milliers 2 2 3 2 9 2" xfId="10448"/>
    <cellStyle name="Milliers 2 2 3 2 9 2 2" xfId="10449"/>
    <cellStyle name="Milliers 2 2 3 2 9 2 2 2" xfId="10450"/>
    <cellStyle name="Milliers 2 2 3 2 9 2 3" xfId="10451"/>
    <cellStyle name="Milliers 2 2 3 2 9 3" xfId="10452"/>
    <cellStyle name="Milliers 2 2 3 2 9 3 2" xfId="10453"/>
    <cellStyle name="Milliers 2 2 3 2 9 4" xfId="10454"/>
    <cellStyle name="Milliers 2 2 3 3" xfId="10455"/>
    <cellStyle name="Milliers 2 2 3 3 10" xfId="10456"/>
    <cellStyle name="Milliers 2 2 3 3 10 2" xfId="10457"/>
    <cellStyle name="Milliers 2 2 3 3 11" xfId="10458"/>
    <cellStyle name="Milliers 2 2 3 3 2" xfId="10459"/>
    <cellStyle name="Milliers 2 2 3 3 2 10" xfId="10460"/>
    <cellStyle name="Milliers 2 2 3 3 2 2" xfId="10461"/>
    <cellStyle name="Milliers 2 2 3 3 2 2 2" xfId="10462"/>
    <cellStyle name="Milliers 2 2 3 3 2 2 2 2" xfId="10463"/>
    <cellStyle name="Milliers 2 2 3 3 2 2 2 2 2" xfId="10464"/>
    <cellStyle name="Milliers 2 2 3 3 2 2 2 2 2 2" xfId="10465"/>
    <cellStyle name="Milliers 2 2 3 3 2 2 2 2 2 2 2" xfId="10466"/>
    <cellStyle name="Milliers 2 2 3 3 2 2 2 2 2 2 2 2" xfId="10467"/>
    <cellStyle name="Milliers 2 2 3 3 2 2 2 2 2 2 2 2 2" xfId="10468"/>
    <cellStyle name="Milliers 2 2 3 3 2 2 2 2 2 2 2 2 2 2" xfId="10469"/>
    <cellStyle name="Milliers 2 2 3 3 2 2 2 2 2 2 2 2 3" xfId="10470"/>
    <cellStyle name="Milliers 2 2 3 3 2 2 2 2 2 2 2 3" xfId="10471"/>
    <cellStyle name="Milliers 2 2 3 3 2 2 2 2 2 2 2 3 2" xfId="10472"/>
    <cellStyle name="Milliers 2 2 3 3 2 2 2 2 2 2 2 4" xfId="10473"/>
    <cellStyle name="Milliers 2 2 3 3 2 2 2 2 2 2 3" xfId="10474"/>
    <cellStyle name="Milliers 2 2 3 3 2 2 2 2 2 2 3 2" xfId="10475"/>
    <cellStyle name="Milliers 2 2 3 3 2 2 2 2 2 2 3 2 2" xfId="10476"/>
    <cellStyle name="Milliers 2 2 3 3 2 2 2 2 2 2 3 3" xfId="10477"/>
    <cellStyle name="Milliers 2 2 3 3 2 2 2 2 2 2 4" xfId="10478"/>
    <cellStyle name="Milliers 2 2 3 3 2 2 2 2 2 2 4 2" xfId="10479"/>
    <cellStyle name="Milliers 2 2 3 3 2 2 2 2 2 2 5" xfId="10480"/>
    <cellStyle name="Milliers 2 2 3 3 2 2 2 2 2 3" xfId="10481"/>
    <cellStyle name="Milliers 2 2 3 3 2 2 2 2 2 3 2" xfId="10482"/>
    <cellStyle name="Milliers 2 2 3 3 2 2 2 2 2 3 2 2" xfId="10483"/>
    <cellStyle name="Milliers 2 2 3 3 2 2 2 2 2 3 2 2 2" xfId="10484"/>
    <cellStyle name="Milliers 2 2 3 3 2 2 2 2 2 3 2 3" xfId="10485"/>
    <cellStyle name="Milliers 2 2 3 3 2 2 2 2 2 3 3" xfId="10486"/>
    <cellStyle name="Milliers 2 2 3 3 2 2 2 2 2 3 3 2" xfId="10487"/>
    <cellStyle name="Milliers 2 2 3 3 2 2 2 2 2 3 4" xfId="10488"/>
    <cellStyle name="Milliers 2 2 3 3 2 2 2 2 2 4" xfId="10489"/>
    <cellStyle name="Milliers 2 2 3 3 2 2 2 2 2 4 2" xfId="10490"/>
    <cellStyle name="Milliers 2 2 3 3 2 2 2 2 2 4 2 2" xfId="10491"/>
    <cellStyle name="Milliers 2 2 3 3 2 2 2 2 2 4 3" xfId="10492"/>
    <cellStyle name="Milliers 2 2 3 3 2 2 2 2 2 5" xfId="10493"/>
    <cellStyle name="Milliers 2 2 3 3 2 2 2 2 2 5 2" xfId="10494"/>
    <cellStyle name="Milliers 2 2 3 3 2 2 2 2 2 6" xfId="10495"/>
    <cellStyle name="Milliers 2 2 3 3 2 2 2 2 3" xfId="10496"/>
    <cellStyle name="Milliers 2 2 3 3 2 2 2 2 3 2" xfId="10497"/>
    <cellStyle name="Milliers 2 2 3 3 2 2 2 2 3 2 2" xfId="10498"/>
    <cellStyle name="Milliers 2 2 3 3 2 2 2 2 3 2 2 2" xfId="10499"/>
    <cellStyle name="Milliers 2 2 3 3 2 2 2 2 3 2 2 2 2" xfId="10500"/>
    <cellStyle name="Milliers 2 2 3 3 2 2 2 2 3 2 2 3" xfId="10501"/>
    <cellStyle name="Milliers 2 2 3 3 2 2 2 2 3 2 3" xfId="10502"/>
    <cellStyle name="Milliers 2 2 3 3 2 2 2 2 3 2 3 2" xfId="10503"/>
    <cellStyle name="Milliers 2 2 3 3 2 2 2 2 3 2 4" xfId="10504"/>
    <cellStyle name="Milliers 2 2 3 3 2 2 2 2 3 3" xfId="10505"/>
    <cellStyle name="Milliers 2 2 3 3 2 2 2 2 3 3 2" xfId="10506"/>
    <cellStyle name="Milliers 2 2 3 3 2 2 2 2 3 3 2 2" xfId="10507"/>
    <cellStyle name="Milliers 2 2 3 3 2 2 2 2 3 3 3" xfId="10508"/>
    <cellStyle name="Milliers 2 2 3 3 2 2 2 2 3 4" xfId="10509"/>
    <cellStyle name="Milliers 2 2 3 3 2 2 2 2 3 4 2" xfId="10510"/>
    <cellStyle name="Milliers 2 2 3 3 2 2 2 2 3 5" xfId="10511"/>
    <cellStyle name="Milliers 2 2 3 3 2 2 2 2 4" xfId="10512"/>
    <cellStyle name="Milliers 2 2 3 3 2 2 2 2 4 2" xfId="10513"/>
    <cellStyle name="Milliers 2 2 3 3 2 2 2 2 4 2 2" xfId="10514"/>
    <cellStyle name="Milliers 2 2 3 3 2 2 2 2 4 2 2 2" xfId="10515"/>
    <cellStyle name="Milliers 2 2 3 3 2 2 2 2 4 2 3" xfId="10516"/>
    <cellStyle name="Milliers 2 2 3 3 2 2 2 2 4 3" xfId="10517"/>
    <cellStyle name="Milliers 2 2 3 3 2 2 2 2 4 3 2" xfId="10518"/>
    <cellStyle name="Milliers 2 2 3 3 2 2 2 2 4 4" xfId="10519"/>
    <cellStyle name="Milliers 2 2 3 3 2 2 2 2 5" xfId="10520"/>
    <cellStyle name="Milliers 2 2 3 3 2 2 2 2 5 2" xfId="10521"/>
    <cellStyle name="Milliers 2 2 3 3 2 2 2 2 5 2 2" xfId="10522"/>
    <cellStyle name="Milliers 2 2 3 3 2 2 2 2 5 3" xfId="10523"/>
    <cellStyle name="Milliers 2 2 3 3 2 2 2 2 6" xfId="10524"/>
    <cellStyle name="Milliers 2 2 3 3 2 2 2 2 6 2" xfId="10525"/>
    <cellStyle name="Milliers 2 2 3 3 2 2 2 2 7" xfId="10526"/>
    <cellStyle name="Milliers 2 2 3 3 2 2 2 3" xfId="10527"/>
    <cellStyle name="Milliers 2 2 3 3 2 2 2 3 2" xfId="10528"/>
    <cellStyle name="Milliers 2 2 3 3 2 2 2 3 2 2" xfId="10529"/>
    <cellStyle name="Milliers 2 2 3 3 2 2 2 3 2 2 2" xfId="10530"/>
    <cellStyle name="Milliers 2 2 3 3 2 2 2 3 2 2 2 2" xfId="10531"/>
    <cellStyle name="Milliers 2 2 3 3 2 2 2 3 2 2 2 2 2" xfId="10532"/>
    <cellStyle name="Milliers 2 2 3 3 2 2 2 3 2 2 2 3" xfId="10533"/>
    <cellStyle name="Milliers 2 2 3 3 2 2 2 3 2 2 3" xfId="10534"/>
    <cellStyle name="Milliers 2 2 3 3 2 2 2 3 2 2 3 2" xfId="10535"/>
    <cellStyle name="Milliers 2 2 3 3 2 2 2 3 2 2 4" xfId="10536"/>
    <cellStyle name="Milliers 2 2 3 3 2 2 2 3 2 3" xfId="10537"/>
    <cellStyle name="Milliers 2 2 3 3 2 2 2 3 2 3 2" xfId="10538"/>
    <cellStyle name="Milliers 2 2 3 3 2 2 2 3 2 3 2 2" xfId="10539"/>
    <cellStyle name="Milliers 2 2 3 3 2 2 2 3 2 3 3" xfId="10540"/>
    <cellStyle name="Milliers 2 2 3 3 2 2 2 3 2 4" xfId="10541"/>
    <cellStyle name="Milliers 2 2 3 3 2 2 2 3 2 4 2" xfId="10542"/>
    <cellStyle name="Milliers 2 2 3 3 2 2 2 3 2 5" xfId="10543"/>
    <cellStyle name="Milliers 2 2 3 3 2 2 2 3 3" xfId="10544"/>
    <cellStyle name="Milliers 2 2 3 3 2 2 2 3 3 2" xfId="10545"/>
    <cellStyle name="Milliers 2 2 3 3 2 2 2 3 3 2 2" xfId="10546"/>
    <cellStyle name="Milliers 2 2 3 3 2 2 2 3 3 2 2 2" xfId="10547"/>
    <cellStyle name="Milliers 2 2 3 3 2 2 2 3 3 2 3" xfId="10548"/>
    <cellStyle name="Milliers 2 2 3 3 2 2 2 3 3 3" xfId="10549"/>
    <cellStyle name="Milliers 2 2 3 3 2 2 2 3 3 3 2" xfId="10550"/>
    <cellStyle name="Milliers 2 2 3 3 2 2 2 3 3 4" xfId="10551"/>
    <cellStyle name="Milliers 2 2 3 3 2 2 2 3 4" xfId="10552"/>
    <cellStyle name="Milliers 2 2 3 3 2 2 2 3 4 2" xfId="10553"/>
    <cellStyle name="Milliers 2 2 3 3 2 2 2 3 4 2 2" xfId="10554"/>
    <cellStyle name="Milliers 2 2 3 3 2 2 2 3 4 3" xfId="10555"/>
    <cellStyle name="Milliers 2 2 3 3 2 2 2 3 5" xfId="10556"/>
    <cellStyle name="Milliers 2 2 3 3 2 2 2 3 5 2" xfId="10557"/>
    <cellStyle name="Milliers 2 2 3 3 2 2 2 3 6" xfId="10558"/>
    <cellStyle name="Milliers 2 2 3 3 2 2 2 4" xfId="10559"/>
    <cellStyle name="Milliers 2 2 3 3 2 2 2 4 2" xfId="10560"/>
    <cellStyle name="Milliers 2 2 3 3 2 2 2 4 2 2" xfId="10561"/>
    <cellStyle name="Milliers 2 2 3 3 2 2 2 4 2 2 2" xfId="10562"/>
    <cellStyle name="Milliers 2 2 3 3 2 2 2 4 2 2 2 2" xfId="10563"/>
    <cellStyle name="Milliers 2 2 3 3 2 2 2 4 2 2 3" xfId="10564"/>
    <cellStyle name="Milliers 2 2 3 3 2 2 2 4 2 3" xfId="10565"/>
    <cellStyle name="Milliers 2 2 3 3 2 2 2 4 2 3 2" xfId="10566"/>
    <cellStyle name="Milliers 2 2 3 3 2 2 2 4 2 4" xfId="10567"/>
    <cellStyle name="Milliers 2 2 3 3 2 2 2 4 3" xfId="10568"/>
    <cellStyle name="Milliers 2 2 3 3 2 2 2 4 3 2" xfId="10569"/>
    <cellStyle name="Milliers 2 2 3 3 2 2 2 4 3 2 2" xfId="10570"/>
    <cellStyle name="Milliers 2 2 3 3 2 2 2 4 3 3" xfId="10571"/>
    <cellStyle name="Milliers 2 2 3 3 2 2 2 4 4" xfId="10572"/>
    <cellStyle name="Milliers 2 2 3 3 2 2 2 4 4 2" xfId="10573"/>
    <cellStyle name="Milliers 2 2 3 3 2 2 2 4 5" xfId="10574"/>
    <cellStyle name="Milliers 2 2 3 3 2 2 2 5" xfId="10575"/>
    <cellStyle name="Milliers 2 2 3 3 2 2 2 5 2" xfId="10576"/>
    <cellStyle name="Milliers 2 2 3 3 2 2 2 5 2 2" xfId="10577"/>
    <cellStyle name="Milliers 2 2 3 3 2 2 2 5 2 2 2" xfId="10578"/>
    <cellStyle name="Milliers 2 2 3 3 2 2 2 5 2 3" xfId="10579"/>
    <cellStyle name="Milliers 2 2 3 3 2 2 2 5 3" xfId="10580"/>
    <cellStyle name="Milliers 2 2 3 3 2 2 2 5 3 2" xfId="10581"/>
    <cellStyle name="Milliers 2 2 3 3 2 2 2 5 4" xfId="10582"/>
    <cellStyle name="Milliers 2 2 3 3 2 2 2 6" xfId="10583"/>
    <cellStyle name="Milliers 2 2 3 3 2 2 2 6 2" xfId="10584"/>
    <cellStyle name="Milliers 2 2 3 3 2 2 2 6 2 2" xfId="10585"/>
    <cellStyle name="Milliers 2 2 3 3 2 2 2 6 3" xfId="10586"/>
    <cellStyle name="Milliers 2 2 3 3 2 2 2 7" xfId="10587"/>
    <cellStyle name="Milliers 2 2 3 3 2 2 2 7 2" xfId="10588"/>
    <cellStyle name="Milliers 2 2 3 3 2 2 2 8" xfId="10589"/>
    <cellStyle name="Milliers 2 2 3 3 2 2 3" xfId="10590"/>
    <cellStyle name="Milliers 2 2 3 3 2 2 3 2" xfId="10591"/>
    <cellStyle name="Milliers 2 2 3 3 2 2 3 2 2" xfId="10592"/>
    <cellStyle name="Milliers 2 2 3 3 2 2 3 2 2 2" xfId="10593"/>
    <cellStyle name="Milliers 2 2 3 3 2 2 3 2 2 2 2" xfId="10594"/>
    <cellStyle name="Milliers 2 2 3 3 2 2 3 2 2 2 2 2" xfId="10595"/>
    <cellStyle name="Milliers 2 2 3 3 2 2 3 2 2 2 2 2 2" xfId="10596"/>
    <cellStyle name="Milliers 2 2 3 3 2 2 3 2 2 2 2 3" xfId="10597"/>
    <cellStyle name="Milliers 2 2 3 3 2 2 3 2 2 2 3" xfId="10598"/>
    <cellStyle name="Milliers 2 2 3 3 2 2 3 2 2 2 3 2" xfId="10599"/>
    <cellStyle name="Milliers 2 2 3 3 2 2 3 2 2 2 4" xfId="10600"/>
    <cellStyle name="Milliers 2 2 3 3 2 2 3 2 2 3" xfId="10601"/>
    <cellStyle name="Milliers 2 2 3 3 2 2 3 2 2 3 2" xfId="10602"/>
    <cellStyle name="Milliers 2 2 3 3 2 2 3 2 2 3 2 2" xfId="10603"/>
    <cellStyle name="Milliers 2 2 3 3 2 2 3 2 2 3 3" xfId="10604"/>
    <cellStyle name="Milliers 2 2 3 3 2 2 3 2 2 4" xfId="10605"/>
    <cellStyle name="Milliers 2 2 3 3 2 2 3 2 2 4 2" xfId="10606"/>
    <cellStyle name="Milliers 2 2 3 3 2 2 3 2 2 5" xfId="10607"/>
    <cellStyle name="Milliers 2 2 3 3 2 2 3 2 3" xfId="10608"/>
    <cellStyle name="Milliers 2 2 3 3 2 2 3 2 3 2" xfId="10609"/>
    <cellStyle name="Milliers 2 2 3 3 2 2 3 2 3 2 2" xfId="10610"/>
    <cellStyle name="Milliers 2 2 3 3 2 2 3 2 3 2 2 2" xfId="10611"/>
    <cellStyle name="Milliers 2 2 3 3 2 2 3 2 3 2 3" xfId="10612"/>
    <cellStyle name="Milliers 2 2 3 3 2 2 3 2 3 3" xfId="10613"/>
    <cellStyle name="Milliers 2 2 3 3 2 2 3 2 3 3 2" xfId="10614"/>
    <cellStyle name="Milliers 2 2 3 3 2 2 3 2 3 4" xfId="10615"/>
    <cellStyle name="Milliers 2 2 3 3 2 2 3 2 4" xfId="10616"/>
    <cellStyle name="Milliers 2 2 3 3 2 2 3 2 4 2" xfId="10617"/>
    <cellStyle name="Milliers 2 2 3 3 2 2 3 2 4 2 2" xfId="10618"/>
    <cellStyle name="Milliers 2 2 3 3 2 2 3 2 4 3" xfId="10619"/>
    <cellStyle name="Milliers 2 2 3 3 2 2 3 2 5" xfId="10620"/>
    <cellStyle name="Milliers 2 2 3 3 2 2 3 2 5 2" xfId="10621"/>
    <cellStyle name="Milliers 2 2 3 3 2 2 3 2 6" xfId="10622"/>
    <cellStyle name="Milliers 2 2 3 3 2 2 3 3" xfId="10623"/>
    <cellStyle name="Milliers 2 2 3 3 2 2 3 3 2" xfId="10624"/>
    <cellStyle name="Milliers 2 2 3 3 2 2 3 3 2 2" xfId="10625"/>
    <cellStyle name="Milliers 2 2 3 3 2 2 3 3 2 2 2" xfId="10626"/>
    <cellStyle name="Milliers 2 2 3 3 2 2 3 3 2 2 2 2" xfId="10627"/>
    <cellStyle name="Milliers 2 2 3 3 2 2 3 3 2 2 3" xfId="10628"/>
    <cellStyle name="Milliers 2 2 3 3 2 2 3 3 2 3" xfId="10629"/>
    <cellStyle name="Milliers 2 2 3 3 2 2 3 3 2 3 2" xfId="10630"/>
    <cellStyle name="Milliers 2 2 3 3 2 2 3 3 2 4" xfId="10631"/>
    <cellStyle name="Milliers 2 2 3 3 2 2 3 3 3" xfId="10632"/>
    <cellStyle name="Milliers 2 2 3 3 2 2 3 3 3 2" xfId="10633"/>
    <cellStyle name="Milliers 2 2 3 3 2 2 3 3 3 2 2" xfId="10634"/>
    <cellStyle name="Milliers 2 2 3 3 2 2 3 3 3 3" xfId="10635"/>
    <cellStyle name="Milliers 2 2 3 3 2 2 3 3 4" xfId="10636"/>
    <cellStyle name="Milliers 2 2 3 3 2 2 3 3 4 2" xfId="10637"/>
    <cellStyle name="Milliers 2 2 3 3 2 2 3 3 5" xfId="10638"/>
    <cellStyle name="Milliers 2 2 3 3 2 2 3 4" xfId="10639"/>
    <cellStyle name="Milliers 2 2 3 3 2 2 3 4 2" xfId="10640"/>
    <cellStyle name="Milliers 2 2 3 3 2 2 3 4 2 2" xfId="10641"/>
    <cellStyle name="Milliers 2 2 3 3 2 2 3 4 2 2 2" xfId="10642"/>
    <cellStyle name="Milliers 2 2 3 3 2 2 3 4 2 3" xfId="10643"/>
    <cellStyle name="Milliers 2 2 3 3 2 2 3 4 3" xfId="10644"/>
    <cellStyle name="Milliers 2 2 3 3 2 2 3 4 3 2" xfId="10645"/>
    <cellStyle name="Milliers 2 2 3 3 2 2 3 4 4" xfId="10646"/>
    <cellStyle name="Milliers 2 2 3 3 2 2 3 5" xfId="10647"/>
    <cellStyle name="Milliers 2 2 3 3 2 2 3 5 2" xfId="10648"/>
    <cellStyle name="Milliers 2 2 3 3 2 2 3 5 2 2" xfId="10649"/>
    <cellStyle name="Milliers 2 2 3 3 2 2 3 5 3" xfId="10650"/>
    <cellStyle name="Milliers 2 2 3 3 2 2 3 6" xfId="10651"/>
    <cellStyle name="Milliers 2 2 3 3 2 2 3 6 2" xfId="10652"/>
    <cellStyle name="Milliers 2 2 3 3 2 2 3 7" xfId="10653"/>
    <cellStyle name="Milliers 2 2 3 3 2 2 4" xfId="10654"/>
    <cellStyle name="Milliers 2 2 3 3 2 2 4 2" xfId="10655"/>
    <cellStyle name="Milliers 2 2 3 3 2 2 4 2 2" xfId="10656"/>
    <cellStyle name="Milliers 2 2 3 3 2 2 4 2 2 2" xfId="10657"/>
    <cellStyle name="Milliers 2 2 3 3 2 2 4 2 2 2 2" xfId="10658"/>
    <cellStyle name="Milliers 2 2 3 3 2 2 4 2 2 2 2 2" xfId="10659"/>
    <cellStyle name="Milliers 2 2 3 3 2 2 4 2 2 2 3" xfId="10660"/>
    <cellStyle name="Milliers 2 2 3 3 2 2 4 2 2 3" xfId="10661"/>
    <cellStyle name="Milliers 2 2 3 3 2 2 4 2 2 3 2" xfId="10662"/>
    <cellStyle name="Milliers 2 2 3 3 2 2 4 2 2 4" xfId="10663"/>
    <cellStyle name="Milliers 2 2 3 3 2 2 4 2 3" xfId="10664"/>
    <cellStyle name="Milliers 2 2 3 3 2 2 4 2 3 2" xfId="10665"/>
    <cellStyle name="Milliers 2 2 3 3 2 2 4 2 3 2 2" xfId="10666"/>
    <cellStyle name="Milliers 2 2 3 3 2 2 4 2 3 3" xfId="10667"/>
    <cellStyle name="Milliers 2 2 3 3 2 2 4 2 4" xfId="10668"/>
    <cellStyle name="Milliers 2 2 3 3 2 2 4 2 4 2" xfId="10669"/>
    <cellStyle name="Milliers 2 2 3 3 2 2 4 2 5" xfId="10670"/>
    <cellStyle name="Milliers 2 2 3 3 2 2 4 3" xfId="10671"/>
    <cellStyle name="Milliers 2 2 3 3 2 2 4 3 2" xfId="10672"/>
    <cellStyle name="Milliers 2 2 3 3 2 2 4 3 2 2" xfId="10673"/>
    <cellStyle name="Milliers 2 2 3 3 2 2 4 3 2 2 2" xfId="10674"/>
    <cellStyle name="Milliers 2 2 3 3 2 2 4 3 2 3" xfId="10675"/>
    <cellStyle name="Milliers 2 2 3 3 2 2 4 3 3" xfId="10676"/>
    <cellStyle name="Milliers 2 2 3 3 2 2 4 3 3 2" xfId="10677"/>
    <cellStyle name="Milliers 2 2 3 3 2 2 4 3 4" xfId="10678"/>
    <cellStyle name="Milliers 2 2 3 3 2 2 4 4" xfId="10679"/>
    <cellStyle name="Milliers 2 2 3 3 2 2 4 4 2" xfId="10680"/>
    <cellStyle name="Milliers 2 2 3 3 2 2 4 4 2 2" xfId="10681"/>
    <cellStyle name="Milliers 2 2 3 3 2 2 4 4 3" xfId="10682"/>
    <cellStyle name="Milliers 2 2 3 3 2 2 4 5" xfId="10683"/>
    <cellStyle name="Milliers 2 2 3 3 2 2 4 5 2" xfId="10684"/>
    <cellStyle name="Milliers 2 2 3 3 2 2 4 6" xfId="10685"/>
    <cellStyle name="Milliers 2 2 3 3 2 2 5" xfId="10686"/>
    <cellStyle name="Milliers 2 2 3 3 2 2 5 2" xfId="10687"/>
    <cellStyle name="Milliers 2 2 3 3 2 2 5 2 2" xfId="10688"/>
    <cellStyle name="Milliers 2 2 3 3 2 2 5 2 2 2" xfId="10689"/>
    <cellStyle name="Milliers 2 2 3 3 2 2 5 2 2 2 2" xfId="10690"/>
    <cellStyle name="Milliers 2 2 3 3 2 2 5 2 2 3" xfId="10691"/>
    <cellStyle name="Milliers 2 2 3 3 2 2 5 2 3" xfId="10692"/>
    <cellStyle name="Milliers 2 2 3 3 2 2 5 2 3 2" xfId="10693"/>
    <cellStyle name="Milliers 2 2 3 3 2 2 5 2 4" xfId="10694"/>
    <cellStyle name="Milliers 2 2 3 3 2 2 5 3" xfId="10695"/>
    <cellStyle name="Milliers 2 2 3 3 2 2 5 3 2" xfId="10696"/>
    <cellStyle name="Milliers 2 2 3 3 2 2 5 3 2 2" xfId="10697"/>
    <cellStyle name="Milliers 2 2 3 3 2 2 5 3 3" xfId="10698"/>
    <cellStyle name="Milliers 2 2 3 3 2 2 5 4" xfId="10699"/>
    <cellStyle name="Milliers 2 2 3 3 2 2 5 4 2" xfId="10700"/>
    <cellStyle name="Milliers 2 2 3 3 2 2 5 5" xfId="10701"/>
    <cellStyle name="Milliers 2 2 3 3 2 2 6" xfId="10702"/>
    <cellStyle name="Milliers 2 2 3 3 2 2 6 2" xfId="10703"/>
    <cellStyle name="Milliers 2 2 3 3 2 2 6 2 2" xfId="10704"/>
    <cellStyle name="Milliers 2 2 3 3 2 2 6 2 2 2" xfId="10705"/>
    <cellStyle name="Milliers 2 2 3 3 2 2 6 2 3" xfId="10706"/>
    <cellStyle name="Milliers 2 2 3 3 2 2 6 3" xfId="10707"/>
    <cellStyle name="Milliers 2 2 3 3 2 2 6 3 2" xfId="10708"/>
    <cellStyle name="Milliers 2 2 3 3 2 2 6 4" xfId="10709"/>
    <cellStyle name="Milliers 2 2 3 3 2 2 7" xfId="10710"/>
    <cellStyle name="Milliers 2 2 3 3 2 2 7 2" xfId="10711"/>
    <cellStyle name="Milliers 2 2 3 3 2 2 7 2 2" xfId="10712"/>
    <cellStyle name="Milliers 2 2 3 3 2 2 7 3" xfId="10713"/>
    <cellStyle name="Milliers 2 2 3 3 2 2 8" xfId="10714"/>
    <cellStyle name="Milliers 2 2 3 3 2 2 8 2" xfId="10715"/>
    <cellStyle name="Milliers 2 2 3 3 2 2 9" xfId="10716"/>
    <cellStyle name="Milliers 2 2 3 3 2 3" xfId="10717"/>
    <cellStyle name="Milliers 2 2 3 3 2 3 2" xfId="10718"/>
    <cellStyle name="Milliers 2 2 3 3 2 3 2 2" xfId="10719"/>
    <cellStyle name="Milliers 2 2 3 3 2 3 2 2 2" xfId="10720"/>
    <cellStyle name="Milliers 2 2 3 3 2 3 2 2 2 2" xfId="10721"/>
    <cellStyle name="Milliers 2 2 3 3 2 3 2 2 2 2 2" xfId="10722"/>
    <cellStyle name="Milliers 2 2 3 3 2 3 2 2 2 2 2 2" xfId="10723"/>
    <cellStyle name="Milliers 2 2 3 3 2 3 2 2 2 2 2 2 2" xfId="10724"/>
    <cellStyle name="Milliers 2 2 3 3 2 3 2 2 2 2 2 3" xfId="10725"/>
    <cellStyle name="Milliers 2 2 3 3 2 3 2 2 2 2 3" xfId="10726"/>
    <cellStyle name="Milliers 2 2 3 3 2 3 2 2 2 2 3 2" xfId="10727"/>
    <cellStyle name="Milliers 2 2 3 3 2 3 2 2 2 2 4" xfId="10728"/>
    <cellStyle name="Milliers 2 2 3 3 2 3 2 2 2 3" xfId="10729"/>
    <cellStyle name="Milliers 2 2 3 3 2 3 2 2 2 3 2" xfId="10730"/>
    <cellStyle name="Milliers 2 2 3 3 2 3 2 2 2 3 2 2" xfId="10731"/>
    <cellStyle name="Milliers 2 2 3 3 2 3 2 2 2 3 3" xfId="10732"/>
    <cellStyle name="Milliers 2 2 3 3 2 3 2 2 2 4" xfId="10733"/>
    <cellStyle name="Milliers 2 2 3 3 2 3 2 2 2 4 2" xfId="10734"/>
    <cellStyle name="Milliers 2 2 3 3 2 3 2 2 2 5" xfId="10735"/>
    <cellStyle name="Milliers 2 2 3 3 2 3 2 2 3" xfId="10736"/>
    <cellStyle name="Milliers 2 2 3 3 2 3 2 2 3 2" xfId="10737"/>
    <cellStyle name="Milliers 2 2 3 3 2 3 2 2 3 2 2" xfId="10738"/>
    <cellStyle name="Milliers 2 2 3 3 2 3 2 2 3 2 2 2" xfId="10739"/>
    <cellStyle name="Milliers 2 2 3 3 2 3 2 2 3 2 3" xfId="10740"/>
    <cellStyle name="Milliers 2 2 3 3 2 3 2 2 3 3" xfId="10741"/>
    <cellStyle name="Milliers 2 2 3 3 2 3 2 2 3 3 2" xfId="10742"/>
    <cellStyle name="Milliers 2 2 3 3 2 3 2 2 3 4" xfId="10743"/>
    <cellStyle name="Milliers 2 2 3 3 2 3 2 2 4" xfId="10744"/>
    <cellStyle name="Milliers 2 2 3 3 2 3 2 2 4 2" xfId="10745"/>
    <cellStyle name="Milliers 2 2 3 3 2 3 2 2 4 2 2" xfId="10746"/>
    <cellStyle name="Milliers 2 2 3 3 2 3 2 2 4 3" xfId="10747"/>
    <cellStyle name="Milliers 2 2 3 3 2 3 2 2 5" xfId="10748"/>
    <cellStyle name="Milliers 2 2 3 3 2 3 2 2 5 2" xfId="10749"/>
    <cellStyle name="Milliers 2 2 3 3 2 3 2 2 6" xfId="10750"/>
    <cellStyle name="Milliers 2 2 3 3 2 3 2 3" xfId="10751"/>
    <cellStyle name="Milliers 2 2 3 3 2 3 2 3 2" xfId="10752"/>
    <cellStyle name="Milliers 2 2 3 3 2 3 2 3 2 2" xfId="10753"/>
    <cellStyle name="Milliers 2 2 3 3 2 3 2 3 2 2 2" xfId="10754"/>
    <cellStyle name="Milliers 2 2 3 3 2 3 2 3 2 2 2 2" xfId="10755"/>
    <cellStyle name="Milliers 2 2 3 3 2 3 2 3 2 2 3" xfId="10756"/>
    <cellStyle name="Milliers 2 2 3 3 2 3 2 3 2 3" xfId="10757"/>
    <cellStyle name="Milliers 2 2 3 3 2 3 2 3 2 3 2" xfId="10758"/>
    <cellStyle name="Milliers 2 2 3 3 2 3 2 3 2 4" xfId="10759"/>
    <cellStyle name="Milliers 2 2 3 3 2 3 2 3 3" xfId="10760"/>
    <cellStyle name="Milliers 2 2 3 3 2 3 2 3 3 2" xfId="10761"/>
    <cellStyle name="Milliers 2 2 3 3 2 3 2 3 3 2 2" xfId="10762"/>
    <cellStyle name="Milliers 2 2 3 3 2 3 2 3 3 3" xfId="10763"/>
    <cellStyle name="Milliers 2 2 3 3 2 3 2 3 4" xfId="10764"/>
    <cellStyle name="Milliers 2 2 3 3 2 3 2 3 4 2" xfId="10765"/>
    <cellStyle name="Milliers 2 2 3 3 2 3 2 3 5" xfId="10766"/>
    <cellStyle name="Milliers 2 2 3 3 2 3 2 4" xfId="10767"/>
    <cellStyle name="Milliers 2 2 3 3 2 3 2 4 2" xfId="10768"/>
    <cellStyle name="Milliers 2 2 3 3 2 3 2 4 2 2" xfId="10769"/>
    <cellStyle name="Milliers 2 2 3 3 2 3 2 4 2 2 2" xfId="10770"/>
    <cellStyle name="Milliers 2 2 3 3 2 3 2 4 2 3" xfId="10771"/>
    <cellStyle name="Milliers 2 2 3 3 2 3 2 4 3" xfId="10772"/>
    <cellStyle name="Milliers 2 2 3 3 2 3 2 4 3 2" xfId="10773"/>
    <cellStyle name="Milliers 2 2 3 3 2 3 2 4 4" xfId="10774"/>
    <cellStyle name="Milliers 2 2 3 3 2 3 2 5" xfId="10775"/>
    <cellStyle name="Milliers 2 2 3 3 2 3 2 5 2" xfId="10776"/>
    <cellStyle name="Milliers 2 2 3 3 2 3 2 5 2 2" xfId="10777"/>
    <cellStyle name="Milliers 2 2 3 3 2 3 2 5 3" xfId="10778"/>
    <cellStyle name="Milliers 2 2 3 3 2 3 2 6" xfId="10779"/>
    <cellStyle name="Milliers 2 2 3 3 2 3 2 6 2" xfId="10780"/>
    <cellStyle name="Milliers 2 2 3 3 2 3 2 7" xfId="10781"/>
    <cellStyle name="Milliers 2 2 3 3 2 3 3" xfId="10782"/>
    <cellStyle name="Milliers 2 2 3 3 2 3 3 2" xfId="10783"/>
    <cellStyle name="Milliers 2 2 3 3 2 3 3 2 2" xfId="10784"/>
    <cellStyle name="Milliers 2 2 3 3 2 3 3 2 2 2" xfId="10785"/>
    <cellStyle name="Milliers 2 2 3 3 2 3 3 2 2 2 2" xfId="10786"/>
    <cellStyle name="Milliers 2 2 3 3 2 3 3 2 2 2 2 2" xfId="10787"/>
    <cellStyle name="Milliers 2 2 3 3 2 3 3 2 2 2 3" xfId="10788"/>
    <cellStyle name="Milliers 2 2 3 3 2 3 3 2 2 3" xfId="10789"/>
    <cellStyle name="Milliers 2 2 3 3 2 3 3 2 2 3 2" xfId="10790"/>
    <cellStyle name="Milliers 2 2 3 3 2 3 3 2 2 4" xfId="10791"/>
    <cellStyle name="Milliers 2 2 3 3 2 3 3 2 3" xfId="10792"/>
    <cellStyle name="Milliers 2 2 3 3 2 3 3 2 3 2" xfId="10793"/>
    <cellStyle name="Milliers 2 2 3 3 2 3 3 2 3 2 2" xfId="10794"/>
    <cellStyle name="Milliers 2 2 3 3 2 3 3 2 3 3" xfId="10795"/>
    <cellStyle name="Milliers 2 2 3 3 2 3 3 2 4" xfId="10796"/>
    <cellStyle name="Milliers 2 2 3 3 2 3 3 2 4 2" xfId="10797"/>
    <cellStyle name="Milliers 2 2 3 3 2 3 3 2 5" xfId="10798"/>
    <cellStyle name="Milliers 2 2 3 3 2 3 3 3" xfId="10799"/>
    <cellStyle name="Milliers 2 2 3 3 2 3 3 3 2" xfId="10800"/>
    <cellStyle name="Milliers 2 2 3 3 2 3 3 3 2 2" xfId="10801"/>
    <cellStyle name="Milliers 2 2 3 3 2 3 3 3 2 2 2" xfId="10802"/>
    <cellStyle name="Milliers 2 2 3 3 2 3 3 3 2 3" xfId="10803"/>
    <cellStyle name="Milliers 2 2 3 3 2 3 3 3 3" xfId="10804"/>
    <cellStyle name="Milliers 2 2 3 3 2 3 3 3 3 2" xfId="10805"/>
    <cellStyle name="Milliers 2 2 3 3 2 3 3 3 4" xfId="10806"/>
    <cellStyle name="Milliers 2 2 3 3 2 3 3 4" xfId="10807"/>
    <cellStyle name="Milliers 2 2 3 3 2 3 3 4 2" xfId="10808"/>
    <cellStyle name="Milliers 2 2 3 3 2 3 3 4 2 2" xfId="10809"/>
    <cellStyle name="Milliers 2 2 3 3 2 3 3 4 3" xfId="10810"/>
    <cellStyle name="Milliers 2 2 3 3 2 3 3 5" xfId="10811"/>
    <cellStyle name="Milliers 2 2 3 3 2 3 3 5 2" xfId="10812"/>
    <cellStyle name="Milliers 2 2 3 3 2 3 3 6" xfId="10813"/>
    <cellStyle name="Milliers 2 2 3 3 2 3 4" xfId="10814"/>
    <cellStyle name="Milliers 2 2 3 3 2 3 4 2" xfId="10815"/>
    <cellStyle name="Milliers 2 2 3 3 2 3 4 2 2" xfId="10816"/>
    <cellStyle name="Milliers 2 2 3 3 2 3 4 2 2 2" xfId="10817"/>
    <cellStyle name="Milliers 2 2 3 3 2 3 4 2 2 2 2" xfId="10818"/>
    <cellStyle name="Milliers 2 2 3 3 2 3 4 2 2 3" xfId="10819"/>
    <cellStyle name="Milliers 2 2 3 3 2 3 4 2 3" xfId="10820"/>
    <cellStyle name="Milliers 2 2 3 3 2 3 4 2 3 2" xfId="10821"/>
    <cellStyle name="Milliers 2 2 3 3 2 3 4 2 4" xfId="10822"/>
    <cellStyle name="Milliers 2 2 3 3 2 3 4 3" xfId="10823"/>
    <cellStyle name="Milliers 2 2 3 3 2 3 4 3 2" xfId="10824"/>
    <cellStyle name="Milliers 2 2 3 3 2 3 4 3 2 2" xfId="10825"/>
    <cellStyle name="Milliers 2 2 3 3 2 3 4 3 3" xfId="10826"/>
    <cellStyle name="Milliers 2 2 3 3 2 3 4 4" xfId="10827"/>
    <cellStyle name="Milliers 2 2 3 3 2 3 4 4 2" xfId="10828"/>
    <cellStyle name="Milliers 2 2 3 3 2 3 4 5" xfId="10829"/>
    <cellStyle name="Milliers 2 2 3 3 2 3 5" xfId="10830"/>
    <cellStyle name="Milliers 2 2 3 3 2 3 5 2" xfId="10831"/>
    <cellStyle name="Milliers 2 2 3 3 2 3 5 2 2" xfId="10832"/>
    <cellStyle name="Milliers 2 2 3 3 2 3 5 2 2 2" xfId="10833"/>
    <cellStyle name="Milliers 2 2 3 3 2 3 5 2 3" xfId="10834"/>
    <cellStyle name="Milliers 2 2 3 3 2 3 5 3" xfId="10835"/>
    <cellStyle name="Milliers 2 2 3 3 2 3 5 3 2" xfId="10836"/>
    <cellStyle name="Milliers 2 2 3 3 2 3 5 4" xfId="10837"/>
    <cellStyle name="Milliers 2 2 3 3 2 3 6" xfId="10838"/>
    <cellStyle name="Milliers 2 2 3 3 2 3 6 2" xfId="10839"/>
    <cellStyle name="Milliers 2 2 3 3 2 3 6 2 2" xfId="10840"/>
    <cellStyle name="Milliers 2 2 3 3 2 3 6 3" xfId="10841"/>
    <cellStyle name="Milliers 2 2 3 3 2 3 7" xfId="10842"/>
    <cellStyle name="Milliers 2 2 3 3 2 3 7 2" xfId="10843"/>
    <cellStyle name="Milliers 2 2 3 3 2 3 8" xfId="10844"/>
    <cellStyle name="Milliers 2 2 3 3 2 4" xfId="10845"/>
    <cellStyle name="Milliers 2 2 3 3 2 4 2" xfId="10846"/>
    <cellStyle name="Milliers 2 2 3 3 2 4 2 2" xfId="10847"/>
    <cellStyle name="Milliers 2 2 3 3 2 4 2 2 2" xfId="10848"/>
    <cellStyle name="Milliers 2 2 3 3 2 4 2 2 2 2" xfId="10849"/>
    <cellStyle name="Milliers 2 2 3 3 2 4 2 2 2 2 2" xfId="10850"/>
    <cellStyle name="Milliers 2 2 3 3 2 4 2 2 2 2 2 2" xfId="10851"/>
    <cellStyle name="Milliers 2 2 3 3 2 4 2 2 2 2 3" xfId="10852"/>
    <cellStyle name="Milliers 2 2 3 3 2 4 2 2 2 3" xfId="10853"/>
    <cellStyle name="Milliers 2 2 3 3 2 4 2 2 2 3 2" xfId="10854"/>
    <cellStyle name="Milliers 2 2 3 3 2 4 2 2 2 4" xfId="10855"/>
    <cellStyle name="Milliers 2 2 3 3 2 4 2 2 3" xfId="10856"/>
    <cellStyle name="Milliers 2 2 3 3 2 4 2 2 3 2" xfId="10857"/>
    <cellStyle name="Milliers 2 2 3 3 2 4 2 2 3 2 2" xfId="10858"/>
    <cellStyle name="Milliers 2 2 3 3 2 4 2 2 3 3" xfId="10859"/>
    <cellStyle name="Milliers 2 2 3 3 2 4 2 2 4" xfId="10860"/>
    <cellStyle name="Milliers 2 2 3 3 2 4 2 2 4 2" xfId="10861"/>
    <cellStyle name="Milliers 2 2 3 3 2 4 2 2 5" xfId="10862"/>
    <cellStyle name="Milliers 2 2 3 3 2 4 2 3" xfId="10863"/>
    <cellStyle name="Milliers 2 2 3 3 2 4 2 3 2" xfId="10864"/>
    <cellStyle name="Milliers 2 2 3 3 2 4 2 3 2 2" xfId="10865"/>
    <cellStyle name="Milliers 2 2 3 3 2 4 2 3 2 2 2" xfId="10866"/>
    <cellStyle name="Milliers 2 2 3 3 2 4 2 3 2 3" xfId="10867"/>
    <cellStyle name="Milliers 2 2 3 3 2 4 2 3 3" xfId="10868"/>
    <cellStyle name="Milliers 2 2 3 3 2 4 2 3 3 2" xfId="10869"/>
    <cellStyle name="Milliers 2 2 3 3 2 4 2 3 4" xfId="10870"/>
    <cellStyle name="Milliers 2 2 3 3 2 4 2 4" xfId="10871"/>
    <cellStyle name="Milliers 2 2 3 3 2 4 2 4 2" xfId="10872"/>
    <cellStyle name="Milliers 2 2 3 3 2 4 2 4 2 2" xfId="10873"/>
    <cellStyle name="Milliers 2 2 3 3 2 4 2 4 3" xfId="10874"/>
    <cellStyle name="Milliers 2 2 3 3 2 4 2 5" xfId="10875"/>
    <cellStyle name="Milliers 2 2 3 3 2 4 2 5 2" xfId="10876"/>
    <cellStyle name="Milliers 2 2 3 3 2 4 2 6" xfId="10877"/>
    <cellStyle name="Milliers 2 2 3 3 2 4 3" xfId="10878"/>
    <cellStyle name="Milliers 2 2 3 3 2 4 3 2" xfId="10879"/>
    <cellStyle name="Milliers 2 2 3 3 2 4 3 2 2" xfId="10880"/>
    <cellStyle name="Milliers 2 2 3 3 2 4 3 2 2 2" xfId="10881"/>
    <cellStyle name="Milliers 2 2 3 3 2 4 3 2 2 2 2" xfId="10882"/>
    <cellStyle name="Milliers 2 2 3 3 2 4 3 2 2 3" xfId="10883"/>
    <cellStyle name="Milliers 2 2 3 3 2 4 3 2 3" xfId="10884"/>
    <cellStyle name="Milliers 2 2 3 3 2 4 3 2 3 2" xfId="10885"/>
    <cellStyle name="Milliers 2 2 3 3 2 4 3 2 4" xfId="10886"/>
    <cellStyle name="Milliers 2 2 3 3 2 4 3 3" xfId="10887"/>
    <cellStyle name="Milliers 2 2 3 3 2 4 3 3 2" xfId="10888"/>
    <cellStyle name="Milliers 2 2 3 3 2 4 3 3 2 2" xfId="10889"/>
    <cellStyle name="Milliers 2 2 3 3 2 4 3 3 3" xfId="10890"/>
    <cellStyle name="Milliers 2 2 3 3 2 4 3 4" xfId="10891"/>
    <cellStyle name="Milliers 2 2 3 3 2 4 3 4 2" xfId="10892"/>
    <cellStyle name="Milliers 2 2 3 3 2 4 3 5" xfId="10893"/>
    <cellStyle name="Milliers 2 2 3 3 2 4 4" xfId="10894"/>
    <cellStyle name="Milliers 2 2 3 3 2 4 4 2" xfId="10895"/>
    <cellStyle name="Milliers 2 2 3 3 2 4 4 2 2" xfId="10896"/>
    <cellStyle name="Milliers 2 2 3 3 2 4 4 2 2 2" xfId="10897"/>
    <cellStyle name="Milliers 2 2 3 3 2 4 4 2 3" xfId="10898"/>
    <cellStyle name="Milliers 2 2 3 3 2 4 4 3" xfId="10899"/>
    <cellStyle name="Milliers 2 2 3 3 2 4 4 3 2" xfId="10900"/>
    <cellStyle name="Milliers 2 2 3 3 2 4 4 4" xfId="10901"/>
    <cellStyle name="Milliers 2 2 3 3 2 4 5" xfId="10902"/>
    <cellStyle name="Milliers 2 2 3 3 2 4 5 2" xfId="10903"/>
    <cellStyle name="Milliers 2 2 3 3 2 4 5 2 2" xfId="10904"/>
    <cellStyle name="Milliers 2 2 3 3 2 4 5 3" xfId="10905"/>
    <cellStyle name="Milliers 2 2 3 3 2 4 6" xfId="10906"/>
    <cellStyle name="Milliers 2 2 3 3 2 4 6 2" xfId="10907"/>
    <cellStyle name="Milliers 2 2 3 3 2 4 7" xfId="10908"/>
    <cellStyle name="Milliers 2 2 3 3 2 5" xfId="10909"/>
    <cellStyle name="Milliers 2 2 3 3 2 5 2" xfId="10910"/>
    <cellStyle name="Milliers 2 2 3 3 2 5 2 2" xfId="10911"/>
    <cellStyle name="Milliers 2 2 3 3 2 5 2 2 2" xfId="10912"/>
    <cellStyle name="Milliers 2 2 3 3 2 5 2 2 2 2" xfId="10913"/>
    <cellStyle name="Milliers 2 2 3 3 2 5 2 2 2 2 2" xfId="10914"/>
    <cellStyle name="Milliers 2 2 3 3 2 5 2 2 2 3" xfId="10915"/>
    <cellStyle name="Milliers 2 2 3 3 2 5 2 2 3" xfId="10916"/>
    <cellStyle name="Milliers 2 2 3 3 2 5 2 2 3 2" xfId="10917"/>
    <cellStyle name="Milliers 2 2 3 3 2 5 2 2 4" xfId="10918"/>
    <cellStyle name="Milliers 2 2 3 3 2 5 2 3" xfId="10919"/>
    <cellStyle name="Milliers 2 2 3 3 2 5 2 3 2" xfId="10920"/>
    <cellStyle name="Milliers 2 2 3 3 2 5 2 3 2 2" xfId="10921"/>
    <cellStyle name="Milliers 2 2 3 3 2 5 2 3 3" xfId="10922"/>
    <cellStyle name="Milliers 2 2 3 3 2 5 2 4" xfId="10923"/>
    <cellStyle name="Milliers 2 2 3 3 2 5 2 4 2" xfId="10924"/>
    <cellStyle name="Milliers 2 2 3 3 2 5 2 5" xfId="10925"/>
    <cellStyle name="Milliers 2 2 3 3 2 5 3" xfId="10926"/>
    <cellStyle name="Milliers 2 2 3 3 2 5 3 2" xfId="10927"/>
    <cellStyle name="Milliers 2 2 3 3 2 5 3 2 2" xfId="10928"/>
    <cellStyle name="Milliers 2 2 3 3 2 5 3 2 2 2" xfId="10929"/>
    <cellStyle name="Milliers 2 2 3 3 2 5 3 2 3" xfId="10930"/>
    <cellStyle name="Milliers 2 2 3 3 2 5 3 3" xfId="10931"/>
    <cellStyle name="Milliers 2 2 3 3 2 5 3 3 2" xfId="10932"/>
    <cellStyle name="Milliers 2 2 3 3 2 5 3 4" xfId="10933"/>
    <cellStyle name="Milliers 2 2 3 3 2 5 4" xfId="10934"/>
    <cellStyle name="Milliers 2 2 3 3 2 5 4 2" xfId="10935"/>
    <cellStyle name="Milliers 2 2 3 3 2 5 4 2 2" xfId="10936"/>
    <cellStyle name="Milliers 2 2 3 3 2 5 4 3" xfId="10937"/>
    <cellStyle name="Milliers 2 2 3 3 2 5 5" xfId="10938"/>
    <cellStyle name="Milliers 2 2 3 3 2 5 5 2" xfId="10939"/>
    <cellStyle name="Milliers 2 2 3 3 2 5 6" xfId="10940"/>
    <cellStyle name="Milliers 2 2 3 3 2 6" xfId="10941"/>
    <cellStyle name="Milliers 2 2 3 3 2 6 2" xfId="10942"/>
    <cellStyle name="Milliers 2 2 3 3 2 6 2 2" xfId="10943"/>
    <cellStyle name="Milliers 2 2 3 3 2 6 2 2 2" xfId="10944"/>
    <cellStyle name="Milliers 2 2 3 3 2 6 2 2 2 2" xfId="10945"/>
    <cellStyle name="Milliers 2 2 3 3 2 6 2 2 3" xfId="10946"/>
    <cellStyle name="Milliers 2 2 3 3 2 6 2 3" xfId="10947"/>
    <cellStyle name="Milliers 2 2 3 3 2 6 2 3 2" xfId="10948"/>
    <cellStyle name="Milliers 2 2 3 3 2 6 2 4" xfId="10949"/>
    <cellStyle name="Milliers 2 2 3 3 2 6 3" xfId="10950"/>
    <cellStyle name="Milliers 2 2 3 3 2 6 3 2" xfId="10951"/>
    <cellStyle name="Milliers 2 2 3 3 2 6 3 2 2" xfId="10952"/>
    <cellStyle name="Milliers 2 2 3 3 2 6 3 3" xfId="10953"/>
    <cellStyle name="Milliers 2 2 3 3 2 6 4" xfId="10954"/>
    <cellStyle name="Milliers 2 2 3 3 2 6 4 2" xfId="10955"/>
    <cellStyle name="Milliers 2 2 3 3 2 6 5" xfId="10956"/>
    <cellStyle name="Milliers 2 2 3 3 2 7" xfId="10957"/>
    <cellStyle name="Milliers 2 2 3 3 2 7 2" xfId="10958"/>
    <cellStyle name="Milliers 2 2 3 3 2 7 2 2" xfId="10959"/>
    <cellStyle name="Milliers 2 2 3 3 2 7 2 2 2" xfId="10960"/>
    <cellStyle name="Milliers 2 2 3 3 2 7 2 3" xfId="10961"/>
    <cellStyle name="Milliers 2 2 3 3 2 7 3" xfId="10962"/>
    <cellStyle name="Milliers 2 2 3 3 2 7 3 2" xfId="10963"/>
    <cellStyle name="Milliers 2 2 3 3 2 7 4" xfId="10964"/>
    <cellStyle name="Milliers 2 2 3 3 2 8" xfId="10965"/>
    <cellStyle name="Milliers 2 2 3 3 2 8 2" xfId="10966"/>
    <cellStyle name="Milliers 2 2 3 3 2 8 2 2" xfId="10967"/>
    <cellStyle name="Milliers 2 2 3 3 2 8 3" xfId="10968"/>
    <cellStyle name="Milliers 2 2 3 3 2 9" xfId="10969"/>
    <cellStyle name="Milliers 2 2 3 3 2 9 2" xfId="10970"/>
    <cellStyle name="Milliers 2 2 3 3 3" xfId="10971"/>
    <cellStyle name="Milliers 2 2 3 3 3 2" xfId="10972"/>
    <cellStyle name="Milliers 2 2 3 3 3 2 2" xfId="10973"/>
    <cellStyle name="Milliers 2 2 3 3 3 2 2 2" xfId="10974"/>
    <cellStyle name="Milliers 2 2 3 3 3 2 2 2 2" xfId="10975"/>
    <cellStyle name="Milliers 2 2 3 3 3 2 2 2 2 2" xfId="10976"/>
    <cellStyle name="Milliers 2 2 3 3 3 2 2 2 2 2 2" xfId="10977"/>
    <cellStyle name="Milliers 2 2 3 3 3 2 2 2 2 2 2 2" xfId="10978"/>
    <cellStyle name="Milliers 2 2 3 3 3 2 2 2 2 2 2 2 2" xfId="10979"/>
    <cellStyle name="Milliers 2 2 3 3 3 2 2 2 2 2 2 3" xfId="10980"/>
    <cellStyle name="Milliers 2 2 3 3 3 2 2 2 2 2 3" xfId="10981"/>
    <cellStyle name="Milliers 2 2 3 3 3 2 2 2 2 2 3 2" xfId="10982"/>
    <cellStyle name="Milliers 2 2 3 3 3 2 2 2 2 2 4" xfId="10983"/>
    <cellStyle name="Milliers 2 2 3 3 3 2 2 2 2 3" xfId="10984"/>
    <cellStyle name="Milliers 2 2 3 3 3 2 2 2 2 3 2" xfId="10985"/>
    <cellStyle name="Milliers 2 2 3 3 3 2 2 2 2 3 2 2" xfId="10986"/>
    <cellStyle name="Milliers 2 2 3 3 3 2 2 2 2 3 3" xfId="10987"/>
    <cellStyle name="Milliers 2 2 3 3 3 2 2 2 2 4" xfId="10988"/>
    <cellStyle name="Milliers 2 2 3 3 3 2 2 2 2 4 2" xfId="10989"/>
    <cellStyle name="Milliers 2 2 3 3 3 2 2 2 2 5" xfId="10990"/>
    <cellStyle name="Milliers 2 2 3 3 3 2 2 2 3" xfId="10991"/>
    <cellStyle name="Milliers 2 2 3 3 3 2 2 2 3 2" xfId="10992"/>
    <cellStyle name="Milliers 2 2 3 3 3 2 2 2 3 2 2" xfId="10993"/>
    <cellStyle name="Milliers 2 2 3 3 3 2 2 2 3 2 2 2" xfId="10994"/>
    <cellStyle name="Milliers 2 2 3 3 3 2 2 2 3 2 3" xfId="10995"/>
    <cellStyle name="Milliers 2 2 3 3 3 2 2 2 3 3" xfId="10996"/>
    <cellStyle name="Milliers 2 2 3 3 3 2 2 2 3 3 2" xfId="10997"/>
    <cellStyle name="Milliers 2 2 3 3 3 2 2 2 3 4" xfId="10998"/>
    <cellStyle name="Milliers 2 2 3 3 3 2 2 2 4" xfId="10999"/>
    <cellStyle name="Milliers 2 2 3 3 3 2 2 2 4 2" xfId="11000"/>
    <cellStyle name="Milliers 2 2 3 3 3 2 2 2 4 2 2" xfId="11001"/>
    <cellStyle name="Milliers 2 2 3 3 3 2 2 2 4 3" xfId="11002"/>
    <cellStyle name="Milliers 2 2 3 3 3 2 2 2 5" xfId="11003"/>
    <cellStyle name="Milliers 2 2 3 3 3 2 2 2 5 2" xfId="11004"/>
    <cellStyle name="Milliers 2 2 3 3 3 2 2 2 6" xfId="11005"/>
    <cellStyle name="Milliers 2 2 3 3 3 2 2 3" xfId="11006"/>
    <cellStyle name="Milliers 2 2 3 3 3 2 2 3 2" xfId="11007"/>
    <cellStyle name="Milliers 2 2 3 3 3 2 2 3 2 2" xfId="11008"/>
    <cellStyle name="Milliers 2 2 3 3 3 2 2 3 2 2 2" xfId="11009"/>
    <cellStyle name="Milliers 2 2 3 3 3 2 2 3 2 2 2 2" xfId="11010"/>
    <cellStyle name="Milliers 2 2 3 3 3 2 2 3 2 2 3" xfId="11011"/>
    <cellStyle name="Milliers 2 2 3 3 3 2 2 3 2 3" xfId="11012"/>
    <cellStyle name="Milliers 2 2 3 3 3 2 2 3 2 3 2" xfId="11013"/>
    <cellStyle name="Milliers 2 2 3 3 3 2 2 3 2 4" xfId="11014"/>
    <cellStyle name="Milliers 2 2 3 3 3 2 2 3 3" xfId="11015"/>
    <cellStyle name="Milliers 2 2 3 3 3 2 2 3 3 2" xfId="11016"/>
    <cellStyle name="Milliers 2 2 3 3 3 2 2 3 3 2 2" xfId="11017"/>
    <cellStyle name="Milliers 2 2 3 3 3 2 2 3 3 3" xfId="11018"/>
    <cellStyle name="Milliers 2 2 3 3 3 2 2 3 4" xfId="11019"/>
    <cellStyle name="Milliers 2 2 3 3 3 2 2 3 4 2" xfId="11020"/>
    <cellStyle name="Milliers 2 2 3 3 3 2 2 3 5" xfId="11021"/>
    <cellStyle name="Milliers 2 2 3 3 3 2 2 4" xfId="11022"/>
    <cellStyle name="Milliers 2 2 3 3 3 2 2 4 2" xfId="11023"/>
    <cellStyle name="Milliers 2 2 3 3 3 2 2 4 2 2" xfId="11024"/>
    <cellStyle name="Milliers 2 2 3 3 3 2 2 4 2 2 2" xfId="11025"/>
    <cellStyle name="Milliers 2 2 3 3 3 2 2 4 2 3" xfId="11026"/>
    <cellStyle name="Milliers 2 2 3 3 3 2 2 4 3" xfId="11027"/>
    <cellStyle name="Milliers 2 2 3 3 3 2 2 4 3 2" xfId="11028"/>
    <cellStyle name="Milliers 2 2 3 3 3 2 2 4 4" xfId="11029"/>
    <cellStyle name="Milliers 2 2 3 3 3 2 2 5" xfId="11030"/>
    <cellStyle name="Milliers 2 2 3 3 3 2 2 5 2" xfId="11031"/>
    <cellStyle name="Milliers 2 2 3 3 3 2 2 5 2 2" xfId="11032"/>
    <cellStyle name="Milliers 2 2 3 3 3 2 2 5 3" xfId="11033"/>
    <cellStyle name="Milliers 2 2 3 3 3 2 2 6" xfId="11034"/>
    <cellStyle name="Milliers 2 2 3 3 3 2 2 6 2" xfId="11035"/>
    <cellStyle name="Milliers 2 2 3 3 3 2 2 7" xfId="11036"/>
    <cellStyle name="Milliers 2 2 3 3 3 2 3" xfId="11037"/>
    <cellStyle name="Milliers 2 2 3 3 3 2 3 2" xfId="11038"/>
    <cellStyle name="Milliers 2 2 3 3 3 2 3 2 2" xfId="11039"/>
    <cellStyle name="Milliers 2 2 3 3 3 2 3 2 2 2" xfId="11040"/>
    <cellStyle name="Milliers 2 2 3 3 3 2 3 2 2 2 2" xfId="11041"/>
    <cellStyle name="Milliers 2 2 3 3 3 2 3 2 2 2 2 2" xfId="11042"/>
    <cellStyle name="Milliers 2 2 3 3 3 2 3 2 2 2 3" xfId="11043"/>
    <cellStyle name="Milliers 2 2 3 3 3 2 3 2 2 3" xfId="11044"/>
    <cellStyle name="Milliers 2 2 3 3 3 2 3 2 2 3 2" xfId="11045"/>
    <cellStyle name="Milliers 2 2 3 3 3 2 3 2 2 4" xfId="11046"/>
    <cellStyle name="Milliers 2 2 3 3 3 2 3 2 3" xfId="11047"/>
    <cellStyle name="Milliers 2 2 3 3 3 2 3 2 3 2" xfId="11048"/>
    <cellStyle name="Milliers 2 2 3 3 3 2 3 2 3 2 2" xfId="11049"/>
    <cellStyle name="Milliers 2 2 3 3 3 2 3 2 3 3" xfId="11050"/>
    <cellStyle name="Milliers 2 2 3 3 3 2 3 2 4" xfId="11051"/>
    <cellStyle name="Milliers 2 2 3 3 3 2 3 2 4 2" xfId="11052"/>
    <cellStyle name="Milliers 2 2 3 3 3 2 3 2 5" xfId="11053"/>
    <cellStyle name="Milliers 2 2 3 3 3 2 3 3" xfId="11054"/>
    <cellStyle name="Milliers 2 2 3 3 3 2 3 3 2" xfId="11055"/>
    <cellStyle name="Milliers 2 2 3 3 3 2 3 3 2 2" xfId="11056"/>
    <cellStyle name="Milliers 2 2 3 3 3 2 3 3 2 2 2" xfId="11057"/>
    <cellStyle name="Milliers 2 2 3 3 3 2 3 3 2 3" xfId="11058"/>
    <cellStyle name="Milliers 2 2 3 3 3 2 3 3 3" xfId="11059"/>
    <cellStyle name="Milliers 2 2 3 3 3 2 3 3 3 2" xfId="11060"/>
    <cellStyle name="Milliers 2 2 3 3 3 2 3 3 4" xfId="11061"/>
    <cellStyle name="Milliers 2 2 3 3 3 2 3 4" xfId="11062"/>
    <cellStyle name="Milliers 2 2 3 3 3 2 3 4 2" xfId="11063"/>
    <cellStyle name="Milliers 2 2 3 3 3 2 3 4 2 2" xfId="11064"/>
    <cellStyle name="Milliers 2 2 3 3 3 2 3 4 3" xfId="11065"/>
    <cellStyle name="Milliers 2 2 3 3 3 2 3 5" xfId="11066"/>
    <cellStyle name="Milliers 2 2 3 3 3 2 3 5 2" xfId="11067"/>
    <cellStyle name="Milliers 2 2 3 3 3 2 3 6" xfId="11068"/>
    <cellStyle name="Milliers 2 2 3 3 3 2 4" xfId="11069"/>
    <cellStyle name="Milliers 2 2 3 3 3 2 4 2" xfId="11070"/>
    <cellStyle name="Milliers 2 2 3 3 3 2 4 2 2" xfId="11071"/>
    <cellStyle name="Milliers 2 2 3 3 3 2 4 2 2 2" xfId="11072"/>
    <cellStyle name="Milliers 2 2 3 3 3 2 4 2 2 2 2" xfId="11073"/>
    <cellStyle name="Milliers 2 2 3 3 3 2 4 2 2 3" xfId="11074"/>
    <cellStyle name="Milliers 2 2 3 3 3 2 4 2 3" xfId="11075"/>
    <cellStyle name="Milliers 2 2 3 3 3 2 4 2 3 2" xfId="11076"/>
    <cellStyle name="Milliers 2 2 3 3 3 2 4 2 4" xfId="11077"/>
    <cellStyle name="Milliers 2 2 3 3 3 2 4 3" xfId="11078"/>
    <cellStyle name="Milliers 2 2 3 3 3 2 4 3 2" xfId="11079"/>
    <cellStyle name="Milliers 2 2 3 3 3 2 4 3 2 2" xfId="11080"/>
    <cellStyle name="Milliers 2 2 3 3 3 2 4 3 3" xfId="11081"/>
    <cellStyle name="Milliers 2 2 3 3 3 2 4 4" xfId="11082"/>
    <cellStyle name="Milliers 2 2 3 3 3 2 4 4 2" xfId="11083"/>
    <cellStyle name="Milliers 2 2 3 3 3 2 4 5" xfId="11084"/>
    <cellStyle name="Milliers 2 2 3 3 3 2 5" xfId="11085"/>
    <cellStyle name="Milliers 2 2 3 3 3 2 5 2" xfId="11086"/>
    <cellStyle name="Milliers 2 2 3 3 3 2 5 2 2" xfId="11087"/>
    <cellStyle name="Milliers 2 2 3 3 3 2 5 2 2 2" xfId="11088"/>
    <cellStyle name="Milliers 2 2 3 3 3 2 5 2 3" xfId="11089"/>
    <cellStyle name="Milliers 2 2 3 3 3 2 5 3" xfId="11090"/>
    <cellStyle name="Milliers 2 2 3 3 3 2 5 3 2" xfId="11091"/>
    <cellStyle name="Milliers 2 2 3 3 3 2 5 4" xfId="11092"/>
    <cellStyle name="Milliers 2 2 3 3 3 2 6" xfId="11093"/>
    <cellStyle name="Milliers 2 2 3 3 3 2 6 2" xfId="11094"/>
    <cellStyle name="Milliers 2 2 3 3 3 2 6 2 2" xfId="11095"/>
    <cellStyle name="Milliers 2 2 3 3 3 2 6 3" xfId="11096"/>
    <cellStyle name="Milliers 2 2 3 3 3 2 7" xfId="11097"/>
    <cellStyle name="Milliers 2 2 3 3 3 2 7 2" xfId="11098"/>
    <cellStyle name="Milliers 2 2 3 3 3 2 8" xfId="11099"/>
    <cellStyle name="Milliers 2 2 3 3 3 3" xfId="11100"/>
    <cellStyle name="Milliers 2 2 3 3 3 3 2" xfId="11101"/>
    <cellStyle name="Milliers 2 2 3 3 3 3 2 2" xfId="11102"/>
    <cellStyle name="Milliers 2 2 3 3 3 3 2 2 2" xfId="11103"/>
    <cellStyle name="Milliers 2 2 3 3 3 3 2 2 2 2" xfId="11104"/>
    <cellStyle name="Milliers 2 2 3 3 3 3 2 2 2 2 2" xfId="11105"/>
    <cellStyle name="Milliers 2 2 3 3 3 3 2 2 2 2 2 2" xfId="11106"/>
    <cellStyle name="Milliers 2 2 3 3 3 3 2 2 2 2 3" xfId="11107"/>
    <cellStyle name="Milliers 2 2 3 3 3 3 2 2 2 3" xfId="11108"/>
    <cellStyle name="Milliers 2 2 3 3 3 3 2 2 2 3 2" xfId="11109"/>
    <cellStyle name="Milliers 2 2 3 3 3 3 2 2 2 4" xfId="11110"/>
    <cellStyle name="Milliers 2 2 3 3 3 3 2 2 3" xfId="11111"/>
    <cellStyle name="Milliers 2 2 3 3 3 3 2 2 3 2" xfId="11112"/>
    <cellStyle name="Milliers 2 2 3 3 3 3 2 2 3 2 2" xfId="11113"/>
    <cellStyle name="Milliers 2 2 3 3 3 3 2 2 3 3" xfId="11114"/>
    <cellStyle name="Milliers 2 2 3 3 3 3 2 2 4" xfId="11115"/>
    <cellStyle name="Milliers 2 2 3 3 3 3 2 2 4 2" xfId="11116"/>
    <cellStyle name="Milliers 2 2 3 3 3 3 2 2 5" xfId="11117"/>
    <cellStyle name="Milliers 2 2 3 3 3 3 2 3" xfId="11118"/>
    <cellStyle name="Milliers 2 2 3 3 3 3 2 3 2" xfId="11119"/>
    <cellStyle name="Milliers 2 2 3 3 3 3 2 3 2 2" xfId="11120"/>
    <cellStyle name="Milliers 2 2 3 3 3 3 2 3 2 2 2" xfId="11121"/>
    <cellStyle name="Milliers 2 2 3 3 3 3 2 3 2 3" xfId="11122"/>
    <cellStyle name="Milliers 2 2 3 3 3 3 2 3 3" xfId="11123"/>
    <cellStyle name="Milliers 2 2 3 3 3 3 2 3 3 2" xfId="11124"/>
    <cellStyle name="Milliers 2 2 3 3 3 3 2 3 4" xfId="11125"/>
    <cellStyle name="Milliers 2 2 3 3 3 3 2 4" xfId="11126"/>
    <cellStyle name="Milliers 2 2 3 3 3 3 2 4 2" xfId="11127"/>
    <cellStyle name="Milliers 2 2 3 3 3 3 2 4 2 2" xfId="11128"/>
    <cellStyle name="Milliers 2 2 3 3 3 3 2 4 3" xfId="11129"/>
    <cellStyle name="Milliers 2 2 3 3 3 3 2 5" xfId="11130"/>
    <cellStyle name="Milliers 2 2 3 3 3 3 2 5 2" xfId="11131"/>
    <cellStyle name="Milliers 2 2 3 3 3 3 2 6" xfId="11132"/>
    <cellStyle name="Milliers 2 2 3 3 3 3 3" xfId="11133"/>
    <cellStyle name="Milliers 2 2 3 3 3 3 3 2" xfId="11134"/>
    <cellStyle name="Milliers 2 2 3 3 3 3 3 2 2" xfId="11135"/>
    <cellStyle name="Milliers 2 2 3 3 3 3 3 2 2 2" xfId="11136"/>
    <cellStyle name="Milliers 2 2 3 3 3 3 3 2 2 2 2" xfId="11137"/>
    <cellStyle name="Milliers 2 2 3 3 3 3 3 2 2 3" xfId="11138"/>
    <cellStyle name="Milliers 2 2 3 3 3 3 3 2 3" xfId="11139"/>
    <cellStyle name="Milliers 2 2 3 3 3 3 3 2 3 2" xfId="11140"/>
    <cellStyle name="Milliers 2 2 3 3 3 3 3 2 4" xfId="11141"/>
    <cellStyle name="Milliers 2 2 3 3 3 3 3 3" xfId="11142"/>
    <cellStyle name="Milliers 2 2 3 3 3 3 3 3 2" xfId="11143"/>
    <cellStyle name="Milliers 2 2 3 3 3 3 3 3 2 2" xfId="11144"/>
    <cellStyle name="Milliers 2 2 3 3 3 3 3 3 3" xfId="11145"/>
    <cellStyle name="Milliers 2 2 3 3 3 3 3 4" xfId="11146"/>
    <cellStyle name="Milliers 2 2 3 3 3 3 3 4 2" xfId="11147"/>
    <cellStyle name="Milliers 2 2 3 3 3 3 3 5" xfId="11148"/>
    <cellStyle name="Milliers 2 2 3 3 3 3 4" xfId="11149"/>
    <cellStyle name="Milliers 2 2 3 3 3 3 4 2" xfId="11150"/>
    <cellStyle name="Milliers 2 2 3 3 3 3 4 2 2" xfId="11151"/>
    <cellStyle name="Milliers 2 2 3 3 3 3 4 2 2 2" xfId="11152"/>
    <cellStyle name="Milliers 2 2 3 3 3 3 4 2 3" xfId="11153"/>
    <cellStyle name="Milliers 2 2 3 3 3 3 4 3" xfId="11154"/>
    <cellStyle name="Milliers 2 2 3 3 3 3 4 3 2" xfId="11155"/>
    <cellStyle name="Milliers 2 2 3 3 3 3 4 4" xfId="11156"/>
    <cellStyle name="Milliers 2 2 3 3 3 3 5" xfId="11157"/>
    <cellStyle name="Milliers 2 2 3 3 3 3 5 2" xfId="11158"/>
    <cellStyle name="Milliers 2 2 3 3 3 3 5 2 2" xfId="11159"/>
    <cellStyle name="Milliers 2 2 3 3 3 3 5 3" xfId="11160"/>
    <cellStyle name="Milliers 2 2 3 3 3 3 6" xfId="11161"/>
    <cellStyle name="Milliers 2 2 3 3 3 3 6 2" xfId="11162"/>
    <cellStyle name="Milliers 2 2 3 3 3 3 7" xfId="11163"/>
    <cellStyle name="Milliers 2 2 3 3 3 4" xfId="11164"/>
    <cellStyle name="Milliers 2 2 3 3 3 4 2" xfId="11165"/>
    <cellStyle name="Milliers 2 2 3 3 3 4 2 2" xfId="11166"/>
    <cellStyle name="Milliers 2 2 3 3 3 4 2 2 2" xfId="11167"/>
    <cellStyle name="Milliers 2 2 3 3 3 4 2 2 2 2" xfId="11168"/>
    <cellStyle name="Milliers 2 2 3 3 3 4 2 2 2 2 2" xfId="11169"/>
    <cellStyle name="Milliers 2 2 3 3 3 4 2 2 2 3" xfId="11170"/>
    <cellStyle name="Milliers 2 2 3 3 3 4 2 2 3" xfId="11171"/>
    <cellStyle name="Milliers 2 2 3 3 3 4 2 2 3 2" xfId="11172"/>
    <cellStyle name="Milliers 2 2 3 3 3 4 2 2 4" xfId="11173"/>
    <cellStyle name="Milliers 2 2 3 3 3 4 2 3" xfId="11174"/>
    <cellStyle name="Milliers 2 2 3 3 3 4 2 3 2" xfId="11175"/>
    <cellStyle name="Milliers 2 2 3 3 3 4 2 3 2 2" xfId="11176"/>
    <cellStyle name="Milliers 2 2 3 3 3 4 2 3 3" xfId="11177"/>
    <cellStyle name="Milliers 2 2 3 3 3 4 2 4" xfId="11178"/>
    <cellStyle name="Milliers 2 2 3 3 3 4 2 4 2" xfId="11179"/>
    <cellStyle name="Milliers 2 2 3 3 3 4 2 5" xfId="11180"/>
    <cellStyle name="Milliers 2 2 3 3 3 4 3" xfId="11181"/>
    <cellStyle name="Milliers 2 2 3 3 3 4 3 2" xfId="11182"/>
    <cellStyle name="Milliers 2 2 3 3 3 4 3 2 2" xfId="11183"/>
    <cellStyle name="Milliers 2 2 3 3 3 4 3 2 2 2" xfId="11184"/>
    <cellStyle name="Milliers 2 2 3 3 3 4 3 2 3" xfId="11185"/>
    <cellStyle name="Milliers 2 2 3 3 3 4 3 3" xfId="11186"/>
    <cellStyle name="Milliers 2 2 3 3 3 4 3 3 2" xfId="11187"/>
    <cellStyle name="Milliers 2 2 3 3 3 4 3 4" xfId="11188"/>
    <cellStyle name="Milliers 2 2 3 3 3 4 4" xfId="11189"/>
    <cellStyle name="Milliers 2 2 3 3 3 4 4 2" xfId="11190"/>
    <cellStyle name="Milliers 2 2 3 3 3 4 4 2 2" xfId="11191"/>
    <cellStyle name="Milliers 2 2 3 3 3 4 4 3" xfId="11192"/>
    <cellStyle name="Milliers 2 2 3 3 3 4 5" xfId="11193"/>
    <cellStyle name="Milliers 2 2 3 3 3 4 5 2" xfId="11194"/>
    <cellStyle name="Milliers 2 2 3 3 3 4 6" xfId="11195"/>
    <cellStyle name="Milliers 2 2 3 3 3 5" xfId="11196"/>
    <cellStyle name="Milliers 2 2 3 3 3 5 2" xfId="11197"/>
    <cellStyle name="Milliers 2 2 3 3 3 5 2 2" xfId="11198"/>
    <cellStyle name="Milliers 2 2 3 3 3 5 2 2 2" xfId="11199"/>
    <cellStyle name="Milliers 2 2 3 3 3 5 2 2 2 2" xfId="11200"/>
    <cellStyle name="Milliers 2 2 3 3 3 5 2 2 3" xfId="11201"/>
    <cellStyle name="Milliers 2 2 3 3 3 5 2 3" xfId="11202"/>
    <cellStyle name="Milliers 2 2 3 3 3 5 2 3 2" xfId="11203"/>
    <cellStyle name="Milliers 2 2 3 3 3 5 2 4" xfId="11204"/>
    <cellStyle name="Milliers 2 2 3 3 3 5 3" xfId="11205"/>
    <cellStyle name="Milliers 2 2 3 3 3 5 3 2" xfId="11206"/>
    <cellStyle name="Milliers 2 2 3 3 3 5 3 2 2" xfId="11207"/>
    <cellStyle name="Milliers 2 2 3 3 3 5 3 3" xfId="11208"/>
    <cellStyle name="Milliers 2 2 3 3 3 5 4" xfId="11209"/>
    <cellStyle name="Milliers 2 2 3 3 3 5 4 2" xfId="11210"/>
    <cellStyle name="Milliers 2 2 3 3 3 5 5" xfId="11211"/>
    <cellStyle name="Milliers 2 2 3 3 3 6" xfId="11212"/>
    <cellStyle name="Milliers 2 2 3 3 3 6 2" xfId="11213"/>
    <cellStyle name="Milliers 2 2 3 3 3 6 2 2" xfId="11214"/>
    <cellStyle name="Milliers 2 2 3 3 3 6 2 2 2" xfId="11215"/>
    <cellStyle name="Milliers 2 2 3 3 3 6 2 3" xfId="11216"/>
    <cellStyle name="Milliers 2 2 3 3 3 6 3" xfId="11217"/>
    <cellStyle name="Milliers 2 2 3 3 3 6 3 2" xfId="11218"/>
    <cellStyle name="Milliers 2 2 3 3 3 6 4" xfId="11219"/>
    <cellStyle name="Milliers 2 2 3 3 3 7" xfId="11220"/>
    <cellStyle name="Milliers 2 2 3 3 3 7 2" xfId="11221"/>
    <cellStyle name="Milliers 2 2 3 3 3 7 2 2" xfId="11222"/>
    <cellStyle name="Milliers 2 2 3 3 3 7 3" xfId="11223"/>
    <cellStyle name="Milliers 2 2 3 3 3 8" xfId="11224"/>
    <cellStyle name="Milliers 2 2 3 3 3 8 2" xfId="11225"/>
    <cellStyle name="Milliers 2 2 3 3 3 9" xfId="11226"/>
    <cellStyle name="Milliers 2 2 3 3 4" xfId="11227"/>
    <cellStyle name="Milliers 2 2 3 3 4 2" xfId="11228"/>
    <cellStyle name="Milliers 2 2 3 3 4 2 2" xfId="11229"/>
    <cellStyle name="Milliers 2 2 3 3 4 2 2 2" xfId="11230"/>
    <cellStyle name="Milliers 2 2 3 3 4 2 2 2 2" xfId="11231"/>
    <cellStyle name="Milliers 2 2 3 3 4 2 2 2 2 2" xfId="11232"/>
    <cellStyle name="Milliers 2 2 3 3 4 2 2 2 2 2 2" xfId="11233"/>
    <cellStyle name="Milliers 2 2 3 3 4 2 2 2 2 2 2 2" xfId="11234"/>
    <cellStyle name="Milliers 2 2 3 3 4 2 2 2 2 2 3" xfId="11235"/>
    <cellStyle name="Milliers 2 2 3 3 4 2 2 2 2 3" xfId="11236"/>
    <cellStyle name="Milliers 2 2 3 3 4 2 2 2 2 3 2" xfId="11237"/>
    <cellStyle name="Milliers 2 2 3 3 4 2 2 2 2 4" xfId="11238"/>
    <cellStyle name="Milliers 2 2 3 3 4 2 2 2 3" xfId="11239"/>
    <cellStyle name="Milliers 2 2 3 3 4 2 2 2 3 2" xfId="11240"/>
    <cellStyle name="Milliers 2 2 3 3 4 2 2 2 3 2 2" xfId="11241"/>
    <cellStyle name="Milliers 2 2 3 3 4 2 2 2 3 3" xfId="11242"/>
    <cellStyle name="Milliers 2 2 3 3 4 2 2 2 4" xfId="11243"/>
    <cellStyle name="Milliers 2 2 3 3 4 2 2 2 4 2" xfId="11244"/>
    <cellStyle name="Milliers 2 2 3 3 4 2 2 2 5" xfId="11245"/>
    <cellStyle name="Milliers 2 2 3 3 4 2 2 3" xfId="11246"/>
    <cellStyle name="Milliers 2 2 3 3 4 2 2 3 2" xfId="11247"/>
    <cellStyle name="Milliers 2 2 3 3 4 2 2 3 2 2" xfId="11248"/>
    <cellStyle name="Milliers 2 2 3 3 4 2 2 3 2 2 2" xfId="11249"/>
    <cellStyle name="Milliers 2 2 3 3 4 2 2 3 2 3" xfId="11250"/>
    <cellStyle name="Milliers 2 2 3 3 4 2 2 3 3" xfId="11251"/>
    <cellStyle name="Milliers 2 2 3 3 4 2 2 3 3 2" xfId="11252"/>
    <cellStyle name="Milliers 2 2 3 3 4 2 2 3 4" xfId="11253"/>
    <cellStyle name="Milliers 2 2 3 3 4 2 2 4" xfId="11254"/>
    <cellStyle name="Milliers 2 2 3 3 4 2 2 4 2" xfId="11255"/>
    <cellStyle name="Milliers 2 2 3 3 4 2 2 4 2 2" xfId="11256"/>
    <cellStyle name="Milliers 2 2 3 3 4 2 2 4 3" xfId="11257"/>
    <cellStyle name="Milliers 2 2 3 3 4 2 2 5" xfId="11258"/>
    <cellStyle name="Milliers 2 2 3 3 4 2 2 5 2" xfId="11259"/>
    <cellStyle name="Milliers 2 2 3 3 4 2 2 6" xfId="11260"/>
    <cellStyle name="Milliers 2 2 3 3 4 2 3" xfId="11261"/>
    <cellStyle name="Milliers 2 2 3 3 4 2 3 2" xfId="11262"/>
    <cellStyle name="Milliers 2 2 3 3 4 2 3 2 2" xfId="11263"/>
    <cellStyle name="Milliers 2 2 3 3 4 2 3 2 2 2" xfId="11264"/>
    <cellStyle name="Milliers 2 2 3 3 4 2 3 2 2 2 2" xfId="11265"/>
    <cellStyle name="Milliers 2 2 3 3 4 2 3 2 2 3" xfId="11266"/>
    <cellStyle name="Milliers 2 2 3 3 4 2 3 2 3" xfId="11267"/>
    <cellStyle name="Milliers 2 2 3 3 4 2 3 2 3 2" xfId="11268"/>
    <cellStyle name="Milliers 2 2 3 3 4 2 3 2 4" xfId="11269"/>
    <cellStyle name="Milliers 2 2 3 3 4 2 3 3" xfId="11270"/>
    <cellStyle name="Milliers 2 2 3 3 4 2 3 3 2" xfId="11271"/>
    <cellStyle name="Milliers 2 2 3 3 4 2 3 3 2 2" xfId="11272"/>
    <cellStyle name="Milliers 2 2 3 3 4 2 3 3 3" xfId="11273"/>
    <cellStyle name="Milliers 2 2 3 3 4 2 3 4" xfId="11274"/>
    <cellStyle name="Milliers 2 2 3 3 4 2 3 4 2" xfId="11275"/>
    <cellStyle name="Milliers 2 2 3 3 4 2 3 5" xfId="11276"/>
    <cellStyle name="Milliers 2 2 3 3 4 2 4" xfId="11277"/>
    <cellStyle name="Milliers 2 2 3 3 4 2 4 2" xfId="11278"/>
    <cellStyle name="Milliers 2 2 3 3 4 2 4 2 2" xfId="11279"/>
    <cellStyle name="Milliers 2 2 3 3 4 2 4 2 2 2" xfId="11280"/>
    <cellStyle name="Milliers 2 2 3 3 4 2 4 2 3" xfId="11281"/>
    <cellStyle name="Milliers 2 2 3 3 4 2 4 3" xfId="11282"/>
    <cellStyle name="Milliers 2 2 3 3 4 2 4 3 2" xfId="11283"/>
    <cellStyle name="Milliers 2 2 3 3 4 2 4 4" xfId="11284"/>
    <cellStyle name="Milliers 2 2 3 3 4 2 5" xfId="11285"/>
    <cellStyle name="Milliers 2 2 3 3 4 2 5 2" xfId="11286"/>
    <cellStyle name="Milliers 2 2 3 3 4 2 5 2 2" xfId="11287"/>
    <cellStyle name="Milliers 2 2 3 3 4 2 5 3" xfId="11288"/>
    <cellStyle name="Milliers 2 2 3 3 4 2 6" xfId="11289"/>
    <cellStyle name="Milliers 2 2 3 3 4 2 6 2" xfId="11290"/>
    <cellStyle name="Milliers 2 2 3 3 4 2 7" xfId="11291"/>
    <cellStyle name="Milliers 2 2 3 3 4 3" xfId="11292"/>
    <cellStyle name="Milliers 2 2 3 3 4 3 2" xfId="11293"/>
    <cellStyle name="Milliers 2 2 3 3 4 3 2 2" xfId="11294"/>
    <cellStyle name="Milliers 2 2 3 3 4 3 2 2 2" xfId="11295"/>
    <cellStyle name="Milliers 2 2 3 3 4 3 2 2 2 2" xfId="11296"/>
    <cellStyle name="Milliers 2 2 3 3 4 3 2 2 2 2 2" xfId="11297"/>
    <cellStyle name="Milliers 2 2 3 3 4 3 2 2 2 3" xfId="11298"/>
    <cellStyle name="Milliers 2 2 3 3 4 3 2 2 3" xfId="11299"/>
    <cellStyle name="Milliers 2 2 3 3 4 3 2 2 3 2" xfId="11300"/>
    <cellStyle name="Milliers 2 2 3 3 4 3 2 2 4" xfId="11301"/>
    <cellStyle name="Milliers 2 2 3 3 4 3 2 3" xfId="11302"/>
    <cellStyle name="Milliers 2 2 3 3 4 3 2 3 2" xfId="11303"/>
    <cellStyle name="Milliers 2 2 3 3 4 3 2 3 2 2" xfId="11304"/>
    <cellStyle name="Milliers 2 2 3 3 4 3 2 3 3" xfId="11305"/>
    <cellStyle name="Milliers 2 2 3 3 4 3 2 4" xfId="11306"/>
    <cellStyle name="Milliers 2 2 3 3 4 3 2 4 2" xfId="11307"/>
    <cellStyle name="Milliers 2 2 3 3 4 3 2 5" xfId="11308"/>
    <cellStyle name="Milliers 2 2 3 3 4 3 3" xfId="11309"/>
    <cellStyle name="Milliers 2 2 3 3 4 3 3 2" xfId="11310"/>
    <cellStyle name="Milliers 2 2 3 3 4 3 3 2 2" xfId="11311"/>
    <cellStyle name="Milliers 2 2 3 3 4 3 3 2 2 2" xfId="11312"/>
    <cellStyle name="Milliers 2 2 3 3 4 3 3 2 3" xfId="11313"/>
    <cellStyle name="Milliers 2 2 3 3 4 3 3 3" xfId="11314"/>
    <cellStyle name="Milliers 2 2 3 3 4 3 3 3 2" xfId="11315"/>
    <cellStyle name="Milliers 2 2 3 3 4 3 3 4" xfId="11316"/>
    <cellStyle name="Milliers 2 2 3 3 4 3 4" xfId="11317"/>
    <cellStyle name="Milliers 2 2 3 3 4 3 4 2" xfId="11318"/>
    <cellStyle name="Milliers 2 2 3 3 4 3 4 2 2" xfId="11319"/>
    <cellStyle name="Milliers 2 2 3 3 4 3 4 3" xfId="11320"/>
    <cellStyle name="Milliers 2 2 3 3 4 3 5" xfId="11321"/>
    <cellStyle name="Milliers 2 2 3 3 4 3 5 2" xfId="11322"/>
    <cellStyle name="Milliers 2 2 3 3 4 3 6" xfId="11323"/>
    <cellStyle name="Milliers 2 2 3 3 4 4" xfId="11324"/>
    <cellStyle name="Milliers 2 2 3 3 4 4 2" xfId="11325"/>
    <cellStyle name="Milliers 2 2 3 3 4 4 2 2" xfId="11326"/>
    <cellStyle name="Milliers 2 2 3 3 4 4 2 2 2" xfId="11327"/>
    <cellStyle name="Milliers 2 2 3 3 4 4 2 2 2 2" xfId="11328"/>
    <cellStyle name="Milliers 2 2 3 3 4 4 2 2 3" xfId="11329"/>
    <cellStyle name="Milliers 2 2 3 3 4 4 2 3" xfId="11330"/>
    <cellStyle name="Milliers 2 2 3 3 4 4 2 3 2" xfId="11331"/>
    <cellStyle name="Milliers 2 2 3 3 4 4 2 4" xfId="11332"/>
    <cellStyle name="Milliers 2 2 3 3 4 4 3" xfId="11333"/>
    <cellStyle name="Milliers 2 2 3 3 4 4 3 2" xfId="11334"/>
    <cellStyle name="Milliers 2 2 3 3 4 4 3 2 2" xfId="11335"/>
    <cellStyle name="Milliers 2 2 3 3 4 4 3 3" xfId="11336"/>
    <cellStyle name="Milliers 2 2 3 3 4 4 4" xfId="11337"/>
    <cellStyle name="Milliers 2 2 3 3 4 4 4 2" xfId="11338"/>
    <cellStyle name="Milliers 2 2 3 3 4 4 5" xfId="11339"/>
    <cellStyle name="Milliers 2 2 3 3 4 5" xfId="11340"/>
    <cellStyle name="Milliers 2 2 3 3 4 5 2" xfId="11341"/>
    <cellStyle name="Milliers 2 2 3 3 4 5 2 2" xfId="11342"/>
    <cellStyle name="Milliers 2 2 3 3 4 5 2 2 2" xfId="11343"/>
    <cellStyle name="Milliers 2 2 3 3 4 5 2 3" xfId="11344"/>
    <cellStyle name="Milliers 2 2 3 3 4 5 3" xfId="11345"/>
    <cellStyle name="Milliers 2 2 3 3 4 5 3 2" xfId="11346"/>
    <cellStyle name="Milliers 2 2 3 3 4 5 4" xfId="11347"/>
    <cellStyle name="Milliers 2 2 3 3 4 6" xfId="11348"/>
    <cellStyle name="Milliers 2 2 3 3 4 6 2" xfId="11349"/>
    <cellStyle name="Milliers 2 2 3 3 4 6 2 2" xfId="11350"/>
    <cellStyle name="Milliers 2 2 3 3 4 6 3" xfId="11351"/>
    <cellStyle name="Milliers 2 2 3 3 4 7" xfId="11352"/>
    <cellStyle name="Milliers 2 2 3 3 4 7 2" xfId="11353"/>
    <cellStyle name="Milliers 2 2 3 3 4 8" xfId="11354"/>
    <cellStyle name="Milliers 2 2 3 3 5" xfId="11355"/>
    <cellStyle name="Milliers 2 2 3 3 5 2" xfId="11356"/>
    <cellStyle name="Milliers 2 2 3 3 5 2 2" xfId="11357"/>
    <cellStyle name="Milliers 2 2 3 3 5 2 2 2" xfId="11358"/>
    <cellStyle name="Milliers 2 2 3 3 5 2 2 2 2" xfId="11359"/>
    <cellStyle name="Milliers 2 2 3 3 5 2 2 2 2 2" xfId="11360"/>
    <cellStyle name="Milliers 2 2 3 3 5 2 2 2 2 2 2" xfId="11361"/>
    <cellStyle name="Milliers 2 2 3 3 5 2 2 2 2 3" xfId="11362"/>
    <cellStyle name="Milliers 2 2 3 3 5 2 2 2 3" xfId="11363"/>
    <cellStyle name="Milliers 2 2 3 3 5 2 2 2 3 2" xfId="11364"/>
    <cellStyle name="Milliers 2 2 3 3 5 2 2 2 4" xfId="11365"/>
    <cellStyle name="Milliers 2 2 3 3 5 2 2 3" xfId="11366"/>
    <cellStyle name="Milliers 2 2 3 3 5 2 2 3 2" xfId="11367"/>
    <cellStyle name="Milliers 2 2 3 3 5 2 2 3 2 2" xfId="11368"/>
    <cellStyle name="Milliers 2 2 3 3 5 2 2 3 3" xfId="11369"/>
    <cellStyle name="Milliers 2 2 3 3 5 2 2 4" xfId="11370"/>
    <cellStyle name="Milliers 2 2 3 3 5 2 2 4 2" xfId="11371"/>
    <cellStyle name="Milliers 2 2 3 3 5 2 2 5" xfId="11372"/>
    <cellStyle name="Milliers 2 2 3 3 5 2 3" xfId="11373"/>
    <cellStyle name="Milliers 2 2 3 3 5 2 3 2" xfId="11374"/>
    <cellStyle name="Milliers 2 2 3 3 5 2 3 2 2" xfId="11375"/>
    <cellStyle name="Milliers 2 2 3 3 5 2 3 2 2 2" xfId="11376"/>
    <cellStyle name="Milliers 2 2 3 3 5 2 3 2 3" xfId="11377"/>
    <cellStyle name="Milliers 2 2 3 3 5 2 3 3" xfId="11378"/>
    <cellStyle name="Milliers 2 2 3 3 5 2 3 3 2" xfId="11379"/>
    <cellStyle name="Milliers 2 2 3 3 5 2 3 4" xfId="11380"/>
    <cellStyle name="Milliers 2 2 3 3 5 2 4" xfId="11381"/>
    <cellStyle name="Milliers 2 2 3 3 5 2 4 2" xfId="11382"/>
    <cellStyle name="Milliers 2 2 3 3 5 2 4 2 2" xfId="11383"/>
    <cellStyle name="Milliers 2 2 3 3 5 2 4 3" xfId="11384"/>
    <cellStyle name="Milliers 2 2 3 3 5 2 5" xfId="11385"/>
    <cellStyle name="Milliers 2 2 3 3 5 2 5 2" xfId="11386"/>
    <cellStyle name="Milliers 2 2 3 3 5 2 6" xfId="11387"/>
    <cellStyle name="Milliers 2 2 3 3 5 3" xfId="11388"/>
    <cellStyle name="Milliers 2 2 3 3 5 3 2" xfId="11389"/>
    <cellStyle name="Milliers 2 2 3 3 5 3 2 2" xfId="11390"/>
    <cellStyle name="Milliers 2 2 3 3 5 3 2 2 2" xfId="11391"/>
    <cellStyle name="Milliers 2 2 3 3 5 3 2 2 2 2" xfId="11392"/>
    <cellStyle name="Milliers 2 2 3 3 5 3 2 2 3" xfId="11393"/>
    <cellStyle name="Milliers 2 2 3 3 5 3 2 3" xfId="11394"/>
    <cellStyle name="Milliers 2 2 3 3 5 3 2 3 2" xfId="11395"/>
    <cellStyle name="Milliers 2 2 3 3 5 3 2 4" xfId="11396"/>
    <cellStyle name="Milliers 2 2 3 3 5 3 3" xfId="11397"/>
    <cellStyle name="Milliers 2 2 3 3 5 3 3 2" xfId="11398"/>
    <cellStyle name="Milliers 2 2 3 3 5 3 3 2 2" xfId="11399"/>
    <cellStyle name="Milliers 2 2 3 3 5 3 3 3" xfId="11400"/>
    <cellStyle name="Milliers 2 2 3 3 5 3 4" xfId="11401"/>
    <cellStyle name="Milliers 2 2 3 3 5 3 4 2" xfId="11402"/>
    <cellStyle name="Milliers 2 2 3 3 5 3 5" xfId="11403"/>
    <cellStyle name="Milliers 2 2 3 3 5 4" xfId="11404"/>
    <cellStyle name="Milliers 2 2 3 3 5 4 2" xfId="11405"/>
    <cellStyle name="Milliers 2 2 3 3 5 4 2 2" xfId="11406"/>
    <cellStyle name="Milliers 2 2 3 3 5 4 2 2 2" xfId="11407"/>
    <cellStyle name="Milliers 2 2 3 3 5 4 2 3" xfId="11408"/>
    <cellStyle name="Milliers 2 2 3 3 5 4 3" xfId="11409"/>
    <cellStyle name="Milliers 2 2 3 3 5 4 3 2" xfId="11410"/>
    <cellStyle name="Milliers 2 2 3 3 5 4 4" xfId="11411"/>
    <cellStyle name="Milliers 2 2 3 3 5 5" xfId="11412"/>
    <cellStyle name="Milliers 2 2 3 3 5 5 2" xfId="11413"/>
    <cellStyle name="Milliers 2 2 3 3 5 5 2 2" xfId="11414"/>
    <cellStyle name="Milliers 2 2 3 3 5 5 3" xfId="11415"/>
    <cellStyle name="Milliers 2 2 3 3 5 6" xfId="11416"/>
    <cellStyle name="Milliers 2 2 3 3 5 6 2" xfId="11417"/>
    <cellStyle name="Milliers 2 2 3 3 5 7" xfId="11418"/>
    <cellStyle name="Milliers 2 2 3 3 6" xfId="11419"/>
    <cellStyle name="Milliers 2 2 3 3 6 2" xfId="11420"/>
    <cellStyle name="Milliers 2 2 3 3 6 2 2" xfId="11421"/>
    <cellStyle name="Milliers 2 2 3 3 6 2 2 2" xfId="11422"/>
    <cellStyle name="Milliers 2 2 3 3 6 2 2 2 2" xfId="11423"/>
    <cellStyle name="Milliers 2 2 3 3 6 2 2 2 2 2" xfId="11424"/>
    <cellStyle name="Milliers 2 2 3 3 6 2 2 2 3" xfId="11425"/>
    <cellStyle name="Milliers 2 2 3 3 6 2 2 3" xfId="11426"/>
    <cellStyle name="Milliers 2 2 3 3 6 2 2 3 2" xfId="11427"/>
    <cellStyle name="Milliers 2 2 3 3 6 2 2 4" xfId="11428"/>
    <cellStyle name="Milliers 2 2 3 3 6 2 3" xfId="11429"/>
    <cellStyle name="Milliers 2 2 3 3 6 2 3 2" xfId="11430"/>
    <cellStyle name="Milliers 2 2 3 3 6 2 3 2 2" xfId="11431"/>
    <cellStyle name="Milliers 2 2 3 3 6 2 3 3" xfId="11432"/>
    <cellStyle name="Milliers 2 2 3 3 6 2 4" xfId="11433"/>
    <cellStyle name="Milliers 2 2 3 3 6 2 4 2" xfId="11434"/>
    <cellStyle name="Milliers 2 2 3 3 6 2 5" xfId="11435"/>
    <cellStyle name="Milliers 2 2 3 3 6 3" xfId="11436"/>
    <cellStyle name="Milliers 2 2 3 3 6 3 2" xfId="11437"/>
    <cellStyle name="Milliers 2 2 3 3 6 3 2 2" xfId="11438"/>
    <cellStyle name="Milliers 2 2 3 3 6 3 2 2 2" xfId="11439"/>
    <cellStyle name="Milliers 2 2 3 3 6 3 2 3" xfId="11440"/>
    <cellStyle name="Milliers 2 2 3 3 6 3 3" xfId="11441"/>
    <cellStyle name="Milliers 2 2 3 3 6 3 3 2" xfId="11442"/>
    <cellStyle name="Milliers 2 2 3 3 6 3 4" xfId="11443"/>
    <cellStyle name="Milliers 2 2 3 3 6 4" xfId="11444"/>
    <cellStyle name="Milliers 2 2 3 3 6 4 2" xfId="11445"/>
    <cellStyle name="Milliers 2 2 3 3 6 4 2 2" xfId="11446"/>
    <cellStyle name="Milliers 2 2 3 3 6 4 3" xfId="11447"/>
    <cellStyle name="Milliers 2 2 3 3 6 5" xfId="11448"/>
    <cellStyle name="Milliers 2 2 3 3 6 5 2" xfId="11449"/>
    <cellStyle name="Milliers 2 2 3 3 6 6" xfId="11450"/>
    <cellStyle name="Milliers 2 2 3 3 7" xfId="11451"/>
    <cellStyle name="Milliers 2 2 3 3 7 2" xfId="11452"/>
    <cellStyle name="Milliers 2 2 3 3 7 2 2" xfId="11453"/>
    <cellStyle name="Milliers 2 2 3 3 7 2 2 2" xfId="11454"/>
    <cellStyle name="Milliers 2 2 3 3 7 2 2 2 2" xfId="11455"/>
    <cellStyle name="Milliers 2 2 3 3 7 2 2 3" xfId="11456"/>
    <cellStyle name="Milliers 2 2 3 3 7 2 3" xfId="11457"/>
    <cellStyle name="Milliers 2 2 3 3 7 2 3 2" xfId="11458"/>
    <cellStyle name="Milliers 2 2 3 3 7 2 4" xfId="11459"/>
    <cellStyle name="Milliers 2 2 3 3 7 3" xfId="11460"/>
    <cellStyle name="Milliers 2 2 3 3 7 3 2" xfId="11461"/>
    <cellStyle name="Milliers 2 2 3 3 7 3 2 2" xfId="11462"/>
    <cellStyle name="Milliers 2 2 3 3 7 3 3" xfId="11463"/>
    <cellStyle name="Milliers 2 2 3 3 7 4" xfId="11464"/>
    <cellStyle name="Milliers 2 2 3 3 7 4 2" xfId="11465"/>
    <cellStyle name="Milliers 2 2 3 3 7 5" xfId="11466"/>
    <cellStyle name="Milliers 2 2 3 3 8" xfId="11467"/>
    <cellStyle name="Milliers 2 2 3 3 8 2" xfId="11468"/>
    <cellStyle name="Milliers 2 2 3 3 8 2 2" xfId="11469"/>
    <cellStyle name="Milliers 2 2 3 3 8 2 2 2" xfId="11470"/>
    <cellStyle name="Milliers 2 2 3 3 8 2 3" xfId="11471"/>
    <cellStyle name="Milliers 2 2 3 3 8 3" xfId="11472"/>
    <cellStyle name="Milliers 2 2 3 3 8 3 2" xfId="11473"/>
    <cellStyle name="Milliers 2 2 3 3 8 4" xfId="11474"/>
    <cellStyle name="Milliers 2 2 3 3 9" xfId="11475"/>
    <cellStyle name="Milliers 2 2 3 3 9 2" xfId="11476"/>
    <cellStyle name="Milliers 2 2 3 3 9 2 2" xfId="11477"/>
    <cellStyle name="Milliers 2 2 3 3 9 3" xfId="11478"/>
    <cellStyle name="Milliers 2 2 3 4" xfId="11479"/>
    <cellStyle name="Milliers 2 2 3 4 10" xfId="11480"/>
    <cellStyle name="Milliers 2 2 3 4 2" xfId="11481"/>
    <cellStyle name="Milliers 2 2 3 4 2 2" xfId="11482"/>
    <cellStyle name="Milliers 2 2 3 4 2 2 2" xfId="11483"/>
    <cellStyle name="Milliers 2 2 3 4 2 2 2 2" xfId="11484"/>
    <cellStyle name="Milliers 2 2 3 4 2 2 2 2 2" xfId="11485"/>
    <cellStyle name="Milliers 2 2 3 4 2 2 2 2 2 2" xfId="11486"/>
    <cellStyle name="Milliers 2 2 3 4 2 2 2 2 2 2 2" xfId="11487"/>
    <cellStyle name="Milliers 2 2 3 4 2 2 2 2 2 2 2 2" xfId="11488"/>
    <cellStyle name="Milliers 2 2 3 4 2 2 2 2 2 2 2 2 2" xfId="11489"/>
    <cellStyle name="Milliers 2 2 3 4 2 2 2 2 2 2 2 3" xfId="11490"/>
    <cellStyle name="Milliers 2 2 3 4 2 2 2 2 2 2 3" xfId="11491"/>
    <cellStyle name="Milliers 2 2 3 4 2 2 2 2 2 2 3 2" xfId="11492"/>
    <cellStyle name="Milliers 2 2 3 4 2 2 2 2 2 2 4" xfId="11493"/>
    <cellStyle name="Milliers 2 2 3 4 2 2 2 2 2 3" xfId="11494"/>
    <cellStyle name="Milliers 2 2 3 4 2 2 2 2 2 3 2" xfId="11495"/>
    <cellStyle name="Milliers 2 2 3 4 2 2 2 2 2 3 2 2" xfId="11496"/>
    <cellStyle name="Milliers 2 2 3 4 2 2 2 2 2 3 3" xfId="11497"/>
    <cellStyle name="Milliers 2 2 3 4 2 2 2 2 2 4" xfId="11498"/>
    <cellStyle name="Milliers 2 2 3 4 2 2 2 2 2 4 2" xfId="11499"/>
    <cellStyle name="Milliers 2 2 3 4 2 2 2 2 2 5" xfId="11500"/>
    <cellStyle name="Milliers 2 2 3 4 2 2 2 2 3" xfId="11501"/>
    <cellStyle name="Milliers 2 2 3 4 2 2 2 2 3 2" xfId="11502"/>
    <cellStyle name="Milliers 2 2 3 4 2 2 2 2 3 2 2" xfId="11503"/>
    <cellStyle name="Milliers 2 2 3 4 2 2 2 2 3 2 2 2" xfId="11504"/>
    <cellStyle name="Milliers 2 2 3 4 2 2 2 2 3 2 3" xfId="11505"/>
    <cellStyle name="Milliers 2 2 3 4 2 2 2 2 3 3" xfId="11506"/>
    <cellStyle name="Milliers 2 2 3 4 2 2 2 2 3 3 2" xfId="11507"/>
    <cellStyle name="Milliers 2 2 3 4 2 2 2 2 3 4" xfId="11508"/>
    <cellStyle name="Milliers 2 2 3 4 2 2 2 2 4" xfId="11509"/>
    <cellStyle name="Milliers 2 2 3 4 2 2 2 2 4 2" xfId="11510"/>
    <cellStyle name="Milliers 2 2 3 4 2 2 2 2 4 2 2" xfId="11511"/>
    <cellStyle name="Milliers 2 2 3 4 2 2 2 2 4 3" xfId="11512"/>
    <cellStyle name="Milliers 2 2 3 4 2 2 2 2 5" xfId="11513"/>
    <cellStyle name="Milliers 2 2 3 4 2 2 2 2 5 2" xfId="11514"/>
    <cellStyle name="Milliers 2 2 3 4 2 2 2 2 6" xfId="11515"/>
    <cellStyle name="Milliers 2 2 3 4 2 2 2 3" xfId="11516"/>
    <cellStyle name="Milliers 2 2 3 4 2 2 2 3 2" xfId="11517"/>
    <cellStyle name="Milliers 2 2 3 4 2 2 2 3 2 2" xfId="11518"/>
    <cellStyle name="Milliers 2 2 3 4 2 2 2 3 2 2 2" xfId="11519"/>
    <cellStyle name="Milliers 2 2 3 4 2 2 2 3 2 2 2 2" xfId="11520"/>
    <cellStyle name="Milliers 2 2 3 4 2 2 2 3 2 2 3" xfId="11521"/>
    <cellStyle name="Milliers 2 2 3 4 2 2 2 3 2 3" xfId="11522"/>
    <cellStyle name="Milliers 2 2 3 4 2 2 2 3 2 3 2" xfId="11523"/>
    <cellStyle name="Milliers 2 2 3 4 2 2 2 3 2 4" xfId="11524"/>
    <cellStyle name="Milliers 2 2 3 4 2 2 2 3 3" xfId="11525"/>
    <cellStyle name="Milliers 2 2 3 4 2 2 2 3 3 2" xfId="11526"/>
    <cellStyle name="Milliers 2 2 3 4 2 2 2 3 3 2 2" xfId="11527"/>
    <cellStyle name="Milliers 2 2 3 4 2 2 2 3 3 3" xfId="11528"/>
    <cellStyle name="Milliers 2 2 3 4 2 2 2 3 4" xfId="11529"/>
    <cellStyle name="Milliers 2 2 3 4 2 2 2 3 4 2" xfId="11530"/>
    <cellStyle name="Milliers 2 2 3 4 2 2 2 3 5" xfId="11531"/>
    <cellStyle name="Milliers 2 2 3 4 2 2 2 4" xfId="11532"/>
    <cellStyle name="Milliers 2 2 3 4 2 2 2 4 2" xfId="11533"/>
    <cellStyle name="Milliers 2 2 3 4 2 2 2 4 2 2" xfId="11534"/>
    <cellStyle name="Milliers 2 2 3 4 2 2 2 4 2 2 2" xfId="11535"/>
    <cellStyle name="Milliers 2 2 3 4 2 2 2 4 2 3" xfId="11536"/>
    <cellStyle name="Milliers 2 2 3 4 2 2 2 4 3" xfId="11537"/>
    <cellStyle name="Milliers 2 2 3 4 2 2 2 4 3 2" xfId="11538"/>
    <cellStyle name="Milliers 2 2 3 4 2 2 2 4 4" xfId="11539"/>
    <cellStyle name="Milliers 2 2 3 4 2 2 2 5" xfId="11540"/>
    <cellStyle name="Milliers 2 2 3 4 2 2 2 5 2" xfId="11541"/>
    <cellStyle name="Milliers 2 2 3 4 2 2 2 5 2 2" xfId="11542"/>
    <cellStyle name="Milliers 2 2 3 4 2 2 2 5 3" xfId="11543"/>
    <cellStyle name="Milliers 2 2 3 4 2 2 2 6" xfId="11544"/>
    <cellStyle name="Milliers 2 2 3 4 2 2 2 6 2" xfId="11545"/>
    <cellStyle name="Milliers 2 2 3 4 2 2 2 7" xfId="11546"/>
    <cellStyle name="Milliers 2 2 3 4 2 2 3" xfId="11547"/>
    <cellStyle name="Milliers 2 2 3 4 2 2 3 2" xfId="11548"/>
    <cellStyle name="Milliers 2 2 3 4 2 2 3 2 2" xfId="11549"/>
    <cellStyle name="Milliers 2 2 3 4 2 2 3 2 2 2" xfId="11550"/>
    <cellStyle name="Milliers 2 2 3 4 2 2 3 2 2 2 2" xfId="11551"/>
    <cellStyle name="Milliers 2 2 3 4 2 2 3 2 2 2 2 2" xfId="11552"/>
    <cellStyle name="Milliers 2 2 3 4 2 2 3 2 2 2 3" xfId="11553"/>
    <cellStyle name="Milliers 2 2 3 4 2 2 3 2 2 3" xfId="11554"/>
    <cellStyle name="Milliers 2 2 3 4 2 2 3 2 2 3 2" xfId="11555"/>
    <cellStyle name="Milliers 2 2 3 4 2 2 3 2 2 4" xfId="11556"/>
    <cellStyle name="Milliers 2 2 3 4 2 2 3 2 3" xfId="11557"/>
    <cellStyle name="Milliers 2 2 3 4 2 2 3 2 3 2" xfId="11558"/>
    <cellStyle name="Milliers 2 2 3 4 2 2 3 2 3 2 2" xfId="11559"/>
    <cellStyle name="Milliers 2 2 3 4 2 2 3 2 3 3" xfId="11560"/>
    <cellStyle name="Milliers 2 2 3 4 2 2 3 2 4" xfId="11561"/>
    <cellStyle name="Milliers 2 2 3 4 2 2 3 2 4 2" xfId="11562"/>
    <cellStyle name="Milliers 2 2 3 4 2 2 3 2 5" xfId="11563"/>
    <cellStyle name="Milliers 2 2 3 4 2 2 3 3" xfId="11564"/>
    <cellStyle name="Milliers 2 2 3 4 2 2 3 3 2" xfId="11565"/>
    <cellStyle name="Milliers 2 2 3 4 2 2 3 3 2 2" xfId="11566"/>
    <cellStyle name="Milliers 2 2 3 4 2 2 3 3 2 2 2" xfId="11567"/>
    <cellStyle name="Milliers 2 2 3 4 2 2 3 3 2 3" xfId="11568"/>
    <cellStyle name="Milliers 2 2 3 4 2 2 3 3 3" xfId="11569"/>
    <cellStyle name="Milliers 2 2 3 4 2 2 3 3 3 2" xfId="11570"/>
    <cellStyle name="Milliers 2 2 3 4 2 2 3 3 4" xfId="11571"/>
    <cellStyle name="Milliers 2 2 3 4 2 2 3 4" xfId="11572"/>
    <cellStyle name="Milliers 2 2 3 4 2 2 3 4 2" xfId="11573"/>
    <cellStyle name="Milliers 2 2 3 4 2 2 3 4 2 2" xfId="11574"/>
    <cellStyle name="Milliers 2 2 3 4 2 2 3 4 3" xfId="11575"/>
    <cellStyle name="Milliers 2 2 3 4 2 2 3 5" xfId="11576"/>
    <cellStyle name="Milliers 2 2 3 4 2 2 3 5 2" xfId="11577"/>
    <cellStyle name="Milliers 2 2 3 4 2 2 3 6" xfId="11578"/>
    <cellStyle name="Milliers 2 2 3 4 2 2 4" xfId="11579"/>
    <cellStyle name="Milliers 2 2 3 4 2 2 4 2" xfId="11580"/>
    <cellStyle name="Milliers 2 2 3 4 2 2 4 2 2" xfId="11581"/>
    <cellStyle name="Milliers 2 2 3 4 2 2 4 2 2 2" xfId="11582"/>
    <cellStyle name="Milliers 2 2 3 4 2 2 4 2 2 2 2" xfId="11583"/>
    <cellStyle name="Milliers 2 2 3 4 2 2 4 2 2 3" xfId="11584"/>
    <cellStyle name="Milliers 2 2 3 4 2 2 4 2 3" xfId="11585"/>
    <cellStyle name="Milliers 2 2 3 4 2 2 4 2 3 2" xfId="11586"/>
    <cellStyle name="Milliers 2 2 3 4 2 2 4 2 4" xfId="11587"/>
    <cellStyle name="Milliers 2 2 3 4 2 2 4 3" xfId="11588"/>
    <cellStyle name="Milliers 2 2 3 4 2 2 4 3 2" xfId="11589"/>
    <cellStyle name="Milliers 2 2 3 4 2 2 4 3 2 2" xfId="11590"/>
    <cellStyle name="Milliers 2 2 3 4 2 2 4 3 3" xfId="11591"/>
    <cellStyle name="Milliers 2 2 3 4 2 2 4 4" xfId="11592"/>
    <cellStyle name="Milliers 2 2 3 4 2 2 4 4 2" xfId="11593"/>
    <cellStyle name="Milliers 2 2 3 4 2 2 4 5" xfId="11594"/>
    <cellStyle name="Milliers 2 2 3 4 2 2 5" xfId="11595"/>
    <cellStyle name="Milliers 2 2 3 4 2 2 5 2" xfId="11596"/>
    <cellStyle name="Milliers 2 2 3 4 2 2 5 2 2" xfId="11597"/>
    <cellStyle name="Milliers 2 2 3 4 2 2 5 2 2 2" xfId="11598"/>
    <cellStyle name="Milliers 2 2 3 4 2 2 5 2 3" xfId="11599"/>
    <cellStyle name="Milliers 2 2 3 4 2 2 5 3" xfId="11600"/>
    <cellStyle name="Milliers 2 2 3 4 2 2 5 3 2" xfId="11601"/>
    <cellStyle name="Milliers 2 2 3 4 2 2 5 4" xfId="11602"/>
    <cellStyle name="Milliers 2 2 3 4 2 2 6" xfId="11603"/>
    <cellStyle name="Milliers 2 2 3 4 2 2 6 2" xfId="11604"/>
    <cellStyle name="Milliers 2 2 3 4 2 2 6 2 2" xfId="11605"/>
    <cellStyle name="Milliers 2 2 3 4 2 2 6 3" xfId="11606"/>
    <cellStyle name="Milliers 2 2 3 4 2 2 7" xfId="11607"/>
    <cellStyle name="Milliers 2 2 3 4 2 2 7 2" xfId="11608"/>
    <cellStyle name="Milliers 2 2 3 4 2 2 8" xfId="11609"/>
    <cellStyle name="Milliers 2 2 3 4 2 3" xfId="11610"/>
    <cellStyle name="Milliers 2 2 3 4 2 3 2" xfId="11611"/>
    <cellStyle name="Milliers 2 2 3 4 2 3 2 2" xfId="11612"/>
    <cellStyle name="Milliers 2 2 3 4 2 3 2 2 2" xfId="11613"/>
    <cellStyle name="Milliers 2 2 3 4 2 3 2 2 2 2" xfId="11614"/>
    <cellStyle name="Milliers 2 2 3 4 2 3 2 2 2 2 2" xfId="11615"/>
    <cellStyle name="Milliers 2 2 3 4 2 3 2 2 2 2 2 2" xfId="11616"/>
    <cellStyle name="Milliers 2 2 3 4 2 3 2 2 2 2 3" xfId="11617"/>
    <cellStyle name="Milliers 2 2 3 4 2 3 2 2 2 3" xfId="11618"/>
    <cellStyle name="Milliers 2 2 3 4 2 3 2 2 2 3 2" xfId="11619"/>
    <cellStyle name="Milliers 2 2 3 4 2 3 2 2 2 4" xfId="11620"/>
    <cellStyle name="Milliers 2 2 3 4 2 3 2 2 3" xfId="11621"/>
    <cellStyle name="Milliers 2 2 3 4 2 3 2 2 3 2" xfId="11622"/>
    <cellStyle name="Milliers 2 2 3 4 2 3 2 2 3 2 2" xfId="11623"/>
    <cellStyle name="Milliers 2 2 3 4 2 3 2 2 3 3" xfId="11624"/>
    <cellStyle name="Milliers 2 2 3 4 2 3 2 2 4" xfId="11625"/>
    <cellStyle name="Milliers 2 2 3 4 2 3 2 2 4 2" xfId="11626"/>
    <cellStyle name="Milliers 2 2 3 4 2 3 2 2 5" xfId="11627"/>
    <cellStyle name="Milliers 2 2 3 4 2 3 2 3" xfId="11628"/>
    <cellStyle name="Milliers 2 2 3 4 2 3 2 3 2" xfId="11629"/>
    <cellStyle name="Milliers 2 2 3 4 2 3 2 3 2 2" xfId="11630"/>
    <cellStyle name="Milliers 2 2 3 4 2 3 2 3 2 2 2" xfId="11631"/>
    <cellStyle name="Milliers 2 2 3 4 2 3 2 3 2 3" xfId="11632"/>
    <cellStyle name="Milliers 2 2 3 4 2 3 2 3 3" xfId="11633"/>
    <cellStyle name="Milliers 2 2 3 4 2 3 2 3 3 2" xfId="11634"/>
    <cellStyle name="Milliers 2 2 3 4 2 3 2 3 4" xfId="11635"/>
    <cellStyle name="Milliers 2 2 3 4 2 3 2 4" xfId="11636"/>
    <cellStyle name="Milliers 2 2 3 4 2 3 2 4 2" xfId="11637"/>
    <cellStyle name="Milliers 2 2 3 4 2 3 2 4 2 2" xfId="11638"/>
    <cellStyle name="Milliers 2 2 3 4 2 3 2 4 3" xfId="11639"/>
    <cellStyle name="Milliers 2 2 3 4 2 3 2 5" xfId="11640"/>
    <cellStyle name="Milliers 2 2 3 4 2 3 2 5 2" xfId="11641"/>
    <cellStyle name="Milliers 2 2 3 4 2 3 2 6" xfId="11642"/>
    <cellStyle name="Milliers 2 2 3 4 2 3 3" xfId="11643"/>
    <cellStyle name="Milliers 2 2 3 4 2 3 3 2" xfId="11644"/>
    <cellStyle name="Milliers 2 2 3 4 2 3 3 2 2" xfId="11645"/>
    <cellStyle name="Milliers 2 2 3 4 2 3 3 2 2 2" xfId="11646"/>
    <cellStyle name="Milliers 2 2 3 4 2 3 3 2 2 2 2" xfId="11647"/>
    <cellStyle name="Milliers 2 2 3 4 2 3 3 2 2 3" xfId="11648"/>
    <cellStyle name="Milliers 2 2 3 4 2 3 3 2 3" xfId="11649"/>
    <cellStyle name="Milliers 2 2 3 4 2 3 3 2 3 2" xfId="11650"/>
    <cellStyle name="Milliers 2 2 3 4 2 3 3 2 4" xfId="11651"/>
    <cellStyle name="Milliers 2 2 3 4 2 3 3 3" xfId="11652"/>
    <cellStyle name="Milliers 2 2 3 4 2 3 3 3 2" xfId="11653"/>
    <cellStyle name="Milliers 2 2 3 4 2 3 3 3 2 2" xfId="11654"/>
    <cellStyle name="Milliers 2 2 3 4 2 3 3 3 3" xfId="11655"/>
    <cellStyle name="Milliers 2 2 3 4 2 3 3 4" xfId="11656"/>
    <cellStyle name="Milliers 2 2 3 4 2 3 3 4 2" xfId="11657"/>
    <cellStyle name="Milliers 2 2 3 4 2 3 3 5" xfId="11658"/>
    <cellStyle name="Milliers 2 2 3 4 2 3 4" xfId="11659"/>
    <cellStyle name="Milliers 2 2 3 4 2 3 4 2" xfId="11660"/>
    <cellStyle name="Milliers 2 2 3 4 2 3 4 2 2" xfId="11661"/>
    <cellStyle name="Milliers 2 2 3 4 2 3 4 2 2 2" xfId="11662"/>
    <cellStyle name="Milliers 2 2 3 4 2 3 4 2 3" xfId="11663"/>
    <cellStyle name="Milliers 2 2 3 4 2 3 4 3" xfId="11664"/>
    <cellStyle name="Milliers 2 2 3 4 2 3 4 3 2" xfId="11665"/>
    <cellStyle name="Milliers 2 2 3 4 2 3 4 4" xfId="11666"/>
    <cellStyle name="Milliers 2 2 3 4 2 3 5" xfId="11667"/>
    <cellStyle name="Milliers 2 2 3 4 2 3 5 2" xfId="11668"/>
    <cellStyle name="Milliers 2 2 3 4 2 3 5 2 2" xfId="11669"/>
    <cellStyle name="Milliers 2 2 3 4 2 3 5 3" xfId="11670"/>
    <cellStyle name="Milliers 2 2 3 4 2 3 6" xfId="11671"/>
    <cellStyle name="Milliers 2 2 3 4 2 3 6 2" xfId="11672"/>
    <cellStyle name="Milliers 2 2 3 4 2 3 7" xfId="11673"/>
    <cellStyle name="Milliers 2 2 3 4 2 4" xfId="11674"/>
    <cellStyle name="Milliers 2 2 3 4 2 4 2" xfId="11675"/>
    <cellStyle name="Milliers 2 2 3 4 2 4 2 2" xfId="11676"/>
    <cellStyle name="Milliers 2 2 3 4 2 4 2 2 2" xfId="11677"/>
    <cellStyle name="Milliers 2 2 3 4 2 4 2 2 2 2" xfId="11678"/>
    <cellStyle name="Milliers 2 2 3 4 2 4 2 2 2 2 2" xfId="11679"/>
    <cellStyle name="Milliers 2 2 3 4 2 4 2 2 2 3" xfId="11680"/>
    <cellStyle name="Milliers 2 2 3 4 2 4 2 2 3" xfId="11681"/>
    <cellStyle name="Milliers 2 2 3 4 2 4 2 2 3 2" xfId="11682"/>
    <cellStyle name="Milliers 2 2 3 4 2 4 2 2 4" xfId="11683"/>
    <cellStyle name="Milliers 2 2 3 4 2 4 2 3" xfId="11684"/>
    <cellStyle name="Milliers 2 2 3 4 2 4 2 3 2" xfId="11685"/>
    <cellStyle name="Milliers 2 2 3 4 2 4 2 3 2 2" xfId="11686"/>
    <cellStyle name="Milliers 2 2 3 4 2 4 2 3 3" xfId="11687"/>
    <cellStyle name="Milliers 2 2 3 4 2 4 2 4" xfId="11688"/>
    <cellStyle name="Milliers 2 2 3 4 2 4 2 4 2" xfId="11689"/>
    <cellStyle name="Milliers 2 2 3 4 2 4 2 5" xfId="11690"/>
    <cellStyle name="Milliers 2 2 3 4 2 4 3" xfId="11691"/>
    <cellStyle name="Milliers 2 2 3 4 2 4 3 2" xfId="11692"/>
    <cellStyle name="Milliers 2 2 3 4 2 4 3 2 2" xfId="11693"/>
    <cellStyle name="Milliers 2 2 3 4 2 4 3 2 2 2" xfId="11694"/>
    <cellStyle name="Milliers 2 2 3 4 2 4 3 2 3" xfId="11695"/>
    <cellStyle name="Milliers 2 2 3 4 2 4 3 3" xfId="11696"/>
    <cellStyle name="Milliers 2 2 3 4 2 4 3 3 2" xfId="11697"/>
    <cellStyle name="Milliers 2 2 3 4 2 4 3 4" xfId="11698"/>
    <cellStyle name="Milliers 2 2 3 4 2 4 4" xfId="11699"/>
    <cellStyle name="Milliers 2 2 3 4 2 4 4 2" xfId="11700"/>
    <cellStyle name="Milliers 2 2 3 4 2 4 4 2 2" xfId="11701"/>
    <cellStyle name="Milliers 2 2 3 4 2 4 4 3" xfId="11702"/>
    <cellStyle name="Milliers 2 2 3 4 2 4 5" xfId="11703"/>
    <cellStyle name="Milliers 2 2 3 4 2 4 5 2" xfId="11704"/>
    <cellStyle name="Milliers 2 2 3 4 2 4 6" xfId="11705"/>
    <cellStyle name="Milliers 2 2 3 4 2 5" xfId="11706"/>
    <cellStyle name="Milliers 2 2 3 4 2 5 2" xfId="11707"/>
    <cellStyle name="Milliers 2 2 3 4 2 5 2 2" xfId="11708"/>
    <cellStyle name="Milliers 2 2 3 4 2 5 2 2 2" xfId="11709"/>
    <cellStyle name="Milliers 2 2 3 4 2 5 2 2 2 2" xfId="11710"/>
    <cellStyle name="Milliers 2 2 3 4 2 5 2 2 3" xfId="11711"/>
    <cellStyle name="Milliers 2 2 3 4 2 5 2 3" xfId="11712"/>
    <cellStyle name="Milliers 2 2 3 4 2 5 2 3 2" xfId="11713"/>
    <cellStyle name="Milliers 2 2 3 4 2 5 2 4" xfId="11714"/>
    <cellStyle name="Milliers 2 2 3 4 2 5 3" xfId="11715"/>
    <cellStyle name="Milliers 2 2 3 4 2 5 3 2" xfId="11716"/>
    <cellStyle name="Milliers 2 2 3 4 2 5 3 2 2" xfId="11717"/>
    <cellStyle name="Milliers 2 2 3 4 2 5 3 3" xfId="11718"/>
    <cellStyle name="Milliers 2 2 3 4 2 5 4" xfId="11719"/>
    <cellStyle name="Milliers 2 2 3 4 2 5 4 2" xfId="11720"/>
    <cellStyle name="Milliers 2 2 3 4 2 5 5" xfId="11721"/>
    <cellStyle name="Milliers 2 2 3 4 2 6" xfId="11722"/>
    <cellStyle name="Milliers 2 2 3 4 2 6 2" xfId="11723"/>
    <cellStyle name="Milliers 2 2 3 4 2 6 2 2" xfId="11724"/>
    <cellStyle name="Milliers 2 2 3 4 2 6 2 2 2" xfId="11725"/>
    <cellStyle name="Milliers 2 2 3 4 2 6 2 3" xfId="11726"/>
    <cellStyle name="Milliers 2 2 3 4 2 6 3" xfId="11727"/>
    <cellStyle name="Milliers 2 2 3 4 2 6 3 2" xfId="11728"/>
    <cellStyle name="Milliers 2 2 3 4 2 6 4" xfId="11729"/>
    <cellStyle name="Milliers 2 2 3 4 2 7" xfId="11730"/>
    <cellStyle name="Milliers 2 2 3 4 2 7 2" xfId="11731"/>
    <cellStyle name="Milliers 2 2 3 4 2 7 2 2" xfId="11732"/>
    <cellStyle name="Milliers 2 2 3 4 2 7 3" xfId="11733"/>
    <cellStyle name="Milliers 2 2 3 4 2 8" xfId="11734"/>
    <cellStyle name="Milliers 2 2 3 4 2 8 2" xfId="11735"/>
    <cellStyle name="Milliers 2 2 3 4 2 9" xfId="11736"/>
    <cellStyle name="Milliers 2 2 3 4 3" xfId="11737"/>
    <cellStyle name="Milliers 2 2 3 4 3 2" xfId="11738"/>
    <cellStyle name="Milliers 2 2 3 4 3 2 2" xfId="11739"/>
    <cellStyle name="Milliers 2 2 3 4 3 2 2 2" xfId="11740"/>
    <cellStyle name="Milliers 2 2 3 4 3 2 2 2 2" xfId="11741"/>
    <cellStyle name="Milliers 2 2 3 4 3 2 2 2 2 2" xfId="11742"/>
    <cellStyle name="Milliers 2 2 3 4 3 2 2 2 2 2 2" xfId="11743"/>
    <cellStyle name="Milliers 2 2 3 4 3 2 2 2 2 2 2 2" xfId="11744"/>
    <cellStyle name="Milliers 2 2 3 4 3 2 2 2 2 2 3" xfId="11745"/>
    <cellStyle name="Milliers 2 2 3 4 3 2 2 2 2 3" xfId="11746"/>
    <cellStyle name="Milliers 2 2 3 4 3 2 2 2 2 3 2" xfId="11747"/>
    <cellStyle name="Milliers 2 2 3 4 3 2 2 2 2 4" xfId="11748"/>
    <cellStyle name="Milliers 2 2 3 4 3 2 2 2 3" xfId="11749"/>
    <cellStyle name="Milliers 2 2 3 4 3 2 2 2 3 2" xfId="11750"/>
    <cellStyle name="Milliers 2 2 3 4 3 2 2 2 3 2 2" xfId="11751"/>
    <cellStyle name="Milliers 2 2 3 4 3 2 2 2 3 3" xfId="11752"/>
    <cellStyle name="Milliers 2 2 3 4 3 2 2 2 4" xfId="11753"/>
    <cellStyle name="Milliers 2 2 3 4 3 2 2 2 4 2" xfId="11754"/>
    <cellStyle name="Milliers 2 2 3 4 3 2 2 2 5" xfId="11755"/>
    <cellStyle name="Milliers 2 2 3 4 3 2 2 3" xfId="11756"/>
    <cellStyle name="Milliers 2 2 3 4 3 2 2 3 2" xfId="11757"/>
    <cellStyle name="Milliers 2 2 3 4 3 2 2 3 2 2" xfId="11758"/>
    <cellStyle name="Milliers 2 2 3 4 3 2 2 3 2 2 2" xfId="11759"/>
    <cellStyle name="Milliers 2 2 3 4 3 2 2 3 2 3" xfId="11760"/>
    <cellStyle name="Milliers 2 2 3 4 3 2 2 3 3" xfId="11761"/>
    <cellStyle name="Milliers 2 2 3 4 3 2 2 3 3 2" xfId="11762"/>
    <cellStyle name="Milliers 2 2 3 4 3 2 2 3 4" xfId="11763"/>
    <cellStyle name="Milliers 2 2 3 4 3 2 2 4" xfId="11764"/>
    <cellStyle name="Milliers 2 2 3 4 3 2 2 4 2" xfId="11765"/>
    <cellStyle name="Milliers 2 2 3 4 3 2 2 4 2 2" xfId="11766"/>
    <cellStyle name="Milliers 2 2 3 4 3 2 2 4 3" xfId="11767"/>
    <cellStyle name="Milliers 2 2 3 4 3 2 2 5" xfId="11768"/>
    <cellStyle name="Milliers 2 2 3 4 3 2 2 5 2" xfId="11769"/>
    <cellStyle name="Milliers 2 2 3 4 3 2 2 6" xfId="11770"/>
    <cellStyle name="Milliers 2 2 3 4 3 2 3" xfId="11771"/>
    <cellStyle name="Milliers 2 2 3 4 3 2 3 2" xfId="11772"/>
    <cellStyle name="Milliers 2 2 3 4 3 2 3 2 2" xfId="11773"/>
    <cellStyle name="Milliers 2 2 3 4 3 2 3 2 2 2" xfId="11774"/>
    <cellStyle name="Milliers 2 2 3 4 3 2 3 2 2 2 2" xfId="11775"/>
    <cellStyle name="Milliers 2 2 3 4 3 2 3 2 2 3" xfId="11776"/>
    <cellStyle name="Milliers 2 2 3 4 3 2 3 2 3" xfId="11777"/>
    <cellStyle name="Milliers 2 2 3 4 3 2 3 2 3 2" xfId="11778"/>
    <cellStyle name="Milliers 2 2 3 4 3 2 3 2 4" xfId="11779"/>
    <cellStyle name="Milliers 2 2 3 4 3 2 3 3" xfId="11780"/>
    <cellStyle name="Milliers 2 2 3 4 3 2 3 3 2" xfId="11781"/>
    <cellStyle name="Milliers 2 2 3 4 3 2 3 3 2 2" xfId="11782"/>
    <cellStyle name="Milliers 2 2 3 4 3 2 3 3 3" xfId="11783"/>
    <cellStyle name="Milliers 2 2 3 4 3 2 3 4" xfId="11784"/>
    <cellStyle name="Milliers 2 2 3 4 3 2 3 4 2" xfId="11785"/>
    <cellStyle name="Milliers 2 2 3 4 3 2 3 5" xfId="11786"/>
    <cellStyle name="Milliers 2 2 3 4 3 2 4" xfId="11787"/>
    <cellStyle name="Milliers 2 2 3 4 3 2 4 2" xfId="11788"/>
    <cellStyle name="Milliers 2 2 3 4 3 2 4 2 2" xfId="11789"/>
    <cellStyle name="Milliers 2 2 3 4 3 2 4 2 2 2" xfId="11790"/>
    <cellStyle name="Milliers 2 2 3 4 3 2 4 2 3" xfId="11791"/>
    <cellStyle name="Milliers 2 2 3 4 3 2 4 3" xfId="11792"/>
    <cellStyle name="Milliers 2 2 3 4 3 2 4 3 2" xfId="11793"/>
    <cellStyle name="Milliers 2 2 3 4 3 2 4 4" xfId="11794"/>
    <cellStyle name="Milliers 2 2 3 4 3 2 5" xfId="11795"/>
    <cellStyle name="Milliers 2 2 3 4 3 2 5 2" xfId="11796"/>
    <cellStyle name="Milliers 2 2 3 4 3 2 5 2 2" xfId="11797"/>
    <cellStyle name="Milliers 2 2 3 4 3 2 5 3" xfId="11798"/>
    <cellStyle name="Milliers 2 2 3 4 3 2 6" xfId="11799"/>
    <cellStyle name="Milliers 2 2 3 4 3 2 6 2" xfId="11800"/>
    <cellStyle name="Milliers 2 2 3 4 3 2 7" xfId="11801"/>
    <cellStyle name="Milliers 2 2 3 4 3 3" xfId="11802"/>
    <cellStyle name="Milliers 2 2 3 4 3 3 2" xfId="11803"/>
    <cellStyle name="Milliers 2 2 3 4 3 3 2 2" xfId="11804"/>
    <cellStyle name="Milliers 2 2 3 4 3 3 2 2 2" xfId="11805"/>
    <cellStyle name="Milliers 2 2 3 4 3 3 2 2 2 2" xfId="11806"/>
    <cellStyle name="Milliers 2 2 3 4 3 3 2 2 2 2 2" xfId="11807"/>
    <cellStyle name="Milliers 2 2 3 4 3 3 2 2 2 3" xfId="11808"/>
    <cellStyle name="Milliers 2 2 3 4 3 3 2 2 3" xfId="11809"/>
    <cellStyle name="Milliers 2 2 3 4 3 3 2 2 3 2" xfId="11810"/>
    <cellStyle name="Milliers 2 2 3 4 3 3 2 2 4" xfId="11811"/>
    <cellStyle name="Milliers 2 2 3 4 3 3 2 3" xfId="11812"/>
    <cellStyle name="Milliers 2 2 3 4 3 3 2 3 2" xfId="11813"/>
    <cellStyle name="Milliers 2 2 3 4 3 3 2 3 2 2" xfId="11814"/>
    <cellStyle name="Milliers 2 2 3 4 3 3 2 3 3" xfId="11815"/>
    <cellStyle name="Milliers 2 2 3 4 3 3 2 4" xfId="11816"/>
    <cellStyle name="Milliers 2 2 3 4 3 3 2 4 2" xfId="11817"/>
    <cellStyle name="Milliers 2 2 3 4 3 3 2 5" xfId="11818"/>
    <cellStyle name="Milliers 2 2 3 4 3 3 3" xfId="11819"/>
    <cellStyle name="Milliers 2 2 3 4 3 3 3 2" xfId="11820"/>
    <cellStyle name="Milliers 2 2 3 4 3 3 3 2 2" xfId="11821"/>
    <cellStyle name="Milliers 2 2 3 4 3 3 3 2 2 2" xfId="11822"/>
    <cellStyle name="Milliers 2 2 3 4 3 3 3 2 3" xfId="11823"/>
    <cellStyle name="Milliers 2 2 3 4 3 3 3 3" xfId="11824"/>
    <cellStyle name="Milliers 2 2 3 4 3 3 3 3 2" xfId="11825"/>
    <cellStyle name="Milliers 2 2 3 4 3 3 3 4" xfId="11826"/>
    <cellStyle name="Milliers 2 2 3 4 3 3 4" xfId="11827"/>
    <cellStyle name="Milliers 2 2 3 4 3 3 4 2" xfId="11828"/>
    <cellStyle name="Milliers 2 2 3 4 3 3 4 2 2" xfId="11829"/>
    <cellStyle name="Milliers 2 2 3 4 3 3 4 3" xfId="11830"/>
    <cellStyle name="Milliers 2 2 3 4 3 3 5" xfId="11831"/>
    <cellStyle name="Milliers 2 2 3 4 3 3 5 2" xfId="11832"/>
    <cellStyle name="Milliers 2 2 3 4 3 3 6" xfId="11833"/>
    <cellStyle name="Milliers 2 2 3 4 3 4" xfId="11834"/>
    <cellStyle name="Milliers 2 2 3 4 3 4 2" xfId="11835"/>
    <cellStyle name="Milliers 2 2 3 4 3 4 2 2" xfId="11836"/>
    <cellStyle name="Milliers 2 2 3 4 3 4 2 2 2" xfId="11837"/>
    <cellStyle name="Milliers 2 2 3 4 3 4 2 2 2 2" xfId="11838"/>
    <cellStyle name="Milliers 2 2 3 4 3 4 2 2 3" xfId="11839"/>
    <cellStyle name="Milliers 2 2 3 4 3 4 2 3" xfId="11840"/>
    <cellStyle name="Milliers 2 2 3 4 3 4 2 3 2" xfId="11841"/>
    <cellStyle name="Milliers 2 2 3 4 3 4 2 4" xfId="11842"/>
    <cellStyle name="Milliers 2 2 3 4 3 4 3" xfId="11843"/>
    <cellStyle name="Milliers 2 2 3 4 3 4 3 2" xfId="11844"/>
    <cellStyle name="Milliers 2 2 3 4 3 4 3 2 2" xfId="11845"/>
    <cellStyle name="Milliers 2 2 3 4 3 4 3 3" xfId="11846"/>
    <cellStyle name="Milliers 2 2 3 4 3 4 4" xfId="11847"/>
    <cellStyle name="Milliers 2 2 3 4 3 4 4 2" xfId="11848"/>
    <cellStyle name="Milliers 2 2 3 4 3 4 5" xfId="11849"/>
    <cellStyle name="Milliers 2 2 3 4 3 5" xfId="11850"/>
    <cellStyle name="Milliers 2 2 3 4 3 5 2" xfId="11851"/>
    <cellStyle name="Milliers 2 2 3 4 3 5 2 2" xfId="11852"/>
    <cellStyle name="Milliers 2 2 3 4 3 5 2 2 2" xfId="11853"/>
    <cellStyle name="Milliers 2 2 3 4 3 5 2 3" xfId="11854"/>
    <cellStyle name="Milliers 2 2 3 4 3 5 3" xfId="11855"/>
    <cellStyle name="Milliers 2 2 3 4 3 5 3 2" xfId="11856"/>
    <cellStyle name="Milliers 2 2 3 4 3 5 4" xfId="11857"/>
    <cellStyle name="Milliers 2 2 3 4 3 6" xfId="11858"/>
    <cellStyle name="Milliers 2 2 3 4 3 6 2" xfId="11859"/>
    <cellStyle name="Milliers 2 2 3 4 3 6 2 2" xfId="11860"/>
    <cellStyle name="Milliers 2 2 3 4 3 6 3" xfId="11861"/>
    <cellStyle name="Milliers 2 2 3 4 3 7" xfId="11862"/>
    <cellStyle name="Milliers 2 2 3 4 3 7 2" xfId="11863"/>
    <cellStyle name="Milliers 2 2 3 4 3 8" xfId="11864"/>
    <cellStyle name="Milliers 2 2 3 4 4" xfId="11865"/>
    <cellStyle name="Milliers 2 2 3 4 4 2" xfId="11866"/>
    <cellStyle name="Milliers 2 2 3 4 4 2 2" xfId="11867"/>
    <cellStyle name="Milliers 2 2 3 4 4 2 2 2" xfId="11868"/>
    <cellStyle name="Milliers 2 2 3 4 4 2 2 2 2" xfId="11869"/>
    <cellStyle name="Milliers 2 2 3 4 4 2 2 2 2 2" xfId="11870"/>
    <cellStyle name="Milliers 2 2 3 4 4 2 2 2 2 2 2" xfId="11871"/>
    <cellStyle name="Milliers 2 2 3 4 4 2 2 2 2 3" xfId="11872"/>
    <cellStyle name="Milliers 2 2 3 4 4 2 2 2 3" xfId="11873"/>
    <cellStyle name="Milliers 2 2 3 4 4 2 2 2 3 2" xfId="11874"/>
    <cellStyle name="Milliers 2 2 3 4 4 2 2 2 4" xfId="11875"/>
    <cellStyle name="Milliers 2 2 3 4 4 2 2 3" xfId="11876"/>
    <cellStyle name="Milliers 2 2 3 4 4 2 2 3 2" xfId="11877"/>
    <cellStyle name="Milliers 2 2 3 4 4 2 2 3 2 2" xfId="11878"/>
    <cellStyle name="Milliers 2 2 3 4 4 2 2 3 3" xfId="11879"/>
    <cellStyle name="Milliers 2 2 3 4 4 2 2 4" xfId="11880"/>
    <cellStyle name="Milliers 2 2 3 4 4 2 2 4 2" xfId="11881"/>
    <cellStyle name="Milliers 2 2 3 4 4 2 2 5" xfId="11882"/>
    <cellStyle name="Milliers 2 2 3 4 4 2 3" xfId="11883"/>
    <cellStyle name="Milliers 2 2 3 4 4 2 3 2" xfId="11884"/>
    <cellStyle name="Milliers 2 2 3 4 4 2 3 2 2" xfId="11885"/>
    <cellStyle name="Milliers 2 2 3 4 4 2 3 2 2 2" xfId="11886"/>
    <cellStyle name="Milliers 2 2 3 4 4 2 3 2 3" xfId="11887"/>
    <cellStyle name="Milliers 2 2 3 4 4 2 3 3" xfId="11888"/>
    <cellStyle name="Milliers 2 2 3 4 4 2 3 3 2" xfId="11889"/>
    <cellStyle name="Milliers 2 2 3 4 4 2 3 4" xfId="11890"/>
    <cellStyle name="Milliers 2 2 3 4 4 2 4" xfId="11891"/>
    <cellStyle name="Milliers 2 2 3 4 4 2 4 2" xfId="11892"/>
    <cellStyle name="Milliers 2 2 3 4 4 2 4 2 2" xfId="11893"/>
    <cellStyle name="Milliers 2 2 3 4 4 2 4 3" xfId="11894"/>
    <cellStyle name="Milliers 2 2 3 4 4 2 5" xfId="11895"/>
    <cellStyle name="Milliers 2 2 3 4 4 2 5 2" xfId="11896"/>
    <cellStyle name="Milliers 2 2 3 4 4 2 6" xfId="11897"/>
    <cellStyle name="Milliers 2 2 3 4 4 3" xfId="11898"/>
    <cellStyle name="Milliers 2 2 3 4 4 3 2" xfId="11899"/>
    <cellStyle name="Milliers 2 2 3 4 4 3 2 2" xfId="11900"/>
    <cellStyle name="Milliers 2 2 3 4 4 3 2 2 2" xfId="11901"/>
    <cellStyle name="Milliers 2 2 3 4 4 3 2 2 2 2" xfId="11902"/>
    <cellStyle name="Milliers 2 2 3 4 4 3 2 2 3" xfId="11903"/>
    <cellStyle name="Milliers 2 2 3 4 4 3 2 3" xfId="11904"/>
    <cellStyle name="Milliers 2 2 3 4 4 3 2 3 2" xfId="11905"/>
    <cellStyle name="Milliers 2 2 3 4 4 3 2 4" xfId="11906"/>
    <cellStyle name="Milliers 2 2 3 4 4 3 3" xfId="11907"/>
    <cellStyle name="Milliers 2 2 3 4 4 3 3 2" xfId="11908"/>
    <cellStyle name="Milliers 2 2 3 4 4 3 3 2 2" xfId="11909"/>
    <cellStyle name="Milliers 2 2 3 4 4 3 3 3" xfId="11910"/>
    <cellStyle name="Milliers 2 2 3 4 4 3 4" xfId="11911"/>
    <cellStyle name="Milliers 2 2 3 4 4 3 4 2" xfId="11912"/>
    <cellStyle name="Milliers 2 2 3 4 4 3 5" xfId="11913"/>
    <cellStyle name="Milliers 2 2 3 4 4 4" xfId="11914"/>
    <cellStyle name="Milliers 2 2 3 4 4 4 2" xfId="11915"/>
    <cellStyle name="Milliers 2 2 3 4 4 4 2 2" xfId="11916"/>
    <cellStyle name="Milliers 2 2 3 4 4 4 2 2 2" xfId="11917"/>
    <cellStyle name="Milliers 2 2 3 4 4 4 2 3" xfId="11918"/>
    <cellStyle name="Milliers 2 2 3 4 4 4 3" xfId="11919"/>
    <cellStyle name="Milliers 2 2 3 4 4 4 3 2" xfId="11920"/>
    <cellStyle name="Milliers 2 2 3 4 4 4 4" xfId="11921"/>
    <cellStyle name="Milliers 2 2 3 4 4 5" xfId="11922"/>
    <cellStyle name="Milliers 2 2 3 4 4 5 2" xfId="11923"/>
    <cellStyle name="Milliers 2 2 3 4 4 5 2 2" xfId="11924"/>
    <cellStyle name="Milliers 2 2 3 4 4 5 3" xfId="11925"/>
    <cellStyle name="Milliers 2 2 3 4 4 6" xfId="11926"/>
    <cellStyle name="Milliers 2 2 3 4 4 6 2" xfId="11927"/>
    <cellStyle name="Milliers 2 2 3 4 4 7" xfId="11928"/>
    <cellStyle name="Milliers 2 2 3 4 5" xfId="11929"/>
    <cellStyle name="Milliers 2 2 3 4 5 2" xfId="11930"/>
    <cellStyle name="Milliers 2 2 3 4 5 2 2" xfId="11931"/>
    <cellStyle name="Milliers 2 2 3 4 5 2 2 2" xfId="11932"/>
    <cellStyle name="Milliers 2 2 3 4 5 2 2 2 2" xfId="11933"/>
    <cellStyle name="Milliers 2 2 3 4 5 2 2 2 2 2" xfId="11934"/>
    <cellStyle name="Milliers 2 2 3 4 5 2 2 2 3" xfId="11935"/>
    <cellStyle name="Milliers 2 2 3 4 5 2 2 3" xfId="11936"/>
    <cellStyle name="Milliers 2 2 3 4 5 2 2 3 2" xfId="11937"/>
    <cellStyle name="Milliers 2 2 3 4 5 2 2 4" xfId="11938"/>
    <cellStyle name="Milliers 2 2 3 4 5 2 3" xfId="11939"/>
    <cellStyle name="Milliers 2 2 3 4 5 2 3 2" xfId="11940"/>
    <cellStyle name="Milliers 2 2 3 4 5 2 3 2 2" xfId="11941"/>
    <cellStyle name="Milliers 2 2 3 4 5 2 3 3" xfId="11942"/>
    <cellStyle name="Milliers 2 2 3 4 5 2 4" xfId="11943"/>
    <cellStyle name="Milliers 2 2 3 4 5 2 4 2" xfId="11944"/>
    <cellStyle name="Milliers 2 2 3 4 5 2 5" xfId="11945"/>
    <cellStyle name="Milliers 2 2 3 4 5 3" xfId="11946"/>
    <cellStyle name="Milliers 2 2 3 4 5 3 2" xfId="11947"/>
    <cellStyle name="Milliers 2 2 3 4 5 3 2 2" xfId="11948"/>
    <cellStyle name="Milliers 2 2 3 4 5 3 2 2 2" xfId="11949"/>
    <cellStyle name="Milliers 2 2 3 4 5 3 2 3" xfId="11950"/>
    <cellStyle name="Milliers 2 2 3 4 5 3 3" xfId="11951"/>
    <cellStyle name="Milliers 2 2 3 4 5 3 3 2" xfId="11952"/>
    <cellStyle name="Milliers 2 2 3 4 5 3 4" xfId="11953"/>
    <cellStyle name="Milliers 2 2 3 4 5 4" xfId="11954"/>
    <cellStyle name="Milliers 2 2 3 4 5 4 2" xfId="11955"/>
    <cellStyle name="Milliers 2 2 3 4 5 4 2 2" xfId="11956"/>
    <cellStyle name="Milliers 2 2 3 4 5 4 3" xfId="11957"/>
    <cellStyle name="Milliers 2 2 3 4 5 5" xfId="11958"/>
    <cellStyle name="Milliers 2 2 3 4 5 5 2" xfId="11959"/>
    <cellStyle name="Milliers 2 2 3 4 5 6" xfId="11960"/>
    <cellStyle name="Milliers 2 2 3 4 6" xfId="11961"/>
    <cellStyle name="Milliers 2 2 3 4 6 2" xfId="11962"/>
    <cellStyle name="Milliers 2 2 3 4 6 2 2" xfId="11963"/>
    <cellStyle name="Milliers 2 2 3 4 6 2 2 2" xfId="11964"/>
    <cellStyle name="Milliers 2 2 3 4 6 2 2 2 2" xfId="11965"/>
    <cellStyle name="Milliers 2 2 3 4 6 2 2 3" xfId="11966"/>
    <cellStyle name="Milliers 2 2 3 4 6 2 3" xfId="11967"/>
    <cellStyle name="Milliers 2 2 3 4 6 2 3 2" xfId="11968"/>
    <cellStyle name="Milliers 2 2 3 4 6 2 4" xfId="11969"/>
    <cellStyle name="Milliers 2 2 3 4 6 3" xfId="11970"/>
    <cellStyle name="Milliers 2 2 3 4 6 3 2" xfId="11971"/>
    <cellStyle name="Milliers 2 2 3 4 6 3 2 2" xfId="11972"/>
    <cellStyle name="Milliers 2 2 3 4 6 3 3" xfId="11973"/>
    <cellStyle name="Milliers 2 2 3 4 6 4" xfId="11974"/>
    <cellStyle name="Milliers 2 2 3 4 6 4 2" xfId="11975"/>
    <cellStyle name="Milliers 2 2 3 4 6 5" xfId="11976"/>
    <cellStyle name="Milliers 2 2 3 4 7" xfId="11977"/>
    <cellStyle name="Milliers 2 2 3 4 7 2" xfId="11978"/>
    <cellStyle name="Milliers 2 2 3 4 7 2 2" xfId="11979"/>
    <cellStyle name="Milliers 2 2 3 4 7 2 2 2" xfId="11980"/>
    <cellStyle name="Milliers 2 2 3 4 7 2 3" xfId="11981"/>
    <cellStyle name="Milliers 2 2 3 4 7 3" xfId="11982"/>
    <cellStyle name="Milliers 2 2 3 4 7 3 2" xfId="11983"/>
    <cellStyle name="Milliers 2 2 3 4 7 4" xfId="11984"/>
    <cellStyle name="Milliers 2 2 3 4 8" xfId="11985"/>
    <cellStyle name="Milliers 2 2 3 4 8 2" xfId="11986"/>
    <cellStyle name="Milliers 2 2 3 4 8 2 2" xfId="11987"/>
    <cellStyle name="Milliers 2 2 3 4 8 3" xfId="11988"/>
    <cellStyle name="Milliers 2 2 3 4 9" xfId="11989"/>
    <cellStyle name="Milliers 2 2 3 4 9 2" xfId="11990"/>
    <cellStyle name="Milliers 2 2 3 5" xfId="11991"/>
    <cellStyle name="Milliers 2 2 3 5 2" xfId="11992"/>
    <cellStyle name="Milliers 2 2 3 5 2 2" xfId="11993"/>
    <cellStyle name="Milliers 2 2 3 5 2 2 2" xfId="11994"/>
    <cellStyle name="Milliers 2 2 3 5 2 2 2 2" xfId="11995"/>
    <cellStyle name="Milliers 2 2 3 5 2 2 2 2 2" xfId="11996"/>
    <cellStyle name="Milliers 2 2 3 5 2 2 2 2 2 2" xfId="11997"/>
    <cellStyle name="Milliers 2 2 3 5 2 2 2 2 2 2 2" xfId="11998"/>
    <cellStyle name="Milliers 2 2 3 5 2 2 2 2 2 2 2 2" xfId="11999"/>
    <cellStyle name="Milliers 2 2 3 5 2 2 2 2 2 2 3" xfId="12000"/>
    <cellStyle name="Milliers 2 2 3 5 2 2 2 2 2 3" xfId="12001"/>
    <cellStyle name="Milliers 2 2 3 5 2 2 2 2 2 3 2" xfId="12002"/>
    <cellStyle name="Milliers 2 2 3 5 2 2 2 2 2 4" xfId="12003"/>
    <cellStyle name="Milliers 2 2 3 5 2 2 2 2 3" xfId="12004"/>
    <cellStyle name="Milliers 2 2 3 5 2 2 2 2 3 2" xfId="12005"/>
    <cellStyle name="Milliers 2 2 3 5 2 2 2 2 3 2 2" xfId="12006"/>
    <cellStyle name="Milliers 2 2 3 5 2 2 2 2 3 3" xfId="12007"/>
    <cellStyle name="Milliers 2 2 3 5 2 2 2 2 4" xfId="12008"/>
    <cellStyle name="Milliers 2 2 3 5 2 2 2 2 4 2" xfId="12009"/>
    <cellStyle name="Milliers 2 2 3 5 2 2 2 2 5" xfId="12010"/>
    <cellStyle name="Milliers 2 2 3 5 2 2 2 3" xfId="12011"/>
    <cellStyle name="Milliers 2 2 3 5 2 2 2 3 2" xfId="12012"/>
    <cellStyle name="Milliers 2 2 3 5 2 2 2 3 2 2" xfId="12013"/>
    <cellStyle name="Milliers 2 2 3 5 2 2 2 3 2 2 2" xfId="12014"/>
    <cellStyle name="Milliers 2 2 3 5 2 2 2 3 2 3" xfId="12015"/>
    <cellStyle name="Milliers 2 2 3 5 2 2 2 3 3" xfId="12016"/>
    <cellStyle name="Milliers 2 2 3 5 2 2 2 3 3 2" xfId="12017"/>
    <cellStyle name="Milliers 2 2 3 5 2 2 2 3 4" xfId="12018"/>
    <cellStyle name="Milliers 2 2 3 5 2 2 2 4" xfId="12019"/>
    <cellStyle name="Milliers 2 2 3 5 2 2 2 4 2" xfId="12020"/>
    <cellStyle name="Milliers 2 2 3 5 2 2 2 4 2 2" xfId="12021"/>
    <cellStyle name="Milliers 2 2 3 5 2 2 2 4 3" xfId="12022"/>
    <cellStyle name="Milliers 2 2 3 5 2 2 2 5" xfId="12023"/>
    <cellStyle name="Milliers 2 2 3 5 2 2 2 5 2" xfId="12024"/>
    <cellStyle name="Milliers 2 2 3 5 2 2 2 6" xfId="12025"/>
    <cellStyle name="Milliers 2 2 3 5 2 2 3" xfId="12026"/>
    <cellStyle name="Milliers 2 2 3 5 2 2 3 2" xfId="12027"/>
    <cellStyle name="Milliers 2 2 3 5 2 2 3 2 2" xfId="12028"/>
    <cellStyle name="Milliers 2 2 3 5 2 2 3 2 2 2" xfId="12029"/>
    <cellStyle name="Milliers 2 2 3 5 2 2 3 2 2 2 2" xfId="12030"/>
    <cellStyle name="Milliers 2 2 3 5 2 2 3 2 2 3" xfId="12031"/>
    <cellStyle name="Milliers 2 2 3 5 2 2 3 2 3" xfId="12032"/>
    <cellStyle name="Milliers 2 2 3 5 2 2 3 2 3 2" xfId="12033"/>
    <cellStyle name="Milliers 2 2 3 5 2 2 3 2 4" xfId="12034"/>
    <cellStyle name="Milliers 2 2 3 5 2 2 3 3" xfId="12035"/>
    <cellStyle name="Milliers 2 2 3 5 2 2 3 3 2" xfId="12036"/>
    <cellStyle name="Milliers 2 2 3 5 2 2 3 3 2 2" xfId="12037"/>
    <cellStyle name="Milliers 2 2 3 5 2 2 3 3 3" xfId="12038"/>
    <cellStyle name="Milliers 2 2 3 5 2 2 3 4" xfId="12039"/>
    <cellStyle name="Milliers 2 2 3 5 2 2 3 4 2" xfId="12040"/>
    <cellStyle name="Milliers 2 2 3 5 2 2 3 5" xfId="12041"/>
    <cellStyle name="Milliers 2 2 3 5 2 2 4" xfId="12042"/>
    <cellStyle name="Milliers 2 2 3 5 2 2 4 2" xfId="12043"/>
    <cellStyle name="Milliers 2 2 3 5 2 2 4 2 2" xfId="12044"/>
    <cellStyle name="Milliers 2 2 3 5 2 2 4 2 2 2" xfId="12045"/>
    <cellStyle name="Milliers 2 2 3 5 2 2 4 2 3" xfId="12046"/>
    <cellStyle name="Milliers 2 2 3 5 2 2 4 3" xfId="12047"/>
    <cellStyle name="Milliers 2 2 3 5 2 2 4 3 2" xfId="12048"/>
    <cellStyle name="Milliers 2 2 3 5 2 2 4 4" xfId="12049"/>
    <cellStyle name="Milliers 2 2 3 5 2 2 5" xfId="12050"/>
    <cellStyle name="Milliers 2 2 3 5 2 2 5 2" xfId="12051"/>
    <cellStyle name="Milliers 2 2 3 5 2 2 5 2 2" xfId="12052"/>
    <cellStyle name="Milliers 2 2 3 5 2 2 5 3" xfId="12053"/>
    <cellStyle name="Milliers 2 2 3 5 2 2 6" xfId="12054"/>
    <cellStyle name="Milliers 2 2 3 5 2 2 6 2" xfId="12055"/>
    <cellStyle name="Milliers 2 2 3 5 2 2 7" xfId="12056"/>
    <cellStyle name="Milliers 2 2 3 5 2 3" xfId="12057"/>
    <cellStyle name="Milliers 2 2 3 5 2 3 2" xfId="12058"/>
    <cellStyle name="Milliers 2 2 3 5 2 3 2 2" xfId="12059"/>
    <cellStyle name="Milliers 2 2 3 5 2 3 2 2 2" xfId="12060"/>
    <cellStyle name="Milliers 2 2 3 5 2 3 2 2 2 2" xfId="12061"/>
    <cellStyle name="Milliers 2 2 3 5 2 3 2 2 2 2 2" xfId="12062"/>
    <cellStyle name="Milliers 2 2 3 5 2 3 2 2 2 3" xfId="12063"/>
    <cellStyle name="Milliers 2 2 3 5 2 3 2 2 3" xfId="12064"/>
    <cellStyle name="Milliers 2 2 3 5 2 3 2 2 3 2" xfId="12065"/>
    <cellStyle name="Milliers 2 2 3 5 2 3 2 2 4" xfId="12066"/>
    <cellStyle name="Milliers 2 2 3 5 2 3 2 3" xfId="12067"/>
    <cellStyle name="Milliers 2 2 3 5 2 3 2 3 2" xfId="12068"/>
    <cellStyle name="Milliers 2 2 3 5 2 3 2 3 2 2" xfId="12069"/>
    <cellStyle name="Milliers 2 2 3 5 2 3 2 3 3" xfId="12070"/>
    <cellStyle name="Milliers 2 2 3 5 2 3 2 4" xfId="12071"/>
    <cellStyle name="Milliers 2 2 3 5 2 3 2 4 2" xfId="12072"/>
    <cellStyle name="Milliers 2 2 3 5 2 3 2 5" xfId="12073"/>
    <cellStyle name="Milliers 2 2 3 5 2 3 3" xfId="12074"/>
    <cellStyle name="Milliers 2 2 3 5 2 3 3 2" xfId="12075"/>
    <cellStyle name="Milliers 2 2 3 5 2 3 3 2 2" xfId="12076"/>
    <cellStyle name="Milliers 2 2 3 5 2 3 3 2 2 2" xfId="12077"/>
    <cellStyle name="Milliers 2 2 3 5 2 3 3 2 3" xfId="12078"/>
    <cellStyle name="Milliers 2 2 3 5 2 3 3 3" xfId="12079"/>
    <cellStyle name="Milliers 2 2 3 5 2 3 3 3 2" xfId="12080"/>
    <cellStyle name="Milliers 2 2 3 5 2 3 3 4" xfId="12081"/>
    <cellStyle name="Milliers 2 2 3 5 2 3 4" xfId="12082"/>
    <cellStyle name="Milliers 2 2 3 5 2 3 4 2" xfId="12083"/>
    <cellStyle name="Milliers 2 2 3 5 2 3 4 2 2" xfId="12084"/>
    <cellStyle name="Milliers 2 2 3 5 2 3 4 3" xfId="12085"/>
    <cellStyle name="Milliers 2 2 3 5 2 3 5" xfId="12086"/>
    <cellStyle name="Milliers 2 2 3 5 2 3 5 2" xfId="12087"/>
    <cellStyle name="Milliers 2 2 3 5 2 3 6" xfId="12088"/>
    <cellStyle name="Milliers 2 2 3 5 2 4" xfId="12089"/>
    <cellStyle name="Milliers 2 2 3 5 2 4 2" xfId="12090"/>
    <cellStyle name="Milliers 2 2 3 5 2 4 2 2" xfId="12091"/>
    <cellStyle name="Milliers 2 2 3 5 2 4 2 2 2" xfId="12092"/>
    <cellStyle name="Milliers 2 2 3 5 2 4 2 2 2 2" xfId="12093"/>
    <cellStyle name="Milliers 2 2 3 5 2 4 2 2 3" xfId="12094"/>
    <cellStyle name="Milliers 2 2 3 5 2 4 2 3" xfId="12095"/>
    <cellStyle name="Milliers 2 2 3 5 2 4 2 3 2" xfId="12096"/>
    <cellStyle name="Milliers 2 2 3 5 2 4 2 4" xfId="12097"/>
    <cellStyle name="Milliers 2 2 3 5 2 4 3" xfId="12098"/>
    <cellStyle name="Milliers 2 2 3 5 2 4 3 2" xfId="12099"/>
    <cellStyle name="Milliers 2 2 3 5 2 4 3 2 2" xfId="12100"/>
    <cellStyle name="Milliers 2 2 3 5 2 4 3 3" xfId="12101"/>
    <cellStyle name="Milliers 2 2 3 5 2 4 4" xfId="12102"/>
    <cellStyle name="Milliers 2 2 3 5 2 4 4 2" xfId="12103"/>
    <cellStyle name="Milliers 2 2 3 5 2 4 5" xfId="12104"/>
    <cellStyle name="Milliers 2 2 3 5 2 5" xfId="12105"/>
    <cellStyle name="Milliers 2 2 3 5 2 5 2" xfId="12106"/>
    <cellStyle name="Milliers 2 2 3 5 2 5 2 2" xfId="12107"/>
    <cellStyle name="Milliers 2 2 3 5 2 5 2 2 2" xfId="12108"/>
    <cellStyle name="Milliers 2 2 3 5 2 5 2 3" xfId="12109"/>
    <cellStyle name="Milliers 2 2 3 5 2 5 3" xfId="12110"/>
    <cellStyle name="Milliers 2 2 3 5 2 5 3 2" xfId="12111"/>
    <cellStyle name="Milliers 2 2 3 5 2 5 4" xfId="12112"/>
    <cellStyle name="Milliers 2 2 3 5 2 6" xfId="12113"/>
    <cellStyle name="Milliers 2 2 3 5 2 6 2" xfId="12114"/>
    <cellStyle name="Milliers 2 2 3 5 2 6 2 2" xfId="12115"/>
    <cellStyle name="Milliers 2 2 3 5 2 6 3" xfId="12116"/>
    <cellStyle name="Milliers 2 2 3 5 2 7" xfId="12117"/>
    <cellStyle name="Milliers 2 2 3 5 2 7 2" xfId="12118"/>
    <cellStyle name="Milliers 2 2 3 5 2 8" xfId="12119"/>
    <cellStyle name="Milliers 2 2 3 5 3" xfId="12120"/>
    <cellStyle name="Milliers 2 2 3 5 3 2" xfId="12121"/>
    <cellStyle name="Milliers 2 2 3 5 3 2 2" xfId="12122"/>
    <cellStyle name="Milliers 2 2 3 5 3 2 2 2" xfId="12123"/>
    <cellStyle name="Milliers 2 2 3 5 3 2 2 2 2" xfId="12124"/>
    <cellStyle name="Milliers 2 2 3 5 3 2 2 2 2 2" xfId="12125"/>
    <cellStyle name="Milliers 2 2 3 5 3 2 2 2 2 2 2" xfId="12126"/>
    <cellStyle name="Milliers 2 2 3 5 3 2 2 2 2 3" xfId="12127"/>
    <cellStyle name="Milliers 2 2 3 5 3 2 2 2 3" xfId="12128"/>
    <cellStyle name="Milliers 2 2 3 5 3 2 2 2 3 2" xfId="12129"/>
    <cellStyle name="Milliers 2 2 3 5 3 2 2 2 4" xfId="12130"/>
    <cellStyle name="Milliers 2 2 3 5 3 2 2 3" xfId="12131"/>
    <cellStyle name="Milliers 2 2 3 5 3 2 2 3 2" xfId="12132"/>
    <cellStyle name="Milliers 2 2 3 5 3 2 2 3 2 2" xfId="12133"/>
    <cellStyle name="Milliers 2 2 3 5 3 2 2 3 3" xfId="12134"/>
    <cellStyle name="Milliers 2 2 3 5 3 2 2 4" xfId="12135"/>
    <cellStyle name="Milliers 2 2 3 5 3 2 2 4 2" xfId="12136"/>
    <cellStyle name="Milliers 2 2 3 5 3 2 2 5" xfId="12137"/>
    <cellStyle name="Milliers 2 2 3 5 3 2 3" xfId="12138"/>
    <cellStyle name="Milliers 2 2 3 5 3 2 3 2" xfId="12139"/>
    <cellStyle name="Milliers 2 2 3 5 3 2 3 2 2" xfId="12140"/>
    <cellStyle name="Milliers 2 2 3 5 3 2 3 2 2 2" xfId="12141"/>
    <cellStyle name="Milliers 2 2 3 5 3 2 3 2 3" xfId="12142"/>
    <cellStyle name="Milliers 2 2 3 5 3 2 3 3" xfId="12143"/>
    <cellStyle name="Milliers 2 2 3 5 3 2 3 3 2" xfId="12144"/>
    <cellStyle name="Milliers 2 2 3 5 3 2 3 4" xfId="12145"/>
    <cellStyle name="Milliers 2 2 3 5 3 2 4" xfId="12146"/>
    <cellStyle name="Milliers 2 2 3 5 3 2 4 2" xfId="12147"/>
    <cellStyle name="Milliers 2 2 3 5 3 2 4 2 2" xfId="12148"/>
    <cellStyle name="Milliers 2 2 3 5 3 2 4 3" xfId="12149"/>
    <cellStyle name="Milliers 2 2 3 5 3 2 5" xfId="12150"/>
    <cellStyle name="Milliers 2 2 3 5 3 2 5 2" xfId="12151"/>
    <cellStyle name="Milliers 2 2 3 5 3 2 6" xfId="12152"/>
    <cellStyle name="Milliers 2 2 3 5 3 3" xfId="12153"/>
    <cellStyle name="Milliers 2 2 3 5 3 3 2" xfId="12154"/>
    <cellStyle name="Milliers 2 2 3 5 3 3 2 2" xfId="12155"/>
    <cellStyle name="Milliers 2 2 3 5 3 3 2 2 2" xfId="12156"/>
    <cellStyle name="Milliers 2 2 3 5 3 3 2 2 2 2" xfId="12157"/>
    <cellStyle name="Milliers 2 2 3 5 3 3 2 2 3" xfId="12158"/>
    <cellStyle name="Milliers 2 2 3 5 3 3 2 3" xfId="12159"/>
    <cellStyle name="Milliers 2 2 3 5 3 3 2 3 2" xfId="12160"/>
    <cellStyle name="Milliers 2 2 3 5 3 3 2 4" xfId="12161"/>
    <cellStyle name="Milliers 2 2 3 5 3 3 3" xfId="12162"/>
    <cellStyle name="Milliers 2 2 3 5 3 3 3 2" xfId="12163"/>
    <cellStyle name="Milliers 2 2 3 5 3 3 3 2 2" xfId="12164"/>
    <cellStyle name="Milliers 2 2 3 5 3 3 3 3" xfId="12165"/>
    <cellStyle name="Milliers 2 2 3 5 3 3 4" xfId="12166"/>
    <cellStyle name="Milliers 2 2 3 5 3 3 4 2" xfId="12167"/>
    <cellStyle name="Milliers 2 2 3 5 3 3 5" xfId="12168"/>
    <cellStyle name="Milliers 2 2 3 5 3 4" xfId="12169"/>
    <cellStyle name="Milliers 2 2 3 5 3 4 2" xfId="12170"/>
    <cellStyle name="Milliers 2 2 3 5 3 4 2 2" xfId="12171"/>
    <cellStyle name="Milliers 2 2 3 5 3 4 2 2 2" xfId="12172"/>
    <cellStyle name="Milliers 2 2 3 5 3 4 2 3" xfId="12173"/>
    <cellStyle name="Milliers 2 2 3 5 3 4 3" xfId="12174"/>
    <cellStyle name="Milliers 2 2 3 5 3 4 3 2" xfId="12175"/>
    <cellStyle name="Milliers 2 2 3 5 3 4 4" xfId="12176"/>
    <cellStyle name="Milliers 2 2 3 5 3 5" xfId="12177"/>
    <cellStyle name="Milliers 2 2 3 5 3 5 2" xfId="12178"/>
    <cellStyle name="Milliers 2 2 3 5 3 5 2 2" xfId="12179"/>
    <cellStyle name="Milliers 2 2 3 5 3 5 3" xfId="12180"/>
    <cellStyle name="Milliers 2 2 3 5 3 6" xfId="12181"/>
    <cellStyle name="Milliers 2 2 3 5 3 6 2" xfId="12182"/>
    <cellStyle name="Milliers 2 2 3 5 3 7" xfId="12183"/>
    <cellStyle name="Milliers 2 2 3 5 4" xfId="12184"/>
    <cellStyle name="Milliers 2 2 3 5 4 2" xfId="12185"/>
    <cellStyle name="Milliers 2 2 3 5 4 2 2" xfId="12186"/>
    <cellStyle name="Milliers 2 2 3 5 4 2 2 2" xfId="12187"/>
    <cellStyle name="Milliers 2 2 3 5 4 2 2 2 2" xfId="12188"/>
    <cellStyle name="Milliers 2 2 3 5 4 2 2 2 2 2" xfId="12189"/>
    <cellStyle name="Milliers 2 2 3 5 4 2 2 2 3" xfId="12190"/>
    <cellStyle name="Milliers 2 2 3 5 4 2 2 3" xfId="12191"/>
    <cellStyle name="Milliers 2 2 3 5 4 2 2 3 2" xfId="12192"/>
    <cellStyle name="Milliers 2 2 3 5 4 2 2 4" xfId="12193"/>
    <cellStyle name="Milliers 2 2 3 5 4 2 3" xfId="12194"/>
    <cellStyle name="Milliers 2 2 3 5 4 2 3 2" xfId="12195"/>
    <cellStyle name="Milliers 2 2 3 5 4 2 3 2 2" xfId="12196"/>
    <cellStyle name="Milliers 2 2 3 5 4 2 3 3" xfId="12197"/>
    <cellStyle name="Milliers 2 2 3 5 4 2 4" xfId="12198"/>
    <cellStyle name="Milliers 2 2 3 5 4 2 4 2" xfId="12199"/>
    <cellStyle name="Milliers 2 2 3 5 4 2 5" xfId="12200"/>
    <cellStyle name="Milliers 2 2 3 5 4 3" xfId="12201"/>
    <cellStyle name="Milliers 2 2 3 5 4 3 2" xfId="12202"/>
    <cellStyle name="Milliers 2 2 3 5 4 3 2 2" xfId="12203"/>
    <cellStyle name="Milliers 2 2 3 5 4 3 2 2 2" xfId="12204"/>
    <cellStyle name="Milliers 2 2 3 5 4 3 2 3" xfId="12205"/>
    <cellStyle name="Milliers 2 2 3 5 4 3 3" xfId="12206"/>
    <cellStyle name="Milliers 2 2 3 5 4 3 3 2" xfId="12207"/>
    <cellStyle name="Milliers 2 2 3 5 4 3 4" xfId="12208"/>
    <cellStyle name="Milliers 2 2 3 5 4 4" xfId="12209"/>
    <cellStyle name="Milliers 2 2 3 5 4 4 2" xfId="12210"/>
    <cellStyle name="Milliers 2 2 3 5 4 4 2 2" xfId="12211"/>
    <cellStyle name="Milliers 2 2 3 5 4 4 3" xfId="12212"/>
    <cellStyle name="Milliers 2 2 3 5 4 5" xfId="12213"/>
    <cellStyle name="Milliers 2 2 3 5 4 5 2" xfId="12214"/>
    <cellStyle name="Milliers 2 2 3 5 4 6" xfId="12215"/>
    <cellStyle name="Milliers 2 2 3 5 5" xfId="12216"/>
    <cellStyle name="Milliers 2 2 3 5 5 2" xfId="12217"/>
    <cellStyle name="Milliers 2 2 3 5 5 2 2" xfId="12218"/>
    <cellStyle name="Milliers 2 2 3 5 5 2 2 2" xfId="12219"/>
    <cellStyle name="Milliers 2 2 3 5 5 2 2 2 2" xfId="12220"/>
    <cellStyle name="Milliers 2 2 3 5 5 2 2 3" xfId="12221"/>
    <cellStyle name="Milliers 2 2 3 5 5 2 3" xfId="12222"/>
    <cellStyle name="Milliers 2 2 3 5 5 2 3 2" xfId="12223"/>
    <cellStyle name="Milliers 2 2 3 5 5 2 4" xfId="12224"/>
    <cellStyle name="Milliers 2 2 3 5 5 3" xfId="12225"/>
    <cellStyle name="Milliers 2 2 3 5 5 3 2" xfId="12226"/>
    <cellStyle name="Milliers 2 2 3 5 5 3 2 2" xfId="12227"/>
    <cellStyle name="Milliers 2 2 3 5 5 3 3" xfId="12228"/>
    <cellStyle name="Milliers 2 2 3 5 5 4" xfId="12229"/>
    <cellStyle name="Milliers 2 2 3 5 5 4 2" xfId="12230"/>
    <cellStyle name="Milliers 2 2 3 5 5 5" xfId="12231"/>
    <cellStyle name="Milliers 2 2 3 5 6" xfId="12232"/>
    <cellStyle name="Milliers 2 2 3 5 6 2" xfId="12233"/>
    <cellStyle name="Milliers 2 2 3 5 6 2 2" xfId="12234"/>
    <cellStyle name="Milliers 2 2 3 5 6 2 2 2" xfId="12235"/>
    <cellStyle name="Milliers 2 2 3 5 6 2 3" xfId="12236"/>
    <cellStyle name="Milliers 2 2 3 5 6 3" xfId="12237"/>
    <cellStyle name="Milliers 2 2 3 5 6 3 2" xfId="12238"/>
    <cellStyle name="Milliers 2 2 3 5 6 4" xfId="12239"/>
    <cellStyle name="Milliers 2 2 3 5 7" xfId="12240"/>
    <cellStyle name="Milliers 2 2 3 5 7 2" xfId="12241"/>
    <cellStyle name="Milliers 2 2 3 5 7 2 2" xfId="12242"/>
    <cellStyle name="Milliers 2 2 3 5 7 3" xfId="12243"/>
    <cellStyle name="Milliers 2 2 3 5 8" xfId="12244"/>
    <cellStyle name="Milliers 2 2 3 5 8 2" xfId="12245"/>
    <cellStyle name="Milliers 2 2 3 5 9" xfId="12246"/>
    <cellStyle name="Milliers 2 2 3 6" xfId="12247"/>
    <cellStyle name="Milliers 2 2 3 6 2" xfId="12248"/>
    <cellStyle name="Milliers 2 2 3 6 2 2" xfId="12249"/>
    <cellStyle name="Milliers 2 2 3 6 2 2 2" xfId="12250"/>
    <cellStyle name="Milliers 2 2 3 6 2 2 2 2" xfId="12251"/>
    <cellStyle name="Milliers 2 2 3 6 2 2 2 2 2" xfId="12252"/>
    <cellStyle name="Milliers 2 2 3 6 2 2 2 2 2 2" xfId="12253"/>
    <cellStyle name="Milliers 2 2 3 6 2 2 2 2 2 2 2" xfId="12254"/>
    <cellStyle name="Milliers 2 2 3 6 2 2 2 2 2 3" xfId="12255"/>
    <cellStyle name="Milliers 2 2 3 6 2 2 2 2 3" xfId="12256"/>
    <cellStyle name="Milliers 2 2 3 6 2 2 2 2 3 2" xfId="12257"/>
    <cellStyle name="Milliers 2 2 3 6 2 2 2 2 4" xfId="12258"/>
    <cellStyle name="Milliers 2 2 3 6 2 2 2 3" xfId="12259"/>
    <cellStyle name="Milliers 2 2 3 6 2 2 2 3 2" xfId="12260"/>
    <cellStyle name="Milliers 2 2 3 6 2 2 2 3 2 2" xfId="12261"/>
    <cellStyle name="Milliers 2 2 3 6 2 2 2 3 3" xfId="12262"/>
    <cellStyle name="Milliers 2 2 3 6 2 2 2 4" xfId="12263"/>
    <cellStyle name="Milliers 2 2 3 6 2 2 2 4 2" xfId="12264"/>
    <cellStyle name="Milliers 2 2 3 6 2 2 2 5" xfId="12265"/>
    <cellStyle name="Milliers 2 2 3 6 2 2 3" xfId="12266"/>
    <cellStyle name="Milliers 2 2 3 6 2 2 3 2" xfId="12267"/>
    <cellStyle name="Milliers 2 2 3 6 2 2 3 2 2" xfId="12268"/>
    <cellStyle name="Milliers 2 2 3 6 2 2 3 2 2 2" xfId="12269"/>
    <cellStyle name="Milliers 2 2 3 6 2 2 3 2 3" xfId="12270"/>
    <cellStyle name="Milliers 2 2 3 6 2 2 3 3" xfId="12271"/>
    <cellStyle name="Milliers 2 2 3 6 2 2 3 3 2" xfId="12272"/>
    <cellStyle name="Milliers 2 2 3 6 2 2 3 4" xfId="12273"/>
    <cellStyle name="Milliers 2 2 3 6 2 2 4" xfId="12274"/>
    <cellStyle name="Milliers 2 2 3 6 2 2 4 2" xfId="12275"/>
    <cellStyle name="Milliers 2 2 3 6 2 2 4 2 2" xfId="12276"/>
    <cellStyle name="Milliers 2 2 3 6 2 2 4 3" xfId="12277"/>
    <cellStyle name="Milliers 2 2 3 6 2 2 5" xfId="12278"/>
    <cellStyle name="Milliers 2 2 3 6 2 2 5 2" xfId="12279"/>
    <cellStyle name="Milliers 2 2 3 6 2 2 6" xfId="12280"/>
    <cellStyle name="Milliers 2 2 3 6 2 3" xfId="12281"/>
    <cellStyle name="Milliers 2 2 3 6 2 3 2" xfId="12282"/>
    <cellStyle name="Milliers 2 2 3 6 2 3 2 2" xfId="12283"/>
    <cellStyle name="Milliers 2 2 3 6 2 3 2 2 2" xfId="12284"/>
    <cellStyle name="Milliers 2 2 3 6 2 3 2 2 2 2" xfId="12285"/>
    <cellStyle name="Milliers 2 2 3 6 2 3 2 2 3" xfId="12286"/>
    <cellStyle name="Milliers 2 2 3 6 2 3 2 3" xfId="12287"/>
    <cellStyle name="Milliers 2 2 3 6 2 3 2 3 2" xfId="12288"/>
    <cellStyle name="Milliers 2 2 3 6 2 3 2 4" xfId="12289"/>
    <cellStyle name="Milliers 2 2 3 6 2 3 3" xfId="12290"/>
    <cellStyle name="Milliers 2 2 3 6 2 3 3 2" xfId="12291"/>
    <cellStyle name="Milliers 2 2 3 6 2 3 3 2 2" xfId="12292"/>
    <cellStyle name="Milliers 2 2 3 6 2 3 3 3" xfId="12293"/>
    <cellStyle name="Milliers 2 2 3 6 2 3 4" xfId="12294"/>
    <cellStyle name="Milliers 2 2 3 6 2 3 4 2" xfId="12295"/>
    <cellStyle name="Milliers 2 2 3 6 2 3 5" xfId="12296"/>
    <cellStyle name="Milliers 2 2 3 6 2 4" xfId="12297"/>
    <cellStyle name="Milliers 2 2 3 6 2 4 2" xfId="12298"/>
    <cellStyle name="Milliers 2 2 3 6 2 4 2 2" xfId="12299"/>
    <cellStyle name="Milliers 2 2 3 6 2 4 2 2 2" xfId="12300"/>
    <cellStyle name="Milliers 2 2 3 6 2 4 2 3" xfId="12301"/>
    <cellStyle name="Milliers 2 2 3 6 2 4 3" xfId="12302"/>
    <cellStyle name="Milliers 2 2 3 6 2 4 3 2" xfId="12303"/>
    <cellStyle name="Milliers 2 2 3 6 2 4 4" xfId="12304"/>
    <cellStyle name="Milliers 2 2 3 6 2 5" xfId="12305"/>
    <cellStyle name="Milliers 2 2 3 6 2 5 2" xfId="12306"/>
    <cellStyle name="Milliers 2 2 3 6 2 5 2 2" xfId="12307"/>
    <cellStyle name="Milliers 2 2 3 6 2 5 3" xfId="12308"/>
    <cellStyle name="Milliers 2 2 3 6 2 6" xfId="12309"/>
    <cellStyle name="Milliers 2 2 3 6 2 6 2" xfId="12310"/>
    <cellStyle name="Milliers 2 2 3 6 2 7" xfId="12311"/>
    <cellStyle name="Milliers 2 2 3 6 3" xfId="12312"/>
    <cellStyle name="Milliers 2 2 3 6 3 2" xfId="12313"/>
    <cellStyle name="Milliers 2 2 3 6 3 2 2" xfId="12314"/>
    <cellStyle name="Milliers 2 2 3 6 3 2 2 2" xfId="12315"/>
    <cellStyle name="Milliers 2 2 3 6 3 2 2 2 2" xfId="12316"/>
    <cellStyle name="Milliers 2 2 3 6 3 2 2 2 2 2" xfId="12317"/>
    <cellStyle name="Milliers 2 2 3 6 3 2 2 2 3" xfId="12318"/>
    <cellStyle name="Milliers 2 2 3 6 3 2 2 3" xfId="12319"/>
    <cellStyle name="Milliers 2 2 3 6 3 2 2 3 2" xfId="12320"/>
    <cellStyle name="Milliers 2 2 3 6 3 2 2 4" xfId="12321"/>
    <cellStyle name="Milliers 2 2 3 6 3 2 3" xfId="12322"/>
    <cellStyle name="Milliers 2 2 3 6 3 2 3 2" xfId="12323"/>
    <cellStyle name="Milliers 2 2 3 6 3 2 3 2 2" xfId="12324"/>
    <cellStyle name="Milliers 2 2 3 6 3 2 3 3" xfId="12325"/>
    <cellStyle name="Milliers 2 2 3 6 3 2 4" xfId="12326"/>
    <cellStyle name="Milliers 2 2 3 6 3 2 4 2" xfId="12327"/>
    <cellStyle name="Milliers 2 2 3 6 3 2 5" xfId="12328"/>
    <cellStyle name="Milliers 2 2 3 6 3 3" xfId="12329"/>
    <cellStyle name="Milliers 2 2 3 6 3 3 2" xfId="12330"/>
    <cellStyle name="Milliers 2 2 3 6 3 3 2 2" xfId="12331"/>
    <cellStyle name="Milliers 2 2 3 6 3 3 2 2 2" xfId="12332"/>
    <cellStyle name="Milliers 2 2 3 6 3 3 2 3" xfId="12333"/>
    <cellStyle name="Milliers 2 2 3 6 3 3 3" xfId="12334"/>
    <cellStyle name="Milliers 2 2 3 6 3 3 3 2" xfId="12335"/>
    <cellStyle name="Milliers 2 2 3 6 3 3 4" xfId="12336"/>
    <cellStyle name="Milliers 2 2 3 6 3 4" xfId="12337"/>
    <cellStyle name="Milliers 2 2 3 6 3 4 2" xfId="12338"/>
    <cellStyle name="Milliers 2 2 3 6 3 4 2 2" xfId="12339"/>
    <cellStyle name="Milliers 2 2 3 6 3 4 3" xfId="12340"/>
    <cellStyle name="Milliers 2 2 3 6 3 5" xfId="12341"/>
    <cellStyle name="Milliers 2 2 3 6 3 5 2" xfId="12342"/>
    <cellStyle name="Milliers 2 2 3 6 3 6" xfId="12343"/>
    <cellStyle name="Milliers 2 2 3 6 4" xfId="12344"/>
    <cellStyle name="Milliers 2 2 3 6 4 2" xfId="12345"/>
    <cellStyle name="Milliers 2 2 3 6 4 2 2" xfId="12346"/>
    <cellStyle name="Milliers 2 2 3 6 4 2 2 2" xfId="12347"/>
    <cellStyle name="Milliers 2 2 3 6 4 2 2 2 2" xfId="12348"/>
    <cellStyle name="Milliers 2 2 3 6 4 2 2 3" xfId="12349"/>
    <cellStyle name="Milliers 2 2 3 6 4 2 3" xfId="12350"/>
    <cellStyle name="Milliers 2 2 3 6 4 2 3 2" xfId="12351"/>
    <cellStyle name="Milliers 2 2 3 6 4 2 4" xfId="12352"/>
    <cellStyle name="Milliers 2 2 3 6 4 3" xfId="12353"/>
    <cellStyle name="Milliers 2 2 3 6 4 3 2" xfId="12354"/>
    <cellStyle name="Milliers 2 2 3 6 4 3 2 2" xfId="12355"/>
    <cellStyle name="Milliers 2 2 3 6 4 3 3" xfId="12356"/>
    <cellStyle name="Milliers 2 2 3 6 4 4" xfId="12357"/>
    <cellStyle name="Milliers 2 2 3 6 4 4 2" xfId="12358"/>
    <cellStyle name="Milliers 2 2 3 6 4 5" xfId="12359"/>
    <cellStyle name="Milliers 2 2 3 6 5" xfId="12360"/>
    <cellStyle name="Milliers 2 2 3 6 5 2" xfId="12361"/>
    <cellStyle name="Milliers 2 2 3 6 5 2 2" xfId="12362"/>
    <cellStyle name="Milliers 2 2 3 6 5 2 2 2" xfId="12363"/>
    <cellStyle name="Milliers 2 2 3 6 5 2 3" xfId="12364"/>
    <cellStyle name="Milliers 2 2 3 6 5 3" xfId="12365"/>
    <cellStyle name="Milliers 2 2 3 6 5 3 2" xfId="12366"/>
    <cellStyle name="Milliers 2 2 3 6 5 4" xfId="12367"/>
    <cellStyle name="Milliers 2 2 3 6 6" xfId="12368"/>
    <cellStyle name="Milliers 2 2 3 6 6 2" xfId="12369"/>
    <cellStyle name="Milliers 2 2 3 6 6 2 2" xfId="12370"/>
    <cellStyle name="Milliers 2 2 3 6 6 3" xfId="12371"/>
    <cellStyle name="Milliers 2 2 3 6 7" xfId="12372"/>
    <cellStyle name="Milliers 2 2 3 6 7 2" xfId="12373"/>
    <cellStyle name="Milliers 2 2 3 6 8" xfId="12374"/>
    <cellStyle name="Milliers 2 2 3 7" xfId="12375"/>
    <cellStyle name="Milliers 2 2 3 7 2" xfId="12376"/>
    <cellStyle name="Milliers 2 2 3 7 2 2" xfId="12377"/>
    <cellStyle name="Milliers 2 2 3 7 2 2 2" xfId="12378"/>
    <cellStyle name="Milliers 2 2 3 7 2 2 2 2" xfId="12379"/>
    <cellStyle name="Milliers 2 2 3 7 2 2 2 2 2" xfId="12380"/>
    <cellStyle name="Milliers 2 2 3 7 2 2 2 2 2 2" xfId="12381"/>
    <cellStyle name="Milliers 2 2 3 7 2 2 2 2 3" xfId="12382"/>
    <cellStyle name="Milliers 2 2 3 7 2 2 2 3" xfId="12383"/>
    <cellStyle name="Milliers 2 2 3 7 2 2 2 3 2" xfId="12384"/>
    <cellStyle name="Milliers 2 2 3 7 2 2 2 4" xfId="12385"/>
    <cellStyle name="Milliers 2 2 3 7 2 2 3" xfId="12386"/>
    <cellStyle name="Milliers 2 2 3 7 2 2 3 2" xfId="12387"/>
    <cellStyle name="Milliers 2 2 3 7 2 2 3 2 2" xfId="12388"/>
    <cellStyle name="Milliers 2 2 3 7 2 2 3 3" xfId="12389"/>
    <cellStyle name="Milliers 2 2 3 7 2 2 4" xfId="12390"/>
    <cellStyle name="Milliers 2 2 3 7 2 2 4 2" xfId="12391"/>
    <cellStyle name="Milliers 2 2 3 7 2 2 5" xfId="12392"/>
    <cellStyle name="Milliers 2 2 3 7 2 3" xfId="12393"/>
    <cellStyle name="Milliers 2 2 3 7 2 3 2" xfId="12394"/>
    <cellStyle name="Milliers 2 2 3 7 2 3 2 2" xfId="12395"/>
    <cellStyle name="Milliers 2 2 3 7 2 3 2 2 2" xfId="12396"/>
    <cellStyle name="Milliers 2 2 3 7 2 3 2 3" xfId="12397"/>
    <cellStyle name="Milliers 2 2 3 7 2 3 3" xfId="12398"/>
    <cellStyle name="Milliers 2 2 3 7 2 3 3 2" xfId="12399"/>
    <cellStyle name="Milliers 2 2 3 7 2 3 4" xfId="12400"/>
    <cellStyle name="Milliers 2 2 3 7 2 4" xfId="12401"/>
    <cellStyle name="Milliers 2 2 3 7 2 4 2" xfId="12402"/>
    <cellStyle name="Milliers 2 2 3 7 2 4 2 2" xfId="12403"/>
    <cellStyle name="Milliers 2 2 3 7 2 4 3" xfId="12404"/>
    <cellStyle name="Milliers 2 2 3 7 2 5" xfId="12405"/>
    <cellStyle name="Milliers 2 2 3 7 2 5 2" xfId="12406"/>
    <cellStyle name="Milliers 2 2 3 7 2 6" xfId="12407"/>
    <cellStyle name="Milliers 2 2 3 7 3" xfId="12408"/>
    <cellStyle name="Milliers 2 2 3 7 3 2" xfId="12409"/>
    <cellStyle name="Milliers 2 2 3 7 3 2 2" xfId="12410"/>
    <cellStyle name="Milliers 2 2 3 7 3 2 2 2" xfId="12411"/>
    <cellStyle name="Milliers 2 2 3 7 3 2 2 2 2" xfId="12412"/>
    <cellStyle name="Milliers 2 2 3 7 3 2 2 3" xfId="12413"/>
    <cellStyle name="Milliers 2 2 3 7 3 2 3" xfId="12414"/>
    <cellStyle name="Milliers 2 2 3 7 3 2 3 2" xfId="12415"/>
    <cellStyle name="Milliers 2 2 3 7 3 2 4" xfId="12416"/>
    <cellStyle name="Milliers 2 2 3 7 3 3" xfId="12417"/>
    <cellStyle name="Milliers 2 2 3 7 3 3 2" xfId="12418"/>
    <cellStyle name="Milliers 2 2 3 7 3 3 2 2" xfId="12419"/>
    <cellStyle name="Milliers 2 2 3 7 3 3 3" xfId="12420"/>
    <cellStyle name="Milliers 2 2 3 7 3 4" xfId="12421"/>
    <cellStyle name="Milliers 2 2 3 7 3 4 2" xfId="12422"/>
    <cellStyle name="Milliers 2 2 3 7 3 5" xfId="12423"/>
    <cellStyle name="Milliers 2 2 3 7 4" xfId="12424"/>
    <cellStyle name="Milliers 2 2 3 7 4 2" xfId="12425"/>
    <cellStyle name="Milliers 2 2 3 7 4 2 2" xfId="12426"/>
    <cellStyle name="Milliers 2 2 3 7 4 2 2 2" xfId="12427"/>
    <cellStyle name="Milliers 2 2 3 7 4 2 3" xfId="12428"/>
    <cellStyle name="Milliers 2 2 3 7 4 3" xfId="12429"/>
    <cellStyle name="Milliers 2 2 3 7 4 3 2" xfId="12430"/>
    <cellStyle name="Milliers 2 2 3 7 4 4" xfId="12431"/>
    <cellStyle name="Milliers 2 2 3 7 5" xfId="12432"/>
    <cellStyle name="Milliers 2 2 3 7 5 2" xfId="12433"/>
    <cellStyle name="Milliers 2 2 3 7 5 2 2" xfId="12434"/>
    <cellStyle name="Milliers 2 2 3 7 5 3" xfId="12435"/>
    <cellStyle name="Milliers 2 2 3 7 6" xfId="12436"/>
    <cellStyle name="Milliers 2 2 3 7 6 2" xfId="12437"/>
    <cellStyle name="Milliers 2 2 3 7 7" xfId="12438"/>
    <cellStyle name="Milliers 2 2 3 8" xfId="12439"/>
    <cellStyle name="Milliers 2 2 3 8 2" xfId="12440"/>
    <cellStyle name="Milliers 2 2 3 8 2 2" xfId="12441"/>
    <cellStyle name="Milliers 2 2 3 8 2 2 2" xfId="12442"/>
    <cellStyle name="Milliers 2 2 3 8 2 2 2 2" xfId="12443"/>
    <cellStyle name="Milliers 2 2 3 8 2 2 2 2 2" xfId="12444"/>
    <cellStyle name="Milliers 2 2 3 8 2 2 2 3" xfId="12445"/>
    <cellStyle name="Milliers 2 2 3 8 2 2 3" xfId="12446"/>
    <cellStyle name="Milliers 2 2 3 8 2 2 3 2" xfId="12447"/>
    <cellStyle name="Milliers 2 2 3 8 2 2 4" xfId="12448"/>
    <cellStyle name="Milliers 2 2 3 8 2 3" xfId="12449"/>
    <cellStyle name="Milliers 2 2 3 8 2 3 2" xfId="12450"/>
    <cellStyle name="Milliers 2 2 3 8 2 3 2 2" xfId="12451"/>
    <cellStyle name="Milliers 2 2 3 8 2 3 3" xfId="12452"/>
    <cellStyle name="Milliers 2 2 3 8 2 4" xfId="12453"/>
    <cellStyle name="Milliers 2 2 3 8 2 4 2" xfId="12454"/>
    <cellStyle name="Milliers 2 2 3 8 2 5" xfId="12455"/>
    <cellStyle name="Milliers 2 2 3 8 3" xfId="12456"/>
    <cellStyle name="Milliers 2 2 3 8 3 2" xfId="12457"/>
    <cellStyle name="Milliers 2 2 3 8 3 2 2" xfId="12458"/>
    <cellStyle name="Milliers 2 2 3 8 3 2 2 2" xfId="12459"/>
    <cellStyle name="Milliers 2 2 3 8 3 2 3" xfId="12460"/>
    <cellStyle name="Milliers 2 2 3 8 3 3" xfId="12461"/>
    <cellStyle name="Milliers 2 2 3 8 3 3 2" xfId="12462"/>
    <cellStyle name="Milliers 2 2 3 8 3 4" xfId="12463"/>
    <cellStyle name="Milliers 2 2 3 8 4" xfId="12464"/>
    <cellStyle name="Milliers 2 2 3 8 4 2" xfId="12465"/>
    <cellStyle name="Milliers 2 2 3 8 4 2 2" xfId="12466"/>
    <cellStyle name="Milliers 2 2 3 8 4 3" xfId="12467"/>
    <cellStyle name="Milliers 2 2 3 8 5" xfId="12468"/>
    <cellStyle name="Milliers 2 2 3 8 5 2" xfId="12469"/>
    <cellStyle name="Milliers 2 2 3 8 6" xfId="12470"/>
    <cellStyle name="Milliers 2 2 3 9" xfId="12471"/>
    <cellStyle name="Milliers 2 2 3 9 2" xfId="12472"/>
    <cellStyle name="Milliers 2 2 3 9 2 2" xfId="12473"/>
    <cellStyle name="Milliers 2 2 3 9 2 2 2" xfId="12474"/>
    <cellStyle name="Milliers 2 2 3 9 2 2 2 2" xfId="12475"/>
    <cellStyle name="Milliers 2 2 3 9 2 2 3" xfId="12476"/>
    <cellStyle name="Milliers 2 2 3 9 2 3" xfId="12477"/>
    <cellStyle name="Milliers 2 2 3 9 2 3 2" xfId="12478"/>
    <cellStyle name="Milliers 2 2 3 9 2 4" xfId="12479"/>
    <cellStyle name="Milliers 2 2 3 9 3" xfId="12480"/>
    <cellStyle name="Milliers 2 2 3 9 3 2" xfId="12481"/>
    <cellStyle name="Milliers 2 2 3 9 3 2 2" xfId="12482"/>
    <cellStyle name="Milliers 2 2 3 9 3 3" xfId="12483"/>
    <cellStyle name="Milliers 2 2 3 9 4" xfId="12484"/>
    <cellStyle name="Milliers 2 2 3 9 4 2" xfId="12485"/>
    <cellStyle name="Milliers 2 2 3 9 5" xfId="12486"/>
    <cellStyle name="Milliers 2 2 4" xfId="12487"/>
    <cellStyle name="Milliers 2 2 4 10" xfId="12488"/>
    <cellStyle name="Milliers 2 2 4 10 2" xfId="12489"/>
    <cellStyle name="Milliers 2 2 4 10 2 2" xfId="12490"/>
    <cellStyle name="Milliers 2 2 4 10 3" xfId="12491"/>
    <cellStyle name="Milliers 2 2 4 11" xfId="12492"/>
    <cellStyle name="Milliers 2 2 4 11 2" xfId="12493"/>
    <cellStyle name="Milliers 2 2 4 12" xfId="12494"/>
    <cellStyle name="Milliers 2 2 4 2" xfId="12495"/>
    <cellStyle name="Milliers 2 2 4 2 10" xfId="12496"/>
    <cellStyle name="Milliers 2 2 4 2 10 2" xfId="12497"/>
    <cellStyle name="Milliers 2 2 4 2 11" xfId="12498"/>
    <cellStyle name="Milliers 2 2 4 2 2" xfId="12499"/>
    <cellStyle name="Milliers 2 2 4 2 2 10" xfId="12500"/>
    <cellStyle name="Milliers 2 2 4 2 2 2" xfId="12501"/>
    <cellStyle name="Milliers 2 2 4 2 2 2 2" xfId="12502"/>
    <cellStyle name="Milliers 2 2 4 2 2 2 2 2" xfId="12503"/>
    <cellStyle name="Milliers 2 2 4 2 2 2 2 2 2" xfId="12504"/>
    <cellStyle name="Milliers 2 2 4 2 2 2 2 2 2 2" xfId="12505"/>
    <cellStyle name="Milliers 2 2 4 2 2 2 2 2 2 2 2" xfId="12506"/>
    <cellStyle name="Milliers 2 2 4 2 2 2 2 2 2 2 2 2" xfId="12507"/>
    <cellStyle name="Milliers 2 2 4 2 2 2 2 2 2 2 2 2 2" xfId="12508"/>
    <cellStyle name="Milliers 2 2 4 2 2 2 2 2 2 2 2 2 2 2" xfId="12509"/>
    <cellStyle name="Milliers 2 2 4 2 2 2 2 2 2 2 2 2 3" xfId="12510"/>
    <cellStyle name="Milliers 2 2 4 2 2 2 2 2 2 2 2 3" xfId="12511"/>
    <cellStyle name="Milliers 2 2 4 2 2 2 2 2 2 2 2 3 2" xfId="12512"/>
    <cellStyle name="Milliers 2 2 4 2 2 2 2 2 2 2 2 4" xfId="12513"/>
    <cellStyle name="Milliers 2 2 4 2 2 2 2 2 2 2 3" xfId="12514"/>
    <cellStyle name="Milliers 2 2 4 2 2 2 2 2 2 2 3 2" xfId="12515"/>
    <cellStyle name="Milliers 2 2 4 2 2 2 2 2 2 2 3 2 2" xfId="12516"/>
    <cellStyle name="Milliers 2 2 4 2 2 2 2 2 2 2 3 3" xfId="12517"/>
    <cellStyle name="Milliers 2 2 4 2 2 2 2 2 2 2 4" xfId="12518"/>
    <cellStyle name="Milliers 2 2 4 2 2 2 2 2 2 2 4 2" xfId="12519"/>
    <cellStyle name="Milliers 2 2 4 2 2 2 2 2 2 2 5" xfId="12520"/>
    <cellStyle name="Milliers 2 2 4 2 2 2 2 2 2 3" xfId="12521"/>
    <cellStyle name="Milliers 2 2 4 2 2 2 2 2 2 3 2" xfId="12522"/>
    <cellStyle name="Milliers 2 2 4 2 2 2 2 2 2 3 2 2" xfId="12523"/>
    <cellStyle name="Milliers 2 2 4 2 2 2 2 2 2 3 2 2 2" xfId="12524"/>
    <cellStyle name="Milliers 2 2 4 2 2 2 2 2 2 3 2 3" xfId="12525"/>
    <cellStyle name="Milliers 2 2 4 2 2 2 2 2 2 3 3" xfId="12526"/>
    <cellStyle name="Milliers 2 2 4 2 2 2 2 2 2 3 3 2" xfId="12527"/>
    <cellStyle name="Milliers 2 2 4 2 2 2 2 2 2 3 4" xfId="12528"/>
    <cellStyle name="Milliers 2 2 4 2 2 2 2 2 2 4" xfId="12529"/>
    <cellStyle name="Milliers 2 2 4 2 2 2 2 2 2 4 2" xfId="12530"/>
    <cellStyle name="Milliers 2 2 4 2 2 2 2 2 2 4 2 2" xfId="12531"/>
    <cellStyle name="Milliers 2 2 4 2 2 2 2 2 2 4 3" xfId="12532"/>
    <cellStyle name="Milliers 2 2 4 2 2 2 2 2 2 5" xfId="12533"/>
    <cellStyle name="Milliers 2 2 4 2 2 2 2 2 2 5 2" xfId="12534"/>
    <cellStyle name="Milliers 2 2 4 2 2 2 2 2 2 6" xfId="12535"/>
    <cellStyle name="Milliers 2 2 4 2 2 2 2 2 3" xfId="12536"/>
    <cellStyle name="Milliers 2 2 4 2 2 2 2 2 3 2" xfId="12537"/>
    <cellStyle name="Milliers 2 2 4 2 2 2 2 2 3 2 2" xfId="12538"/>
    <cellStyle name="Milliers 2 2 4 2 2 2 2 2 3 2 2 2" xfId="12539"/>
    <cellStyle name="Milliers 2 2 4 2 2 2 2 2 3 2 2 2 2" xfId="12540"/>
    <cellStyle name="Milliers 2 2 4 2 2 2 2 2 3 2 2 3" xfId="12541"/>
    <cellStyle name="Milliers 2 2 4 2 2 2 2 2 3 2 3" xfId="12542"/>
    <cellStyle name="Milliers 2 2 4 2 2 2 2 2 3 2 3 2" xfId="12543"/>
    <cellStyle name="Milliers 2 2 4 2 2 2 2 2 3 2 4" xfId="12544"/>
    <cellStyle name="Milliers 2 2 4 2 2 2 2 2 3 3" xfId="12545"/>
    <cellStyle name="Milliers 2 2 4 2 2 2 2 2 3 3 2" xfId="12546"/>
    <cellStyle name="Milliers 2 2 4 2 2 2 2 2 3 3 2 2" xfId="12547"/>
    <cellStyle name="Milliers 2 2 4 2 2 2 2 2 3 3 3" xfId="12548"/>
    <cellStyle name="Milliers 2 2 4 2 2 2 2 2 3 4" xfId="12549"/>
    <cellStyle name="Milliers 2 2 4 2 2 2 2 2 3 4 2" xfId="12550"/>
    <cellStyle name="Milliers 2 2 4 2 2 2 2 2 3 5" xfId="12551"/>
    <cellStyle name="Milliers 2 2 4 2 2 2 2 2 4" xfId="12552"/>
    <cellStyle name="Milliers 2 2 4 2 2 2 2 2 4 2" xfId="12553"/>
    <cellStyle name="Milliers 2 2 4 2 2 2 2 2 4 2 2" xfId="12554"/>
    <cellStyle name="Milliers 2 2 4 2 2 2 2 2 4 2 2 2" xfId="12555"/>
    <cellStyle name="Milliers 2 2 4 2 2 2 2 2 4 2 3" xfId="12556"/>
    <cellStyle name="Milliers 2 2 4 2 2 2 2 2 4 3" xfId="12557"/>
    <cellStyle name="Milliers 2 2 4 2 2 2 2 2 4 3 2" xfId="12558"/>
    <cellStyle name="Milliers 2 2 4 2 2 2 2 2 4 4" xfId="12559"/>
    <cellStyle name="Milliers 2 2 4 2 2 2 2 2 5" xfId="12560"/>
    <cellStyle name="Milliers 2 2 4 2 2 2 2 2 5 2" xfId="12561"/>
    <cellStyle name="Milliers 2 2 4 2 2 2 2 2 5 2 2" xfId="12562"/>
    <cellStyle name="Milliers 2 2 4 2 2 2 2 2 5 3" xfId="12563"/>
    <cellStyle name="Milliers 2 2 4 2 2 2 2 2 6" xfId="12564"/>
    <cellStyle name="Milliers 2 2 4 2 2 2 2 2 6 2" xfId="12565"/>
    <cellStyle name="Milliers 2 2 4 2 2 2 2 2 7" xfId="12566"/>
    <cellStyle name="Milliers 2 2 4 2 2 2 2 3" xfId="12567"/>
    <cellStyle name="Milliers 2 2 4 2 2 2 2 3 2" xfId="12568"/>
    <cellStyle name="Milliers 2 2 4 2 2 2 2 3 2 2" xfId="12569"/>
    <cellStyle name="Milliers 2 2 4 2 2 2 2 3 2 2 2" xfId="12570"/>
    <cellStyle name="Milliers 2 2 4 2 2 2 2 3 2 2 2 2" xfId="12571"/>
    <cellStyle name="Milliers 2 2 4 2 2 2 2 3 2 2 2 2 2" xfId="12572"/>
    <cellStyle name="Milliers 2 2 4 2 2 2 2 3 2 2 2 3" xfId="12573"/>
    <cellStyle name="Milliers 2 2 4 2 2 2 2 3 2 2 3" xfId="12574"/>
    <cellStyle name="Milliers 2 2 4 2 2 2 2 3 2 2 3 2" xfId="12575"/>
    <cellStyle name="Milliers 2 2 4 2 2 2 2 3 2 2 4" xfId="12576"/>
    <cellStyle name="Milliers 2 2 4 2 2 2 2 3 2 3" xfId="12577"/>
    <cellStyle name="Milliers 2 2 4 2 2 2 2 3 2 3 2" xfId="12578"/>
    <cellStyle name="Milliers 2 2 4 2 2 2 2 3 2 3 2 2" xfId="12579"/>
    <cellStyle name="Milliers 2 2 4 2 2 2 2 3 2 3 3" xfId="12580"/>
    <cellStyle name="Milliers 2 2 4 2 2 2 2 3 2 4" xfId="12581"/>
    <cellStyle name="Milliers 2 2 4 2 2 2 2 3 2 4 2" xfId="12582"/>
    <cellStyle name="Milliers 2 2 4 2 2 2 2 3 2 5" xfId="12583"/>
    <cellStyle name="Milliers 2 2 4 2 2 2 2 3 3" xfId="12584"/>
    <cellStyle name="Milliers 2 2 4 2 2 2 2 3 3 2" xfId="12585"/>
    <cellStyle name="Milliers 2 2 4 2 2 2 2 3 3 2 2" xfId="12586"/>
    <cellStyle name="Milliers 2 2 4 2 2 2 2 3 3 2 2 2" xfId="12587"/>
    <cellStyle name="Milliers 2 2 4 2 2 2 2 3 3 2 3" xfId="12588"/>
    <cellStyle name="Milliers 2 2 4 2 2 2 2 3 3 3" xfId="12589"/>
    <cellStyle name="Milliers 2 2 4 2 2 2 2 3 3 3 2" xfId="12590"/>
    <cellStyle name="Milliers 2 2 4 2 2 2 2 3 3 4" xfId="12591"/>
    <cellStyle name="Milliers 2 2 4 2 2 2 2 3 4" xfId="12592"/>
    <cellStyle name="Milliers 2 2 4 2 2 2 2 3 4 2" xfId="12593"/>
    <cellStyle name="Milliers 2 2 4 2 2 2 2 3 4 2 2" xfId="12594"/>
    <cellStyle name="Milliers 2 2 4 2 2 2 2 3 4 3" xfId="12595"/>
    <cellStyle name="Milliers 2 2 4 2 2 2 2 3 5" xfId="12596"/>
    <cellStyle name="Milliers 2 2 4 2 2 2 2 3 5 2" xfId="12597"/>
    <cellStyle name="Milliers 2 2 4 2 2 2 2 3 6" xfId="12598"/>
    <cellStyle name="Milliers 2 2 4 2 2 2 2 4" xfId="12599"/>
    <cellStyle name="Milliers 2 2 4 2 2 2 2 4 2" xfId="12600"/>
    <cellStyle name="Milliers 2 2 4 2 2 2 2 4 2 2" xfId="12601"/>
    <cellStyle name="Milliers 2 2 4 2 2 2 2 4 2 2 2" xfId="12602"/>
    <cellStyle name="Milliers 2 2 4 2 2 2 2 4 2 2 2 2" xfId="12603"/>
    <cellStyle name="Milliers 2 2 4 2 2 2 2 4 2 2 3" xfId="12604"/>
    <cellStyle name="Milliers 2 2 4 2 2 2 2 4 2 3" xfId="12605"/>
    <cellStyle name="Milliers 2 2 4 2 2 2 2 4 2 3 2" xfId="12606"/>
    <cellStyle name="Milliers 2 2 4 2 2 2 2 4 2 4" xfId="12607"/>
    <cellStyle name="Milliers 2 2 4 2 2 2 2 4 3" xfId="12608"/>
    <cellStyle name="Milliers 2 2 4 2 2 2 2 4 3 2" xfId="12609"/>
    <cellStyle name="Milliers 2 2 4 2 2 2 2 4 3 2 2" xfId="12610"/>
    <cellStyle name="Milliers 2 2 4 2 2 2 2 4 3 3" xfId="12611"/>
    <cellStyle name="Milliers 2 2 4 2 2 2 2 4 4" xfId="12612"/>
    <cellStyle name="Milliers 2 2 4 2 2 2 2 4 4 2" xfId="12613"/>
    <cellStyle name="Milliers 2 2 4 2 2 2 2 4 5" xfId="12614"/>
    <cellStyle name="Milliers 2 2 4 2 2 2 2 5" xfId="12615"/>
    <cellStyle name="Milliers 2 2 4 2 2 2 2 5 2" xfId="12616"/>
    <cellStyle name="Milliers 2 2 4 2 2 2 2 5 2 2" xfId="12617"/>
    <cellStyle name="Milliers 2 2 4 2 2 2 2 5 2 2 2" xfId="12618"/>
    <cellStyle name="Milliers 2 2 4 2 2 2 2 5 2 3" xfId="12619"/>
    <cellStyle name="Milliers 2 2 4 2 2 2 2 5 3" xfId="12620"/>
    <cellStyle name="Milliers 2 2 4 2 2 2 2 5 3 2" xfId="12621"/>
    <cellStyle name="Milliers 2 2 4 2 2 2 2 5 4" xfId="12622"/>
    <cellStyle name="Milliers 2 2 4 2 2 2 2 6" xfId="12623"/>
    <cellStyle name="Milliers 2 2 4 2 2 2 2 6 2" xfId="12624"/>
    <cellStyle name="Milliers 2 2 4 2 2 2 2 6 2 2" xfId="12625"/>
    <cellStyle name="Milliers 2 2 4 2 2 2 2 6 3" xfId="12626"/>
    <cellStyle name="Milliers 2 2 4 2 2 2 2 7" xfId="12627"/>
    <cellStyle name="Milliers 2 2 4 2 2 2 2 7 2" xfId="12628"/>
    <cellStyle name="Milliers 2 2 4 2 2 2 2 8" xfId="12629"/>
    <cellStyle name="Milliers 2 2 4 2 2 2 3" xfId="12630"/>
    <cellStyle name="Milliers 2 2 4 2 2 2 3 2" xfId="12631"/>
    <cellStyle name="Milliers 2 2 4 2 2 2 3 2 2" xfId="12632"/>
    <cellStyle name="Milliers 2 2 4 2 2 2 3 2 2 2" xfId="12633"/>
    <cellStyle name="Milliers 2 2 4 2 2 2 3 2 2 2 2" xfId="12634"/>
    <cellStyle name="Milliers 2 2 4 2 2 2 3 2 2 2 2 2" xfId="12635"/>
    <cellStyle name="Milliers 2 2 4 2 2 2 3 2 2 2 2 2 2" xfId="12636"/>
    <cellStyle name="Milliers 2 2 4 2 2 2 3 2 2 2 2 3" xfId="12637"/>
    <cellStyle name="Milliers 2 2 4 2 2 2 3 2 2 2 3" xfId="12638"/>
    <cellStyle name="Milliers 2 2 4 2 2 2 3 2 2 2 3 2" xfId="12639"/>
    <cellStyle name="Milliers 2 2 4 2 2 2 3 2 2 2 4" xfId="12640"/>
    <cellStyle name="Milliers 2 2 4 2 2 2 3 2 2 3" xfId="12641"/>
    <cellStyle name="Milliers 2 2 4 2 2 2 3 2 2 3 2" xfId="12642"/>
    <cellStyle name="Milliers 2 2 4 2 2 2 3 2 2 3 2 2" xfId="12643"/>
    <cellStyle name="Milliers 2 2 4 2 2 2 3 2 2 3 3" xfId="12644"/>
    <cellStyle name="Milliers 2 2 4 2 2 2 3 2 2 4" xfId="12645"/>
    <cellStyle name="Milliers 2 2 4 2 2 2 3 2 2 4 2" xfId="12646"/>
    <cellStyle name="Milliers 2 2 4 2 2 2 3 2 2 5" xfId="12647"/>
    <cellStyle name="Milliers 2 2 4 2 2 2 3 2 3" xfId="12648"/>
    <cellStyle name="Milliers 2 2 4 2 2 2 3 2 3 2" xfId="12649"/>
    <cellStyle name="Milliers 2 2 4 2 2 2 3 2 3 2 2" xfId="12650"/>
    <cellStyle name="Milliers 2 2 4 2 2 2 3 2 3 2 2 2" xfId="12651"/>
    <cellStyle name="Milliers 2 2 4 2 2 2 3 2 3 2 3" xfId="12652"/>
    <cellStyle name="Milliers 2 2 4 2 2 2 3 2 3 3" xfId="12653"/>
    <cellStyle name="Milliers 2 2 4 2 2 2 3 2 3 3 2" xfId="12654"/>
    <cellStyle name="Milliers 2 2 4 2 2 2 3 2 3 4" xfId="12655"/>
    <cellStyle name="Milliers 2 2 4 2 2 2 3 2 4" xfId="12656"/>
    <cellStyle name="Milliers 2 2 4 2 2 2 3 2 4 2" xfId="12657"/>
    <cellStyle name="Milliers 2 2 4 2 2 2 3 2 4 2 2" xfId="12658"/>
    <cellStyle name="Milliers 2 2 4 2 2 2 3 2 4 3" xfId="12659"/>
    <cellStyle name="Milliers 2 2 4 2 2 2 3 2 5" xfId="12660"/>
    <cellStyle name="Milliers 2 2 4 2 2 2 3 2 5 2" xfId="12661"/>
    <cellStyle name="Milliers 2 2 4 2 2 2 3 2 6" xfId="12662"/>
    <cellStyle name="Milliers 2 2 4 2 2 2 3 3" xfId="12663"/>
    <cellStyle name="Milliers 2 2 4 2 2 2 3 3 2" xfId="12664"/>
    <cellStyle name="Milliers 2 2 4 2 2 2 3 3 2 2" xfId="12665"/>
    <cellStyle name="Milliers 2 2 4 2 2 2 3 3 2 2 2" xfId="12666"/>
    <cellStyle name="Milliers 2 2 4 2 2 2 3 3 2 2 2 2" xfId="12667"/>
    <cellStyle name="Milliers 2 2 4 2 2 2 3 3 2 2 3" xfId="12668"/>
    <cellStyle name="Milliers 2 2 4 2 2 2 3 3 2 3" xfId="12669"/>
    <cellStyle name="Milliers 2 2 4 2 2 2 3 3 2 3 2" xfId="12670"/>
    <cellStyle name="Milliers 2 2 4 2 2 2 3 3 2 4" xfId="12671"/>
    <cellStyle name="Milliers 2 2 4 2 2 2 3 3 3" xfId="12672"/>
    <cellStyle name="Milliers 2 2 4 2 2 2 3 3 3 2" xfId="12673"/>
    <cellStyle name="Milliers 2 2 4 2 2 2 3 3 3 2 2" xfId="12674"/>
    <cellStyle name="Milliers 2 2 4 2 2 2 3 3 3 3" xfId="12675"/>
    <cellStyle name="Milliers 2 2 4 2 2 2 3 3 4" xfId="12676"/>
    <cellStyle name="Milliers 2 2 4 2 2 2 3 3 4 2" xfId="12677"/>
    <cellStyle name="Milliers 2 2 4 2 2 2 3 3 5" xfId="12678"/>
    <cellStyle name="Milliers 2 2 4 2 2 2 3 4" xfId="12679"/>
    <cellStyle name="Milliers 2 2 4 2 2 2 3 4 2" xfId="12680"/>
    <cellStyle name="Milliers 2 2 4 2 2 2 3 4 2 2" xfId="12681"/>
    <cellStyle name="Milliers 2 2 4 2 2 2 3 4 2 2 2" xfId="12682"/>
    <cellStyle name="Milliers 2 2 4 2 2 2 3 4 2 3" xfId="12683"/>
    <cellStyle name="Milliers 2 2 4 2 2 2 3 4 3" xfId="12684"/>
    <cellStyle name="Milliers 2 2 4 2 2 2 3 4 3 2" xfId="12685"/>
    <cellStyle name="Milliers 2 2 4 2 2 2 3 4 4" xfId="12686"/>
    <cellStyle name="Milliers 2 2 4 2 2 2 3 5" xfId="12687"/>
    <cellStyle name="Milliers 2 2 4 2 2 2 3 5 2" xfId="12688"/>
    <cellStyle name="Milliers 2 2 4 2 2 2 3 5 2 2" xfId="12689"/>
    <cellStyle name="Milliers 2 2 4 2 2 2 3 5 3" xfId="12690"/>
    <cellStyle name="Milliers 2 2 4 2 2 2 3 6" xfId="12691"/>
    <cellStyle name="Milliers 2 2 4 2 2 2 3 6 2" xfId="12692"/>
    <cellStyle name="Milliers 2 2 4 2 2 2 3 7" xfId="12693"/>
    <cellStyle name="Milliers 2 2 4 2 2 2 4" xfId="12694"/>
    <cellStyle name="Milliers 2 2 4 2 2 2 4 2" xfId="12695"/>
    <cellStyle name="Milliers 2 2 4 2 2 2 4 2 2" xfId="12696"/>
    <cellStyle name="Milliers 2 2 4 2 2 2 4 2 2 2" xfId="12697"/>
    <cellStyle name="Milliers 2 2 4 2 2 2 4 2 2 2 2" xfId="12698"/>
    <cellStyle name="Milliers 2 2 4 2 2 2 4 2 2 2 2 2" xfId="12699"/>
    <cellStyle name="Milliers 2 2 4 2 2 2 4 2 2 2 3" xfId="12700"/>
    <cellStyle name="Milliers 2 2 4 2 2 2 4 2 2 3" xfId="12701"/>
    <cellStyle name="Milliers 2 2 4 2 2 2 4 2 2 3 2" xfId="12702"/>
    <cellStyle name="Milliers 2 2 4 2 2 2 4 2 2 4" xfId="12703"/>
    <cellStyle name="Milliers 2 2 4 2 2 2 4 2 3" xfId="12704"/>
    <cellStyle name="Milliers 2 2 4 2 2 2 4 2 3 2" xfId="12705"/>
    <cellStyle name="Milliers 2 2 4 2 2 2 4 2 3 2 2" xfId="12706"/>
    <cellStyle name="Milliers 2 2 4 2 2 2 4 2 3 3" xfId="12707"/>
    <cellStyle name="Milliers 2 2 4 2 2 2 4 2 4" xfId="12708"/>
    <cellStyle name="Milliers 2 2 4 2 2 2 4 2 4 2" xfId="12709"/>
    <cellStyle name="Milliers 2 2 4 2 2 2 4 2 5" xfId="12710"/>
    <cellStyle name="Milliers 2 2 4 2 2 2 4 3" xfId="12711"/>
    <cellStyle name="Milliers 2 2 4 2 2 2 4 3 2" xfId="12712"/>
    <cellStyle name="Milliers 2 2 4 2 2 2 4 3 2 2" xfId="12713"/>
    <cellStyle name="Milliers 2 2 4 2 2 2 4 3 2 2 2" xfId="12714"/>
    <cellStyle name="Milliers 2 2 4 2 2 2 4 3 2 3" xfId="12715"/>
    <cellStyle name="Milliers 2 2 4 2 2 2 4 3 3" xfId="12716"/>
    <cellStyle name="Milliers 2 2 4 2 2 2 4 3 3 2" xfId="12717"/>
    <cellStyle name="Milliers 2 2 4 2 2 2 4 3 4" xfId="12718"/>
    <cellStyle name="Milliers 2 2 4 2 2 2 4 4" xfId="12719"/>
    <cellStyle name="Milliers 2 2 4 2 2 2 4 4 2" xfId="12720"/>
    <cellStyle name="Milliers 2 2 4 2 2 2 4 4 2 2" xfId="12721"/>
    <cellStyle name="Milliers 2 2 4 2 2 2 4 4 3" xfId="12722"/>
    <cellStyle name="Milliers 2 2 4 2 2 2 4 5" xfId="12723"/>
    <cellStyle name="Milliers 2 2 4 2 2 2 4 5 2" xfId="12724"/>
    <cellStyle name="Milliers 2 2 4 2 2 2 4 6" xfId="12725"/>
    <cellStyle name="Milliers 2 2 4 2 2 2 5" xfId="12726"/>
    <cellStyle name="Milliers 2 2 4 2 2 2 5 2" xfId="12727"/>
    <cellStyle name="Milliers 2 2 4 2 2 2 5 2 2" xfId="12728"/>
    <cellStyle name="Milliers 2 2 4 2 2 2 5 2 2 2" xfId="12729"/>
    <cellStyle name="Milliers 2 2 4 2 2 2 5 2 2 2 2" xfId="12730"/>
    <cellStyle name="Milliers 2 2 4 2 2 2 5 2 2 3" xfId="12731"/>
    <cellStyle name="Milliers 2 2 4 2 2 2 5 2 3" xfId="12732"/>
    <cellStyle name="Milliers 2 2 4 2 2 2 5 2 3 2" xfId="12733"/>
    <cellStyle name="Milliers 2 2 4 2 2 2 5 2 4" xfId="12734"/>
    <cellStyle name="Milliers 2 2 4 2 2 2 5 3" xfId="12735"/>
    <cellStyle name="Milliers 2 2 4 2 2 2 5 3 2" xfId="12736"/>
    <cellStyle name="Milliers 2 2 4 2 2 2 5 3 2 2" xfId="12737"/>
    <cellStyle name="Milliers 2 2 4 2 2 2 5 3 3" xfId="12738"/>
    <cellStyle name="Milliers 2 2 4 2 2 2 5 4" xfId="12739"/>
    <cellStyle name="Milliers 2 2 4 2 2 2 5 4 2" xfId="12740"/>
    <cellStyle name="Milliers 2 2 4 2 2 2 5 5" xfId="12741"/>
    <cellStyle name="Milliers 2 2 4 2 2 2 6" xfId="12742"/>
    <cellStyle name="Milliers 2 2 4 2 2 2 6 2" xfId="12743"/>
    <cellStyle name="Milliers 2 2 4 2 2 2 6 2 2" xfId="12744"/>
    <cellStyle name="Milliers 2 2 4 2 2 2 6 2 2 2" xfId="12745"/>
    <cellStyle name="Milliers 2 2 4 2 2 2 6 2 3" xfId="12746"/>
    <cellStyle name="Milliers 2 2 4 2 2 2 6 3" xfId="12747"/>
    <cellStyle name="Milliers 2 2 4 2 2 2 6 3 2" xfId="12748"/>
    <cellStyle name="Milliers 2 2 4 2 2 2 6 4" xfId="12749"/>
    <cellStyle name="Milliers 2 2 4 2 2 2 7" xfId="12750"/>
    <cellStyle name="Milliers 2 2 4 2 2 2 7 2" xfId="12751"/>
    <cellStyle name="Milliers 2 2 4 2 2 2 7 2 2" xfId="12752"/>
    <cellStyle name="Milliers 2 2 4 2 2 2 7 3" xfId="12753"/>
    <cellStyle name="Milliers 2 2 4 2 2 2 8" xfId="12754"/>
    <cellStyle name="Milliers 2 2 4 2 2 2 8 2" xfId="12755"/>
    <cellStyle name="Milliers 2 2 4 2 2 2 9" xfId="12756"/>
    <cellStyle name="Milliers 2 2 4 2 2 3" xfId="12757"/>
    <cellStyle name="Milliers 2 2 4 2 2 3 2" xfId="12758"/>
    <cellStyle name="Milliers 2 2 4 2 2 3 2 2" xfId="12759"/>
    <cellStyle name="Milliers 2 2 4 2 2 3 2 2 2" xfId="12760"/>
    <cellStyle name="Milliers 2 2 4 2 2 3 2 2 2 2" xfId="12761"/>
    <cellStyle name="Milliers 2 2 4 2 2 3 2 2 2 2 2" xfId="12762"/>
    <cellStyle name="Milliers 2 2 4 2 2 3 2 2 2 2 2 2" xfId="12763"/>
    <cellStyle name="Milliers 2 2 4 2 2 3 2 2 2 2 2 2 2" xfId="12764"/>
    <cellStyle name="Milliers 2 2 4 2 2 3 2 2 2 2 2 3" xfId="12765"/>
    <cellStyle name="Milliers 2 2 4 2 2 3 2 2 2 2 3" xfId="12766"/>
    <cellStyle name="Milliers 2 2 4 2 2 3 2 2 2 2 3 2" xfId="12767"/>
    <cellStyle name="Milliers 2 2 4 2 2 3 2 2 2 2 4" xfId="12768"/>
    <cellStyle name="Milliers 2 2 4 2 2 3 2 2 2 3" xfId="12769"/>
    <cellStyle name="Milliers 2 2 4 2 2 3 2 2 2 3 2" xfId="12770"/>
    <cellStyle name="Milliers 2 2 4 2 2 3 2 2 2 3 2 2" xfId="12771"/>
    <cellStyle name="Milliers 2 2 4 2 2 3 2 2 2 3 3" xfId="12772"/>
    <cellStyle name="Milliers 2 2 4 2 2 3 2 2 2 4" xfId="12773"/>
    <cellStyle name="Milliers 2 2 4 2 2 3 2 2 2 4 2" xfId="12774"/>
    <cellStyle name="Milliers 2 2 4 2 2 3 2 2 2 5" xfId="12775"/>
    <cellStyle name="Milliers 2 2 4 2 2 3 2 2 3" xfId="12776"/>
    <cellStyle name="Milliers 2 2 4 2 2 3 2 2 3 2" xfId="12777"/>
    <cellStyle name="Milliers 2 2 4 2 2 3 2 2 3 2 2" xfId="12778"/>
    <cellStyle name="Milliers 2 2 4 2 2 3 2 2 3 2 2 2" xfId="12779"/>
    <cellStyle name="Milliers 2 2 4 2 2 3 2 2 3 2 3" xfId="12780"/>
    <cellStyle name="Milliers 2 2 4 2 2 3 2 2 3 3" xfId="12781"/>
    <cellStyle name="Milliers 2 2 4 2 2 3 2 2 3 3 2" xfId="12782"/>
    <cellStyle name="Milliers 2 2 4 2 2 3 2 2 3 4" xfId="12783"/>
    <cellStyle name="Milliers 2 2 4 2 2 3 2 2 4" xfId="12784"/>
    <cellStyle name="Milliers 2 2 4 2 2 3 2 2 4 2" xfId="12785"/>
    <cellStyle name="Milliers 2 2 4 2 2 3 2 2 4 2 2" xfId="12786"/>
    <cellStyle name="Milliers 2 2 4 2 2 3 2 2 4 3" xfId="12787"/>
    <cellStyle name="Milliers 2 2 4 2 2 3 2 2 5" xfId="12788"/>
    <cellStyle name="Milliers 2 2 4 2 2 3 2 2 5 2" xfId="12789"/>
    <cellStyle name="Milliers 2 2 4 2 2 3 2 2 6" xfId="12790"/>
    <cellStyle name="Milliers 2 2 4 2 2 3 2 3" xfId="12791"/>
    <cellStyle name="Milliers 2 2 4 2 2 3 2 3 2" xfId="12792"/>
    <cellStyle name="Milliers 2 2 4 2 2 3 2 3 2 2" xfId="12793"/>
    <cellStyle name="Milliers 2 2 4 2 2 3 2 3 2 2 2" xfId="12794"/>
    <cellStyle name="Milliers 2 2 4 2 2 3 2 3 2 2 2 2" xfId="12795"/>
    <cellStyle name="Milliers 2 2 4 2 2 3 2 3 2 2 3" xfId="12796"/>
    <cellStyle name="Milliers 2 2 4 2 2 3 2 3 2 3" xfId="12797"/>
    <cellStyle name="Milliers 2 2 4 2 2 3 2 3 2 3 2" xfId="12798"/>
    <cellStyle name="Milliers 2 2 4 2 2 3 2 3 2 4" xfId="12799"/>
    <cellStyle name="Milliers 2 2 4 2 2 3 2 3 3" xfId="12800"/>
    <cellStyle name="Milliers 2 2 4 2 2 3 2 3 3 2" xfId="12801"/>
    <cellStyle name="Milliers 2 2 4 2 2 3 2 3 3 2 2" xfId="12802"/>
    <cellStyle name="Milliers 2 2 4 2 2 3 2 3 3 3" xfId="12803"/>
    <cellStyle name="Milliers 2 2 4 2 2 3 2 3 4" xfId="12804"/>
    <cellStyle name="Milliers 2 2 4 2 2 3 2 3 4 2" xfId="12805"/>
    <cellStyle name="Milliers 2 2 4 2 2 3 2 3 5" xfId="12806"/>
    <cellStyle name="Milliers 2 2 4 2 2 3 2 4" xfId="12807"/>
    <cellStyle name="Milliers 2 2 4 2 2 3 2 4 2" xfId="12808"/>
    <cellStyle name="Milliers 2 2 4 2 2 3 2 4 2 2" xfId="12809"/>
    <cellStyle name="Milliers 2 2 4 2 2 3 2 4 2 2 2" xfId="12810"/>
    <cellStyle name="Milliers 2 2 4 2 2 3 2 4 2 3" xfId="12811"/>
    <cellStyle name="Milliers 2 2 4 2 2 3 2 4 3" xfId="12812"/>
    <cellStyle name="Milliers 2 2 4 2 2 3 2 4 3 2" xfId="12813"/>
    <cellStyle name="Milliers 2 2 4 2 2 3 2 4 4" xfId="12814"/>
    <cellStyle name="Milliers 2 2 4 2 2 3 2 5" xfId="12815"/>
    <cellStyle name="Milliers 2 2 4 2 2 3 2 5 2" xfId="12816"/>
    <cellStyle name="Milliers 2 2 4 2 2 3 2 5 2 2" xfId="12817"/>
    <cellStyle name="Milliers 2 2 4 2 2 3 2 5 3" xfId="12818"/>
    <cellStyle name="Milliers 2 2 4 2 2 3 2 6" xfId="12819"/>
    <cellStyle name="Milliers 2 2 4 2 2 3 2 6 2" xfId="12820"/>
    <cellStyle name="Milliers 2 2 4 2 2 3 2 7" xfId="12821"/>
    <cellStyle name="Milliers 2 2 4 2 2 3 3" xfId="12822"/>
    <cellStyle name="Milliers 2 2 4 2 2 3 3 2" xfId="12823"/>
    <cellStyle name="Milliers 2 2 4 2 2 3 3 2 2" xfId="12824"/>
    <cellStyle name="Milliers 2 2 4 2 2 3 3 2 2 2" xfId="12825"/>
    <cellStyle name="Milliers 2 2 4 2 2 3 3 2 2 2 2" xfId="12826"/>
    <cellStyle name="Milliers 2 2 4 2 2 3 3 2 2 2 2 2" xfId="12827"/>
    <cellStyle name="Milliers 2 2 4 2 2 3 3 2 2 2 3" xfId="12828"/>
    <cellStyle name="Milliers 2 2 4 2 2 3 3 2 2 3" xfId="12829"/>
    <cellStyle name="Milliers 2 2 4 2 2 3 3 2 2 3 2" xfId="12830"/>
    <cellStyle name="Milliers 2 2 4 2 2 3 3 2 2 4" xfId="12831"/>
    <cellStyle name="Milliers 2 2 4 2 2 3 3 2 3" xfId="12832"/>
    <cellStyle name="Milliers 2 2 4 2 2 3 3 2 3 2" xfId="12833"/>
    <cellStyle name="Milliers 2 2 4 2 2 3 3 2 3 2 2" xfId="12834"/>
    <cellStyle name="Milliers 2 2 4 2 2 3 3 2 3 3" xfId="12835"/>
    <cellStyle name="Milliers 2 2 4 2 2 3 3 2 4" xfId="12836"/>
    <cellStyle name="Milliers 2 2 4 2 2 3 3 2 4 2" xfId="12837"/>
    <cellStyle name="Milliers 2 2 4 2 2 3 3 2 5" xfId="12838"/>
    <cellStyle name="Milliers 2 2 4 2 2 3 3 3" xfId="12839"/>
    <cellStyle name="Milliers 2 2 4 2 2 3 3 3 2" xfId="12840"/>
    <cellStyle name="Milliers 2 2 4 2 2 3 3 3 2 2" xfId="12841"/>
    <cellStyle name="Milliers 2 2 4 2 2 3 3 3 2 2 2" xfId="12842"/>
    <cellStyle name="Milliers 2 2 4 2 2 3 3 3 2 3" xfId="12843"/>
    <cellStyle name="Milliers 2 2 4 2 2 3 3 3 3" xfId="12844"/>
    <cellStyle name="Milliers 2 2 4 2 2 3 3 3 3 2" xfId="12845"/>
    <cellStyle name="Milliers 2 2 4 2 2 3 3 3 4" xfId="12846"/>
    <cellStyle name="Milliers 2 2 4 2 2 3 3 4" xfId="12847"/>
    <cellStyle name="Milliers 2 2 4 2 2 3 3 4 2" xfId="12848"/>
    <cellStyle name="Milliers 2 2 4 2 2 3 3 4 2 2" xfId="12849"/>
    <cellStyle name="Milliers 2 2 4 2 2 3 3 4 3" xfId="12850"/>
    <cellStyle name="Milliers 2 2 4 2 2 3 3 5" xfId="12851"/>
    <cellStyle name="Milliers 2 2 4 2 2 3 3 5 2" xfId="12852"/>
    <cellStyle name="Milliers 2 2 4 2 2 3 3 6" xfId="12853"/>
    <cellStyle name="Milliers 2 2 4 2 2 3 4" xfId="12854"/>
    <cellStyle name="Milliers 2 2 4 2 2 3 4 2" xfId="12855"/>
    <cellStyle name="Milliers 2 2 4 2 2 3 4 2 2" xfId="12856"/>
    <cellStyle name="Milliers 2 2 4 2 2 3 4 2 2 2" xfId="12857"/>
    <cellStyle name="Milliers 2 2 4 2 2 3 4 2 2 2 2" xfId="12858"/>
    <cellStyle name="Milliers 2 2 4 2 2 3 4 2 2 3" xfId="12859"/>
    <cellStyle name="Milliers 2 2 4 2 2 3 4 2 3" xfId="12860"/>
    <cellStyle name="Milliers 2 2 4 2 2 3 4 2 3 2" xfId="12861"/>
    <cellStyle name="Milliers 2 2 4 2 2 3 4 2 4" xfId="12862"/>
    <cellStyle name="Milliers 2 2 4 2 2 3 4 3" xfId="12863"/>
    <cellStyle name="Milliers 2 2 4 2 2 3 4 3 2" xfId="12864"/>
    <cellStyle name="Milliers 2 2 4 2 2 3 4 3 2 2" xfId="12865"/>
    <cellStyle name="Milliers 2 2 4 2 2 3 4 3 3" xfId="12866"/>
    <cellStyle name="Milliers 2 2 4 2 2 3 4 4" xfId="12867"/>
    <cellStyle name="Milliers 2 2 4 2 2 3 4 4 2" xfId="12868"/>
    <cellStyle name="Milliers 2 2 4 2 2 3 4 5" xfId="12869"/>
    <cellStyle name="Milliers 2 2 4 2 2 3 5" xfId="12870"/>
    <cellStyle name="Milliers 2 2 4 2 2 3 5 2" xfId="12871"/>
    <cellStyle name="Milliers 2 2 4 2 2 3 5 2 2" xfId="12872"/>
    <cellStyle name="Milliers 2 2 4 2 2 3 5 2 2 2" xfId="12873"/>
    <cellStyle name="Milliers 2 2 4 2 2 3 5 2 3" xfId="12874"/>
    <cellStyle name="Milliers 2 2 4 2 2 3 5 3" xfId="12875"/>
    <cellStyle name="Milliers 2 2 4 2 2 3 5 3 2" xfId="12876"/>
    <cellStyle name="Milliers 2 2 4 2 2 3 5 4" xfId="12877"/>
    <cellStyle name="Milliers 2 2 4 2 2 3 6" xfId="12878"/>
    <cellStyle name="Milliers 2 2 4 2 2 3 6 2" xfId="12879"/>
    <cellStyle name="Milliers 2 2 4 2 2 3 6 2 2" xfId="12880"/>
    <cellStyle name="Milliers 2 2 4 2 2 3 6 3" xfId="12881"/>
    <cellStyle name="Milliers 2 2 4 2 2 3 7" xfId="12882"/>
    <cellStyle name="Milliers 2 2 4 2 2 3 7 2" xfId="12883"/>
    <cellStyle name="Milliers 2 2 4 2 2 3 8" xfId="12884"/>
    <cellStyle name="Milliers 2 2 4 2 2 4" xfId="12885"/>
    <cellStyle name="Milliers 2 2 4 2 2 4 2" xfId="12886"/>
    <cellStyle name="Milliers 2 2 4 2 2 4 2 2" xfId="12887"/>
    <cellStyle name="Milliers 2 2 4 2 2 4 2 2 2" xfId="12888"/>
    <cellStyle name="Milliers 2 2 4 2 2 4 2 2 2 2" xfId="12889"/>
    <cellStyle name="Milliers 2 2 4 2 2 4 2 2 2 2 2" xfId="12890"/>
    <cellStyle name="Milliers 2 2 4 2 2 4 2 2 2 2 2 2" xfId="12891"/>
    <cellStyle name="Milliers 2 2 4 2 2 4 2 2 2 2 3" xfId="12892"/>
    <cellStyle name="Milliers 2 2 4 2 2 4 2 2 2 3" xfId="12893"/>
    <cellStyle name="Milliers 2 2 4 2 2 4 2 2 2 3 2" xfId="12894"/>
    <cellStyle name="Milliers 2 2 4 2 2 4 2 2 2 4" xfId="12895"/>
    <cellStyle name="Milliers 2 2 4 2 2 4 2 2 3" xfId="12896"/>
    <cellStyle name="Milliers 2 2 4 2 2 4 2 2 3 2" xfId="12897"/>
    <cellStyle name="Milliers 2 2 4 2 2 4 2 2 3 2 2" xfId="12898"/>
    <cellStyle name="Milliers 2 2 4 2 2 4 2 2 3 3" xfId="12899"/>
    <cellStyle name="Milliers 2 2 4 2 2 4 2 2 4" xfId="12900"/>
    <cellStyle name="Milliers 2 2 4 2 2 4 2 2 4 2" xfId="12901"/>
    <cellStyle name="Milliers 2 2 4 2 2 4 2 2 5" xfId="12902"/>
    <cellStyle name="Milliers 2 2 4 2 2 4 2 3" xfId="12903"/>
    <cellStyle name="Milliers 2 2 4 2 2 4 2 3 2" xfId="12904"/>
    <cellStyle name="Milliers 2 2 4 2 2 4 2 3 2 2" xfId="12905"/>
    <cellStyle name="Milliers 2 2 4 2 2 4 2 3 2 2 2" xfId="12906"/>
    <cellStyle name="Milliers 2 2 4 2 2 4 2 3 2 3" xfId="12907"/>
    <cellStyle name="Milliers 2 2 4 2 2 4 2 3 3" xfId="12908"/>
    <cellStyle name="Milliers 2 2 4 2 2 4 2 3 3 2" xfId="12909"/>
    <cellStyle name="Milliers 2 2 4 2 2 4 2 3 4" xfId="12910"/>
    <cellStyle name="Milliers 2 2 4 2 2 4 2 4" xfId="12911"/>
    <cellStyle name="Milliers 2 2 4 2 2 4 2 4 2" xfId="12912"/>
    <cellStyle name="Milliers 2 2 4 2 2 4 2 4 2 2" xfId="12913"/>
    <cellStyle name="Milliers 2 2 4 2 2 4 2 4 3" xfId="12914"/>
    <cellStyle name="Milliers 2 2 4 2 2 4 2 5" xfId="12915"/>
    <cellStyle name="Milliers 2 2 4 2 2 4 2 5 2" xfId="12916"/>
    <cellStyle name="Milliers 2 2 4 2 2 4 2 6" xfId="12917"/>
    <cellStyle name="Milliers 2 2 4 2 2 4 3" xfId="12918"/>
    <cellStyle name="Milliers 2 2 4 2 2 4 3 2" xfId="12919"/>
    <cellStyle name="Milliers 2 2 4 2 2 4 3 2 2" xfId="12920"/>
    <cellStyle name="Milliers 2 2 4 2 2 4 3 2 2 2" xfId="12921"/>
    <cellStyle name="Milliers 2 2 4 2 2 4 3 2 2 2 2" xfId="12922"/>
    <cellStyle name="Milliers 2 2 4 2 2 4 3 2 2 3" xfId="12923"/>
    <cellStyle name="Milliers 2 2 4 2 2 4 3 2 3" xfId="12924"/>
    <cellStyle name="Milliers 2 2 4 2 2 4 3 2 3 2" xfId="12925"/>
    <cellStyle name="Milliers 2 2 4 2 2 4 3 2 4" xfId="12926"/>
    <cellStyle name="Milliers 2 2 4 2 2 4 3 3" xfId="12927"/>
    <cellStyle name="Milliers 2 2 4 2 2 4 3 3 2" xfId="12928"/>
    <cellStyle name="Milliers 2 2 4 2 2 4 3 3 2 2" xfId="12929"/>
    <cellStyle name="Milliers 2 2 4 2 2 4 3 3 3" xfId="12930"/>
    <cellStyle name="Milliers 2 2 4 2 2 4 3 4" xfId="12931"/>
    <cellStyle name="Milliers 2 2 4 2 2 4 3 4 2" xfId="12932"/>
    <cellStyle name="Milliers 2 2 4 2 2 4 3 5" xfId="12933"/>
    <cellStyle name="Milliers 2 2 4 2 2 4 4" xfId="12934"/>
    <cellStyle name="Milliers 2 2 4 2 2 4 4 2" xfId="12935"/>
    <cellStyle name="Milliers 2 2 4 2 2 4 4 2 2" xfId="12936"/>
    <cellStyle name="Milliers 2 2 4 2 2 4 4 2 2 2" xfId="12937"/>
    <cellStyle name="Milliers 2 2 4 2 2 4 4 2 3" xfId="12938"/>
    <cellStyle name="Milliers 2 2 4 2 2 4 4 3" xfId="12939"/>
    <cellStyle name="Milliers 2 2 4 2 2 4 4 3 2" xfId="12940"/>
    <cellStyle name="Milliers 2 2 4 2 2 4 4 4" xfId="12941"/>
    <cellStyle name="Milliers 2 2 4 2 2 4 5" xfId="12942"/>
    <cellStyle name="Milliers 2 2 4 2 2 4 5 2" xfId="12943"/>
    <cellStyle name="Milliers 2 2 4 2 2 4 5 2 2" xfId="12944"/>
    <cellStyle name="Milliers 2 2 4 2 2 4 5 3" xfId="12945"/>
    <cellStyle name="Milliers 2 2 4 2 2 4 6" xfId="12946"/>
    <cellStyle name="Milliers 2 2 4 2 2 4 6 2" xfId="12947"/>
    <cellStyle name="Milliers 2 2 4 2 2 4 7" xfId="12948"/>
    <cellStyle name="Milliers 2 2 4 2 2 5" xfId="12949"/>
    <cellStyle name="Milliers 2 2 4 2 2 5 2" xfId="12950"/>
    <cellStyle name="Milliers 2 2 4 2 2 5 2 2" xfId="12951"/>
    <cellStyle name="Milliers 2 2 4 2 2 5 2 2 2" xfId="12952"/>
    <cellStyle name="Milliers 2 2 4 2 2 5 2 2 2 2" xfId="12953"/>
    <cellStyle name="Milliers 2 2 4 2 2 5 2 2 2 2 2" xfId="12954"/>
    <cellStyle name="Milliers 2 2 4 2 2 5 2 2 2 3" xfId="12955"/>
    <cellStyle name="Milliers 2 2 4 2 2 5 2 2 3" xfId="12956"/>
    <cellStyle name="Milliers 2 2 4 2 2 5 2 2 3 2" xfId="12957"/>
    <cellStyle name="Milliers 2 2 4 2 2 5 2 2 4" xfId="12958"/>
    <cellStyle name="Milliers 2 2 4 2 2 5 2 3" xfId="12959"/>
    <cellStyle name="Milliers 2 2 4 2 2 5 2 3 2" xfId="12960"/>
    <cellStyle name="Milliers 2 2 4 2 2 5 2 3 2 2" xfId="12961"/>
    <cellStyle name="Milliers 2 2 4 2 2 5 2 3 3" xfId="12962"/>
    <cellStyle name="Milliers 2 2 4 2 2 5 2 4" xfId="12963"/>
    <cellStyle name="Milliers 2 2 4 2 2 5 2 4 2" xfId="12964"/>
    <cellStyle name="Milliers 2 2 4 2 2 5 2 5" xfId="12965"/>
    <cellStyle name="Milliers 2 2 4 2 2 5 3" xfId="12966"/>
    <cellStyle name="Milliers 2 2 4 2 2 5 3 2" xfId="12967"/>
    <cellStyle name="Milliers 2 2 4 2 2 5 3 2 2" xfId="12968"/>
    <cellStyle name="Milliers 2 2 4 2 2 5 3 2 2 2" xfId="12969"/>
    <cellStyle name="Milliers 2 2 4 2 2 5 3 2 3" xfId="12970"/>
    <cellStyle name="Milliers 2 2 4 2 2 5 3 3" xfId="12971"/>
    <cellStyle name="Milliers 2 2 4 2 2 5 3 3 2" xfId="12972"/>
    <cellStyle name="Milliers 2 2 4 2 2 5 3 4" xfId="12973"/>
    <cellStyle name="Milliers 2 2 4 2 2 5 4" xfId="12974"/>
    <cellStyle name="Milliers 2 2 4 2 2 5 4 2" xfId="12975"/>
    <cellStyle name="Milliers 2 2 4 2 2 5 4 2 2" xfId="12976"/>
    <cellStyle name="Milliers 2 2 4 2 2 5 4 3" xfId="12977"/>
    <cellStyle name="Milliers 2 2 4 2 2 5 5" xfId="12978"/>
    <cellStyle name="Milliers 2 2 4 2 2 5 5 2" xfId="12979"/>
    <cellStyle name="Milliers 2 2 4 2 2 5 6" xfId="12980"/>
    <cellStyle name="Milliers 2 2 4 2 2 6" xfId="12981"/>
    <cellStyle name="Milliers 2 2 4 2 2 6 2" xfId="12982"/>
    <cellStyle name="Milliers 2 2 4 2 2 6 2 2" xfId="12983"/>
    <cellStyle name="Milliers 2 2 4 2 2 6 2 2 2" xfId="12984"/>
    <cellStyle name="Milliers 2 2 4 2 2 6 2 2 2 2" xfId="12985"/>
    <cellStyle name="Milliers 2 2 4 2 2 6 2 2 3" xfId="12986"/>
    <cellStyle name="Milliers 2 2 4 2 2 6 2 3" xfId="12987"/>
    <cellStyle name="Milliers 2 2 4 2 2 6 2 3 2" xfId="12988"/>
    <cellStyle name="Milliers 2 2 4 2 2 6 2 4" xfId="12989"/>
    <cellStyle name="Milliers 2 2 4 2 2 6 3" xfId="12990"/>
    <cellStyle name="Milliers 2 2 4 2 2 6 3 2" xfId="12991"/>
    <cellStyle name="Milliers 2 2 4 2 2 6 3 2 2" xfId="12992"/>
    <cellStyle name="Milliers 2 2 4 2 2 6 3 3" xfId="12993"/>
    <cellStyle name="Milliers 2 2 4 2 2 6 4" xfId="12994"/>
    <cellStyle name="Milliers 2 2 4 2 2 6 4 2" xfId="12995"/>
    <cellStyle name="Milliers 2 2 4 2 2 6 5" xfId="12996"/>
    <cellStyle name="Milliers 2 2 4 2 2 7" xfId="12997"/>
    <cellStyle name="Milliers 2 2 4 2 2 7 2" xfId="12998"/>
    <cellStyle name="Milliers 2 2 4 2 2 7 2 2" xfId="12999"/>
    <cellStyle name="Milliers 2 2 4 2 2 7 2 2 2" xfId="13000"/>
    <cellStyle name="Milliers 2 2 4 2 2 7 2 3" xfId="13001"/>
    <cellStyle name="Milliers 2 2 4 2 2 7 3" xfId="13002"/>
    <cellStyle name="Milliers 2 2 4 2 2 7 3 2" xfId="13003"/>
    <cellStyle name="Milliers 2 2 4 2 2 7 4" xfId="13004"/>
    <cellStyle name="Milliers 2 2 4 2 2 8" xfId="13005"/>
    <cellStyle name="Milliers 2 2 4 2 2 8 2" xfId="13006"/>
    <cellStyle name="Milliers 2 2 4 2 2 8 2 2" xfId="13007"/>
    <cellStyle name="Milliers 2 2 4 2 2 8 3" xfId="13008"/>
    <cellStyle name="Milliers 2 2 4 2 2 9" xfId="13009"/>
    <cellStyle name="Milliers 2 2 4 2 2 9 2" xfId="13010"/>
    <cellStyle name="Milliers 2 2 4 2 3" xfId="13011"/>
    <cellStyle name="Milliers 2 2 4 2 3 2" xfId="13012"/>
    <cellStyle name="Milliers 2 2 4 2 3 2 2" xfId="13013"/>
    <cellStyle name="Milliers 2 2 4 2 3 2 2 2" xfId="13014"/>
    <cellStyle name="Milliers 2 2 4 2 3 2 2 2 2" xfId="13015"/>
    <cellStyle name="Milliers 2 2 4 2 3 2 2 2 2 2" xfId="13016"/>
    <cellStyle name="Milliers 2 2 4 2 3 2 2 2 2 2 2" xfId="13017"/>
    <cellStyle name="Milliers 2 2 4 2 3 2 2 2 2 2 2 2" xfId="13018"/>
    <cellStyle name="Milliers 2 2 4 2 3 2 2 2 2 2 2 2 2" xfId="13019"/>
    <cellStyle name="Milliers 2 2 4 2 3 2 2 2 2 2 2 3" xfId="13020"/>
    <cellStyle name="Milliers 2 2 4 2 3 2 2 2 2 2 3" xfId="13021"/>
    <cellStyle name="Milliers 2 2 4 2 3 2 2 2 2 2 3 2" xfId="13022"/>
    <cellStyle name="Milliers 2 2 4 2 3 2 2 2 2 2 4" xfId="13023"/>
    <cellStyle name="Milliers 2 2 4 2 3 2 2 2 2 3" xfId="13024"/>
    <cellStyle name="Milliers 2 2 4 2 3 2 2 2 2 3 2" xfId="13025"/>
    <cellStyle name="Milliers 2 2 4 2 3 2 2 2 2 3 2 2" xfId="13026"/>
    <cellStyle name="Milliers 2 2 4 2 3 2 2 2 2 3 3" xfId="13027"/>
    <cellStyle name="Milliers 2 2 4 2 3 2 2 2 2 4" xfId="13028"/>
    <cellStyle name="Milliers 2 2 4 2 3 2 2 2 2 4 2" xfId="13029"/>
    <cellStyle name="Milliers 2 2 4 2 3 2 2 2 2 5" xfId="13030"/>
    <cellStyle name="Milliers 2 2 4 2 3 2 2 2 3" xfId="13031"/>
    <cellStyle name="Milliers 2 2 4 2 3 2 2 2 3 2" xfId="13032"/>
    <cellStyle name="Milliers 2 2 4 2 3 2 2 2 3 2 2" xfId="13033"/>
    <cellStyle name="Milliers 2 2 4 2 3 2 2 2 3 2 2 2" xfId="13034"/>
    <cellStyle name="Milliers 2 2 4 2 3 2 2 2 3 2 3" xfId="13035"/>
    <cellStyle name="Milliers 2 2 4 2 3 2 2 2 3 3" xfId="13036"/>
    <cellStyle name="Milliers 2 2 4 2 3 2 2 2 3 3 2" xfId="13037"/>
    <cellStyle name="Milliers 2 2 4 2 3 2 2 2 3 4" xfId="13038"/>
    <cellStyle name="Milliers 2 2 4 2 3 2 2 2 4" xfId="13039"/>
    <cellStyle name="Milliers 2 2 4 2 3 2 2 2 4 2" xfId="13040"/>
    <cellStyle name="Milliers 2 2 4 2 3 2 2 2 4 2 2" xfId="13041"/>
    <cellStyle name="Milliers 2 2 4 2 3 2 2 2 4 3" xfId="13042"/>
    <cellStyle name="Milliers 2 2 4 2 3 2 2 2 5" xfId="13043"/>
    <cellStyle name="Milliers 2 2 4 2 3 2 2 2 5 2" xfId="13044"/>
    <cellStyle name="Milliers 2 2 4 2 3 2 2 2 6" xfId="13045"/>
    <cellStyle name="Milliers 2 2 4 2 3 2 2 3" xfId="13046"/>
    <cellStyle name="Milliers 2 2 4 2 3 2 2 3 2" xfId="13047"/>
    <cellStyle name="Milliers 2 2 4 2 3 2 2 3 2 2" xfId="13048"/>
    <cellStyle name="Milliers 2 2 4 2 3 2 2 3 2 2 2" xfId="13049"/>
    <cellStyle name="Milliers 2 2 4 2 3 2 2 3 2 2 2 2" xfId="13050"/>
    <cellStyle name="Milliers 2 2 4 2 3 2 2 3 2 2 3" xfId="13051"/>
    <cellStyle name="Milliers 2 2 4 2 3 2 2 3 2 3" xfId="13052"/>
    <cellStyle name="Milliers 2 2 4 2 3 2 2 3 2 3 2" xfId="13053"/>
    <cellStyle name="Milliers 2 2 4 2 3 2 2 3 2 4" xfId="13054"/>
    <cellStyle name="Milliers 2 2 4 2 3 2 2 3 3" xfId="13055"/>
    <cellStyle name="Milliers 2 2 4 2 3 2 2 3 3 2" xfId="13056"/>
    <cellStyle name="Milliers 2 2 4 2 3 2 2 3 3 2 2" xfId="13057"/>
    <cellStyle name="Milliers 2 2 4 2 3 2 2 3 3 3" xfId="13058"/>
    <cellStyle name="Milliers 2 2 4 2 3 2 2 3 4" xfId="13059"/>
    <cellStyle name="Milliers 2 2 4 2 3 2 2 3 4 2" xfId="13060"/>
    <cellStyle name="Milliers 2 2 4 2 3 2 2 3 5" xfId="13061"/>
    <cellStyle name="Milliers 2 2 4 2 3 2 2 4" xfId="13062"/>
    <cellStyle name="Milliers 2 2 4 2 3 2 2 4 2" xfId="13063"/>
    <cellStyle name="Milliers 2 2 4 2 3 2 2 4 2 2" xfId="13064"/>
    <cellStyle name="Milliers 2 2 4 2 3 2 2 4 2 2 2" xfId="13065"/>
    <cellStyle name="Milliers 2 2 4 2 3 2 2 4 2 3" xfId="13066"/>
    <cellStyle name="Milliers 2 2 4 2 3 2 2 4 3" xfId="13067"/>
    <cellStyle name="Milliers 2 2 4 2 3 2 2 4 3 2" xfId="13068"/>
    <cellStyle name="Milliers 2 2 4 2 3 2 2 4 4" xfId="13069"/>
    <cellStyle name="Milliers 2 2 4 2 3 2 2 5" xfId="13070"/>
    <cellStyle name="Milliers 2 2 4 2 3 2 2 5 2" xfId="13071"/>
    <cellStyle name="Milliers 2 2 4 2 3 2 2 5 2 2" xfId="13072"/>
    <cellStyle name="Milliers 2 2 4 2 3 2 2 5 3" xfId="13073"/>
    <cellStyle name="Milliers 2 2 4 2 3 2 2 6" xfId="13074"/>
    <cellStyle name="Milliers 2 2 4 2 3 2 2 6 2" xfId="13075"/>
    <cellStyle name="Milliers 2 2 4 2 3 2 2 7" xfId="13076"/>
    <cellStyle name="Milliers 2 2 4 2 3 2 3" xfId="13077"/>
    <cellStyle name="Milliers 2 2 4 2 3 2 3 2" xfId="13078"/>
    <cellStyle name="Milliers 2 2 4 2 3 2 3 2 2" xfId="13079"/>
    <cellStyle name="Milliers 2 2 4 2 3 2 3 2 2 2" xfId="13080"/>
    <cellStyle name="Milliers 2 2 4 2 3 2 3 2 2 2 2" xfId="13081"/>
    <cellStyle name="Milliers 2 2 4 2 3 2 3 2 2 2 2 2" xfId="13082"/>
    <cellStyle name="Milliers 2 2 4 2 3 2 3 2 2 2 3" xfId="13083"/>
    <cellStyle name="Milliers 2 2 4 2 3 2 3 2 2 3" xfId="13084"/>
    <cellStyle name="Milliers 2 2 4 2 3 2 3 2 2 3 2" xfId="13085"/>
    <cellStyle name="Milliers 2 2 4 2 3 2 3 2 2 4" xfId="13086"/>
    <cellStyle name="Milliers 2 2 4 2 3 2 3 2 3" xfId="13087"/>
    <cellStyle name="Milliers 2 2 4 2 3 2 3 2 3 2" xfId="13088"/>
    <cellStyle name="Milliers 2 2 4 2 3 2 3 2 3 2 2" xfId="13089"/>
    <cellStyle name="Milliers 2 2 4 2 3 2 3 2 3 3" xfId="13090"/>
    <cellStyle name="Milliers 2 2 4 2 3 2 3 2 4" xfId="13091"/>
    <cellStyle name="Milliers 2 2 4 2 3 2 3 2 4 2" xfId="13092"/>
    <cellStyle name="Milliers 2 2 4 2 3 2 3 2 5" xfId="13093"/>
    <cellStyle name="Milliers 2 2 4 2 3 2 3 3" xfId="13094"/>
    <cellStyle name="Milliers 2 2 4 2 3 2 3 3 2" xfId="13095"/>
    <cellStyle name="Milliers 2 2 4 2 3 2 3 3 2 2" xfId="13096"/>
    <cellStyle name="Milliers 2 2 4 2 3 2 3 3 2 2 2" xfId="13097"/>
    <cellStyle name="Milliers 2 2 4 2 3 2 3 3 2 3" xfId="13098"/>
    <cellStyle name="Milliers 2 2 4 2 3 2 3 3 3" xfId="13099"/>
    <cellStyle name="Milliers 2 2 4 2 3 2 3 3 3 2" xfId="13100"/>
    <cellStyle name="Milliers 2 2 4 2 3 2 3 3 4" xfId="13101"/>
    <cellStyle name="Milliers 2 2 4 2 3 2 3 4" xfId="13102"/>
    <cellStyle name="Milliers 2 2 4 2 3 2 3 4 2" xfId="13103"/>
    <cellStyle name="Milliers 2 2 4 2 3 2 3 4 2 2" xfId="13104"/>
    <cellStyle name="Milliers 2 2 4 2 3 2 3 4 3" xfId="13105"/>
    <cellStyle name="Milliers 2 2 4 2 3 2 3 5" xfId="13106"/>
    <cellStyle name="Milliers 2 2 4 2 3 2 3 5 2" xfId="13107"/>
    <cellStyle name="Milliers 2 2 4 2 3 2 3 6" xfId="13108"/>
    <cellStyle name="Milliers 2 2 4 2 3 2 4" xfId="13109"/>
    <cellStyle name="Milliers 2 2 4 2 3 2 4 2" xfId="13110"/>
    <cellStyle name="Milliers 2 2 4 2 3 2 4 2 2" xfId="13111"/>
    <cellStyle name="Milliers 2 2 4 2 3 2 4 2 2 2" xfId="13112"/>
    <cellStyle name="Milliers 2 2 4 2 3 2 4 2 2 2 2" xfId="13113"/>
    <cellStyle name="Milliers 2 2 4 2 3 2 4 2 2 3" xfId="13114"/>
    <cellStyle name="Milliers 2 2 4 2 3 2 4 2 3" xfId="13115"/>
    <cellStyle name="Milliers 2 2 4 2 3 2 4 2 3 2" xfId="13116"/>
    <cellStyle name="Milliers 2 2 4 2 3 2 4 2 4" xfId="13117"/>
    <cellStyle name="Milliers 2 2 4 2 3 2 4 3" xfId="13118"/>
    <cellStyle name="Milliers 2 2 4 2 3 2 4 3 2" xfId="13119"/>
    <cellStyle name="Milliers 2 2 4 2 3 2 4 3 2 2" xfId="13120"/>
    <cellStyle name="Milliers 2 2 4 2 3 2 4 3 3" xfId="13121"/>
    <cellStyle name="Milliers 2 2 4 2 3 2 4 4" xfId="13122"/>
    <cellStyle name="Milliers 2 2 4 2 3 2 4 4 2" xfId="13123"/>
    <cellStyle name="Milliers 2 2 4 2 3 2 4 5" xfId="13124"/>
    <cellStyle name="Milliers 2 2 4 2 3 2 5" xfId="13125"/>
    <cellStyle name="Milliers 2 2 4 2 3 2 5 2" xfId="13126"/>
    <cellStyle name="Milliers 2 2 4 2 3 2 5 2 2" xfId="13127"/>
    <cellStyle name="Milliers 2 2 4 2 3 2 5 2 2 2" xfId="13128"/>
    <cellStyle name="Milliers 2 2 4 2 3 2 5 2 3" xfId="13129"/>
    <cellStyle name="Milliers 2 2 4 2 3 2 5 3" xfId="13130"/>
    <cellStyle name="Milliers 2 2 4 2 3 2 5 3 2" xfId="13131"/>
    <cellStyle name="Milliers 2 2 4 2 3 2 5 4" xfId="13132"/>
    <cellStyle name="Milliers 2 2 4 2 3 2 6" xfId="13133"/>
    <cellStyle name="Milliers 2 2 4 2 3 2 6 2" xfId="13134"/>
    <cellStyle name="Milliers 2 2 4 2 3 2 6 2 2" xfId="13135"/>
    <cellStyle name="Milliers 2 2 4 2 3 2 6 3" xfId="13136"/>
    <cellStyle name="Milliers 2 2 4 2 3 2 7" xfId="13137"/>
    <cellStyle name="Milliers 2 2 4 2 3 2 7 2" xfId="13138"/>
    <cellStyle name="Milliers 2 2 4 2 3 2 8" xfId="13139"/>
    <cellStyle name="Milliers 2 2 4 2 3 3" xfId="13140"/>
    <cellStyle name="Milliers 2 2 4 2 3 3 2" xfId="13141"/>
    <cellStyle name="Milliers 2 2 4 2 3 3 2 2" xfId="13142"/>
    <cellStyle name="Milliers 2 2 4 2 3 3 2 2 2" xfId="13143"/>
    <cellStyle name="Milliers 2 2 4 2 3 3 2 2 2 2" xfId="13144"/>
    <cellStyle name="Milliers 2 2 4 2 3 3 2 2 2 2 2" xfId="13145"/>
    <cellStyle name="Milliers 2 2 4 2 3 3 2 2 2 2 2 2" xfId="13146"/>
    <cellStyle name="Milliers 2 2 4 2 3 3 2 2 2 2 3" xfId="13147"/>
    <cellStyle name="Milliers 2 2 4 2 3 3 2 2 2 3" xfId="13148"/>
    <cellStyle name="Milliers 2 2 4 2 3 3 2 2 2 3 2" xfId="13149"/>
    <cellStyle name="Milliers 2 2 4 2 3 3 2 2 2 4" xfId="13150"/>
    <cellStyle name="Milliers 2 2 4 2 3 3 2 2 3" xfId="13151"/>
    <cellStyle name="Milliers 2 2 4 2 3 3 2 2 3 2" xfId="13152"/>
    <cellStyle name="Milliers 2 2 4 2 3 3 2 2 3 2 2" xfId="13153"/>
    <cellStyle name="Milliers 2 2 4 2 3 3 2 2 3 3" xfId="13154"/>
    <cellStyle name="Milliers 2 2 4 2 3 3 2 2 4" xfId="13155"/>
    <cellStyle name="Milliers 2 2 4 2 3 3 2 2 4 2" xfId="13156"/>
    <cellStyle name="Milliers 2 2 4 2 3 3 2 2 5" xfId="13157"/>
    <cellStyle name="Milliers 2 2 4 2 3 3 2 3" xfId="13158"/>
    <cellStyle name="Milliers 2 2 4 2 3 3 2 3 2" xfId="13159"/>
    <cellStyle name="Milliers 2 2 4 2 3 3 2 3 2 2" xfId="13160"/>
    <cellStyle name="Milliers 2 2 4 2 3 3 2 3 2 2 2" xfId="13161"/>
    <cellStyle name="Milliers 2 2 4 2 3 3 2 3 2 3" xfId="13162"/>
    <cellStyle name="Milliers 2 2 4 2 3 3 2 3 3" xfId="13163"/>
    <cellStyle name="Milliers 2 2 4 2 3 3 2 3 3 2" xfId="13164"/>
    <cellStyle name="Milliers 2 2 4 2 3 3 2 3 4" xfId="13165"/>
    <cellStyle name="Milliers 2 2 4 2 3 3 2 4" xfId="13166"/>
    <cellStyle name="Milliers 2 2 4 2 3 3 2 4 2" xfId="13167"/>
    <cellStyle name="Milliers 2 2 4 2 3 3 2 4 2 2" xfId="13168"/>
    <cellStyle name="Milliers 2 2 4 2 3 3 2 4 3" xfId="13169"/>
    <cellStyle name="Milliers 2 2 4 2 3 3 2 5" xfId="13170"/>
    <cellStyle name="Milliers 2 2 4 2 3 3 2 5 2" xfId="13171"/>
    <cellStyle name="Milliers 2 2 4 2 3 3 2 6" xfId="13172"/>
    <cellStyle name="Milliers 2 2 4 2 3 3 3" xfId="13173"/>
    <cellStyle name="Milliers 2 2 4 2 3 3 3 2" xfId="13174"/>
    <cellStyle name="Milliers 2 2 4 2 3 3 3 2 2" xfId="13175"/>
    <cellStyle name="Milliers 2 2 4 2 3 3 3 2 2 2" xfId="13176"/>
    <cellStyle name="Milliers 2 2 4 2 3 3 3 2 2 2 2" xfId="13177"/>
    <cellStyle name="Milliers 2 2 4 2 3 3 3 2 2 3" xfId="13178"/>
    <cellStyle name="Milliers 2 2 4 2 3 3 3 2 3" xfId="13179"/>
    <cellStyle name="Milliers 2 2 4 2 3 3 3 2 3 2" xfId="13180"/>
    <cellStyle name="Milliers 2 2 4 2 3 3 3 2 4" xfId="13181"/>
    <cellStyle name="Milliers 2 2 4 2 3 3 3 3" xfId="13182"/>
    <cellStyle name="Milliers 2 2 4 2 3 3 3 3 2" xfId="13183"/>
    <cellStyle name="Milliers 2 2 4 2 3 3 3 3 2 2" xfId="13184"/>
    <cellStyle name="Milliers 2 2 4 2 3 3 3 3 3" xfId="13185"/>
    <cellStyle name="Milliers 2 2 4 2 3 3 3 4" xfId="13186"/>
    <cellStyle name="Milliers 2 2 4 2 3 3 3 4 2" xfId="13187"/>
    <cellStyle name="Milliers 2 2 4 2 3 3 3 5" xfId="13188"/>
    <cellStyle name="Milliers 2 2 4 2 3 3 4" xfId="13189"/>
    <cellStyle name="Milliers 2 2 4 2 3 3 4 2" xfId="13190"/>
    <cellStyle name="Milliers 2 2 4 2 3 3 4 2 2" xfId="13191"/>
    <cellStyle name="Milliers 2 2 4 2 3 3 4 2 2 2" xfId="13192"/>
    <cellStyle name="Milliers 2 2 4 2 3 3 4 2 3" xfId="13193"/>
    <cellStyle name="Milliers 2 2 4 2 3 3 4 3" xfId="13194"/>
    <cellStyle name="Milliers 2 2 4 2 3 3 4 3 2" xfId="13195"/>
    <cellStyle name="Milliers 2 2 4 2 3 3 4 4" xfId="13196"/>
    <cellStyle name="Milliers 2 2 4 2 3 3 5" xfId="13197"/>
    <cellStyle name="Milliers 2 2 4 2 3 3 5 2" xfId="13198"/>
    <cellStyle name="Milliers 2 2 4 2 3 3 5 2 2" xfId="13199"/>
    <cellStyle name="Milliers 2 2 4 2 3 3 5 3" xfId="13200"/>
    <cellStyle name="Milliers 2 2 4 2 3 3 6" xfId="13201"/>
    <cellStyle name="Milliers 2 2 4 2 3 3 6 2" xfId="13202"/>
    <cellStyle name="Milliers 2 2 4 2 3 3 7" xfId="13203"/>
    <cellStyle name="Milliers 2 2 4 2 3 4" xfId="13204"/>
    <cellStyle name="Milliers 2 2 4 2 3 4 2" xfId="13205"/>
    <cellStyle name="Milliers 2 2 4 2 3 4 2 2" xfId="13206"/>
    <cellStyle name="Milliers 2 2 4 2 3 4 2 2 2" xfId="13207"/>
    <cellStyle name="Milliers 2 2 4 2 3 4 2 2 2 2" xfId="13208"/>
    <cellStyle name="Milliers 2 2 4 2 3 4 2 2 2 2 2" xfId="13209"/>
    <cellStyle name="Milliers 2 2 4 2 3 4 2 2 2 3" xfId="13210"/>
    <cellStyle name="Milliers 2 2 4 2 3 4 2 2 3" xfId="13211"/>
    <cellStyle name="Milliers 2 2 4 2 3 4 2 2 3 2" xfId="13212"/>
    <cellStyle name="Milliers 2 2 4 2 3 4 2 2 4" xfId="13213"/>
    <cellStyle name="Milliers 2 2 4 2 3 4 2 3" xfId="13214"/>
    <cellStyle name="Milliers 2 2 4 2 3 4 2 3 2" xfId="13215"/>
    <cellStyle name="Milliers 2 2 4 2 3 4 2 3 2 2" xfId="13216"/>
    <cellStyle name="Milliers 2 2 4 2 3 4 2 3 3" xfId="13217"/>
    <cellStyle name="Milliers 2 2 4 2 3 4 2 4" xfId="13218"/>
    <cellStyle name="Milliers 2 2 4 2 3 4 2 4 2" xfId="13219"/>
    <cellStyle name="Milliers 2 2 4 2 3 4 2 5" xfId="13220"/>
    <cellStyle name="Milliers 2 2 4 2 3 4 3" xfId="13221"/>
    <cellStyle name="Milliers 2 2 4 2 3 4 3 2" xfId="13222"/>
    <cellStyle name="Milliers 2 2 4 2 3 4 3 2 2" xfId="13223"/>
    <cellStyle name="Milliers 2 2 4 2 3 4 3 2 2 2" xfId="13224"/>
    <cellStyle name="Milliers 2 2 4 2 3 4 3 2 3" xfId="13225"/>
    <cellStyle name="Milliers 2 2 4 2 3 4 3 3" xfId="13226"/>
    <cellStyle name="Milliers 2 2 4 2 3 4 3 3 2" xfId="13227"/>
    <cellStyle name="Milliers 2 2 4 2 3 4 3 4" xfId="13228"/>
    <cellStyle name="Milliers 2 2 4 2 3 4 4" xfId="13229"/>
    <cellStyle name="Milliers 2 2 4 2 3 4 4 2" xfId="13230"/>
    <cellStyle name="Milliers 2 2 4 2 3 4 4 2 2" xfId="13231"/>
    <cellStyle name="Milliers 2 2 4 2 3 4 4 3" xfId="13232"/>
    <cellStyle name="Milliers 2 2 4 2 3 4 5" xfId="13233"/>
    <cellStyle name="Milliers 2 2 4 2 3 4 5 2" xfId="13234"/>
    <cellStyle name="Milliers 2 2 4 2 3 4 6" xfId="13235"/>
    <cellStyle name="Milliers 2 2 4 2 3 5" xfId="13236"/>
    <cellStyle name="Milliers 2 2 4 2 3 5 2" xfId="13237"/>
    <cellStyle name="Milliers 2 2 4 2 3 5 2 2" xfId="13238"/>
    <cellStyle name="Milliers 2 2 4 2 3 5 2 2 2" xfId="13239"/>
    <cellStyle name="Milliers 2 2 4 2 3 5 2 2 2 2" xfId="13240"/>
    <cellStyle name="Milliers 2 2 4 2 3 5 2 2 3" xfId="13241"/>
    <cellStyle name="Milliers 2 2 4 2 3 5 2 3" xfId="13242"/>
    <cellStyle name="Milliers 2 2 4 2 3 5 2 3 2" xfId="13243"/>
    <cellStyle name="Milliers 2 2 4 2 3 5 2 4" xfId="13244"/>
    <cellStyle name="Milliers 2 2 4 2 3 5 3" xfId="13245"/>
    <cellStyle name="Milliers 2 2 4 2 3 5 3 2" xfId="13246"/>
    <cellStyle name="Milliers 2 2 4 2 3 5 3 2 2" xfId="13247"/>
    <cellStyle name="Milliers 2 2 4 2 3 5 3 3" xfId="13248"/>
    <cellStyle name="Milliers 2 2 4 2 3 5 4" xfId="13249"/>
    <cellStyle name="Milliers 2 2 4 2 3 5 4 2" xfId="13250"/>
    <cellStyle name="Milliers 2 2 4 2 3 5 5" xfId="13251"/>
    <cellStyle name="Milliers 2 2 4 2 3 6" xfId="13252"/>
    <cellStyle name="Milliers 2 2 4 2 3 6 2" xfId="13253"/>
    <cellStyle name="Milliers 2 2 4 2 3 6 2 2" xfId="13254"/>
    <cellStyle name="Milliers 2 2 4 2 3 6 2 2 2" xfId="13255"/>
    <cellStyle name="Milliers 2 2 4 2 3 6 2 3" xfId="13256"/>
    <cellStyle name="Milliers 2 2 4 2 3 6 3" xfId="13257"/>
    <cellStyle name="Milliers 2 2 4 2 3 6 3 2" xfId="13258"/>
    <cellStyle name="Milliers 2 2 4 2 3 6 4" xfId="13259"/>
    <cellStyle name="Milliers 2 2 4 2 3 7" xfId="13260"/>
    <cellStyle name="Milliers 2 2 4 2 3 7 2" xfId="13261"/>
    <cellStyle name="Milliers 2 2 4 2 3 7 2 2" xfId="13262"/>
    <cellStyle name="Milliers 2 2 4 2 3 7 3" xfId="13263"/>
    <cellStyle name="Milliers 2 2 4 2 3 8" xfId="13264"/>
    <cellStyle name="Milliers 2 2 4 2 3 8 2" xfId="13265"/>
    <cellStyle name="Milliers 2 2 4 2 3 9" xfId="13266"/>
    <cellStyle name="Milliers 2 2 4 2 4" xfId="13267"/>
    <cellStyle name="Milliers 2 2 4 2 4 2" xfId="13268"/>
    <cellStyle name="Milliers 2 2 4 2 4 2 2" xfId="13269"/>
    <cellStyle name="Milliers 2 2 4 2 4 2 2 2" xfId="13270"/>
    <cellStyle name="Milliers 2 2 4 2 4 2 2 2 2" xfId="13271"/>
    <cellStyle name="Milliers 2 2 4 2 4 2 2 2 2 2" xfId="13272"/>
    <cellStyle name="Milliers 2 2 4 2 4 2 2 2 2 2 2" xfId="13273"/>
    <cellStyle name="Milliers 2 2 4 2 4 2 2 2 2 2 2 2" xfId="13274"/>
    <cellStyle name="Milliers 2 2 4 2 4 2 2 2 2 2 3" xfId="13275"/>
    <cellStyle name="Milliers 2 2 4 2 4 2 2 2 2 3" xfId="13276"/>
    <cellStyle name="Milliers 2 2 4 2 4 2 2 2 2 3 2" xfId="13277"/>
    <cellStyle name="Milliers 2 2 4 2 4 2 2 2 2 4" xfId="13278"/>
    <cellStyle name="Milliers 2 2 4 2 4 2 2 2 3" xfId="13279"/>
    <cellStyle name="Milliers 2 2 4 2 4 2 2 2 3 2" xfId="13280"/>
    <cellStyle name="Milliers 2 2 4 2 4 2 2 2 3 2 2" xfId="13281"/>
    <cellStyle name="Milliers 2 2 4 2 4 2 2 2 3 3" xfId="13282"/>
    <cellStyle name="Milliers 2 2 4 2 4 2 2 2 4" xfId="13283"/>
    <cellStyle name="Milliers 2 2 4 2 4 2 2 2 4 2" xfId="13284"/>
    <cellStyle name="Milliers 2 2 4 2 4 2 2 2 5" xfId="13285"/>
    <cellStyle name="Milliers 2 2 4 2 4 2 2 3" xfId="13286"/>
    <cellStyle name="Milliers 2 2 4 2 4 2 2 3 2" xfId="13287"/>
    <cellStyle name="Milliers 2 2 4 2 4 2 2 3 2 2" xfId="13288"/>
    <cellStyle name="Milliers 2 2 4 2 4 2 2 3 2 2 2" xfId="13289"/>
    <cellStyle name="Milliers 2 2 4 2 4 2 2 3 2 3" xfId="13290"/>
    <cellStyle name="Milliers 2 2 4 2 4 2 2 3 3" xfId="13291"/>
    <cellStyle name="Milliers 2 2 4 2 4 2 2 3 3 2" xfId="13292"/>
    <cellStyle name="Milliers 2 2 4 2 4 2 2 3 4" xfId="13293"/>
    <cellStyle name="Milliers 2 2 4 2 4 2 2 4" xfId="13294"/>
    <cellStyle name="Milliers 2 2 4 2 4 2 2 4 2" xfId="13295"/>
    <cellStyle name="Milliers 2 2 4 2 4 2 2 4 2 2" xfId="13296"/>
    <cellStyle name="Milliers 2 2 4 2 4 2 2 4 3" xfId="13297"/>
    <cellStyle name="Milliers 2 2 4 2 4 2 2 5" xfId="13298"/>
    <cellStyle name="Milliers 2 2 4 2 4 2 2 5 2" xfId="13299"/>
    <cellStyle name="Milliers 2 2 4 2 4 2 2 6" xfId="13300"/>
    <cellStyle name="Milliers 2 2 4 2 4 2 3" xfId="13301"/>
    <cellStyle name="Milliers 2 2 4 2 4 2 3 2" xfId="13302"/>
    <cellStyle name="Milliers 2 2 4 2 4 2 3 2 2" xfId="13303"/>
    <cellStyle name="Milliers 2 2 4 2 4 2 3 2 2 2" xfId="13304"/>
    <cellStyle name="Milliers 2 2 4 2 4 2 3 2 2 2 2" xfId="13305"/>
    <cellStyle name="Milliers 2 2 4 2 4 2 3 2 2 3" xfId="13306"/>
    <cellStyle name="Milliers 2 2 4 2 4 2 3 2 3" xfId="13307"/>
    <cellStyle name="Milliers 2 2 4 2 4 2 3 2 3 2" xfId="13308"/>
    <cellStyle name="Milliers 2 2 4 2 4 2 3 2 4" xfId="13309"/>
    <cellStyle name="Milliers 2 2 4 2 4 2 3 3" xfId="13310"/>
    <cellStyle name="Milliers 2 2 4 2 4 2 3 3 2" xfId="13311"/>
    <cellStyle name="Milliers 2 2 4 2 4 2 3 3 2 2" xfId="13312"/>
    <cellStyle name="Milliers 2 2 4 2 4 2 3 3 3" xfId="13313"/>
    <cellStyle name="Milliers 2 2 4 2 4 2 3 4" xfId="13314"/>
    <cellStyle name="Milliers 2 2 4 2 4 2 3 4 2" xfId="13315"/>
    <cellStyle name="Milliers 2 2 4 2 4 2 3 5" xfId="13316"/>
    <cellStyle name="Milliers 2 2 4 2 4 2 4" xfId="13317"/>
    <cellStyle name="Milliers 2 2 4 2 4 2 4 2" xfId="13318"/>
    <cellStyle name="Milliers 2 2 4 2 4 2 4 2 2" xfId="13319"/>
    <cellStyle name="Milliers 2 2 4 2 4 2 4 2 2 2" xfId="13320"/>
    <cellStyle name="Milliers 2 2 4 2 4 2 4 2 3" xfId="13321"/>
    <cellStyle name="Milliers 2 2 4 2 4 2 4 3" xfId="13322"/>
    <cellStyle name="Milliers 2 2 4 2 4 2 4 3 2" xfId="13323"/>
    <cellStyle name="Milliers 2 2 4 2 4 2 4 4" xfId="13324"/>
    <cellStyle name="Milliers 2 2 4 2 4 2 5" xfId="13325"/>
    <cellStyle name="Milliers 2 2 4 2 4 2 5 2" xfId="13326"/>
    <cellStyle name="Milliers 2 2 4 2 4 2 5 2 2" xfId="13327"/>
    <cellStyle name="Milliers 2 2 4 2 4 2 5 3" xfId="13328"/>
    <cellStyle name="Milliers 2 2 4 2 4 2 6" xfId="13329"/>
    <cellStyle name="Milliers 2 2 4 2 4 2 6 2" xfId="13330"/>
    <cellStyle name="Milliers 2 2 4 2 4 2 7" xfId="13331"/>
    <cellStyle name="Milliers 2 2 4 2 4 3" xfId="13332"/>
    <cellStyle name="Milliers 2 2 4 2 4 3 2" xfId="13333"/>
    <cellStyle name="Milliers 2 2 4 2 4 3 2 2" xfId="13334"/>
    <cellStyle name="Milliers 2 2 4 2 4 3 2 2 2" xfId="13335"/>
    <cellStyle name="Milliers 2 2 4 2 4 3 2 2 2 2" xfId="13336"/>
    <cellStyle name="Milliers 2 2 4 2 4 3 2 2 2 2 2" xfId="13337"/>
    <cellStyle name="Milliers 2 2 4 2 4 3 2 2 2 3" xfId="13338"/>
    <cellStyle name="Milliers 2 2 4 2 4 3 2 2 3" xfId="13339"/>
    <cellStyle name="Milliers 2 2 4 2 4 3 2 2 3 2" xfId="13340"/>
    <cellStyle name="Milliers 2 2 4 2 4 3 2 2 4" xfId="13341"/>
    <cellStyle name="Milliers 2 2 4 2 4 3 2 3" xfId="13342"/>
    <cellStyle name="Milliers 2 2 4 2 4 3 2 3 2" xfId="13343"/>
    <cellStyle name="Milliers 2 2 4 2 4 3 2 3 2 2" xfId="13344"/>
    <cellStyle name="Milliers 2 2 4 2 4 3 2 3 3" xfId="13345"/>
    <cellStyle name="Milliers 2 2 4 2 4 3 2 4" xfId="13346"/>
    <cellStyle name="Milliers 2 2 4 2 4 3 2 4 2" xfId="13347"/>
    <cellStyle name="Milliers 2 2 4 2 4 3 2 5" xfId="13348"/>
    <cellStyle name="Milliers 2 2 4 2 4 3 3" xfId="13349"/>
    <cellStyle name="Milliers 2 2 4 2 4 3 3 2" xfId="13350"/>
    <cellStyle name="Milliers 2 2 4 2 4 3 3 2 2" xfId="13351"/>
    <cellStyle name="Milliers 2 2 4 2 4 3 3 2 2 2" xfId="13352"/>
    <cellStyle name="Milliers 2 2 4 2 4 3 3 2 3" xfId="13353"/>
    <cellStyle name="Milliers 2 2 4 2 4 3 3 3" xfId="13354"/>
    <cellStyle name="Milliers 2 2 4 2 4 3 3 3 2" xfId="13355"/>
    <cellStyle name="Milliers 2 2 4 2 4 3 3 4" xfId="13356"/>
    <cellStyle name="Milliers 2 2 4 2 4 3 4" xfId="13357"/>
    <cellStyle name="Milliers 2 2 4 2 4 3 4 2" xfId="13358"/>
    <cellStyle name="Milliers 2 2 4 2 4 3 4 2 2" xfId="13359"/>
    <cellStyle name="Milliers 2 2 4 2 4 3 4 3" xfId="13360"/>
    <cellStyle name="Milliers 2 2 4 2 4 3 5" xfId="13361"/>
    <cellStyle name="Milliers 2 2 4 2 4 3 5 2" xfId="13362"/>
    <cellStyle name="Milliers 2 2 4 2 4 3 6" xfId="13363"/>
    <cellStyle name="Milliers 2 2 4 2 4 4" xfId="13364"/>
    <cellStyle name="Milliers 2 2 4 2 4 4 2" xfId="13365"/>
    <cellStyle name="Milliers 2 2 4 2 4 4 2 2" xfId="13366"/>
    <cellStyle name="Milliers 2 2 4 2 4 4 2 2 2" xfId="13367"/>
    <cellStyle name="Milliers 2 2 4 2 4 4 2 2 2 2" xfId="13368"/>
    <cellStyle name="Milliers 2 2 4 2 4 4 2 2 3" xfId="13369"/>
    <cellStyle name="Milliers 2 2 4 2 4 4 2 3" xfId="13370"/>
    <cellStyle name="Milliers 2 2 4 2 4 4 2 3 2" xfId="13371"/>
    <cellStyle name="Milliers 2 2 4 2 4 4 2 4" xfId="13372"/>
    <cellStyle name="Milliers 2 2 4 2 4 4 3" xfId="13373"/>
    <cellStyle name="Milliers 2 2 4 2 4 4 3 2" xfId="13374"/>
    <cellStyle name="Milliers 2 2 4 2 4 4 3 2 2" xfId="13375"/>
    <cellStyle name="Milliers 2 2 4 2 4 4 3 3" xfId="13376"/>
    <cellStyle name="Milliers 2 2 4 2 4 4 4" xfId="13377"/>
    <cellStyle name="Milliers 2 2 4 2 4 4 4 2" xfId="13378"/>
    <cellStyle name="Milliers 2 2 4 2 4 4 5" xfId="13379"/>
    <cellStyle name="Milliers 2 2 4 2 4 5" xfId="13380"/>
    <cellStyle name="Milliers 2 2 4 2 4 5 2" xfId="13381"/>
    <cellStyle name="Milliers 2 2 4 2 4 5 2 2" xfId="13382"/>
    <cellStyle name="Milliers 2 2 4 2 4 5 2 2 2" xfId="13383"/>
    <cellStyle name="Milliers 2 2 4 2 4 5 2 3" xfId="13384"/>
    <cellStyle name="Milliers 2 2 4 2 4 5 3" xfId="13385"/>
    <cellStyle name="Milliers 2 2 4 2 4 5 3 2" xfId="13386"/>
    <cellStyle name="Milliers 2 2 4 2 4 5 4" xfId="13387"/>
    <cellStyle name="Milliers 2 2 4 2 4 6" xfId="13388"/>
    <cellStyle name="Milliers 2 2 4 2 4 6 2" xfId="13389"/>
    <cellStyle name="Milliers 2 2 4 2 4 6 2 2" xfId="13390"/>
    <cellStyle name="Milliers 2 2 4 2 4 6 3" xfId="13391"/>
    <cellStyle name="Milliers 2 2 4 2 4 7" xfId="13392"/>
    <cellStyle name="Milliers 2 2 4 2 4 7 2" xfId="13393"/>
    <cellStyle name="Milliers 2 2 4 2 4 8" xfId="13394"/>
    <cellStyle name="Milliers 2 2 4 2 5" xfId="13395"/>
    <cellStyle name="Milliers 2 2 4 2 5 2" xfId="13396"/>
    <cellStyle name="Milliers 2 2 4 2 5 2 2" xfId="13397"/>
    <cellStyle name="Milliers 2 2 4 2 5 2 2 2" xfId="13398"/>
    <cellStyle name="Milliers 2 2 4 2 5 2 2 2 2" xfId="13399"/>
    <cellStyle name="Milliers 2 2 4 2 5 2 2 2 2 2" xfId="13400"/>
    <cellStyle name="Milliers 2 2 4 2 5 2 2 2 2 2 2" xfId="13401"/>
    <cellStyle name="Milliers 2 2 4 2 5 2 2 2 2 3" xfId="13402"/>
    <cellStyle name="Milliers 2 2 4 2 5 2 2 2 3" xfId="13403"/>
    <cellStyle name="Milliers 2 2 4 2 5 2 2 2 3 2" xfId="13404"/>
    <cellStyle name="Milliers 2 2 4 2 5 2 2 2 4" xfId="13405"/>
    <cellStyle name="Milliers 2 2 4 2 5 2 2 3" xfId="13406"/>
    <cellStyle name="Milliers 2 2 4 2 5 2 2 3 2" xfId="13407"/>
    <cellStyle name="Milliers 2 2 4 2 5 2 2 3 2 2" xfId="13408"/>
    <cellStyle name="Milliers 2 2 4 2 5 2 2 3 3" xfId="13409"/>
    <cellStyle name="Milliers 2 2 4 2 5 2 2 4" xfId="13410"/>
    <cellStyle name="Milliers 2 2 4 2 5 2 2 4 2" xfId="13411"/>
    <cellStyle name="Milliers 2 2 4 2 5 2 2 5" xfId="13412"/>
    <cellStyle name="Milliers 2 2 4 2 5 2 3" xfId="13413"/>
    <cellStyle name="Milliers 2 2 4 2 5 2 3 2" xfId="13414"/>
    <cellStyle name="Milliers 2 2 4 2 5 2 3 2 2" xfId="13415"/>
    <cellStyle name="Milliers 2 2 4 2 5 2 3 2 2 2" xfId="13416"/>
    <cellStyle name="Milliers 2 2 4 2 5 2 3 2 3" xfId="13417"/>
    <cellStyle name="Milliers 2 2 4 2 5 2 3 3" xfId="13418"/>
    <cellStyle name="Milliers 2 2 4 2 5 2 3 3 2" xfId="13419"/>
    <cellStyle name="Milliers 2 2 4 2 5 2 3 4" xfId="13420"/>
    <cellStyle name="Milliers 2 2 4 2 5 2 4" xfId="13421"/>
    <cellStyle name="Milliers 2 2 4 2 5 2 4 2" xfId="13422"/>
    <cellStyle name="Milliers 2 2 4 2 5 2 4 2 2" xfId="13423"/>
    <cellStyle name="Milliers 2 2 4 2 5 2 4 3" xfId="13424"/>
    <cellStyle name="Milliers 2 2 4 2 5 2 5" xfId="13425"/>
    <cellStyle name="Milliers 2 2 4 2 5 2 5 2" xfId="13426"/>
    <cellStyle name="Milliers 2 2 4 2 5 2 6" xfId="13427"/>
    <cellStyle name="Milliers 2 2 4 2 5 3" xfId="13428"/>
    <cellStyle name="Milliers 2 2 4 2 5 3 2" xfId="13429"/>
    <cellStyle name="Milliers 2 2 4 2 5 3 2 2" xfId="13430"/>
    <cellStyle name="Milliers 2 2 4 2 5 3 2 2 2" xfId="13431"/>
    <cellStyle name="Milliers 2 2 4 2 5 3 2 2 2 2" xfId="13432"/>
    <cellStyle name="Milliers 2 2 4 2 5 3 2 2 3" xfId="13433"/>
    <cellStyle name="Milliers 2 2 4 2 5 3 2 3" xfId="13434"/>
    <cellStyle name="Milliers 2 2 4 2 5 3 2 3 2" xfId="13435"/>
    <cellStyle name="Milliers 2 2 4 2 5 3 2 4" xfId="13436"/>
    <cellStyle name="Milliers 2 2 4 2 5 3 3" xfId="13437"/>
    <cellStyle name="Milliers 2 2 4 2 5 3 3 2" xfId="13438"/>
    <cellStyle name="Milliers 2 2 4 2 5 3 3 2 2" xfId="13439"/>
    <cellStyle name="Milliers 2 2 4 2 5 3 3 3" xfId="13440"/>
    <cellStyle name="Milliers 2 2 4 2 5 3 4" xfId="13441"/>
    <cellStyle name="Milliers 2 2 4 2 5 3 4 2" xfId="13442"/>
    <cellStyle name="Milliers 2 2 4 2 5 3 5" xfId="13443"/>
    <cellStyle name="Milliers 2 2 4 2 5 4" xfId="13444"/>
    <cellStyle name="Milliers 2 2 4 2 5 4 2" xfId="13445"/>
    <cellStyle name="Milliers 2 2 4 2 5 4 2 2" xfId="13446"/>
    <cellStyle name="Milliers 2 2 4 2 5 4 2 2 2" xfId="13447"/>
    <cellStyle name="Milliers 2 2 4 2 5 4 2 3" xfId="13448"/>
    <cellStyle name="Milliers 2 2 4 2 5 4 3" xfId="13449"/>
    <cellStyle name="Milliers 2 2 4 2 5 4 3 2" xfId="13450"/>
    <cellStyle name="Milliers 2 2 4 2 5 4 4" xfId="13451"/>
    <cellStyle name="Milliers 2 2 4 2 5 5" xfId="13452"/>
    <cellStyle name="Milliers 2 2 4 2 5 5 2" xfId="13453"/>
    <cellStyle name="Milliers 2 2 4 2 5 5 2 2" xfId="13454"/>
    <cellStyle name="Milliers 2 2 4 2 5 5 3" xfId="13455"/>
    <cellStyle name="Milliers 2 2 4 2 5 6" xfId="13456"/>
    <cellStyle name="Milliers 2 2 4 2 5 6 2" xfId="13457"/>
    <cellStyle name="Milliers 2 2 4 2 5 7" xfId="13458"/>
    <cellStyle name="Milliers 2 2 4 2 6" xfId="13459"/>
    <cellStyle name="Milliers 2 2 4 2 6 2" xfId="13460"/>
    <cellStyle name="Milliers 2 2 4 2 6 2 2" xfId="13461"/>
    <cellStyle name="Milliers 2 2 4 2 6 2 2 2" xfId="13462"/>
    <cellStyle name="Milliers 2 2 4 2 6 2 2 2 2" xfId="13463"/>
    <cellStyle name="Milliers 2 2 4 2 6 2 2 2 2 2" xfId="13464"/>
    <cellStyle name="Milliers 2 2 4 2 6 2 2 2 3" xfId="13465"/>
    <cellStyle name="Milliers 2 2 4 2 6 2 2 3" xfId="13466"/>
    <cellStyle name="Milliers 2 2 4 2 6 2 2 3 2" xfId="13467"/>
    <cellStyle name="Milliers 2 2 4 2 6 2 2 4" xfId="13468"/>
    <cellStyle name="Milliers 2 2 4 2 6 2 3" xfId="13469"/>
    <cellStyle name="Milliers 2 2 4 2 6 2 3 2" xfId="13470"/>
    <cellStyle name="Milliers 2 2 4 2 6 2 3 2 2" xfId="13471"/>
    <cellStyle name="Milliers 2 2 4 2 6 2 3 3" xfId="13472"/>
    <cellStyle name="Milliers 2 2 4 2 6 2 4" xfId="13473"/>
    <cellStyle name="Milliers 2 2 4 2 6 2 4 2" xfId="13474"/>
    <cellStyle name="Milliers 2 2 4 2 6 2 5" xfId="13475"/>
    <cellStyle name="Milliers 2 2 4 2 6 3" xfId="13476"/>
    <cellStyle name="Milliers 2 2 4 2 6 3 2" xfId="13477"/>
    <cellStyle name="Milliers 2 2 4 2 6 3 2 2" xfId="13478"/>
    <cellStyle name="Milliers 2 2 4 2 6 3 2 2 2" xfId="13479"/>
    <cellStyle name="Milliers 2 2 4 2 6 3 2 3" xfId="13480"/>
    <cellStyle name="Milliers 2 2 4 2 6 3 3" xfId="13481"/>
    <cellStyle name="Milliers 2 2 4 2 6 3 3 2" xfId="13482"/>
    <cellStyle name="Milliers 2 2 4 2 6 3 4" xfId="13483"/>
    <cellStyle name="Milliers 2 2 4 2 6 4" xfId="13484"/>
    <cellStyle name="Milliers 2 2 4 2 6 4 2" xfId="13485"/>
    <cellStyle name="Milliers 2 2 4 2 6 4 2 2" xfId="13486"/>
    <cellStyle name="Milliers 2 2 4 2 6 4 3" xfId="13487"/>
    <cellStyle name="Milliers 2 2 4 2 6 5" xfId="13488"/>
    <cellStyle name="Milliers 2 2 4 2 6 5 2" xfId="13489"/>
    <cellStyle name="Milliers 2 2 4 2 6 6" xfId="13490"/>
    <cellStyle name="Milliers 2 2 4 2 7" xfId="13491"/>
    <cellStyle name="Milliers 2 2 4 2 7 2" xfId="13492"/>
    <cellStyle name="Milliers 2 2 4 2 7 2 2" xfId="13493"/>
    <cellStyle name="Milliers 2 2 4 2 7 2 2 2" xfId="13494"/>
    <cellStyle name="Milliers 2 2 4 2 7 2 2 2 2" xfId="13495"/>
    <cellStyle name="Milliers 2 2 4 2 7 2 2 3" xfId="13496"/>
    <cellStyle name="Milliers 2 2 4 2 7 2 3" xfId="13497"/>
    <cellStyle name="Milliers 2 2 4 2 7 2 3 2" xfId="13498"/>
    <cellStyle name="Milliers 2 2 4 2 7 2 4" xfId="13499"/>
    <cellStyle name="Milliers 2 2 4 2 7 3" xfId="13500"/>
    <cellStyle name="Milliers 2 2 4 2 7 3 2" xfId="13501"/>
    <cellStyle name="Milliers 2 2 4 2 7 3 2 2" xfId="13502"/>
    <cellStyle name="Milliers 2 2 4 2 7 3 3" xfId="13503"/>
    <cellStyle name="Milliers 2 2 4 2 7 4" xfId="13504"/>
    <cellStyle name="Milliers 2 2 4 2 7 4 2" xfId="13505"/>
    <cellStyle name="Milliers 2 2 4 2 7 5" xfId="13506"/>
    <cellStyle name="Milliers 2 2 4 2 8" xfId="13507"/>
    <cellStyle name="Milliers 2 2 4 2 8 2" xfId="13508"/>
    <cellStyle name="Milliers 2 2 4 2 8 2 2" xfId="13509"/>
    <cellStyle name="Milliers 2 2 4 2 8 2 2 2" xfId="13510"/>
    <cellStyle name="Milliers 2 2 4 2 8 2 3" xfId="13511"/>
    <cellStyle name="Milliers 2 2 4 2 8 3" xfId="13512"/>
    <cellStyle name="Milliers 2 2 4 2 8 3 2" xfId="13513"/>
    <cellStyle name="Milliers 2 2 4 2 8 4" xfId="13514"/>
    <cellStyle name="Milliers 2 2 4 2 9" xfId="13515"/>
    <cellStyle name="Milliers 2 2 4 2 9 2" xfId="13516"/>
    <cellStyle name="Milliers 2 2 4 2 9 2 2" xfId="13517"/>
    <cellStyle name="Milliers 2 2 4 2 9 3" xfId="13518"/>
    <cellStyle name="Milliers 2 2 4 3" xfId="13519"/>
    <cellStyle name="Milliers 2 2 4 3 10" xfId="13520"/>
    <cellStyle name="Milliers 2 2 4 3 2" xfId="13521"/>
    <cellStyle name="Milliers 2 2 4 3 2 2" xfId="13522"/>
    <cellStyle name="Milliers 2 2 4 3 2 2 2" xfId="13523"/>
    <cellStyle name="Milliers 2 2 4 3 2 2 2 2" xfId="13524"/>
    <cellStyle name="Milliers 2 2 4 3 2 2 2 2 2" xfId="13525"/>
    <cellStyle name="Milliers 2 2 4 3 2 2 2 2 2 2" xfId="13526"/>
    <cellStyle name="Milliers 2 2 4 3 2 2 2 2 2 2 2" xfId="13527"/>
    <cellStyle name="Milliers 2 2 4 3 2 2 2 2 2 2 2 2" xfId="13528"/>
    <cellStyle name="Milliers 2 2 4 3 2 2 2 2 2 2 2 2 2" xfId="13529"/>
    <cellStyle name="Milliers 2 2 4 3 2 2 2 2 2 2 2 3" xfId="13530"/>
    <cellStyle name="Milliers 2 2 4 3 2 2 2 2 2 2 3" xfId="13531"/>
    <cellStyle name="Milliers 2 2 4 3 2 2 2 2 2 2 3 2" xfId="13532"/>
    <cellStyle name="Milliers 2 2 4 3 2 2 2 2 2 2 4" xfId="13533"/>
    <cellStyle name="Milliers 2 2 4 3 2 2 2 2 2 3" xfId="13534"/>
    <cellStyle name="Milliers 2 2 4 3 2 2 2 2 2 3 2" xfId="13535"/>
    <cellStyle name="Milliers 2 2 4 3 2 2 2 2 2 3 2 2" xfId="13536"/>
    <cellStyle name="Milliers 2 2 4 3 2 2 2 2 2 3 3" xfId="13537"/>
    <cellStyle name="Milliers 2 2 4 3 2 2 2 2 2 4" xfId="13538"/>
    <cellStyle name="Milliers 2 2 4 3 2 2 2 2 2 4 2" xfId="13539"/>
    <cellStyle name="Milliers 2 2 4 3 2 2 2 2 2 5" xfId="13540"/>
    <cellStyle name="Milliers 2 2 4 3 2 2 2 2 3" xfId="13541"/>
    <cellStyle name="Milliers 2 2 4 3 2 2 2 2 3 2" xfId="13542"/>
    <cellStyle name="Milliers 2 2 4 3 2 2 2 2 3 2 2" xfId="13543"/>
    <cellStyle name="Milliers 2 2 4 3 2 2 2 2 3 2 2 2" xfId="13544"/>
    <cellStyle name="Milliers 2 2 4 3 2 2 2 2 3 2 3" xfId="13545"/>
    <cellStyle name="Milliers 2 2 4 3 2 2 2 2 3 3" xfId="13546"/>
    <cellStyle name="Milliers 2 2 4 3 2 2 2 2 3 3 2" xfId="13547"/>
    <cellStyle name="Milliers 2 2 4 3 2 2 2 2 3 4" xfId="13548"/>
    <cellStyle name="Milliers 2 2 4 3 2 2 2 2 4" xfId="13549"/>
    <cellStyle name="Milliers 2 2 4 3 2 2 2 2 4 2" xfId="13550"/>
    <cellStyle name="Milliers 2 2 4 3 2 2 2 2 4 2 2" xfId="13551"/>
    <cellStyle name="Milliers 2 2 4 3 2 2 2 2 4 3" xfId="13552"/>
    <cellStyle name="Milliers 2 2 4 3 2 2 2 2 5" xfId="13553"/>
    <cellStyle name="Milliers 2 2 4 3 2 2 2 2 5 2" xfId="13554"/>
    <cellStyle name="Milliers 2 2 4 3 2 2 2 2 6" xfId="13555"/>
    <cellStyle name="Milliers 2 2 4 3 2 2 2 3" xfId="13556"/>
    <cellStyle name="Milliers 2 2 4 3 2 2 2 3 2" xfId="13557"/>
    <cellStyle name="Milliers 2 2 4 3 2 2 2 3 2 2" xfId="13558"/>
    <cellStyle name="Milliers 2 2 4 3 2 2 2 3 2 2 2" xfId="13559"/>
    <cellStyle name="Milliers 2 2 4 3 2 2 2 3 2 2 2 2" xfId="13560"/>
    <cellStyle name="Milliers 2 2 4 3 2 2 2 3 2 2 3" xfId="13561"/>
    <cellStyle name="Milliers 2 2 4 3 2 2 2 3 2 3" xfId="13562"/>
    <cellStyle name="Milliers 2 2 4 3 2 2 2 3 2 3 2" xfId="13563"/>
    <cellStyle name="Milliers 2 2 4 3 2 2 2 3 2 4" xfId="13564"/>
    <cellStyle name="Milliers 2 2 4 3 2 2 2 3 3" xfId="13565"/>
    <cellStyle name="Milliers 2 2 4 3 2 2 2 3 3 2" xfId="13566"/>
    <cellStyle name="Milliers 2 2 4 3 2 2 2 3 3 2 2" xfId="13567"/>
    <cellStyle name="Milliers 2 2 4 3 2 2 2 3 3 3" xfId="13568"/>
    <cellStyle name="Milliers 2 2 4 3 2 2 2 3 4" xfId="13569"/>
    <cellStyle name="Milliers 2 2 4 3 2 2 2 3 4 2" xfId="13570"/>
    <cellStyle name="Milliers 2 2 4 3 2 2 2 3 5" xfId="13571"/>
    <cellStyle name="Milliers 2 2 4 3 2 2 2 4" xfId="13572"/>
    <cellStyle name="Milliers 2 2 4 3 2 2 2 4 2" xfId="13573"/>
    <cellStyle name="Milliers 2 2 4 3 2 2 2 4 2 2" xfId="13574"/>
    <cellStyle name="Milliers 2 2 4 3 2 2 2 4 2 2 2" xfId="13575"/>
    <cellStyle name="Milliers 2 2 4 3 2 2 2 4 2 3" xfId="13576"/>
    <cellStyle name="Milliers 2 2 4 3 2 2 2 4 3" xfId="13577"/>
    <cellStyle name="Milliers 2 2 4 3 2 2 2 4 3 2" xfId="13578"/>
    <cellStyle name="Milliers 2 2 4 3 2 2 2 4 4" xfId="13579"/>
    <cellStyle name="Milliers 2 2 4 3 2 2 2 5" xfId="13580"/>
    <cellStyle name="Milliers 2 2 4 3 2 2 2 5 2" xfId="13581"/>
    <cellStyle name="Milliers 2 2 4 3 2 2 2 5 2 2" xfId="13582"/>
    <cellStyle name="Milliers 2 2 4 3 2 2 2 5 3" xfId="13583"/>
    <cellStyle name="Milliers 2 2 4 3 2 2 2 6" xfId="13584"/>
    <cellStyle name="Milliers 2 2 4 3 2 2 2 6 2" xfId="13585"/>
    <cellStyle name="Milliers 2 2 4 3 2 2 2 7" xfId="13586"/>
    <cellStyle name="Milliers 2 2 4 3 2 2 3" xfId="13587"/>
    <cellStyle name="Milliers 2 2 4 3 2 2 3 2" xfId="13588"/>
    <cellStyle name="Milliers 2 2 4 3 2 2 3 2 2" xfId="13589"/>
    <cellStyle name="Milliers 2 2 4 3 2 2 3 2 2 2" xfId="13590"/>
    <cellStyle name="Milliers 2 2 4 3 2 2 3 2 2 2 2" xfId="13591"/>
    <cellStyle name="Milliers 2 2 4 3 2 2 3 2 2 2 2 2" xfId="13592"/>
    <cellStyle name="Milliers 2 2 4 3 2 2 3 2 2 2 3" xfId="13593"/>
    <cellStyle name="Milliers 2 2 4 3 2 2 3 2 2 3" xfId="13594"/>
    <cellStyle name="Milliers 2 2 4 3 2 2 3 2 2 3 2" xfId="13595"/>
    <cellStyle name="Milliers 2 2 4 3 2 2 3 2 2 4" xfId="13596"/>
    <cellStyle name="Milliers 2 2 4 3 2 2 3 2 3" xfId="13597"/>
    <cellStyle name="Milliers 2 2 4 3 2 2 3 2 3 2" xfId="13598"/>
    <cellStyle name="Milliers 2 2 4 3 2 2 3 2 3 2 2" xfId="13599"/>
    <cellStyle name="Milliers 2 2 4 3 2 2 3 2 3 3" xfId="13600"/>
    <cellStyle name="Milliers 2 2 4 3 2 2 3 2 4" xfId="13601"/>
    <cellStyle name="Milliers 2 2 4 3 2 2 3 2 4 2" xfId="13602"/>
    <cellStyle name="Milliers 2 2 4 3 2 2 3 2 5" xfId="13603"/>
    <cellStyle name="Milliers 2 2 4 3 2 2 3 3" xfId="13604"/>
    <cellStyle name="Milliers 2 2 4 3 2 2 3 3 2" xfId="13605"/>
    <cellStyle name="Milliers 2 2 4 3 2 2 3 3 2 2" xfId="13606"/>
    <cellStyle name="Milliers 2 2 4 3 2 2 3 3 2 2 2" xfId="13607"/>
    <cellStyle name="Milliers 2 2 4 3 2 2 3 3 2 3" xfId="13608"/>
    <cellStyle name="Milliers 2 2 4 3 2 2 3 3 3" xfId="13609"/>
    <cellStyle name="Milliers 2 2 4 3 2 2 3 3 3 2" xfId="13610"/>
    <cellStyle name="Milliers 2 2 4 3 2 2 3 3 4" xfId="13611"/>
    <cellStyle name="Milliers 2 2 4 3 2 2 3 4" xfId="13612"/>
    <cellStyle name="Milliers 2 2 4 3 2 2 3 4 2" xfId="13613"/>
    <cellStyle name="Milliers 2 2 4 3 2 2 3 4 2 2" xfId="13614"/>
    <cellStyle name="Milliers 2 2 4 3 2 2 3 4 3" xfId="13615"/>
    <cellStyle name="Milliers 2 2 4 3 2 2 3 5" xfId="13616"/>
    <cellStyle name="Milliers 2 2 4 3 2 2 3 5 2" xfId="13617"/>
    <cellStyle name="Milliers 2 2 4 3 2 2 3 6" xfId="13618"/>
    <cellStyle name="Milliers 2 2 4 3 2 2 4" xfId="13619"/>
    <cellStyle name="Milliers 2 2 4 3 2 2 4 2" xfId="13620"/>
    <cellStyle name="Milliers 2 2 4 3 2 2 4 2 2" xfId="13621"/>
    <cellStyle name="Milliers 2 2 4 3 2 2 4 2 2 2" xfId="13622"/>
    <cellStyle name="Milliers 2 2 4 3 2 2 4 2 2 2 2" xfId="13623"/>
    <cellStyle name="Milliers 2 2 4 3 2 2 4 2 2 3" xfId="13624"/>
    <cellStyle name="Milliers 2 2 4 3 2 2 4 2 3" xfId="13625"/>
    <cellStyle name="Milliers 2 2 4 3 2 2 4 2 3 2" xfId="13626"/>
    <cellStyle name="Milliers 2 2 4 3 2 2 4 2 4" xfId="13627"/>
    <cellStyle name="Milliers 2 2 4 3 2 2 4 3" xfId="13628"/>
    <cellStyle name="Milliers 2 2 4 3 2 2 4 3 2" xfId="13629"/>
    <cellStyle name="Milliers 2 2 4 3 2 2 4 3 2 2" xfId="13630"/>
    <cellStyle name="Milliers 2 2 4 3 2 2 4 3 3" xfId="13631"/>
    <cellStyle name="Milliers 2 2 4 3 2 2 4 4" xfId="13632"/>
    <cellStyle name="Milliers 2 2 4 3 2 2 4 4 2" xfId="13633"/>
    <cellStyle name="Milliers 2 2 4 3 2 2 4 5" xfId="13634"/>
    <cellStyle name="Milliers 2 2 4 3 2 2 5" xfId="13635"/>
    <cellStyle name="Milliers 2 2 4 3 2 2 5 2" xfId="13636"/>
    <cellStyle name="Milliers 2 2 4 3 2 2 5 2 2" xfId="13637"/>
    <cellStyle name="Milliers 2 2 4 3 2 2 5 2 2 2" xfId="13638"/>
    <cellStyle name="Milliers 2 2 4 3 2 2 5 2 3" xfId="13639"/>
    <cellStyle name="Milliers 2 2 4 3 2 2 5 3" xfId="13640"/>
    <cellStyle name="Milliers 2 2 4 3 2 2 5 3 2" xfId="13641"/>
    <cellStyle name="Milliers 2 2 4 3 2 2 5 4" xfId="13642"/>
    <cellStyle name="Milliers 2 2 4 3 2 2 6" xfId="13643"/>
    <cellStyle name="Milliers 2 2 4 3 2 2 6 2" xfId="13644"/>
    <cellStyle name="Milliers 2 2 4 3 2 2 6 2 2" xfId="13645"/>
    <cellStyle name="Milliers 2 2 4 3 2 2 6 3" xfId="13646"/>
    <cellStyle name="Milliers 2 2 4 3 2 2 7" xfId="13647"/>
    <cellStyle name="Milliers 2 2 4 3 2 2 7 2" xfId="13648"/>
    <cellStyle name="Milliers 2 2 4 3 2 2 8" xfId="13649"/>
    <cellStyle name="Milliers 2 2 4 3 2 3" xfId="13650"/>
    <cellStyle name="Milliers 2 2 4 3 2 3 2" xfId="13651"/>
    <cellStyle name="Milliers 2 2 4 3 2 3 2 2" xfId="13652"/>
    <cellStyle name="Milliers 2 2 4 3 2 3 2 2 2" xfId="13653"/>
    <cellStyle name="Milliers 2 2 4 3 2 3 2 2 2 2" xfId="13654"/>
    <cellStyle name="Milliers 2 2 4 3 2 3 2 2 2 2 2" xfId="13655"/>
    <cellStyle name="Milliers 2 2 4 3 2 3 2 2 2 2 2 2" xfId="13656"/>
    <cellStyle name="Milliers 2 2 4 3 2 3 2 2 2 2 3" xfId="13657"/>
    <cellStyle name="Milliers 2 2 4 3 2 3 2 2 2 3" xfId="13658"/>
    <cellStyle name="Milliers 2 2 4 3 2 3 2 2 2 3 2" xfId="13659"/>
    <cellStyle name="Milliers 2 2 4 3 2 3 2 2 2 4" xfId="13660"/>
    <cellStyle name="Milliers 2 2 4 3 2 3 2 2 3" xfId="13661"/>
    <cellStyle name="Milliers 2 2 4 3 2 3 2 2 3 2" xfId="13662"/>
    <cellStyle name="Milliers 2 2 4 3 2 3 2 2 3 2 2" xfId="13663"/>
    <cellStyle name="Milliers 2 2 4 3 2 3 2 2 3 3" xfId="13664"/>
    <cellStyle name="Milliers 2 2 4 3 2 3 2 2 4" xfId="13665"/>
    <cellStyle name="Milliers 2 2 4 3 2 3 2 2 4 2" xfId="13666"/>
    <cellStyle name="Milliers 2 2 4 3 2 3 2 2 5" xfId="13667"/>
    <cellStyle name="Milliers 2 2 4 3 2 3 2 3" xfId="13668"/>
    <cellStyle name="Milliers 2 2 4 3 2 3 2 3 2" xfId="13669"/>
    <cellStyle name="Milliers 2 2 4 3 2 3 2 3 2 2" xfId="13670"/>
    <cellStyle name="Milliers 2 2 4 3 2 3 2 3 2 2 2" xfId="13671"/>
    <cellStyle name="Milliers 2 2 4 3 2 3 2 3 2 3" xfId="13672"/>
    <cellStyle name="Milliers 2 2 4 3 2 3 2 3 3" xfId="13673"/>
    <cellStyle name="Milliers 2 2 4 3 2 3 2 3 3 2" xfId="13674"/>
    <cellStyle name="Milliers 2 2 4 3 2 3 2 3 4" xfId="13675"/>
    <cellStyle name="Milliers 2 2 4 3 2 3 2 4" xfId="13676"/>
    <cellStyle name="Milliers 2 2 4 3 2 3 2 4 2" xfId="13677"/>
    <cellStyle name="Milliers 2 2 4 3 2 3 2 4 2 2" xfId="13678"/>
    <cellStyle name="Milliers 2 2 4 3 2 3 2 4 3" xfId="13679"/>
    <cellStyle name="Milliers 2 2 4 3 2 3 2 5" xfId="13680"/>
    <cellStyle name="Milliers 2 2 4 3 2 3 2 5 2" xfId="13681"/>
    <cellStyle name="Milliers 2 2 4 3 2 3 2 6" xfId="13682"/>
    <cellStyle name="Milliers 2 2 4 3 2 3 3" xfId="13683"/>
    <cellStyle name="Milliers 2 2 4 3 2 3 3 2" xfId="13684"/>
    <cellStyle name="Milliers 2 2 4 3 2 3 3 2 2" xfId="13685"/>
    <cellStyle name="Milliers 2 2 4 3 2 3 3 2 2 2" xfId="13686"/>
    <cellStyle name="Milliers 2 2 4 3 2 3 3 2 2 2 2" xfId="13687"/>
    <cellStyle name="Milliers 2 2 4 3 2 3 3 2 2 3" xfId="13688"/>
    <cellStyle name="Milliers 2 2 4 3 2 3 3 2 3" xfId="13689"/>
    <cellStyle name="Milliers 2 2 4 3 2 3 3 2 3 2" xfId="13690"/>
    <cellStyle name="Milliers 2 2 4 3 2 3 3 2 4" xfId="13691"/>
    <cellStyle name="Milliers 2 2 4 3 2 3 3 3" xfId="13692"/>
    <cellStyle name="Milliers 2 2 4 3 2 3 3 3 2" xfId="13693"/>
    <cellStyle name="Milliers 2 2 4 3 2 3 3 3 2 2" xfId="13694"/>
    <cellStyle name="Milliers 2 2 4 3 2 3 3 3 3" xfId="13695"/>
    <cellStyle name="Milliers 2 2 4 3 2 3 3 4" xfId="13696"/>
    <cellStyle name="Milliers 2 2 4 3 2 3 3 4 2" xfId="13697"/>
    <cellStyle name="Milliers 2 2 4 3 2 3 3 5" xfId="13698"/>
    <cellStyle name="Milliers 2 2 4 3 2 3 4" xfId="13699"/>
    <cellStyle name="Milliers 2 2 4 3 2 3 4 2" xfId="13700"/>
    <cellStyle name="Milliers 2 2 4 3 2 3 4 2 2" xfId="13701"/>
    <cellStyle name="Milliers 2 2 4 3 2 3 4 2 2 2" xfId="13702"/>
    <cellStyle name="Milliers 2 2 4 3 2 3 4 2 3" xfId="13703"/>
    <cellStyle name="Milliers 2 2 4 3 2 3 4 3" xfId="13704"/>
    <cellStyle name="Milliers 2 2 4 3 2 3 4 3 2" xfId="13705"/>
    <cellStyle name="Milliers 2 2 4 3 2 3 4 4" xfId="13706"/>
    <cellStyle name="Milliers 2 2 4 3 2 3 5" xfId="13707"/>
    <cellStyle name="Milliers 2 2 4 3 2 3 5 2" xfId="13708"/>
    <cellStyle name="Milliers 2 2 4 3 2 3 5 2 2" xfId="13709"/>
    <cellStyle name="Milliers 2 2 4 3 2 3 5 3" xfId="13710"/>
    <cellStyle name="Milliers 2 2 4 3 2 3 6" xfId="13711"/>
    <cellStyle name="Milliers 2 2 4 3 2 3 6 2" xfId="13712"/>
    <cellStyle name="Milliers 2 2 4 3 2 3 7" xfId="13713"/>
    <cellStyle name="Milliers 2 2 4 3 2 4" xfId="13714"/>
    <cellStyle name="Milliers 2 2 4 3 2 4 2" xfId="13715"/>
    <cellStyle name="Milliers 2 2 4 3 2 4 2 2" xfId="13716"/>
    <cellStyle name="Milliers 2 2 4 3 2 4 2 2 2" xfId="13717"/>
    <cellStyle name="Milliers 2 2 4 3 2 4 2 2 2 2" xfId="13718"/>
    <cellStyle name="Milliers 2 2 4 3 2 4 2 2 2 2 2" xfId="13719"/>
    <cellStyle name="Milliers 2 2 4 3 2 4 2 2 2 3" xfId="13720"/>
    <cellStyle name="Milliers 2 2 4 3 2 4 2 2 3" xfId="13721"/>
    <cellStyle name="Milliers 2 2 4 3 2 4 2 2 3 2" xfId="13722"/>
    <cellStyle name="Milliers 2 2 4 3 2 4 2 2 4" xfId="13723"/>
    <cellStyle name="Milliers 2 2 4 3 2 4 2 3" xfId="13724"/>
    <cellStyle name="Milliers 2 2 4 3 2 4 2 3 2" xfId="13725"/>
    <cellStyle name="Milliers 2 2 4 3 2 4 2 3 2 2" xfId="13726"/>
    <cellStyle name="Milliers 2 2 4 3 2 4 2 3 3" xfId="13727"/>
    <cellStyle name="Milliers 2 2 4 3 2 4 2 4" xfId="13728"/>
    <cellStyle name="Milliers 2 2 4 3 2 4 2 4 2" xfId="13729"/>
    <cellStyle name="Milliers 2 2 4 3 2 4 2 5" xfId="13730"/>
    <cellStyle name="Milliers 2 2 4 3 2 4 3" xfId="13731"/>
    <cellStyle name="Milliers 2 2 4 3 2 4 3 2" xfId="13732"/>
    <cellStyle name="Milliers 2 2 4 3 2 4 3 2 2" xfId="13733"/>
    <cellStyle name="Milliers 2 2 4 3 2 4 3 2 2 2" xfId="13734"/>
    <cellStyle name="Milliers 2 2 4 3 2 4 3 2 3" xfId="13735"/>
    <cellStyle name="Milliers 2 2 4 3 2 4 3 3" xfId="13736"/>
    <cellStyle name="Milliers 2 2 4 3 2 4 3 3 2" xfId="13737"/>
    <cellStyle name="Milliers 2 2 4 3 2 4 3 4" xfId="13738"/>
    <cellStyle name="Milliers 2 2 4 3 2 4 4" xfId="13739"/>
    <cellStyle name="Milliers 2 2 4 3 2 4 4 2" xfId="13740"/>
    <cellStyle name="Milliers 2 2 4 3 2 4 4 2 2" xfId="13741"/>
    <cellStyle name="Milliers 2 2 4 3 2 4 4 3" xfId="13742"/>
    <cellStyle name="Milliers 2 2 4 3 2 4 5" xfId="13743"/>
    <cellStyle name="Milliers 2 2 4 3 2 4 5 2" xfId="13744"/>
    <cellStyle name="Milliers 2 2 4 3 2 4 6" xfId="13745"/>
    <cellStyle name="Milliers 2 2 4 3 2 5" xfId="13746"/>
    <cellStyle name="Milliers 2 2 4 3 2 5 2" xfId="13747"/>
    <cellStyle name="Milliers 2 2 4 3 2 5 2 2" xfId="13748"/>
    <cellStyle name="Milliers 2 2 4 3 2 5 2 2 2" xfId="13749"/>
    <cellStyle name="Milliers 2 2 4 3 2 5 2 2 2 2" xfId="13750"/>
    <cellStyle name="Milliers 2 2 4 3 2 5 2 2 3" xfId="13751"/>
    <cellStyle name="Milliers 2 2 4 3 2 5 2 3" xfId="13752"/>
    <cellStyle name="Milliers 2 2 4 3 2 5 2 3 2" xfId="13753"/>
    <cellStyle name="Milliers 2 2 4 3 2 5 2 4" xfId="13754"/>
    <cellStyle name="Milliers 2 2 4 3 2 5 3" xfId="13755"/>
    <cellStyle name="Milliers 2 2 4 3 2 5 3 2" xfId="13756"/>
    <cellStyle name="Milliers 2 2 4 3 2 5 3 2 2" xfId="13757"/>
    <cellStyle name="Milliers 2 2 4 3 2 5 3 3" xfId="13758"/>
    <cellStyle name="Milliers 2 2 4 3 2 5 4" xfId="13759"/>
    <cellStyle name="Milliers 2 2 4 3 2 5 4 2" xfId="13760"/>
    <cellStyle name="Milliers 2 2 4 3 2 5 5" xfId="13761"/>
    <cellStyle name="Milliers 2 2 4 3 2 6" xfId="13762"/>
    <cellStyle name="Milliers 2 2 4 3 2 6 2" xfId="13763"/>
    <cellStyle name="Milliers 2 2 4 3 2 6 2 2" xfId="13764"/>
    <cellStyle name="Milliers 2 2 4 3 2 6 2 2 2" xfId="13765"/>
    <cellStyle name="Milliers 2 2 4 3 2 6 2 3" xfId="13766"/>
    <cellStyle name="Milliers 2 2 4 3 2 6 3" xfId="13767"/>
    <cellStyle name="Milliers 2 2 4 3 2 6 3 2" xfId="13768"/>
    <cellStyle name="Milliers 2 2 4 3 2 6 4" xfId="13769"/>
    <cellStyle name="Milliers 2 2 4 3 2 7" xfId="13770"/>
    <cellStyle name="Milliers 2 2 4 3 2 7 2" xfId="13771"/>
    <cellStyle name="Milliers 2 2 4 3 2 7 2 2" xfId="13772"/>
    <cellStyle name="Milliers 2 2 4 3 2 7 3" xfId="13773"/>
    <cellStyle name="Milliers 2 2 4 3 2 8" xfId="13774"/>
    <cellStyle name="Milliers 2 2 4 3 2 8 2" xfId="13775"/>
    <cellStyle name="Milliers 2 2 4 3 2 9" xfId="13776"/>
    <cellStyle name="Milliers 2 2 4 3 3" xfId="13777"/>
    <cellStyle name="Milliers 2 2 4 3 3 2" xfId="13778"/>
    <cellStyle name="Milliers 2 2 4 3 3 2 2" xfId="13779"/>
    <cellStyle name="Milliers 2 2 4 3 3 2 2 2" xfId="13780"/>
    <cellStyle name="Milliers 2 2 4 3 3 2 2 2 2" xfId="13781"/>
    <cellStyle name="Milliers 2 2 4 3 3 2 2 2 2 2" xfId="13782"/>
    <cellStyle name="Milliers 2 2 4 3 3 2 2 2 2 2 2" xfId="13783"/>
    <cellStyle name="Milliers 2 2 4 3 3 2 2 2 2 2 2 2" xfId="13784"/>
    <cellStyle name="Milliers 2 2 4 3 3 2 2 2 2 2 3" xfId="13785"/>
    <cellStyle name="Milliers 2 2 4 3 3 2 2 2 2 3" xfId="13786"/>
    <cellStyle name="Milliers 2 2 4 3 3 2 2 2 2 3 2" xfId="13787"/>
    <cellStyle name="Milliers 2 2 4 3 3 2 2 2 2 4" xfId="13788"/>
    <cellStyle name="Milliers 2 2 4 3 3 2 2 2 3" xfId="13789"/>
    <cellStyle name="Milliers 2 2 4 3 3 2 2 2 3 2" xfId="13790"/>
    <cellStyle name="Milliers 2 2 4 3 3 2 2 2 3 2 2" xfId="13791"/>
    <cellStyle name="Milliers 2 2 4 3 3 2 2 2 3 3" xfId="13792"/>
    <cellStyle name="Milliers 2 2 4 3 3 2 2 2 4" xfId="13793"/>
    <cellStyle name="Milliers 2 2 4 3 3 2 2 2 4 2" xfId="13794"/>
    <cellStyle name="Milliers 2 2 4 3 3 2 2 2 5" xfId="13795"/>
    <cellStyle name="Milliers 2 2 4 3 3 2 2 3" xfId="13796"/>
    <cellStyle name="Milliers 2 2 4 3 3 2 2 3 2" xfId="13797"/>
    <cellStyle name="Milliers 2 2 4 3 3 2 2 3 2 2" xfId="13798"/>
    <cellStyle name="Milliers 2 2 4 3 3 2 2 3 2 2 2" xfId="13799"/>
    <cellStyle name="Milliers 2 2 4 3 3 2 2 3 2 3" xfId="13800"/>
    <cellStyle name="Milliers 2 2 4 3 3 2 2 3 3" xfId="13801"/>
    <cellStyle name="Milliers 2 2 4 3 3 2 2 3 3 2" xfId="13802"/>
    <cellStyle name="Milliers 2 2 4 3 3 2 2 3 4" xfId="13803"/>
    <cellStyle name="Milliers 2 2 4 3 3 2 2 4" xfId="13804"/>
    <cellStyle name="Milliers 2 2 4 3 3 2 2 4 2" xfId="13805"/>
    <cellStyle name="Milliers 2 2 4 3 3 2 2 4 2 2" xfId="13806"/>
    <cellStyle name="Milliers 2 2 4 3 3 2 2 4 3" xfId="13807"/>
    <cellStyle name="Milliers 2 2 4 3 3 2 2 5" xfId="13808"/>
    <cellStyle name="Milliers 2 2 4 3 3 2 2 5 2" xfId="13809"/>
    <cellStyle name="Milliers 2 2 4 3 3 2 2 6" xfId="13810"/>
    <cellStyle name="Milliers 2 2 4 3 3 2 3" xfId="13811"/>
    <cellStyle name="Milliers 2 2 4 3 3 2 3 2" xfId="13812"/>
    <cellStyle name="Milliers 2 2 4 3 3 2 3 2 2" xfId="13813"/>
    <cellStyle name="Milliers 2 2 4 3 3 2 3 2 2 2" xfId="13814"/>
    <cellStyle name="Milliers 2 2 4 3 3 2 3 2 2 2 2" xfId="13815"/>
    <cellStyle name="Milliers 2 2 4 3 3 2 3 2 2 3" xfId="13816"/>
    <cellStyle name="Milliers 2 2 4 3 3 2 3 2 3" xfId="13817"/>
    <cellStyle name="Milliers 2 2 4 3 3 2 3 2 3 2" xfId="13818"/>
    <cellStyle name="Milliers 2 2 4 3 3 2 3 2 4" xfId="13819"/>
    <cellStyle name="Milliers 2 2 4 3 3 2 3 3" xfId="13820"/>
    <cellStyle name="Milliers 2 2 4 3 3 2 3 3 2" xfId="13821"/>
    <cellStyle name="Milliers 2 2 4 3 3 2 3 3 2 2" xfId="13822"/>
    <cellStyle name="Milliers 2 2 4 3 3 2 3 3 3" xfId="13823"/>
    <cellStyle name="Milliers 2 2 4 3 3 2 3 4" xfId="13824"/>
    <cellStyle name="Milliers 2 2 4 3 3 2 3 4 2" xfId="13825"/>
    <cellStyle name="Milliers 2 2 4 3 3 2 3 5" xfId="13826"/>
    <cellStyle name="Milliers 2 2 4 3 3 2 4" xfId="13827"/>
    <cellStyle name="Milliers 2 2 4 3 3 2 4 2" xfId="13828"/>
    <cellStyle name="Milliers 2 2 4 3 3 2 4 2 2" xfId="13829"/>
    <cellStyle name="Milliers 2 2 4 3 3 2 4 2 2 2" xfId="13830"/>
    <cellStyle name="Milliers 2 2 4 3 3 2 4 2 3" xfId="13831"/>
    <cellStyle name="Milliers 2 2 4 3 3 2 4 3" xfId="13832"/>
    <cellStyle name="Milliers 2 2 4 3 3 2 4 3 2" xfId="13833"/>
    <cellStyle name="Milliers 2 2 4 3 3 2 4 4" xfId="13834"/>
    <cellStyle name="Milliers 2 2 4 3 3 2 5" xfId="13835"/>
    <cellStyle name="Milliers 2 2 4 3 3 2 5 2" xfId="13836"/>
    <cellStyle name="Milliers 2 2 4 3 3 2 5 2 2" xfId="13837"/>
    <cellStyle name="Milliers 2 2 4 3 3 2 5 3" xfId="13838"/>
    <cellStyle name="Milliers 2 2 4 3 3 2 6" xfId="13839"/>
    <cellStyle name="Milliers 2 2 4 3 3 2 6 2" xfId="13840"/>
    <cellStyle name="Milliers 2 2 4 3 3 2 7" xfId="13841"/>
    <cellStyle name="Milliers 2 2 4 3 3 3" xfId="13842"/>
    <cellStyle name="Milliers 2 2 4 3 3 3 2" xfId="13843"/>
    <cellStyle name="Milliers 2 2 4 3 3 3 2 2" xfId="13844"/>
    <cellStyle name="Milliers 2 2 4 3 3 3 2 2 2" xfId="13845"/>
    <cellStyle name="Milliers 2 2 4 3 3 3 2 2 2 2" xfId="13846"/>
    <cellStyle name="Milliers 2 2 4 3 3 3 2 2 2 2 2" xfId="13847"/>
    <cellStyle name="Milliers 2 2 4 3 3 3 2 2 2 3" xfId="13848"/>
    <cellStyle name="Milliers 2 2 4 3 3 3 2 2 3" xfId="13849"/>
    <cellStyle name="Milliers 2 2 4 3 3 3 2 2 3 2" xfId="13850"/>
    <cellStyle name="Milliers 2 2 4 3 3 3 2 2 4" xfId="13851"/>
    <cellStyle name="Milliers 2 2 4 3 3 3 2 3" xfId="13852"/>
    <cellStyle name="Milliers 2 2 4 3 3 3 2 3 2" xfId="13853"/>
    <cellStyle name="Milliers 2 2 4 3 3 3 2 3 2 2" xfId="13854"/>
    <cellStyle name="Milliers 2 2 4 3 3 3 2 3 3" xfId="13855"/>
    <cellStyle name="Milliers 2 2 4 3 3 3 2 4" xfId="13856"/>
    <cellStyle name="Milliers 2 2 4 3 3 3 2 4 2" xfId="13857"/>
    <cellStyle name="Milliers 2 2 4 3 3 3 2 5" xfId="13858"/>
    <cellStyle name="Milliers 2 2 4 3 3 3 3" xfId="13859"/>
    <cellStyle name="Milliers 2 2 4 3 3 3 3 2" xfId="13860"/>
    <cellStyle name="Milliers 2 2 4 3 3 3 3 2 2" xfId="13861"/>
    <cellStyle name="Milliers 2 2 4 3 3 3 3 2 2 2" xfId="13862"/>
    <cellStyle name="Milliers 2 2 4 3 3 3 3 2 3" xfId="13863"/>
    <cellStyle name="Milliers 2 2 4 3 3 3 3 3" xfId="13864"/>
    <cellStyle name="Milliers 2 2 4 3 3 3 3 3 2" xfId="13865"/>
    <cellStyle name="Milliers 2 2 4 3 3 3 3 4" xfId="13866"/>
    <cellStyle name="Milliers 2 2 4 3 3 3 4" xfId="13867"/>
    <cellStyle name="Milliers 2 2 4 3 3 3 4 2" xfId="13868"/>
    <cellStyle name="Milliers 2 2 4 3 3 3 4 2 2" xfId="13869"/>
    <cellStyle name="Milliers 2 2 4 3 3 3 4 3" xfId="13870"/>
    <cellStyle name="Milliers 2 2 4 3 3 3 5" xfId="13871"/>
    <cellStyle name="Milliers 2 2 4 3 3 3 5 2" xfId="13872"/>
    <cellStyle name="Milliers 2 2 4 3 3 3 6" xfId="13873"/>
    <cellStyle name="Milliers 2 2 4 3 3 4" xfId="13874"/>
    <cellStyle name="Milliers 2 2 4 3 3 4 2" xfId="13875"/>
    <cellStyle name="Milliers 2 2 4 3 3 4 2 2" xfId="13876"/>
    <cellStyle name="Milliers 2 2 4 3 3 4 2 2 2" xfId="13877"/>
    <cellStyle name="Milliers 2 2 4 3 3 4 2 2 2 2" xfId="13878"/>
    <cellStyle name="Milliers 2 2 4 3 3 4 2 2 3" xfId="13879"/>
    <cellStyle name="Milliers 2 2 4 3 3 4 2 3" xfId="13880"/>
    <cellStyle name="Milliers 2 2 4 3 3 4 2 3 2" xfId="13881"/>
    <cellStyle name="Milliers 2 2 4 3 3 4 2 4" xfId="13882"/>
    <cellStyle name="Milliers 2 2 4 3 3 4 3" xfId="13883"/>
    <cellStyle name="Milliers 2 2 4 3 3 4 3 2" xfId="13884"/>
    <cellStyle name="Milliers 2 2 4 3 3 4 3 2 2" xfId="13885"/>
    <cellStyle name="Milliers 2 2 4 3 3 4 3 3" xfId="13886"/>
    <cellStyle name="Milliers 2 2 4 3 3 4 4" xfId="13887"/>
    <cellStyle name="Milliers 2 2 4 3 3 4 4 2" xfId="13888"/>
    <cellStyle name="Milliers 2 2 4 3 3 4 5" xfId="13889"/>
    <cellStyle name="Milliers 2 2 4 3 3 5" xfId="13890"/>
    <cellStyle name="Milliers 2 2 4 3 3 5 2" xfId="13891"/>
    <cellStyle name="Milliers 2 2 4 3 3 5 2 2" xfId="13892"/>
    <cellStyle name="Milliers 2 2 4 3 3 5 2 2 2" xfId="13893"/>
    <cellStyle name="Milliers 2 2 4 3 3 5 2 3" xfId="13894"/>
    <cellStyle name="Milliers 2 2 4 3 3 5 3" xfId="13895"/>
    <cellStyle name="Milliers 2 2 4 3 3 5 3 2" xfId="13896"/>
    <cellStyle name="Milliers 2 2 4 3 3 5 4" xfId="13897"/>
    <cellStyle name="Milliers 2 2 4 3 3 6" xfId="13898"/>
    <cellStyle name="Milliers 2 2 4 3 3 6 2" xfId="13899"/>
    <cellStyle name="Milliers 2 2 4 3 3 6 2 2" xfId="13900"/>
    <cellStyle name="Milliers 2 2 4 3 3 6 3" xfId="13901"/>
    <cellStyle name="Milliers 2 2 4 3 3 7" xfId="13902"/>
    <cellStyle name="Milliers 2 2 4 3 3 7 2" xfId="13903"/>
    <cellStyle name="Milliers 2 2 4 3 3 8" xfId="13904"/>
    <cellStyle name="Milliers 2 2 4 3 4" xfId="13905"/>
    <cellStyle name="Milliers 2 2 4 3 4 2" xfId="13906"/>
    <cellStyle name="Milliers 2 2 4 3 4 2 2" xfId="13907"/>
    <cellStyle name="Milliers 2 2 4 3 4 2 2 2" xfId="13908"/>
    <cellStyle name="Milliers 2 2 4 3 4 2 2 2 2" xfId="13909"/>
    <cellStyle name="Milliers 2 2 4 3 4 2 2 2 2 2" xfId="13910"/>
    <cellStyle name="Milliers 2 2 4 3 4 2 2 2 2 2 2" xfId="13911"/>
    <cellStyle name="Milliers 2 2 4 3 4 2 2 2 2 3" xfId="13912"/>
    <cellStyle name="Milliers 2 2 4 3 4 2 2 2 3" xfId="13913"/>
    <cellStyle name="Milliers 2 2 4 3 4 2 2 2 3 2" xfId="13914"/>
    <cellStyle name="Milliers 2 2 4 3 4 2 2 2 4" xfId="13915"/>
    <cellStyle name="Milliers 2 2 4 3 4 2 2 3" xfId="13916"/>
    <cellStyle name="Milliers 2 2 4 3 4 2 2 3 2" xfId="13917"/>
    <cellStyle name="Milliers 2 2 4 3 4 2 2 3 2 2" xfId="13918"/>
    <cellStyle name="Milliers 2 2 4 3 4 2 2 3 3" xfId="13919"/>
    <cellStyle name="Milliers 2 2 4 3 4 2 2 4" xfId="13920"/>
    <cellStyle name="Milliers 2 2 4 3 4 2 2 4 2" xfId="13921"/>
    <cellStyle name="Milliers 2 2 4 3 4 2 2 5" xfId="13922"/>
    <cellStyle name="Milliers 2 2 4 3 4 2 3" xfId="13923"/>
    <cellStyle name="Milliers 2 2 4 3 4 2 3 2" xfId="13924"/>
    <cellStyle name="Milliers 2 2 4 3 4 2 3 2 2" xfId="13925"/>
    <cellStyle name="Milliers 2 2 4 3 4 2 3 2 2 2" xfId="13926"/>
    <cellStyle name="Milliers 2 2 4 3 4 2 3 2 3" xfId="13927"/>
    <cellStyle name="Milliers 2 2 4 3 4 2 3 3" xfId="13928"/>
    <cellStyle name="Milliers 2 2 4 3 4 2 3 3 2" xfId="13929"/>
    <cellStyle name="Milliers 2 2 4 3 4 2 3 4" xfId="13930"/>
    <cellStyle name="Milliers 2 2 4 3 4 2 4" xfId="13931"/>
    <cellStyle name="Milliers 2 2 4 3 4 2 4 2" xfId="13932"/>
    <cellStyle name="Milliers 2 2 4 3 4 2 4 2 2" xfId="13933"/>
    <cellStyle name="Milliers 2 2 4 3 4 2 4 3" xfId="13934"/>
    <cellStyle name="Milliers 2 2 4 3 4 2 5" xfId="13935"/>
    <cellStyle name="Milliers 2 2 4 3 4 2 5 2" xfId="13936"/>
    <cellStyle name="Milliers 2 2 4 3 4 2 6" xfId="13937"/>
    <cellStyle name="Milliers 2 2 4 3 4 3" xfId="13938"/>
    <cellStyle name="Milliers 2 2 4 3 4 3 2" xfId="13939"/>
    <cellStyle name="Milliers 2 2 4 3 4 3 2 2" xfId="13940"/>
    <cellStyle name="Milliers 2 2 4 3 4 3 2 2 2" xfId="13941"/>
    <cellStyle name="Milliers 2 2 4 3 4 3 2 2 2 2" xfId="13942"/>
    <cellStyle name="Milliers 2 2 4 3 4 3 2 2 3" xfId="13943"/>
    <cellStyle name="Milliers 2 2 4 3 4 3 2 3" xfId="13944"/>
    <cellStyle name="Milliers 2 2 4 3 4 3 2 3 2" xfId="13945"/>
    <cellStyle name="Milliers 2 2 4 3 4 3 2 4" xfId="13946"/>
    <cellStyle name="Milliers 2 2 4 3 4 3 3" xfId="13947"/>
    <cellStyle name="Milliers 2 2 4 3 4 3 3 2" xfId="13948"/>
    <cellStyle name="Milliers 2 2 4 3 4 3 3 2 2" xfId="13949"/>
    <cellStyle name="Milliers 2 2 4 3 4 3 3 3" xfId="13950"/>
    <cellStyle name="Milliers 2 2 4 3 4 3 4" xfId="13951"/>
    <cellStyle name="Milliers 2 2 4 3 4 3 4 2" xfId="13952"/>
    <cellStyle name="Milliers 2 2 4 3 4 3 5" xfId="13953"/>
    <cellStyle name="Milliers 2 2 4 3 4 4" xfId="13954"/>
    <cellStyle name="Milliers 2 2 4 3 4 4 2" xfId="13955"/>
    <cellStyle name="Milliers 2 2 4 3 4 4 2 2" xfId="13956"/>
    <cellStyle name="Milliers 2 2 4 3 4 4 2 2 2" xfId="13957"/>
    <cellStyle name="Milliers 2 2 4 3 4 4 2 3" xfId="13958"/>
    <cellStyle name="Milliers 2 2 4 3 4 4 3" xfId="13959"/>
    <cellStyle name="Milliers 2 2 4 3 4 4 3 2" xfId="13960"/>
    <cellStyle name="Milliers 2 2 4 3 4 4 4" xfId="13961"/>
    <cellStyle name="Milliers 2 2 4 3 4 5" xfId="13962"/>
    <cellStyle name="Milliers 2 2 4 3 4 5 2" xfId="13963"/>
    <cellStyle name="Milliers 2 2 4 3 4 5 2 2" xfId="13964"/>
    <cellStyle name="Milliers 2 2 4 3 4 5 3" xfId="13965"/>
    <cellStyle name="Milliers 2 2 4 3 4 6" xfId="13966"/>
    <cellStyle name="Milliers 2 2 4 3 4 6 2" xfId="13967"/>
    <cellStyle name="Milliers 2 2 4 3 4 7" xfId="13968"/>
    <cellStyle name="Milliers 2 2 4 3 5" xfId="13969"/>
    <cellStyle name="Milliers 2 2 4 3 5 2" xfId="13970"/>
    <cellStyle name="Milliers 2 2 4 3 5 2 2" xfId="13971"/>
    <cellStyle name="Milliers 2 2 4 3 5 2 2 2" xfId="13972"/>
    <cellStyle name="Milliers 2 2 4 3 5 2 2 2 2" xfId="13973"/>
    <cellStyle name="Milliers 2 2 4 3 5 2 2 2 2 2" xfId="13974"/>
    <cellStyle name="Milliers 2 2 4 3 5 2 2 2 3" xfId="13975"/>
    <cellStyle name="Milliers 2 2 4 3 5 2 2 3" xfId="13976"/>
    <cellStyle name="Milliers 2 2 4 3 5 2 2 3 2" xfId="13977"/>
    <cellStyle name="Milliers 2 2 4 3 5 2 2 4" xfId="13978"/>
    <cellStyle name="Milliers 2 2 4 3 5 2 3" xfId="13979"/>
    <cellStyle name="Milliers 2 2 4 3 5 2 3 2" xfId="13980"/>
    <cellStyle name="Milliers 2 2 4 3 5 2 3 2 2" xfId="13981"/>
    <cellStyle name="Milliers 2 2 4 3 5 2 3 3" xfId="13982"/>
    <cellStyle name="Milliers 2 2 4 3 5 2 4" xfId="13983"/>
    <cellStyle name="Milliers 2 2 4 3 5 2 4 2" xfId="13984"/>
    <cellStyle name="Milliers 2 2 4 3 5 2 5" xfId="13985"/>
    <cellStyle name="Milliers 2 2 4 3 5 3" xfId="13986"/>
    <cellStyle name="Milliers 2 2 4 3 5 3 2" xfId="13987"/>
    <cellStyle name="Milliers 2 2 4 3 5 3 2 2" xfId="13988"/>
    <cellStyle name="Milliers 2 2 4 3 5 3 2 2 2" xfId="13989"/>
    <cellStyle name="Milliers 2 2 4 3 5 3 2 3" xfId="13990"/>
    <cellStyle name="Milliers 2 2 4 3 5 3 3" xfId="13991"/>
    <cellStyle name="Milliers 2 2 4 3 5 3 3 2" xfId="13992"/>
    <cellStyle name="Milliers 2 2 4 3 5 3 4" xfId="13993"/>
    <cellStyle name="Milliers 2 2 4 3 5 4" xfId="13994"/>
    <cellStyle name="Milliers 2 2 4 3 5 4 2" xfId="13995"/>
    <cellStyle name="Milliers 2 2 4 3 5 4 2 2" xfId="13996"/>
    <cellStyle name="Milliers 2 2 4 3 5 4 3" xfId="13997"/>
    <cellStyle name="Milliers 2 2 4 3 5 5" xfId="13998"/>
    <cellStyle name="Milliers 2 2 4 3 5 5 2" xfId="13999"/>
    <cellStyle name="Milliers 2 2 4 3 5 6" xfId="14000"/>
    <cellStyle name="Milliers 2 2 4 3 6" xfId="14001"/>
    <cellStyle name="Milliers 2 2 4 3 6 2" xfId="14002"/>
    <cellStyle name="Milliers 2 2 4 3 6 2 2" xfId="14003"/>
    <cellStyle name="Milliers 2 2 4 3 6 2 2 2" xfId="14004"/>
    <cellStyle name="Milliers 2 2 4 3 6 2 2 2 2" xfId="14005"/>
    <cellStyle name="Milliers 2 2 4 3 6 2 2 3" xfId="14006"/>
    <cellStyle name="Milliers 2 2 4 3 6 2 3" xfId="14007"/>
    <cellStyle name="Milliers 2 2 4 3 6 2 3 2" xfId="14008"/>
    <cellStyle name="Milliers 2 2 4 3 6 2 4" xfId="14009"/>
    <cellStyle name="Milliers 2 2 4 3 6 3" xfId="14010"/>
    <cellStyle name="Milliers 2 2 4 3 6 3 2" xfId="14011"/>
    <cellStyle name="Milliers 2 2 4 3 6 3 2 2" xfId="14012"/>
    <cellStyle name="Milliers 2 2 4 3 6 3 3" xfId="14013"/>
    <cellStyle name="Milliers 2 2 4 3 6 4" xfId="14014"/>
    <cellStyle name="Milliers 2 2 4 3 6 4 2" xfId="14015"/>
    <cellStyle name="Milliers 2 2 4 3 6 5" xfId="14016"/>
    <cellStyle name="Milliers 2 2 4 3 7" xfId="14017"/>
    <cellStyle name="Milliers 2 2 4 3 7 2" xfId="14018"/>
    <cellStyle name="Milliers 2 2 4 3 7 2 2" xfId="14019"/>
    <cellStyle name="Milliers 2 2 4 3 7 2 2 2" xfId="14020"/>
    <cellStyle name="Milliers 2 2 4 3 7 2 3" xfId="14021"/>
    <cellStyle name="Milliers 2 2 4 3 7 3" xfId="14022"/>
    <cellStyle name="Milliers 2 2 4 3 7 3 2" xfId="14023"/>
    <cellStyle name="Milliers 2 2 4 3 7 4" xfId="14024"/>
    <cellStyle name="Milliers 2 2 4 3 8" xfId="14025"/>
    <cellStyle name="Milliers 2 2 4 3 8 2" xfId="14026"/>
    <cellStyle name="Milliers 2 2 4 3 8 2 2" xfId="14027"/>
    <cellStyle name="Milliers 2 2 4 3 8 3" xfId="14028"/>
    <cellStyle name="Milliers 2 2 4 3 9" xfId="14029"/>
    <cellStyle name="Milliers 2 2 4 3 9 2" xfId="14030"/>
    <cellStyle name="Milliers 2 2 4 4" xfId="14031"/>
    <cellStyle name="Milliers 2 2 4 4 2" xfId="14032"/>
    <cellStyle name="Milliers 2 2 4 4 2 2" xfId="14033"/>
    <cellStyle name="Milliers 2 2 4 4 2 2 2" xfId="14034"/>
    <cellStyle name="Milliers 2 2 4 4 2 2 2 2" xfId="14035"/>
    <cellStyle name="Milliers 2 2 4 4 2 2 2 2 2" xfId="14036"/>
    <cellStyle name="Milliers 2 2 4 4 2 2 2 2 2 2" xfId="14037"/>
    <cellStyle name="Milliers 2 2 4 4 2 2 2 2 2 2 2" xfId="14038"/>
    <cellStyle name="Milliers 2 2 4 4 2 2 2 2 2 2 2 2" xfId="14039"/>
    <cellStyle name="Milliers 2 2 4 4 2 2 2 2 2 2 3" xfId="14040"/>
    <cellStyle name="Milliers 2 2 4 4 2 2 2 2 2 3" xfId="14041"/>
    <cellStyle name="Milliers 2 2 4 4 2 2 2 2 2 3 2" xfId="14042"/>
    <cellStyle name="Milliers 2 2 4 4 2 2 2 2 2 4" xfId="14043"/>
    <cellStyle name="Milliers 2 2 4 4 2 2 2 2 3" xfId="14044"/>
    <cellStyle name="Milliers 2 2 4 4 2 2 2 2 3 2" xfId="14045"/>
    <cellStyle name="Milliers 2 2 4 4 2 2 2 2 3 2 2" xfId="14046"/>
    <cellStyle name="Milliers 2 2 4 4 2 2 2 2 3 3" xfId="14047"/>
    <cellStyle name="Milliers 2 2 4 4 2 2 2 2 4" xfId="14048"/>
    <cellStyle name="Milliers 2 2 4 4 2 2 2 2 4 2" xfId="14049"/>
    <cellStyle name="Milliers 2 2 4 4 2 2 2 2 5" xfId="14050"/>
    <cellStyle name="Milliers 2 2 4 4 2 2 2 3" xfId="14051"/>
    <cellStyle name="Milliers 2 2 4 4 2 2 2 3 2" xfId="14052"/>
    <cellStyle name="Milliers 2 2 4 4 2 2 2 3 2 2" xfId="14053"/>
    <cellStyle name="Milliers 2 2 4 4 2 2 2 3 2 2 2" xfId="14054"/>
    <cellStyle name="Milliers 2 2 4 4 2 2 2 3 2 3" xfId="14055"/>
    <cellStyle name="Milliers 2 2 4 4 2 2 2 3 3" xfId="14056"/>
    <cellStyle name="Milliers 2 2 4 4 2 2 2 3 3 2" xfId="14057"/>
    <cellStyle name="Milliers 2 2 4 4 2 2 2 3 4" xfId="14058"/>
    <cellStyle name="Milliers 2 2 4 4 2 2 2 4" xfId="14059"/>
    <cellStyle name="Milliers 2 2 4 4 2 2 2 4 2" xfId="14060"/>
    <cellStyle name="Milliers 2 2 4 4 2 2 2 4 2 2" xfId="14061"/>
    <cellStyle name="Milliers 2 2 4 4 2 2 2 4 3" xfId="14062"/>
    <cellStyle name="Milliers 2 2 4 4 2 2 2 5" xfId="14063"/>
    <cellStyle name="Milliers 2 2 4 4 2 2 2 5 2" xfId="14064"/>
    <cellStyle name="Milliers 2 2 4 4 2 2 2 6" xfId="14065"/>
    <cellStyle name="Milliers 2 2 4 4 2 2 3" xfId="14066"/>
    <cellStyle name="Milliers 2 2 4 4 2 2 3 2" xfId="14067"/>
    <cellStyle name="Milliers 2 2 4 4 2 2 3 2 2" xfId="14068"/>
    <cellStyle name="Milliers 2 2 4 4 2 2 3 2 2 2" xfId="14069"/>
    <cellStyle name="Milliers 2 2 4 4 2 2 3 2 2 2 2" xfId="14070"/>
    <cellStyle name="Milliers 2 2 4 4 2 2 3 2 2 3" xfId="14071"/>
    <cellStyle name="Milliers 2 2 4 4 2 2 3 2 3" xfId="14072"/>
    <cellStyle name="Milliers 2 2 4 4 2 2 3 2 3 2" xfId="14073"/>
    <cellStyle name="Milliers 2 2 4 4 2 2 3 2 4" xfId="14074"/>
    <cellStyle name="Milliers 2 2 4 4 2 2 3 3" xfId="14075"/>
    <cellStyle name="Milliers 2 2 4 4 2 2 3 3 2" xfId="14076"/>
    <cellStyle name="Milliers 2 2 4 4 2 2 3 3 2 2" xfId="14077"/>
    <cellStyle name="Milliers 2 2 4 4 2 2 3 3 3" xfId="14078"/>
    <cellStyle name="Milliers 2 2 4 4 2 2 3 4" xfId="14079"/>
    <cellStyle name="Milliers 2 2 4 4 2 2 3 4 2" xfId="14080"/>
    <cellStyle name="Milliers 2 2 4 4 2 2 3 5" xfId="14081"/>
    <cellStyle name="Milliers 2 2 4 4 2 2 4" xfId="14082"/>
    <cellStyle name="Milliers 2 2 4 4 2 2 4 2" xfId="14083"/>
    <cellStyle name="Milliers 2 2 4 4 2 2 4 2 2" xfId="14084"/>
    <cellStyle name="Milliers 2 2 4 4 2 2 4 2 2 2" xfId="14085"/>
    <cellStyle name="Milliers 2 2 4 4 2 2 4 2 3" xfId="14086"/>
    <cellStyle name="Milliers 2 2 4 4 2 2 4 3" xfId="14087"/>
    <cellStyle name="Milliers 2 2 4 4 2 2 4 3 2" xfId="14088"/>
    <cellStyle name="Milliers 2 2 4 4 2 2 4 4" xfId="14089"/>
    <cellStyle name="Milliers 2 2 4 4 2 2 5" xfId="14090"/>
    <cellStyle name="Milliers 2 2 4 4 2 2 5 2" xfId="14091"/>
    <cellStyle name="Milliers 2 2 4 4 2 2 5 2 2" xfId="14092"/>
    <cellStyle name="Milliers 2 2 4 4 2 2 5 3" xfId="14093"/>
    <cellStyle name="Milliers 2 2 4 4 2 2 6" xfId="14094"/>
    <cellStyle name="Milliers 2 2 4 4 2 2 6 2" xfId="14095"/>
    <cellStyle name="Milliers 2 2 4 4 2 2 7" xfId="14096"/>
    <cellStyle name="Milliers 2 2 4 4 2 3" xfId="14097"/>
    <cellStyle name="Milliers 2 2 4 4 2 3 2" xfId="14098"/>
    <cellStyle name="Milliers 2 2 4 4 2 3 2 2" xfId="14099"/>
    <cellStyle name="Milliers 2 2 4 4 2 3 2 2 2" xfId="14100"/>
    <cellStyle name="Milliers 2 2 4 4 2 3 2 2 2 2" xfId="14101"/>
    <cellStyle name="Milliers 2 2 4 4 2 3 2 2 2 2 2" xfId="14102"/>
    <cellStyle name="Milliers 2 2 4 4 2 3 2 2 2 3" xfId="14103"/>
    <cellStyle name="Milliers 2 2 4 4 2 3 2 2 3" xfId="14104"/>
    <cellStyle name="Milliers 2 2 4 4 2 3 2 2 3 2" xfId="14105"/>
    <cellStyle name="Milliers 2 2 4 4 2 3 2 2 4" xfId="14106"/>
    <cellStyle name="Milliers 2 2 4 4 2 3 2 3" xfId="14107"/>
    <cellStyle name="Milliers 2 2 4 4 2 3 2 3 2" xfId="14108"/>
    <cellStyle name="Milliers 2 2 4 4 2 3 2 3 2 2" xfId="14109"/>
    <cellStyle name="Milliers 2 2 4 4 2 3 2 3 3" xfId="14110"/>
    <cellStyle name="Milliers 2 2 4 4 2 3 2 4" xfId="14111"/>
    <cellStyle name="Milliers 2 2 4 4 2 3 2 4 2" xfId="14112"/>
    <cellStyle name="Milliers 2 2 4 4 2 3 2 5" xfId="14113"/>
    <cellStyle name="Milliers 2 2 4 4 2 3 3" xfId="14114"/>
    <cellStyle name="Milliers 2 2 4 4 2 3 3 2" xfId="14115"/>
    <cellStyle name="Milliers 2 2 4 4 2 3 3 2 2" xfId="14116"/>
    <cellStyle name="Milliers 2 2 4 4 2 3 3 2 2 2" xfId="14117"/>
    <cellStyle name="Milliers 2 2 4 4 2 3 3 2 3" xfId="14118"/>
    <cellStyle name="Milliers 2 2 4 4 2 3 3 3" xfId="14119"/>
    <cellStyle name="Milliers 2 2 4 4 2 3 3 3 2" xfId="14120"/>
    <cellStyle name="Milliers 2 2 4 4 2 3 3 4" xfId="14121"/>
    <cellStyle name="Milliers 2 2 4 4 2 3 4" xfId="14122"/>
    <cellStyle name="Milliers 2 2 4 4 2 3 4 2" xfId="14123"/>
    <cellStyle name="Milliers 2 2 4 4 2 3 4 2 2" xfId="14124"/>
    <cellStyle name="Milliers 2 2 4 4 2 3 4 3" xfId="14125"/>
    <cellStyle name="Milliers 2 2 4 4 2 3 5" xfId="14126"/>
    <cellStyle name="Milliers 2 2 4 4 2 3 5 2" xfId="14127"/>
    <cellStyle name="Milliers 2 2 4 4 2 3 6" xfId="14128"/>
    <cellStyle name="Milliers 2 2 4 4 2 4" xfId="14129"/>
    <cellStyle name="Milliers 2 2 4 4 2 4 2" xfId="14130"/>
    <cellStyle name="Milliers 2 2 4 4 2 4 2 2" xfId="14131"/>
    <cellStyle name="Milliers 2 2 4 4 2 4 2 2 2" xfId="14132"/>
    <cellStyle name="Milliers 2 2 4 4 2 4 2 2 2 2" xfId="14133"/>
    <cellStyle name="Milliers 2 2 4 4 2 4 2 2 3" xfId="14134"/>
    <cellStyle name="Milliers 2 2 4 4 2 4 2 3" xfId="14135"/>
    <cellStyle name="Milliers 2 2 4 4 2 4 2 3 2" xfId="14136"/>
    <cellStyle name="Milliers 2 2 4 4 2 4 2 4" xfId="14137"/>
    <cellStyle name="Milliers 2 2 4 4 2 4 3" xfId="14138"/>
    <cellStyle name="Milliers 2 2 4 4 2 4 3 2" xfId="14139"/>
    <cellStyle name="Milliers 2 2 4 4 2 4 3 2 2" xfId="14140"/>
    <cellStyle name="Milliers 2 2 4 4 2 4 3 3" xfId="14141"/>
    <cellStyle name="Milliers 2 2 4 4 2 4 4" xfId="14142"/>
    <cellStyle name="Milliers 2 2 4 4 2 4 4 2" xfId="14143"/>
    <cellStyle name="Milliers 2 2 4 4 2 4 5" xfId="14144"/>
    <cellStyle name="Milliers 2 2 4 4 2 5" xfId="14145"/>
    <cellStyle name="Milliers 2 2 4 4 2 5 2" xfId="14146"/>
    <cellStyle name="Milliers 2 2 4 4 2 5 2 2" xfId="14147"/>
    <cellStyle name="Milliers 2 2 4 4 2 5 2 2 2" xfId="14148"/>
    <cellStyle name="Milliers 2 2 4 4 2 5 2 3" xfId="14149"/>
    <cellStyle name="Milliers 2 2 4 4 2 5 3" xfId="14150"/>
    <cellStyle name="Milliers 2 2 4 4 2 5 3 2" xfId="14151"/>
    <cellStyle name="Milliers 2 2 4 4 2 5 4" xfId="14152"/>
    <cellStyle name="Milliers 2 2 4 4 2 6" xfId="14153"/>
    <cellStyle name="Milliers 2 2 4 4 2 6 2" xfId="14154"/>
    <cellStyle name="Milliers 2 2 4 4 2 6 2 2" xfId="14155"/>
    <cellStyle name="Milliers 2 2 4 4 2 6 3" xfId="14156"/>
    <cellStyle name="Milliers 2 2 4 4 2 7" xfId="14157"/>
    <cellStyle name="Milliers 2 2 4 4 2 7 2" xfId="14158"/>
    <cellStyle name="Milliers 2 2 4 4 2 8" xfId="14159"/>
    <cellStyle name="Milliers 2 2 4 4 3" xfId="14160"/>
    <cellStyle name="Milliers 2 2 4 4 3 2" xfId="14161"/>
    <cellStyle name="Milliers 2 2 4 4 3 2 2" xfId="14162"/>
    <cellStyle name="Milliers 2 2 4 4 3 2 2 2" xfId="14163"/>
    <cellStyle name="Milliers 2 2 4 4 3 2 2 2 2" xfId="14164"/>
    <cellStyle name="Milliers 2 2 4 4 3 2 2 2 2 2" xfId="14165"/>
    <cellStyle name="Milliers 2 2 4 4 3 2 2 2 2 2 2" xfId="14166"/>
    <cellStyle name="Milliers 2 2 4 4 3 2 2 2 2 3" xfId="14167"/>
    <cellStyle name="Milliers 2 2 4 4 3 2 2 2 3" xfId="14168"/>
    <cellStyle name="Milliers 2 2 4 4 3 2 2 2 3 2" xfId="14169"/>
    <cellStyle name="Milliers 2 2 4 4 3 2 2 2 4" xfId="14170"/>
    <cellStyle name="Milliers 2 2 4 4 3 2 2 3" xfId="14171"/>
    <cellStyle name="Milliers 2 2 4 4 3 2 2 3 2" xfId="14172"/>
    <cellStyle name="Milliers 2 2 4 4 3 2 2 3 2 2" xfId="14173"/>
    <cellStyle name="Milliers 2 2 4 4 3 2 2 3 3" xfId="14174"/>
    <cellStyle name="Milliers 2 2 4 4 3 2 2 4" xfId="14175"/>
    <cellStyle name="Milliers 2 2 4 4 3 2 2 4 2" xfId="14176"/>
    <cellStyle name="Milliers 2 2 4 4 3 2 2 5" xfId="14177"/>
    <cellStyle name="Milliers 2 2 4 4 3 2 3" xfId="14178"/>
    <cellStyle name="Milliers 2 2 4 4 3 2 3 2" xfId="14179"/>
    <cellStyle name="Milliers 2 2 4 4 3 2 3 2 2" xfId="14180"/>
    <cellStyle name="Milliers 2 2 4 4 3 2 3 2 2 2" xfId="14181"/>
    <cellStyle name="Milliers 2 2 4 4 3 2 3 2 3" xfId="14182"/>
    <cellStyle name="Milliers 2 2 4 4 3 2 3 3" xfId="14183"/>
    <cellStyle name="Milliers 2 2 4 4 3 2 3 3 2" xfId="14184"/>
    <cellStyle name="Milliers 2 2 4 4 3 2 3 4" xfId="14185"/>
    <cellStyle name="Milliers 2 2 4 4 3 2 4" xfId="14186"/>
    <cellStyle name="Milliers 2 2 4 4 3 2 4 2" xfId="14187"/>
    <cellStyle name="Milliers 2 2 4 4 3 2 4 2 2" xfId="14188"/>
    <cellStyle name="Milliers 2 2 4 4 3 2 4 3" xfId="14189"/>
    <cellStyle name="Milliers 2 2 4 4 3 2 5" xfId="14190"/>
    <cellStyle name="Milliers 2 2 4 4 3 2 5 2" xfId="14191"/>
    <cellStyle name="Milliers 2 2 4 4 3 2 6" xfId="14192"/>
    <cellStyle name="Milliers 2 2 4 4 3 3" xfId="14193"/>
    <cellStyle name="Milliers 2 2 4 4 3 3 2" xfId="14194"/>
    <cellStyle name="Milliers 2 2 4 4 3 3 2 2" xfId="14195"/>
    <cellStyle name="Milliers 2 2 4 4 3 3 2 2 2" xfId="14196"/>
    <cellStyle name="Milliers 2 2 4 4 3 3 2 2 2 2" xfId="14197"/>
    <cellStyle name="Milliers 2 2 4 4 3 3 2 2 3" xfId="14198"/>
    <cellStyle name="Milliers 2 2 4 4 3 3 2 3" xfId="14199"/>
    <cellStyle name="Milliers 2 2 4 4 3 3 2 3 2" xfId="14200"/>
    <cellStyle name="Milliers 2 2 4 4 3 3 2 4" xfId="14201"/>
    <cellStyle name="Milliers 2 2 4 4 3 3 3" xfId="14202"/>
    <cellStyle name="Milliers 2 2 4 4 3 3 3 2" xfId="14203"/>
    <cellStyle name="Milliers 2 2 4 4 3 3 3 2 2" xfId="14204"/>
    <cellStyle name="Milliers 2 2 4 4 3 3 3 3" xfId="14205"/>
    <cellStyle name="Milliers 2 2 4 4 3 3 4" xfId="14206"/>
    <cellStyle name="Milliers 2 2 4 4 3 3 4 2" xfId="14207"/>
    <cellStyle name="Milliers 2 2 4 4 3 3 5" xfId="14208"/>
    <cellStyle name="Milliers 2 2 4 4 3 4" xfId="14209"/>
    <cellStyle name="Milliers 2 2 4 4 3 4 2" xfId="14210"/>
    <cellStyle name="Milliers 2 2 4 4 3 4 2 2" xfId="14211"/>
    <cellStyle name="Milliers 2 2 4 4 3 4 2 2 2" xfId="14212"/>
    <cellStyle name="Milliers 2 2 4 4 3 4 2 3" xfId="14213"/>
    <cellStyle name="Milliers 2 2 4 4 3 4 3" xfId="14214"/>
    <cellStyle name="Milliers 2 2 4 4 3 4 3 2" xfId="14215"/>
    <cellStyle name="Milliers 2 2 4 4 3 4 4" xfId="14216"/>
    <cellStyle name="Milliers 2 2 4 4 3 5" xfId="14217"/>
    <cellStyle name="Milliers 2 2 4 4 3 5 2" xfId="14218"/>
    <cellStyle name="Milliers 2 2 4 4 3 5 2 2" xfId="14219"/>
    <cellStyle name="Milliers 2 2 4 4 3 5 3" xfId="14220"/>
    <cellStyle name="Milliers 2 2 4 4 3 6" xfId="14221"/>
    <cellStyle name="Milliers 2 2 4 4 3 6 2" xfId="14222"/>
    <cellStyle name="Milliers 2 2 4 4 3 7" xfId="14223"/>
    <cellStyle name="Milliers 2 2 4 4 4" xfId="14224"/>
    <cellStyle name="Milliers 2 2 4 4 4 2" xfId="14225"/>
    <cellStyle name="Milliers 2 2 4 4 4 2 2" xfId="14226"/>
    <cellStyle name="Milliers 2 2 4 4 4 2 2 2" xfId="14227"/>
    <cellStyle name="Milliers 2 2 4 4 4 2 2 2 2" xfId="14228"/>
    <cellStyle name="Milliers 2 2 4 4 4 2 2 2 2 2" xfId="14229"/>
    <cellStyle name="Milliers 2 2 4 4 4 2 2 2 3" xfId="14230"/>
    <cellStyle name="Milliers 2 2 4 4 4 2 2 3" xfId="14231"/>
    <cellStyle name="Milliers 2 2 4 4 4 2 2 3 2" xfId="14232"/>
    <cellStyle name="Milliers 2 2 4 4 4 2 2 4" xfId="14233"/>
    <cellStyle name="Milliers 2 2 4 4 4 2 3" xfId="14234"/>
    <cellStyle name="Milliers 2 2 4 4 4 2 3 2" xfId="14235"/>
    <cellStyle name="Milliers 2 2 4 4 4 2 3 2 2" xfId="14236"/>
    <cellStyle name="Milliers 2 2 4 4 4 2 3 3" xfId="14237"/>
    <cellStyle name="Milliers 2 2 4 4 4 2 4" xfId="14238"/>
    <cellStyle name="Milliers 2 2 4 4 4 2 4 2" xfId="14239"/>
    <cellStyle name="Milliers 2 2 4 4 4 2 5" xfId="14240"/>
    <cellStyle name="Milliers 2 2 4 4 4 3" xfId="14241"/>
    <cellStyle name="Milliers 2 2 4 4 4 3 2" xfId="14242"/>
    <cellStyle name="Milliers 2 2 4 4 4 3 2 2" xfId="14243"/>
    <cellStyle name="Milliers 2 2 4 4 4 3 2 2 2" xfId="14244"/>
    <cellStyle name="Milliers 2 2 4 4 4 3 2 3" xfId="14245"/>
    <cellStyle name="Milliers 2 2 4 4 4 3 3" xfId="14246"/>
    <cellStyle name="Milliers 2 2 4 4 4 3 3 2" xfId="14247"/>
    <cellStyle name="Milliers 2 2 4 4 4 3 4" xfId="14248"/>
    <cellStyle name="Milliers 2 2 4 4 4 4" xfId="14249"/>
    <cellStyle name="Milliers 2 2 4 4 4 4 2" xfId="14250"/>
    <cellStyle name="Milliers 2 2 4 4 4 4 2 2" xfId="14251"/>
    <cellStyle name="Milliers 2 2 4 4 4 4 3" xfId="14252"/>
    <cellStyle name="Milliers 2 2 4 4 4 5" xfId="14253"/>
    <cellStyle name="Milliers 2 2 4 4 4 5 2" xfId="14254"/>
    <cellStyle name="Milliers 2 2 4 4 4 6" xfId="14255"/>
    <cellStyle name="Milliers 2 2 4 4 5" xfId="14256"/>
    <cellStyle name="Milliers 2 2 4 4 5 2" xfId="14257"/>
    <cellStyle name="Milliers 2 2 4 4 5 2 2" xfId="14258"/>
    <cellStyle name="Milliers 2 2 4 4 5 2 2 2" xfId="14259"/>
    <cellStyle name="Milliers 2 2 4 4 5 2 2 2 2" xfId="14260"/>
    <cellStyle name="Milliers 2 2 4 4 5 2 2 3" xfId="14261"/>
    <cellStyle name="Milliers 2 2 4 4 5 2 3" xfId="14262"/>
    <cellStyle name="Milliers 2 2 4 4 5 2 3 2" xfId="14263"/>
    <cellStyle name="Milliers 2 2 4 4 5 2 4" xfId="14264"/>
    <cellStyle name="Milliers 2 2 4 4 5 3" xfId="14265"/>
    <cellStyle name="Milliers 2 2 4 4 5 3 2" xfId="14266"/>
    <cellStyle name="Milliers 2 2 4 4 5 3 2 2" xfId="14267"/>
    <cellStyle name="Milliers 2 2 4 4 5 3 3" xfId="14268"/>
    <cellStyle name="Milliers 2 2 4 4 5 4" xfId="14269"/>
    <cellStyle name="Milliers 2 2 4 4 5 4 2" xfId="14270"/>
    <cellStyle name="Milliers 2 2 4 4 5 5" xfId="14271"/>
    <cellStyle name="Milliers 2 2 4 4 6" xfId="14272"/>
    <cellStyle name="Milliers 2 2 4 4 6 2" xfId="14273"/>
    <cellStyle name="Milliers 2 2 4 4 6 2 2" xfId="14274"/>
    <cellStyle name="Milliers 2 2 4 4 6 2 2 2" xfId="14275"/>
    <cellStyle name="Milliers 2 2 4 4 6 2 3" xfId="14276"/>
    <cellStyle name="Milliers 2 2 4 4 6 3" xfId="14277"/>
    <cellStyle name="Milliers 2 2 4 4 6 3 2" xfId="14278"/>
    <cellStyle name="Milliers 2 2 4 4 6 4" xfId="14279"/>
    <cellStyle name="Milliers 2 2 4 4 7" xfId="14280"/>
    <cellStyle name="Milliers 2 2 4 4 7 2" xfId="14281"/>
    <cellStyle name="Milliers 2 2 4 4 7 2 2" xfId="14282"/>
    <cellStyle name="Milliers 2 2 4 4 7 3" xfId="14283"/>
    <cellStyle name="Milliers 2 2 4 4 8" xfId="14284"/>
    <cellStyle name="Milliers 2 2 4 4 8 2" xfId="14285"/>
    <cellStyle name="Milliers 2 2 4 4 9" xfId="14286"/>
    <cellStyle name="Milliers 2 2 4 5" xfId="14287"/>
    <cellStyle name="Milliers 2 2 4 5 2" xfId="14288"/>
    <cellStyle name="Milliers 2 2 4 5 2 2" xfId="14289"/>
    <cellStyle name="Milliers 2 2 4 5 2 2 2" xfId="14290"/>
    <cellStyle name="Milliers 2 2 4 5 2 2 2 2" xfId="14291"/>
    <cellStyle name="Milliers 2 2 4 5 2 2 2 2 2" xfId="14292"/>
    <cellStyle name="Milliers 2 2 4 5 2 2 2 2 2 2" xfId="14293"/>
    <cellStyle name="Milliers 2 2 4 5 2 2 2 2 2 2 2" xfId="14294"/>
    <cellStyle name="Milliers 2 2 4 5 2 2 2 2 2 3" xfId="14295"/>
    <cellStyle name="Milliers 2 2 4 5 2 2 2 2 3" xfId="14296"/>
    <cellStyle name="Milliers 2 2 4 5 2 2 2 2 3 2" xfId="14297"/>
    <cellStyle name="Milliers 2 2 4 5 2 2 2 2 4" xfId="14298"/>
    <cellStyle name="Milliers 2 2 4 5 2 2 2 3" xfId="14299"/>
    <cellStyle name="Milliers 2 2 4 5 2 2 2 3 2" xfId="14300"/>
    <cellStyle name="Milliers 2 2 4 5 2 2 2 3 2 2" xfId="14301"/>
    <cellStyle name="Milliers 2 2 4 5 2 2 2 3 3" xfId="14302"/>
    <cellStyle name="Milliers 2 2 4 5 2 2 2 4" xfId="14303"/>
    <cellStyle name="Milliers 2 2 4 5 2 2 2 4 2" xfId="14304"/>
    <cellStyle name="Milliers 2 2 4 5 2 2 2 5" xfId="14305"/>
    <cellStyle name="Milliers 2 2 4 5 2 2 3" xfId="14306"/>
    <cellStyle name="Milliers 2 2 4 5 2 2 3 2" xfId="14307"/>
    <cellStyle name="Milliers 2 2 4 5 2 2 3 2 2" xfId="14308"/>
    <cellStyle name="Milliers 2 2 4 5 2 2 3 2 2 2" xfId="14309"/>
    <cellStyle name="Milliers 2 2 4 5 2 2 3 2 3" xfId="14310"/>
    <cellStyle name="Milliers 2 2 4 5 2 2 3 3" xfId="14311"/>
    <cellStyle name="Milliers 2 2 4 5 2 2 3 3 2" xfId="14312"/>
    <cellStyle name="Milliers 2 2 4 5 2 2 3 4" xfId="14313"/>
    <cellStyle name="Milliers 2 2 4 5 2 2 4" xfId="14314"/>
    <cellStyle name="Milliers 2 2 4 5 2 2 4 2" xfId="14315"/>
    <cellStyle name="Milliers 2 2 4 5 2 2 4 2 2" xfId="14316"/>
    <cellStyle name="Milliers 2 2 4 5 2 2 4 3" xfId="14317"/>
    <cellStyle name="Milliers 2 2 4 5 2 2 5" xfId="14318"/>
    <cellStyle name="Milliers 2 2 4 5 2 2 5 2" xfId="14319"/>
    <cellStyle name="Milliers 2 2 4 5 2 2 6" xfId="14320"/>
    <cellStyle name="Milliers 2 2 4 5 2 3" xfId="14321"/>
    <cellStyle name="Milliers 2 2 4 5 2 3 2" xfId="14322"/>
    <cellStyle name="Milliers 2 2 4 5 2 3 2 2" xfId="14323"/>
    <cellStyle name="Milliers 2 2 4 5 2 3 2 2 2" xfId="14324"/>
    <cellStyle name="Milliers 2 2 4 5 2 3 2 2 2 2" xfId="14325"/>
    <cellStyle name="Milliers 2 2 4 5 2 3 2 2 3" xfId="14326"/>
    <cellStyle name="Milliers 2 2 4 5 2 3 2 3" xfId="14327"/>
    <cellStyle name="Milliers 2 2 4 5 2 3 2 3 2" xfId="14328"/>
    <cellStyle name="Milliers 2 2 4 5 2 3 2 4" xfId="14329"/>
    <cellStyle name="Milliers 2 2 4 5 2 3 3" xfId="14330"/>
    <cellStyle name="Milliers 2 2 4 5 2 3 3 2" xfId="14331"/>
    <cellStyle name="Milliers 2 2 4 5 2 3 3 2 2" xfId="14332"/>
    <cellStyle name="Milliers 2 2 4 5 2 3 3 3" xfId="14333"/>
    <cellStyle name="Milliers 2 2 4 5 2 3 4" xfId="14334"/>
    <cellStyle name="Milliers 2 2 4 5 2 3 4 2" xfId="14335"/>
    <cellStyle name="Milliers 2 2 4 5 2 3 5" xfId="14336"/>
    <cellStyle name="Milliers 2 2 4 5 2 4" xfId="14337"/>
    <cellStyle name="Milliers 2 2 4 5 2 4 2" xfId="14338"/>
    <cellStyle name="Milliers 2 2 4 5 2 4 2 2" xfId="14339"/>
    <cellStyle name="Milliers 2 2 4 5 2 4 2 2 2" xfId="14340"/>
    <cellStyle name="Milliers 2 2 4 5 2 4 2 3" xfId="14341"/>
    <cellStyle name="Milliers 2 2 4 5 2 4 3" xfId="14342"/>
    <cellStyle name="Milliers 2 2 4 5 2 4 3 2" xfId="14343"/>
    <cellStyle name="Milliers 2 2 4 5 2 4 4" xfId="14344"/>
    <cellStyle name="Milliers 2 2 4 5 2 5" xfId="14345"/>
    <cellStyle name="Milliers 2 2 4 5 2 5 2" xfId="14346"/>
    <cellStyle name="Milliers 2 2 4 5 2 5 2 2" xfId="14347"/>
    <cellStyle name="Milliers 2 2 4 5 2 5 3" xfId="14348"/>
    <cellStyle name="Milliers 2 2 4 5 2 6" xfId="14349"/>
    <cellStyle name="Milliers 2 2 4 5 2 6 2" xfId="14350"/>
    <cellStyle name="Milliers 2 2 4 5 2 7" xfId="14351"/>
    <cellStyle name="Milliers 2 2 4 5 3" xfId="14352"/>
    <cellStyle name="Milliers 2 2 4 5 3 2" xfId="14353"/>
    <cellStyle name="Milliers 2 2 4 5 3 2 2" xfId="14354"/>
    <cellStyle name="Milliers 2 2 4 5 3 2 2 2" xfId="14355"/>
    <cellStyle name="Milliers 2 2 4 5 3 2 2 2 2" xfId="14356"/>
    <cellStyle name="Milliers 2 2 4 5 3 2 2 2 2 2" xfId="14357"/>
    <cellStyle name="Milliers 2 2 4 5 3 2 2 2 3" xfId="14358"/>
    <cellStyle name="Milliers 2 2 4 5 3 2 2 3" xfId="14359"/>
    <cellStyle name="Milliers 2 2 4 5 3 2 2 3 2" xfId="14360"/>
    <cellStyle name="Milliers 2 2 4 5 3 2 2 4" xfId="14361"/>
    <cellStyle name="Milliers 2 2 4 5 3 2 3" xfId="14362"/>
    <cellStyle name="Milliers 2 2 4 5 3 2 3 2" xfId="14363"/>
    <cellStyle name="Milliers 2 2 4 5 3 2 3 2 2" xfId="14364"/>
    <cellStyle name="Milliers 2 2 4 5 3 2 3 3" xfId="14365"/>
    <cellStyle name="Milliers 2 2 4 5 3 2 4" xfId="14366"/>
    <cellStyle name="Milliers 2 2 4 5 3 2 4 2" xfId="14367"/>
    <cellStyle name="Milliers 2 2 4 5 3 2 5" xfId="14368"/>
    <cellStyle name="Milliers 2 2 4 5 3 3" xfId="14369"/>
    <cellStyle name="Milliers 2 2 4 5 3 3 2" xfId="14370"/>
    <cellStyle name="Milliers 2 2 4 5 3 3 2 2" xfId="14371"/>
    <cellStyle name="Milliers 2 2 4 5 3 3 2 2 2" xfId="14372"/>
    <cellStyle name="Milliers 2 2 4 5 3 3 2 3" xfId="14373"/>
    <cellStyle name="Milliers 2 2 4 5 3 3 3" xfId="14374"/>
    <cellStyle name="Milliers 2 2 4 5 3 3 3 2" xfId="14375"/>
    <cellStyle name="Milliers 2 2 4 5 3 3 4" xfId="14376"/>
    <cellStyle name="Milliers 2 2 4 5 3 4" xfId="14377"/>
    <cellStyle name="Milliers 2 2 4 5 3 4 2" xfId="14378"/>
    <cellStyle name="Milliers 2 2 4 5 3 4 2 2" xfId="14379"/>
    <cellStyle name="Milliers 2 2 4 5 3 4 3" xfId="14380"/>
    <cellStyle name="Milliers 2 2 4 5 3 5" xfId="14381"/>
    <cellStyle name="Milliers 2 2 4 5 3 5 2" xfId="14382"/>
    <cellStyle name="Milliers 2 2 4 5 3 6" xfId="14383"/>
    <cellStyle name="Milliers 2 2 4 5 4" xfId="14384"/>
    <cellStyle name="Milliers 2 2 4 5 4 2" xfId="14385"/>
    <cellStyle name="Milliers 2 2 4 5 4 2 2" xfId="14386"/>
    <cellStyle name="Milliers 2 2 4 5 4 2 2 2" xfId="14387"/>
    <cellStyle name="Milliers 2 2 4 5 4 2 2 2 2" xfId="14388"/>
    <cellStyle name="Milliers 2 2 4 5 4 2 2 3" xfId="14389"/>
    <cellStyle name="Milliers 2 2 4 5 4 2 3" xfId="14390"/>
    <cellStyle name="Milliers 2 2 4 5 4 2 3 2" xfId="14391"/>
    <cellStyle name="Milliers 2 2 4 5 4 2 4" xfId="14392"/>
    <cellStyle name="Milliers 2 2 4 5 4 3" xfId="14393"/>
    <cellStyle name="Milliers 2 2 4 5 4 3 2" xfId="14394"/>
    <cellStyle name="Milliers 2 2 4 5 4 3 2 2" xfId="14395"/>
    <cellStyle name="Milliers 2 2 4 5 4 3 3" xfId="14396"/>
    <cellStyle name="Milliers 2 2 4 5 4 4" xfId="14397"/>
    <cellStyle name="Milliers 2 2 4 5 4 4 2" xfId="14398"/>
    <cellStyle name="Milliers 2 2 4 5 4 5" xfId="14399"/>
    <cellStyle name="Milliers 2 2 4 5 5" xfId="14400"/>
    <cellStyle name="Milliers 2 2 4 5 5 2" xfId="14401"/>
    <cellStyle name="Milliers 2 2 4 5 5 2 2" xfId="14402"/>
    <cellStyle name="Milliers 2 2 4 5 5 2 2 2" xfId="14403"/>
    <cellStyle name="Milliers 2 2 4 5 5 2 3" xfId="14404"/>
    <cellStyle name="Milliers 2 2 4 5 5 3" xfId="14405"/>
    <cellStyle name="Milliers 2 2 4 5 5 3 2" xfId="14406"/>
    <cellStyle name="Milliers 2 2 4 5 5 4" xfId="14407"/>
    <cellStyle name="Milliers 2 2 4 5 6" xfId="14408"/>
    <cellStyle name="Milliers 2 2 4 5 6 2" xfId="14409"/>
    <cellStyle name="Milliers 2 2 4 5 6 2 2" xfId="14410"/>
    <cellStyle name="Milliers 2 2 4 5 6 3" xfId="14411"/>
    <cellStyle name="Milliers 2 2 4 5 7" xfId="14412"/>
    <cellStyle name="Milliers 2 2 4 5 7 2" xfId="14413"/>
    <cellStyle name="Milliers 2 2 4 5 8" xfId="14414"/>
    <cellStyle name="Milliers 2 2 4 6" xfId="14415"/>
    <cellStyle name="Milliers 2 2 4 6 2" xfId="14416"/>
    <cellStyle name="Milliers 2 2 4 6 2 2" xfId="14417"/>
    <cellStyle name="Milliers 2 2 4 6 2 2 2" xfId="14418"/>
    <cellStyle name="Milliers 2 2 4 6 2 2 2 2" xfId="14419"/>
    <cellStyle name="Milliers 2 2 4 6 2 2 2 2 2" xfId="14420"/>
    <cellStyle name="Milliers 2 2 4 6 2 2 2 2 2 2" xfId="14421"/>
    <cellStyle name="Milliers 2 2 4 6 2 2 2 2 3" xfId="14422"/>
    <cellStyle name="Milliers 2 2 4 6 2 2 2 3" xfId="14423"/>
    <cellStyle name="Milliers 2 2 4 6 2 2 2 3 2" xfId="14424"/>
    <cellStyle name="Milliers 2 2 4 6 2 2 2 4" xfId="14425"/>
    <cellStyle name="Milliers 2 2 4 6 2 2 3" xfId="14426"/>
    <cellStyle name="Milliers 2 2 4 6 2 2 3 2" xfId="14427"/>
    <cellStyle name="Milliers 2 2 4 6 2 2 3 2 2" xfId="14428"/>
    <cellStyle name="Milliers 2 2 4 6 2 2 3 3" xfId="14429"/>
    <cellStyle name="Milliers 2 2 4 6 2 2 4" xfId="14430"/>
    <cellStyle name="Milliers 2 2 4 6 2 2 4 2" xfId="14431"/>
    <cellStyle name="Milliers 2 2 4 6 2 2 5" xfId="14432"/>
    <cellStyle name="Milliers 2 2 4 6 2 3" xfId="14433"/>
    <cellStyle name="Milliers 2 2 4 6 2 3 2" xfId="14434"/>
    <cellStyle name="Milliers 2 2 4 6 2 3 2 2" xfId="14435"/>
    <cellStyle name="Milliers 2 2 4 6 2 3 2 2 2" xfId="14436"/>
    <cellStyle name="Milliers 2 2 4 6 2 3 2 3" xfId="14437"/>
    <cellStyle name="Milliers 2 2 4 6 2 3 3" xfId="14438"/>
    <cellStyle name="Milliers 2 2 4 6 2 3 3 2" xfId="14439"/>
    <cellStyle name="Milliers 2 2 4 6 2 3 4" xfId="14440"/>
    <cellStyle name="Milliers 2 2 4 6 2 4" xfId="14441"/>
    <cellStyle name="Milliers 2 2 4 6 2 4 2" xfId="14442"/>
    <cellStyle name="Milliers 2 2 4 6 2 4 2 2" xfId="14443"/>
    <cellStyle name="Milliers 2 2 4 6 2 4 3" xfId="14444"/>
    <cellStyle name="Milliers 2 2 4 6 2 5" xfId="14445"/>
    <cellStyle name="Milliers 2 2 4 6 2 5 2" xfId="14446"/>
    <cellStyle name="Milliers 2 2 4 6 2 6" xfId="14447"/>
    <cellStyle name="Milliers 2 2 4 6 3" xfId="14448"/>
    <cellStyle name="Milliers 2 2 4 6 3 2" xfId="14449"/>
    <cellStyle name="Milliers 2 2 4 6 3 2 2" xfId="14450"/>
    <cellStyle name="Milliers 2 2 4 6 3 2 2 2" xfId="14451"/>
    <cellStyle name="Milliers 2 2 4 6 3 2 2 2 2" xfId="14452"/>
    <cellStyle name="Milliers 2 2 4 6 3 2 2 3" xfId="14453"/>
    <cellStyle name="Milliers 2 2 4 6 3 2 3" xfId="14454"/>
    <cellStyle name="Milliers 2 2 4 6 3 2 3 2" xfId="14455"/>
    <cellStyle name="Milliers 2 2 4 6 3 2 4" xfId="14456"/>
    <cellStyle name="Milliers 2 2 4 6 3 3" xfId="14457"/>
    <cellStyle name="Milliers 2 2 4 6 3 3 2" xfId="14458"/>
    <cellStyle name="Milliers 2 2 4 6 3 3 2 2" xfId="14459"/>
    <cellStyle name="Milliers 2 2 4 6 3 3 3" xfId="14460"/>
    <cellStyle name="Milliers 2 2 4 6 3 4" xfId="14461"/>
    <cellStyle name="Milliers 2 2 4 6 3 4 2" xfId="14462"/>
    <cellStyle name="Milliers 2 2 4 6 3 5" xfId="14463"/>
    <cellStyle name="Milliers 2 2 4 6 4" xfId="14464"/>
    <cellStyle name="Milliers 2 2 4 6 4 2" xfId="14465"/>
    <cellStyle name="Milliers 2 2 4 6 4 2 2" xfId="14466"/>
    <cellStyle name="Milliers 2 2 4 6 4 2 2 2" xfId="14467"/>
    <cellStyle name="Milliers 2 2 4 6 4 2 3" xfId="14468"/>
    <cellStyle name="Milliers 2 2 4 6 4 3" xfId="14469"/>
    <cellStyle name="Milliers 2 2 4 6 4 3 2" xfId="14470"/>
    <cellStyle name="Milliers 2 2 4 6 4 4" xfId="14471"/>
    <cellStyle name="Milliers 2 2 4 6 5" xfId="14472"/>
    <cellStyle name="Milliers 2 2 4 6 5 2" xfId="14473"/>
    <cellStyle name="Milliers 2 2 4 6 5 2 2" xfId="14474"/>
    <cellStyle name="Milliers 2 2 4 6 5 3" xfId="14475"/>
    <cellStyle name="Milliers 2 2 4 6 6" xfId="14476"/>
    <cellStyle name="Milliers 2 2 4 6 6 2" xfId="14477"/>
    <cellStyle name="Milliers 2 2 4 6 7" xfId="14478"/>
    <cellStyle name="Milliers 2 2 4 7" xfId="14479"/>
    <cellStyle name="Milliers 2 2 4 7 2" xfId="14480"/>
    <cellStyle name="Milliers 2 2 4 7 2 2" xfId="14481"/>
    <cellStyle name="Milliers 2 2 4 7 2 2 2" xfId="14482"/>
    <cellStyle name="Milliers 2 2 4 7 2 2 2 2" xfId="14483"/>
    <cellStyle name="Milliers 2 2 4 7 2 2 2 2 2" xfId="14484"/>
    <cellStyle name="Milliers 2 2 4 7 2 2 2 3" xfId="14485"/>
    <cellStyle name="Milliers 2 2 4 7 2 2 3" xfId="14486"/>
    <cellStyle name="Milliers 2 2 4 7 2 2 3 2" xfId="14487"/>
    <cellStyle name="Milliers 2 2 4 7 2 2 4" xfId="14488"/>
    <cellStyle name="Milliers 2 2 4 7 2 3" xfId="14489"/>
    <cellStyle name="Milliers 2 2 4 7 2 3 2" xfId="14490"/>
    <cellStyle name="Milliers 2 2 4 7 2 3 2 2" xfId="14491"/>
    <cellStyle name="Milliers 2 2 4 7 2 3 3" xfId="14492"/>
    <cellStyle name="Milliers 2 2 4 7 2 4" xfId="14493"/>
    <cellStyle name="Milliers 2 2 4 7 2 4 2" xfId="14494"/>
    <cellStyle name="Milliers 2 2 4 7 2 5" xfId="14495"/>
    <cellStyle name="Milliers 2 2 4 7 3" xfId="14496"/>
    <cellStyle name="Milliers 2 2 4 7 3 2" xfId="14497"/>
    <cellStyle name="Milliers 2 2 4 7 3 2 2" xfId="14498"/>
    <cellStyle name="Milliers 2 2 4 7 3 2 2 2" xfId="14499"/>
    <cellStyle name="Milliers 2 2 4 7 3 2 3" xfId="14500"/>
    <cellStyle name="Milliers 2 2 4 7 3 3" xfId="14501"/>
    <cellStyle name="Milliers 2 2 4 7 3 3 2" xfId="14502"/>
    <cellStyle name="Milliers 2 2 4 7 3 4" xfId="14503"/>
    <cellStyle name="Milliers 2 2 4 7 4" xfId="14504"/>
    <cellStyle name="Milliers 2 2 4 7 4 2" xfId="14505"/>
    <cellStyle name="Milliers 2 2 4 7 4 2 2" xfId="14506"/>
    <cellStyle name="Milliers 2 2 4 7 4 3" xfId="14507"/>
    <cellStyle name="Milliers 2 2 4 7 5" xfId="14508"/>
    <cellStyle name="Milliers 2 2 4 7 5 2" xfId="14509"/>
    <cellStyle name="Milliers 2 2 4 7 6" xfId="14510"/>
    <cellStyle name="Milliers 2 2 4 8" xfId="14511"/>
    <cellStyle name="Milliers 2 2 4 8 2" xfId="14512"/>
    <cellStyle name="Milliers 2 2 4 8 2 2" xfId="14513"/>
    <cellStyle name="Milliers 2 2 4 8 2 2 2" xfId="14514"/>
    <cellStyle name="Milliers 2 2 4 8 2 2 2 2" xfId="14515"/>
    <cellStyle name="Milliers 2 2 4 8 2 2 3" xfId="14516"/>
    <cellStyle name="Milliers 2 2 4 8 2 3" xfId="14517"/>
    <cellStyle name="Milliers 2 2 4 8 2 3 2" xfId="14518"/>
    <cellStyle name="Milliers 2 2 4 8 2 4" xfId="14519"/>
    <cellStyle name="Milliers 2 2 4 8 3" xfId="14520"/>
    <cellStyle name="Milliers 2 2 4 8 3 2" xfId="14521"/>
    <cellStyle name="Milliers 2 2 4 8 3 2 2" xfId="14522"/>
    <cellStyle name="Milliers 2 2 4 8 3 3" xfId="14523"/>
    <cellStyle name="Milliers 2 2 4 8 4" xfId="14524"/>
    <cellStyle name="Milliers 2 2 4 8 4 2" xfId="14525"/>
    <cellStyle name="Milliers 2 2 4 8 5" xfId="14526"/>
    <cellStyle name="Milliers 2 2 4 9" xfId="14527"/>
    <cellStyle name="Milliers 2 2 4 9 2" xfId="14528"/>
    <cellStyle name="Milliers 2 2 4 9 2 2" xfId="14529"/>
    <cellStyle name="Milliers 2 2 4 9 2 2 2" xfId="14530"/>
    <cellStyle name="Milliers 2 2 4 9 2 3" xfId="14531"/>
    <cellStyle name="Milliers 2 2 4 9 3" xfId="14532"/>
    <cellStyle name="Milliers 2 2 4 9 3 2" xfId="14533"/>
    <cellStyle name="Milliers 2 2 4 9 4" xfId="14534"/>
    <cellStyle name="Milliers 2 2 5" xfId="14535"/>
    <cellStyle name="Milliers 2 2 5 10" xfId="14536"/>
    <cellStyle name="Milliers 2 2 5 10 2" xfId="14537"/>
    <cellStyle name="Milliers 2 2 5 11" xfId="14538"/>
    <cellStyle name="Milliers 2 2 5 2" xfId="14539"/>
    <cellStyle name="Milliers 2 2 5 2 10" xfId="14540"/>
    <cellStyle name="Milliers 2 2 5 2 2" xfId="14541"/>
    <cellStyle name="Milliers 2 2 5 2 2 2" xfId="14542"/>
    <cellStyle name="Milliers 2 2 5 2 2 2 2" xfId="14543"/>
    <cellStyle name="Milliers 2 2 5 2 2 2 2 2" xfId="14544"/>
    <cellStyle name="Milliers 2 2 5 2 2 2 2 2 2" xfId="14545"/>
    <cellStyle name="Milliers 2 2 5 2 2 2 2 2 2 2" xfId="14546"/>
    <cellStyle name="Milliers 2 2 5 2 2 2 2 2 2 2 2" xfId="14547"/>
    <cellStyle name="Milliers 2 2 5 2 2 2 2 2 2 2 2 2" xfId="14548"/>
    <cellStyle name="Milliers 2 2 5 2 2 2 2 2 2 2 2 2 2" xfId="14549"/>
    <cellStyle name="Milliers 2 2 5 2 2 2 2 2 2 2 2 3" xfId="14550"/>
    <cellStyle name="Milliers 2 2 5 2 2 2 2 2 2 2 3" xfId="14551"/>
    <cellStyle name="Milliers 2 2 5 2 2 2 2 2 2 2 3 2" xfId="14552"/>
    <cellStyle name="Milliers 2 2 5 2 2 2 2 2 2 2 4" xfId="14553"/>
    <cellStyle name="Milliers 2 2 5 2 2 2 2 2 2 3" xfId="14554"/>
    <cellStyle name="Milliers 2 2 5 2 2 2 2 2 2 3 2" xfId="14555"/>
    <cellStyle name="Milliers 2 2 5 2 2 2 2 2 2 3 2 2" xfId="14556"/>
    <cellStyle name="Milliers 2 2 5 2 2 2 2 2 2 3 3" xfId="14557"/>
    <cellStyle name="Milliers 2 2 5 2 2 2 2 2 2 4" xfId="14558"/>
    <cellStyle name="Milliers 2 2 5 2 2 2 2 2 2 4 2" xfId="14559"/>
    <cellStyle name="Milliers 2 2 5 2 2 2 2 2 2 5" xfId="14560"/>
    <cellStyle name="Milliers 2 2 5 2 2 2 2 2 3" xfId="14561"/>
    <cellStyle name="Milliers 2 2 5 2 2 2 2 2 3 2" xfId="14562"/>
    <cellStyle name="Milliers 2 2 5 2 2 2 2 2 3 2 2" xfId="14563"/>
    <cellStyle name="Milliers 2 2 5 2 2 2 2 2 3 2 2 2" xfId="14564"/>
    <cellStyle name="Milliers 2 2 5 2 2 2 2 2 3 2 3" xfId="14565"/>
    <cellStyle name="Milliers 2 2 5 2 2 2 2 2 3 3" xfId="14566"/>
    <cellStyle name="Milliers 2 2 5 2 2 2 2 2 3 3 2" xfId="14567"/>
    <cellStyle name="Milliers 2 2 5 2 2 2 2 2 3 4" xfId="14568"/>
    <cellStyle name="Milliers 2 2 5 2 2 2 2 2 4" xfId="14569"/>
    <cellStyle name="Milliers 2 2 5 2 2 2 2 2 4 2" xfId="14570"/>
    <cellStyle name="Milliers 2 2 5 2 2 2 2 2 4 2 2" xfId="14571"/>
    <cellStyle name="Milliers 2 2 5 2 2 2 2 2 4 3" xfId="14572"/>
    <cellStyle name="Milliers 2 2 5 2 2 2 2 2 5" xfId="14573"/>
    <cellStyle name="Milliers 2 2 5 2 2 2 2 2 5 2" xfId="14574"/>
    <cellStyle name="Milliers 2 2 5 2 2 2 2 2 6" xfId="14575"/>
    <cellStyle name="Milliers 2 2 5 2 2 2 2 3" xfId="14576"/>
    <cellStyle name="Milliers 2 2 5 2 2 2 2 3 2" xfId="14577"/>
    <cellStyle name="Milliers 2 2 5 2 2 2 2 3 2 2" xfId="14578"/>
    <cellStyle name="Milliers 2 2 5 2 2 2 2 3 2 2 2" xfId="14579"/>
    <cellStyle name="Milliers 2 2 5 2 2 2 2 3 2 2 2 2" xfId="14580"/>
    <cellStyle name="Milliers 2 2 5 2 2 2 2 3 2 2 3" xfId="14581"/>
    <cellStyle name="Milliers 2 2 5 2 2 2 2 3 2 3" xfId="14582"/>
    <cellStyle name="Milliers 2 2 5 2 2 2 2 3 2 3 2" xfId="14583"/>
    <cellStyle name="Milliers 2 2 5 2 2 2 2 3 2 4" xfId="14584"/>
    <cellStyle name="Milliers 2 2 5 2 2 2 2 3 3" xfId="14585"/>
    <cellStyle name="Milliers 2 2 5 2 2 2 2 3 3 2" xfId="14586"/>
    <cellStyle name="Milliers 2 2 5 2 2 2 2 3 3 2 2" xfId="14587"/>
    <cellStyle name="Milliers 2 2 5 2 2 2 2 3 3 3" xfId="14588"/>
    <cellStyle name="Milliers 2 2 5 2 2 2 2 3 4" xfId="14589"/>
    <cellStyle name="Milliers 2 2 5 2 2 2 2 3 4 2" xfId="14590"/>
    <cellStyle name="Milliers 2 2 5 2 2 2 2 3 5" xfId="14591"/>
    <cellStyle name="Milliers 2 2 5 2 2 2 2 4" xfId="14592"/>
    <cellStyle name="Milliers 2 2 5 2 2 2 2 4 2" xfId="14593"/>
    <cellStyle name="Milliers 2 2 5 2 2 2 2 4 2 2" xfId="14594"/>
    <cellStyle name="Milliers 2 2 5 2 2 2 2 4 2 2 2" xfId="14595"/>
    <cellStyle name="Milliers 2 2 5 2 2 2 2 4 2 3" xfId="14596"/>
    <cellStyle name="Milliers 2 2 5 2 2 2 2 4 3" xfId="14597"/>
    <cellStyle name="Milliers 2 2 5 2 2 2 2 4 3 2" xfId="14598"/>
    <cellStyle name="Milliers 2 2 5 2 2 2 2 4 4" xfId="14599"/>
    <cellStyle name="Milliers 2 2 5 2 2 2 2 5" xfId="14600"/>
    <cellStyle name="Milliers 2 2 5 2 2 2 2 5 2" xfId="14601"/>
    <cellStyle name="Milliers 2 2 5 2 2 2 2 5 2 2" xfId="14602"/>
    <cellStyle name="Milliers 2 2 5 2 2 2 2 5 3" xfId="14603"/>
    <cellStyle name="Milliers 2 2 5 2 2 2 2 6" xfId="14604"/>
    <cellStyle name="Milliers 2 2 5 2 2 2 2 6 2" xfId="14605"/>
    <cellStyle name="Milliers 2 2 5 2 2 2 2 7" xfId="14606"/>
    <cellStyle name="Milliers 2 2 5 2 2 2 3" xfId="14607"/>
    <cellStyle name="Milliers 2 2 5 2 2 2 3 2" xfId="14608"/>
    <cellStyle name="Milliers 2 2 5 2 2 2 3 2 2" xfId="14609"/>
    <cellStyle name="Milliers 2 2 5 2 2 2 3 2 2 2" xfId="14610"/>
    <cellStyle name="Milliers 2 2 5 2 2 2 3 2 2 2 2" xfId="14611"/>
    <cellStyle name="Milliers 2 2 5 2 2 2 3 2 2 2 2 2" xfId="14612"/>
    <cellStyle name="Milliers 2 2 5 2 2 2 3 2 2 2 3" xfId="14613"/>
    <cellStyle name="Milliers 2 2 5 2 2 2 3 2 2 3" xfId="14614"/>
    <cellStyle name="Milliers 2 2 5 2 2 2 3 2 2 3 2" xfId="14615"/>
    <cellStyle name="Milliers 2 2 5 2 2 2 3 2 2 4" xfId="14616"/>
    <cellStyle name="Milliers 2 2 5 2 2 2 3 2 3" xfId="14617"/>
    <cellStyle name="Milliers 2 2 5 2 2 2 3 2 3 2" xfId="14618"/>
    <cellStyle name="Milliers 2 2 5 2 2 2 3 2 3 2 2" xfId="14619"/>
    <cellStyle name="Milliers 2 2 5 2 2 2 3 2 3 3" xfId="14620"/>
    <cellStyle name="Milliers 2 2 5 2 2 2 3 2 4" xfId="14621"/>
    <cellStyle name="Milliers 2 2 5 2 2 2 3 2 4 2" xfId="14622"/>
    <cellStyle name="Milliers 2 2 5 2 2 2 3 2 5" xfId="14623"/>
    <cellStyle name="Milliers 2 2 5 2 2 2 3 3" xfId="14624"/>
    <cellStyle name="Milliers 2 2 5 2 2 2 3 3 2" xfId="14625"/>
    <cellStyle name="Milliers 2 2 5 2 2 2 3 3 2 2" xfId="14626"/>
    <cellStyle name="Milliers 2 2 5 2 2 2 3 3 2 2 2" xfId="14627"/>
    <cellStyle name="Milliers 2 2 5 2 2 2 3 3 2 3" xfId="14628"/>
    <cellStyle name="Milliers 2 2 5 2 2 2 3 3 3" xfId="14629"/>
    <cellStyle name="Milliers 2 2 5 2 2 2 3 3 3 2" xfId="14630"/>
    <cellStyle name="Milliers 2 2 5 2 2 2 3 3 4" xfId="14631"/>
    <cellStyle name="Milliers 2 2 5 2 2 2 3 4" xfId="14632"/>
    <cellStyle name="Milliers 2 2 5 2 2 2 3 4 2" xfId="14633"/>
    <cellStyle name="Milliers 2 2 5 2 2 2 3 4 2 2" xfId="14634"/>
    <cellStyle name="Milliers 2 2 5 2 2 2 3 4 3" xfId="14635"/>
    <cellStyle name="Milliers 2 2 5 2 2 2 3 5" xfId="14636"/>
    <cellStyle name="Milliers 2 2 5 2 2 2 3 5 2" xfId="14637"/>
    <cellStyle name="Milliers 2 2 5 2 2 2 3 6" xfId="14638"/>
    <cellStyle name="Milliers 2 2 5 2 2 2 4" xfId="14639"/>
    <cellStyle name="Milliers 2 2 5 2 2 2 4 2" xfId="14640"/>
    <cellStyle name="Milliers 2 2 5 2 2 2 4 2 2" xfId="14641"/>
    <cellStyle name="Milliers 2 2 5 2 2 2 4 2 2 2" xfId="14642"/>
    <cellStyle name="Milliers 2 2 5 2 2 2 4 2 2 2 2" xfId="14643"/>
    <cellStyle name="Milliers 2 2 5 2 2 2 4 2 2 3" xfId="14644"/>
    <cellStyle name="Milliers 2 2 5 2 2 2 4 2 3" xfId="14645"/>
    <cellStyle name="Milliers 2 2 5 2 2 2 4 2 3 2" xfId="14646"/>
    <cellStyle name="Milliers 2 2 5 2 2 2 4 2 4" xfId="14647"/>
    <cellStyle name="Milliers 2 2 5 2 2 2 4 3" xfId="14648"/>
    <cellStyle name="Milliers 2 2 5 2 2 2 4 3 2" xfId="14649"/>
    <cellStyle name="Milliers 2 2 5 2 2 2 4 3 2 2" xfId="14650"/>
    <cellStyle name="Milliers 2 2 5 2 2 2 4 3 3" xfId="14651"/>
    <cellStyle name="Milliers 2 2 5 2 2 2 4 4" xfId="14652"/>
    <cellStyle name="Milliers 2 2 5 2 2 2 4 4 2" xfId="14653"/>
    <cellStyle name="Milliers 2 2 5 2 2 2 4 5" xfId="14654"/>
    <cellStyle name="Milliers 2 2 5 2 2 2 5" xfId="14655"/>
    <cellStyle name="Milliers 2 2 5 2 2 2 5 2" xfId="14656"/>
    <cellStyle name="Milliers 2 2 5 2 2 2 5 2 2" xfId="14657"/>
    <cellStyle name="Milliers 2 2 5 2 2 2 5 2 2 2" xfId="14658"/>
    <cellStyle name="Milliers 2 2 5 2 2 2 5 2 3" xfId="14659"/>
    <cellStyle name="Milliers 2 2 5 2 2 2 5 3" xfId="14660"/>
    <cellStyle name="Milliers 2 2 5 2 2 2 5 3 2" xfId="14661"/>
    <cellStyle name="Milliers 2 2 5 2 2 2 5 4" xfId="14662"/>
    <cellStyle name="Milliers 2 2 5 2 2 2 6" xfId="14663"/>
    <cellStyle name="Milliers 2 2 5 2 2 2 6 2" xfId="14664"/>
    <cellStyle name="Milliers 2 2 5 2 2 2 6 2 2" xfId="14665"/>
    <cellStyle name="Milliers 2 2 5 2 2 2 6 3" xfId="14666"/>
    <cellStyle name="Milliers 2 2 5 2 2 2 7" xfId="14667"/>
    <cellStyle name="Milliers 2 2 5 2 2 2 7 2" xfId="14668"/>
    <cellStyle name="Milliers 2 2 5 2 2 2 8" xfId="14669"/>
    <cellStyle name="Milliers 2 2 5 2 2 3" xfId="14670"/>
    <cellStyle name="Milliers 2 2 5 2 2 3 2" xfId="14671"/>
    <cellStyle name="Milliers 2 2 5 2 2 3 2 2" xfId="14672"/>
    <cellStyle name="Milliers 2 2 5 2 2 3 2 2 2" xfId="14673"/>
    <cellStyle name="Milliers 2 2 5 2 2 3 2 2 2 2" xfId="14674"/>
    <cellStyle name="Milliers 2 2 5 2 2 3 2 2 2 2 2" xfId="14675"/>
    <cellStyle name="Milliers 2 2 5 2 2 3 2 2 2 2 2 2" xfId="14676"/>
    <cellStyle name="Milliers 2 2 5 2 2 3 2 2 2 2 3" xfId="14677"/>
    <cellStyle name="Milliers 2 2 5 2 2 3 2 2 2 3" xfId="14678"/>
    <cellStyle name="Milliers 2 2 5 2 2 3 2 2 2 3 2" xfId="14679"/>
    <cellStyle name="Milliers 2 2 5 2 2 3 2 2 2 4" xfId="14680"/>
    <cellStyle name="Milliers 2 2 5 2 2 3 2 2 3" xfId="14681"/>
    <cellStyle name="Milliers 2 2 5 2 2 3 2 2 3 2" xfId="14682"/>
    <cellStyle name="Milliers 2 2 5 2 2 3 2 2 3 2 2" xfId="14683"/>
    <cellStyle name="Milliers 2 2 5 2 2 3 2 2 3 3" xfId="14684"/>
    <cellStyle name="Milliers 2 2 5 2 2 3 2 2 4" xfId="14685"/>
    <cellStyle name="Milliers 2 2 5 2 2 3 2 2 4 2" xfId="14686"/>
    <cellStyle name="Milliers 2 2 5 2 2 3 2 2 5" xfId="14687"/>
    <cellStyle name="Milliers 2 2 5 2 2 3 2 3" xfId="14688"/>
    <cellStyle name="Milliers 2 2 5 2 2 3 2 3 2" xfId="14689"/>
    <cellStyle name="Milliers 2 2 5 2 2 3 2 3 2 2" xfId="14690"/>
    <cellStyle name="Milliers 2 2 5 2 2 3 2 3 2 2 2" xfId="14691"/>
    <cellStyle name="Milliers 2 2 5 2 2 3 2 3 2 3" xfId="14692"/>
    <cellStyle name="Milliers 2 2 5 2 2 3 2 3 3" xfId="14693"/>
    <cellStyle name="Milliers 2 2 5 2 2 3 2 3 3 2" xfId="14694"/>
    <cellStyle name="Milliers 2 2 5 2 2 3 2 3 4" xfId="14695"/>
    <cellStyle name="Milliers 2 2 5 2 2 3 2 4" xfId="14696"/>
    <cellStyle name="Milliers 2 2 5 2 2 3 2 4 2" xfId="14697"/>
    <cellStyle name="Milliers 2 2 5 2 2 3 2 4 2 2" xfId="14698"/>
    <cellStyle name="Milliers 2 2 5 2 2 3 2 4 3" xfId="14699"/>
    <cellStyle name="Milliers 2 2 5 2 2 3 2 5" xfId="14700"/>
    <cellStyle name="Milliers 2 2 5 2 2 3 2 5 2" xfId="14701"/>
    <cellStyle name="Milliers 2 2 5 2 2 3 2 6" xfId="14702"/>
    <cellStyle name="Milliers 2 2 5 2 2 3 3" xfId="14703"/>
    <cellStyle name="Milliers 2 2 5 2 2 3 3 2" xfId="14704"/>
    <cellStyle name="Milliers 2 2 5 2 2 3 3 2 2" xfId="14705"/>
    <cellStyle name="Milliers 2 2 5 2 2 3 3 2 2 2" xfId="14706"/>
    <cellStyle name="Milliers 2 2 5 2 2 3 3 2 2 2 2" xfId="14707"/>
    <cellStyle name="Milliers 2 2 5 2 2 3 3 2 2 3" xfId="14708"/>
    <cellStyle name="Milliers 2 2 5 2 2 3 3 2 3" xfId="14709"/>
    <cellStyle name="Milliers 2 2 5 2 2 3 3 2 3 2" xfId="14710"/>
    <cellStyle name="Milliers 2 2 5 2 2 3 3 2 4" xfId="14711"/>
    <cellStyle name="Milliers 2 2 5 2 2 3 3 3" xfId="14712"/>
    <cellStyle name="Milliers 2 2 5 2 2 3 3 3 2" xfId="14713"/>
    <cellStyle name="Milliers 2 2 5 2 2 3 3 3 2 2" xfId="14714"/>
    <cellStyle name="Milliers 2 2 5 2 2 3 3 3 3" xfId="14715"/>
    <cellStyle name="Milliers 2 2 5 2 2 3 3 4" xfId="14716"/>
    <cellStyle name="Milliers 2 2 5 2 2 3 3 4 2" xfId="14717"/>
    <cellStyle name="Milliers 2 2 5 2 2 3 3 5" xfId="14718"/>
    <cellStyle name="Milliers 2 2 5 2 2 3 4" xfId="14719"/>
    <cellStyle name="Milliers 2 2 5 2 2 3 4 2" xfId="14720"/>
    <cellStyle name="Milliers 2 2 5 2 2 3 4 2 2" xfId="14721"/>
    <cellStyle name="Milliers 2 2 5 2 2 3 4 2 2 2" xfId="14722"/>
    <cellStyle name="Milliers 2 2 5 2 2 3 4 2 3" xfId="14723"/>
    <cellStyle name="Milliers 2 2 5 2 2 3 4 3" xfId="14724"/>
    <cellStyle name="Milliers 2 2 5 2 2 3 4 3 2" xfId="14725"/>
    <cellStyle name="Milliers 2 2 5 2 2 3 4 4" xfId="14726"/>
    <cellStyle name="Milliers 2 2 5 2 2 3 5" xfId="14727"/>
    <cellStyle name="Milliers 2 2 5 2 2 3 5 2" xfId="14728"/>
    <cellStyle name="Milliers 2 2 5 2 2 3 5 2 2" xfId="14729"/>
    <cellStyle name="Milliers 2 2 5 2 2 3 5 3" xfId="14730"/>
    <cellStyle name="Milliers 2 2 5 2 2 3 6" xfId="14731"/>
    <cellStyle name="Milliers 2 2 5 2 2 3 6 2" xfId="14732"/>
    <cellStyle name="Milliers 2 2 5 2 2 3 7" xfId="14733"/>
    <cellStyle name="Milliers 2 2 5 2 2 4" xfId="14734"/>
    <cellStyle name="Milliers 2 2 5 2 2 4 2" xfId="14735"/>
    <cellStyle name="Milliers 2 2 5 2 2 4 2 2" xfId="14736"/>
    <cellStyle name="Milliers 2 2 5 2 2 4 2 2 2" xfId="14737"/>
    <cellStyle name="Milliers 2 2 5 2 2 4 2 2 2 2" xfId="14738"/>
    <cellStyle name="Milliers 2 2 5 2 2 4 2 2 2 2 2" xfId="14739"/>
    <cellStyle name="Milliers 2 2 5 2 2 4 2 2 2 3" xfId="14740"/>
    <cellStyle name="Milliers 2 2 5 2 2 4 2 2 3" xfId="14741"/>
    <cellStyle name="Milliers 2 2 5 2 2 4 2 2 3 2" xfId="14742"/>
    <cellStyle name="Milliers 2 2 5 2 2 4 2 2 4" xfId="14743"/>
    <cellStyle name="Milliers 2 2 5 2 2 4 2 3" xfId="14744"/>
    <cellStyle name="Milliers 2 2 5 2 2 4 2 3 2" xfId="14745"/>
    <cellStyle name="Milliers 2 2 5 2 2 4 2 3 2 2" xfId="14746"/>
    <cellStyle name="Milliers 2 2 5 2 2 4 2 3 3" xfId="14747"/>
    <cellStyle name="Milliers 2 2 5 2 2 4 2 4" xfId="14748"/>
    <cellStyle name="Milliers 2 2 5 2 2 4 2 4 2" xfId="14749"/>
    <cellStyle name="Milliers 2 2 5 2 2 4 2 5" xfId="14750"/>
    <cellStyle name="Milliers 2 2 5 2 2 4 3" xfId="14751"/>
    <cellStyle name="Milliers 2 2 5 2 2 4 3 2" xfId="14752"/>
    <cellStyle name="Milliers 2 2 5 2 2 4 3 2 2" xfId="14753"/>
    <cellStyle name="Milliers 2 2 5 2 2 4 3 2 2 2" xfId="14754"/>
    <cellStyle name="Milliers 2 2 5 2 2 4 3 2 3" xfId="14755"/>
    <cellStyle name="Milliers 2 2 5 2 2 4 3 3" xfId="14756"/>
    <cellStyle name="Milliers 2 2 5 2 2 4 3 3 2" xfId="14757"/>
    <cellStyle name="Milliers 2 2 5 2 2 4 3 4" xfId="14758"/>
    <cellStyle name="Milliers 2 2 5 2 2 4 4" xfId="14759"/>
    <cellStyle name="Milliers 2 2 5 2 2 4 4 2" xfId="14760"/>
    <cellStyle name="Milliers 2 2 5 2 2 4 4 2 2" xfId="14761"/>
    <cellStyle name="Milliers 2 2 5 2 2 4 4 3" xfId="14762"/>
    <cellStyle name="Milliers 2 2 5 2 2 4 5" xfId="14763"/>
    <cellStyle name="Milliers 2 2 5 2 2 4 5 2" xfId="14764"/>
    <cellStyle name="Milliers 2 2 5 2 2 4 6" xfId="14765"/>
    <cellStyle name="Milliers 2 2 5 2 2 5" xfId="14766"/>
    <cellStyle name="Milliers 2 2 5 2 2 5 2" xfId="14767"/>
    <cellStyle name="Milliers 2 2 5 2 2 5 2 2" xfId="14768"/>
    <cellStyle name="Milliers 2 2 5 2 2 5 2 2 2" xfId="14769"/>
    <cellStyle name="Milliers 2 2 5 2 2 5 2 2 2 2" xfId="14770"/>
    <cellStyle name="Milliers 2 2 5 2 2 5 2 2 3" xfId="14771"/>
    <cellStyle name="Milliers 2 2 5 2 2 5 2 3" xfId="14772"/>
    <cellStyle name="Milliers 2 2 5 2 2 5 2 3 2" xfId="14773"/>
    <cellStyle name="Milliers 2 2 5 2 2 5 2 4" xfId="14774"/>
    <cellStyle name="Milliers 2 2 5 2 2 5 3" xfId="14775"/>
    <cellStyle name="Milliers 2 2 5 2 2 5 3 2" xfId="14776"/>
    <cellStyle name="Milliers 2 2 5 2 2 5 3 2 2" xfId="14777"/>
    <cellStyle name="Milliers 2 2 5 2 2 5 3 3" xfId="14778"/>
    <cellStyle name="Milliers 2 2 5 2 2 5 4" xfId="14779"/>
    <cellStyle name="Milliers 2 2 5 2 2 5 4 2" xfId="14780"/>
    <cellStyle name="Milliers 2 2 5 2 2 5 5" xfId="14781"/>
    <cellStyle name="Milliers 2 2 5 2 2 6" xfId="14782"/>
    <cellStyle name="Milliers 2 2 5 2 2 6 2" xfId="14783"/>
    <cellStyle name="Milliers 2 2 5 2 2 6 2 2" xfId="14784"/>
    <cellStyle name="Milliers 2 2 5 2 2 6 2 2 2" xfId="14785"/>
    <cellStyle name="Milliers 2 2 5 2 2 6 2 3" xfId="14786"/>
    <cellStyle name="Milliers 2 2 5 2 2 6 3" xfId="14787"/>
    <cellStyle name="Milliers 2 2 5 2 2 6 3 2" xfId="14788"/>
    <cellStyle name="Milliers 2 2 5 2 2 6 4" xfId="14789"/>
    <cellStyle name="Milliers 2 2 5 2 2 7" xfId="14790"/>
    <cellStyle name="Milliers 2 2 5 2 2 7 2" xfId="14791"/>
    <cellStyle name="Milliers 2 2 5 2 2 7 2 2" xfId="14792"/>
    <cellStyle name="Milliers 2 2 5 2 2 7 3" xfId="14793"/>
    <cellStyle name="Milliers 2 2 5 2 2 8" xfId="14794"/>
    <cellStyle name="Milliers 2 2 5 2 2 8 2" xfId="14795"/>
    <cellStyle name="Milliers 2 2 5 2 2 9" xfId="14796"/>
    <cellStyle name="Milliers 2 2 5 2 3" xfId="14797"/>
    <cellStyle name="Milliers 2 2 5 2 3 2" xfId="14798"/>
    <cellStyle name="Milliers 2 2 5 2 3 2 2" xfId="14799"/>
    <cellStyle name="Milliers 2 2 5 2 3 2 2 2" xfId="14800"/>
    <cellStyle name="Milliers 2 2 5 2 3 2 2 2 2" xfId="14801"/>
    <cellStyle name="Milliers 2 2 5 2 3 2 2 2 2 2" xfId="14802"/>
    <cellStyle name="Milliers 2 2 5 2 3 2 2 2 2 2 2" xfId="14803"/>
    <cellStyle name="Milliers 2 2 5 2 3 2 2 2 2 2 2 2" xfId="14804"/>
    <cellStyle name="Milliers 2 2 5 2 3 2 2 2 2 2 3" xfId="14805"/>
    <cellStyle name="Milliers 2 2 5 2 3 2 2 2 2 3" xfId="14806"/>
    <cellStyle name="Milliers 2 2 5 2 3 2 2 2 2 3 2" xfId="14807"/>
    <cellStyle name="Milliers 2 2 5 2 3 2 2 2 2 4" xfId="14808"/>
    <cellStyle name="Milliers 2 2 5 2 3 2 2 2 3" xfId="14809"/>
    <cellStyle name="Milliers 2 2 5 2 3 2 2 2 3 2" xfId="14810"/>
    <cellStyle name="Milliers 2 2 5 2 3 2 2 2 3 2 2" xfId="14811"/>
    <cellStyle name="Milliers 2 2 5 2 3 2 2 2 3 3" xfId="14812"/>
    <cellStyle name="Milliers 2 2 5 2 3 2 2 2 4" xfId="14813"/>
    <cellStyle name="Milliers 2 2 5 2 3 2 2 2 4 2" xfId="14814"/>
    <cellStyle name="Milliers 2 2 5 2 3 2 2 2 5" xfId="14815"/>
    <cellStyle name="Milliers 2 2 5 2 3 2 2 3" xfId="14816"/>
    <cellStyle name="Milliers 2 2 5 2 3 2 2 3 2" xfId="14817"/>
    <cellStyle name="Milliers 2 2 5 2 3 2 2 3 2 2" xfId="14818"/>
    <cellStyle name="Milliers 2 2 5 2 3 2 2 3 2 2 2" xfId="14819"/>
    <cellStyle name="Milliers 2 2 5 2 3 2 2 3 2 3" xfId="14820"/>
    <cellStyle name="Milliers 2 2 5 2 3 2 2 3 3" xfId="14821"/>
    <cellStyle name="Milliers 2 2 5 2 3 2 2 3 3 2" xfId="14822"/>
    <cellStyle name="Milliers 2 2 5 2 3 2 2 3 4" xfId="14823"/>
    <cellStyle name="Milliers 2 2 5 2 3 2 2 4" xfId="14824"/>
    <cellStyle name="Milliers 2 2 5 2 3 2 2 4 2" xfId="14825"/>
    <cellStyle name="Milliers 2 2 5 2 3 2 2 4 2 2" xfId="14826"/>
    <cellStyle name="Milliers 2 2 5 2 3 2 2 4 3" xfId="14827"/>
    <cellStyle name="Milliers 2 2 5 2 3 2 2 5" xfId="14828"/>
    <cellStyle name="Milliers 2 2 5 2 3 2 2 5 2" xfId="14829"/>
    <cellStyle name="Milliers 2 2 5 2 3 2 2 6" xfId="14830"/>
    <cellStyle name="Milliers 2 2 5 2 3 2 3" xfId="14831"/>
    <cellStyle name="Milliers 2 2 5 2 3 2 3 2" xfId="14832"/>
    <cellStyle name="Milliers 2 2 5 2 3 2 3 2 2" xfId="14833"/>
    <cellStyle name="Milliers 2 2 5 2 3 2 3 2 2 2" xfId="14834"/>
    <cellStyle name="Milliers 2 2 5 2 3 2 3 2 2 2 2" xfId="14835"/>
    <cellStyle name="Milliers 2 2 5 2 3 2 3 2 2 3" xfId="14836"/>
    <cellStyle name="Milliers 2 2 5 2 3 2 3 2 3" xfId="14837"/>
    <cellStyle name="Milliers 2 2 5 2 3 2 3 2 3 2" xfId="14838"/>
    <cellStyle name="Milliers 2 2 5 2 3 2 3 2 4" xfId="14839"/>
    <cellStyle name="Milliers 2 2 5 2 3 2 3 3" xfId="14840"/>
    <cellStyle name="Milliers 2 2 5 2 3 2 3 3 2" xfId="14841"/>
    <cellStyle name="Milliers 2 2 5 2 3 2 3 3 2 2" xfId="14842"/>
    <cellStyle name="Milliers 2 2 5 2 3 2 3 3 3" xfId="14843"/>
    <cellStyle name="Milliers 2 2 5 2 3 2 3 4" xfId="14844"/>
    <cellStyle name="Milliers 2 2 5 2 3 2 3 4 2" xfId="14845"/>
    <cellStyle name="Milliers 2 2 5 2 3 2 3 5" xfId="14846"/>
    <cellStyle name="Milliers 2 2 5 2 3 2 4" xfId="14847"/>
    <cellStyle name="Milliers 2 2 5 2 3 2 4 2" xfId="14848"/>
    <cellStyle name="Milliers 2 2 5 2 3 2 4 2 2" xfId="14849"/>
    <cellStyle name="Milliers 2 2 5 2 3 2 4 2 2 2" xfId="14850"/>
    <cellStyle name="Milliers 2 2 5 2 3 2 4 2 3" xfId="14851"/>
    <cellStyle name="Milliers 2 2 5 2 3 2 4 3" xfId="14852"/>
    <cellStyle name="Milliers 2 2 5 2 3 2 4 3 2" xfId="14853"/>
    <cellStyle name="Milliers 2 2 5 2 3 2 4 4" xfId="14854"/>
    <cellStyle name="Milliers 2 2 5 2 3 2 5" xfId="14855"/>
    <cellStyle name="Milliers 2 2 5 2 3 2 5 2" xfId="14856"/>
    <cellStyle name="Milliers 2 2 5 2 3 2 5 2 2" xfId="14857"/>
    <cellStyle name="Milliers 2 2 5 2 3 2 5 3" xfId="14858"/>
    <cellStyle name="Milliers 2 2 5 2 3 2 6" xfId="14859"/>
    <cellStyle name="Milliers 2 2 5 2 3 2 6 2" xfId="14860"/>
    <cellStyle name="Milliers 2 2 5 2 3 2 7" xfId="14861"/>
    <cellStyle name="Milliers 2 2 5 2 3 3" xfId="14862"/>
    <cellStyle name="Milliers 2 2 5 2 3 3 2" xfId="14863"/>
    <cellStyle name="Milliers 2 2 5 2 3 3 2 2" xfId="14864"/>
    <cellStyle name="Milliers 2 2 5 2 3 3 2 2 2" xfId="14865"/>
    <cellStyle name="Milliers 2 2 5 2 3 3 2 2 2 2" xfId="14866"/>
    <cellStyle name="Milliers 2 2 5 2 3 3 2 2 2 2 2" xfId="14867"/>
    <cellStyle name="Milliers 2 2 5 2 3 3 2 2 2 3" xfId="14868"/>
    <cellStyle name="Milliers 2 2 5 2 3 3 2 2 3" xfId="14869"/>
    <cellStyle name="Milliers 2 2 5 2 3 3 2 2 3 2" xfId="14870"/>
    <cellStyle name="Milliers 2 2 5 2 3 3 2 2 4" xfId="14871"/>
    <cellStyle name="Milliers 2 2 5 2 3 3 2 3" xfId="14872"/>
    <cellStyle name="Milliers 2 2 5 2 3 3 2 3 2" xfId="14873"/>
    <cellStyle name="Milliers 2 2 5 2 3 3 2 3 2 2" xfId="14874"/>
    <cellStyle name="Milliers 2 2 5 2 3 3 2 3 3" xfId="14875"/>
    <cellStyle name="Milliers 2 2 5 2 3 3 2 4" xfId="14876"/>
    <cellStyle name="Milliers 2 2 5 2 3 3 2 4 2" xfId="14877"/>
    <cellStyle name="Milliers 2 2 5 2 3 3 2 5" xfId="14878"/>
    <cellStyle name="Milliers 2 2 5 2 3 3 3" xfId="14879"/>
    <cellStyle name="Milliers 2 2 5 2 3 3 3 2" xfId="14880"/>
    <cellStyle name="Milliers 2 2 5 2 3 3 3 2 2" xfId="14881"/>
    <cellStyle name="Milliers 2 2 5 2 3 3 3 2 2 2" xfId="14882"/>
    <cellStyle name="Milliers 2 2 5 2 3 3 3 2 3" xfId="14883"/>
    <cellStyle name="Milliers 2 2 5 2 3 3 3 3" xfId="14884"/>
    <cellStyle name="Milliers 2 2 5 2 3 3 3 3 2" xfId="14885"/>
    <cellStyle name="Milliers 2 2 5 2 3 3 3 4" xfId="14886"/>
    <cellStyle name="Milliers 2 2 5 2 3 3 4" xfId="14887"/>
    <cellStyle name="Milliers 2 2 5 2 3 3 4 2" xfId="14888"/>
    <cellStyle name="Milliers 2 2 5 2 3 3 4 2 2" xfId="14889"/>
    <cellStyle name="Milliers 2 2 5 2 3 3 4 3" xfId="14890"/>
    <cellStyle name="Milliers 2 2 5 2 3 3 5" xfId="14891"/>
    <cellStyle name="Milliers 2 2 5 2 3 3 5 2" xfId="14892"/>
    <cellStyle name="Milliers 2 2 5 2 3 3 6" xfId="14893"/>
    <cellStyle name="Milliers 2 2 5 2 3 4" xfId="14894"/>
    <cellStyle name="Milliers 2 2 5 2 3 4 2" xfId="14895"/>
    <cellStyle name="Milliers 2 2 5 2 3 4 2 2" xfId="14896"/>
    <cellStyle name="Milliers 2 2 5 2 3 4 2 2 2" xfId="14897"/>
    <cellStyle name="Milliers 2 2 5 2 3 4 2 2 2 2" xfId="14898"/>
    <cellStyle name="Milliers 2 2 5 2 3 4 2 2 3" xfId="14899"/>
    <cellStyle name="Milliers 2 2 5 2 3 4 2 3" xfId="14900"/>
    <cellStyle name="Milliers 2 2 5 2 3 4 2 3 2" xfId="14901"/>
    <cellStyle name="Milliers 2 2 5 2 3 4 2 4" xfId="14902"/>
    <cellStyle name="Milliers 2 2 5 2 3 4 3" xfId="14903"/>
    <cellStyle name="Milliers 2 2 5 2 3 4 3 2" xfId="14904"/>
    <cellStyle name="Milliers 2 2 5 2 3 4 3 2 2" xfId="14905"/>
    <cellStyle name="Milliers 2 2 5 2 3 4 3 3" xfId="14906"/>
    <cellStyle name="Milliers 2 2 5 2 3 4 4" xfId="14907"/>
    <cellStyle name="Milliers 2 2 5 2 3 4 4 2" xfId="14908"/>
    <cellStyle name="Milliers 2 2 5 2 3 4 5" xfId="14909"/>
    <cellStyle name="Milliers 2 2 5 2 3 5" xfId="14910"/>
    <cellStyle name="Milliers 2 2 5 2 3 5 2" xfId="14911"/>
    <cellStyle name="Milliers 2 2 5 2 3 5 2 2" xfId="14912"/>
    <cellStyle name="Milliers 2 2 5 2 3 5 2 2 2" xfId="14913"/>
    <cellStyle name="Milliers 2 2 5 2 3 5 2 3" xfId="14914"/>
    <cellStyle name="Milliers 2 2 5 2 3 5 3" xfId="14915"/>
    <cellStyle name="Milliers 2 2 5 2 3 5 3 2" xfId="14916"/>
    <cellStyle name="Milliers 2 2 5 2 3 5 4" xfId="14917"/>
    <cellStyle name="Milliers 2 2 5 2 3 6" xfId="14918"/>
    <cellStyle name="Milliers 2 2 5 2 3 6 2" xfId="14919"/>
    <cellStyle name="Milliers 2 2 5 2 3 6 2 2" xfId="14920"/>
    <cellStyle name="Milliers 2 2 5 2 3 6 3" xfId="14921"/>
    <cellStyle name="Milliers 2 2 5 2 3 7" xfId="14922"/>
    <cellStyle name="Milliers 2 2 5 2 3 7 2" xfId="14923"/>
    <cellStyle name="Milliers 2 2 5 2 3 8" xfId="14924"/>
    <cellStyle name="Milliers 2 2 5 2 4" xfId="14925"/>
    <cellStyle name="Milliers 2 2 5 2 4 2" xfId="14926"/>
    <cellStyle name="Milliers 2 2 5 2 4 2 2" xfId="14927"/>
    <cellStyle name="Milliers 2 2 5 2 4 2 2 2" xfId="14928"/>
    <cellStyle name="Milliers 2 2 5 2 4 2 2 2 2" xfId="14929"/>
    <cellStyle name="Milliers 2 2 5 2 4 2 2 2 2 2" xfId="14930"/>
    <cellStyle name="Milliers 2 2 5 2 4 2 2 2 2 2 2" xfId="14931"/>
    <cellStyle name="Milliers 2 2 5 2 4 2 2 2 2 3" xfId="14932"/>
    <cellStyle name="Milliers 2 2 5 2 4 2 2 2 3" xfId="14933"/>
    <cellStyle name="Milliers 2 2 5 2 4 2 2 2 3 2" xfId="14934"/>
    <cellStyle name="Milliers 2 2 5 2 4 2 2 2 4" xfId="14935"/>
    <cellStyle name="Milliers 2 2 5 2 4 2 2 3" xfId="14936"/>
    <cellStyle name="Milliers 2 2 5 2 4 2 2 3 2" xfId="14937"/>
    <cellStyle name="Milliers 2 2 5 2 4 2 2 3 2 2" xfId="14938"/>
    <cellStyle name="Milliers 2 2 5 2 4 2 2 3 3" xfId="14939"/>
    <cellStyle name="Milliers 2 2 5 2 4 2 2 4" xfId="14940"/>
    <cellStyle name="Milliers 2 2 5 2 4 2 2 4 2" xfId="14941"/>
    <cellStyle name="Milliers 2 2 5 2 4 2 2 5" xfId="14942"/>
    <cellStyle name="Milliers 2 2 5 2 4 2 3" xfId="14943"/>
    <cellStyle name="Milliers 2 2 5 2 4 2 3 2" xfId="14944"/>
    <cellStyle name="Milliers 2 2 5 2 4 2 3 2 2" xfId="14945"/>
    <cellStyle name="Milliers 2 2 5 2 4 2 3 2 2 2" xfId="14946"/>
    <cellStyle name="Milliers 2 2 5 2 4 2 3 2 3" xfId="14947"/>
    <cellStyle name="Milliers 2 2 5 2 4 2 3 3" xfId="14948"/>
    <cellStyle name="Milliers 2 2 5 2 4 2 3 3 2" xfId="14949"/>
    <cellStyle name="Milliers 2 2 5 2 4 2 3 4" xfId="14950"/>
    <cellStyle name="Milliers 2 2 5 2 4 2 4" xfId="14951"/>
    <cellStyle name="Milliers 2 2 5 2 4 2 4 2" xfId="14952"/>
    <cellStyle name="Milliers 2 2 5 2 4 2 4 2 2" xfId="14953"/>
    <cellStyle name="Milliers 2 2 5 2 4 2 4 3" xfId="14954"/>
    <cellStyle name="Milliers 2 2 5 2 4 2 5" xfId="14955"/>
    <cellStyle name="Milliers 2 2 5 2 4 2 5 2" xfId="14956"/>
    <cellStyle name="Milliers 2 2 5 2 4 2 6" xfId="14957"/>
    <cellStyle name="Milliers 2 2 5 2 4 3" xfId="14958"/>
    <cellStyle name="Milliers 2 2 5 2 4 3 2" xfId="14959"/>
    <cellStyle name="Milliers 2 2 5 2 4 3 2 2" xfId="14960"/>
    <cellStyle name="Milliers 2 2 5 2 4 3 2 2 2" xfId="14961"/>
    <cellStyle name="Milliers 2 2 5 2 4 3 2 2 2 2" xfId="14962"/>
    <cellStyle name="Milliers 2 2 5 2 4 3 2 2 3" xfId="14963"/>
    <cellStyle name="Milliers 2 2 5 2 4 3 2 3" xfId="14964"/>
    <cellStyle name="Milliers 2 2 5 2 4 3 2 3 2" xfId="14965"/>
    <cellStyle name="Milliers 2 2 5 2 4 3 2 4" xfId="14966"/>
    <cellStyle name="Milliers 2 2 5 2 4 3 3" xfId="14967"/>
    <cellStyle name="Milliers 2 2 5 2 4 3 3 2" xfId="14968"/>
    <cellStyle name="Milliers 2 2 5 2 4 3 3 2 2" xfId="14969"/>
    <cellStyle name="Milliers 2 2 5 2 4 3 3 3" xfId="14970"/>
    <cellStyle name="Milliers 2 2 5 2 4 3 4" xfId="14971"/>
    <cellStyle name="Milliers 2 2 5 2 4 3 4 2" xfId="14972"/>
    <cellStyle name="Milliers 2 2 5 2 4 3 5" xfId="14973"/>
    <cellStyle name="Milliers 2 2 5 2 4 4" xfId="14974"/>
    <cellStyle name="Milliers 2 2 5 2 4 4 2" xfId="14975"/>
    <cellStyle name="Milliers 2 2 5 2 4 4 2 2" xfId="14976"/>
    <cellStyle name="Milliers 2 2 5 2 4 4 2 2 2" xfId="14977"/>
    <cellStyle name="Milliers 2 2 5 2 4 4 2 3" xfId="14978"/>
    <cellStyle name="Milliers 2 2 5 2 4 4 3" xfId="14979"/>
    <cellStyle name="Milliers 2 2 5 2 4 4 3 2" xfId="14980"/>
    <cellStyle name="Milliers 2 2 5 2 4 4 4" xfId="14981"/>
    <cellStyle name="Milliers 2 2 5 2 4 5" xfId="14982"/>
    <cellStyle name="Milliers 2 2 5 2 4 5 2" xfId="14983"/>
    <cellStyle name="Milliers 2 2 5 2 4 5 2 2" xfId="14984"/>
    <cellStyle name="Milliers 2 2 5 2 4 5 3" xfId="14985"/>
    <cellStyle name="Milliers 2 2 5 2 4 6" xfId="14986"/>
    <cellStyle name="Milliers 2 2 5 2 4 6 2" xfId="14987"/>
    <cellStyle name="Milliers 2 2 5 2 4 7" xfId="14988"/>
    <cellStyle name="Milliers 2 2 5 2 5" xfId="14989"/>
    <cellStyle name="Milliers 2 2 5 2 5 2" xfId="14990"/>
    <cellStyle name="Milliers 2 2 5 2 5 2 2" xfId="14991"/>
    <cellStyle name="Milliers 2 2 5 2 5 2 2 2" xfId="14992"/>
    <cellStyle name="Milliers 2 2 5 2 5 2 2 2 2" xfId="14993"/>
    <cellStyle name="Milliers 2 2 5 2 5 2 2 2 2 2" xfId="14994"/>
    <cellStyle name="Milliers 2 2 5 2 5 2 2 2 3" xfId="14995"/>
    <cellStyle name="Milliers 2 2 5 2 5 2 2 3" xfId="14996"/>
    <cellStyle name="Milliers 2 2 5 2 5 2 2 3 2" xfId="14997"/>
    <cellStyle name="Milliers 2 2 5 2 5 2 2 4" xfId="14998"/>
    <cellStyle name="Milliers 2 2 5 2 5 2 3" xfId="14999"/>
    <cellStyle name="Milliers 2 2 5 2 5 2 3 2" xfId="15000"/>
    <cellStyle name="Milliers 2 2 5 2 5 2 3 2 2" xfId="15001"/>
    <cellStyle name="Milliers 2 2 5 2 5 2 3 3" xfId="15002"/>
    <cellStyle name="Milliers 2 2 5 2 5 2 4" xfId="15003"/>
    <cellStyle name="Milliers 2 2 5 2 5 2 4 2" xfId="15004"/>
    <cellStyle name="Milliers 2 2 5 2 5 2 5" xfId="15005"/>
    <cellStyle name="Milliers 2 2 5 2 5 3" xfId="15006"/>
    <cellStyle name="Milliers 2 2 5 2 5 3 2" xfId="15007"/>
    <cellStyle name="Milliers 2 2 5 2 5 3 2 2" xfId="15008"/>
    <cellStyle name="Milliers 2 2 5 2 5 3 2 2 2" xfId="15009"/>
    <cellStyle name="Milliers 2 2 5 2 5 3 2 3" xfId="15010"/>
    <cellStyle name="Milliers 2 2 5 2 5 3 3" xfId="15011"/>
    <cellStyle name="Milliers 2 2 5 2 5 3 3 2" xfId="15012"/>
    <cellStyle name="Milliers 2 2 5 2 5 3 4" xfId="15013"/>
    <cellStyle name="Milliers 2 2 5 2 5 4" xfId="15014"/>
    <cellStyle name="Milliers 2 2 5 2 5 4 2" xfId="15015"/>
    <cellStyle name="Milliers 2 2 5 2 5 4 2 2" xfId="15016"/>
    <cellStyle name="Milliers 2 2 5 2 5 4 3" xfId="15017"/>
    <cellStyle name="Milliers 2 2 5 2 5 5" xfId="15018"/>
    <cellStyle name="Milliers 2 2 5 2 5 5 2" xfId="15019"/>
    <cellStyle name="Milliers 2 2 5 2 5 6" xfId="15020"/>
    <cellStyle name="Milliers 2 2 5 2 6" xfId="15021"/>
    <cellStyle name="Milliers 2 2 5 2 6 2" xfId="15022"/>
    <cellStyle name="Milliers 2 2 5 2 6 2 2" xfId="15023"/>
    <cellStyle name="Milliers 2 2 5 2 6 2 2 2" xfId="15024"/>
    <cellStyle name="Milliers 2 2 5 2 6 2 2 2 2" xfId="15025"/>
    <cellStyle name="Milliers 2 2 5 2 6 2 2 3" xfId="15026"/>
    <cellStyle name="Milliers 2 2 5 2 6 2 3" xfId="15027"/>
    <cellStyle name="Milliers 2 2 5 2 6 2 3 2" xfId="15028"/>
    <cellStyle name="Milliers 2 2 5 2 6 2 4" xfId="15029"/>
    <cellStyle name="Milliers 2 2 5 2 6 3" xfId="15030"/>
    <cellStyle name="Milliers 2 2 5 2 6 3 2" xfId="15031"/>
    <cellStyle name="Milliers 2 2 5 2 6 3 2 2" xfId="15032"/>
    <cellStyle name="Milliers 2 2 5 2 6 3 3" xfId="15033"/>
    <cellStyle name="Milliers 2 2 5 2 6 4" xfId="15034"/>
    <cellStyle name="Milliers 2 2 5 2 6 4 2" xfId="15035"/>
    <cellStyle name="Milliers 2 2 5 2 6 5" xfId="15036"/>
    <cellStyle name="Milliers 2 2 5 2 7" xfId="15037"/>
    <cellStyle name="Milliers 2 2 5 2 7 2" xfId="15038"/>
    <cellStyle name="Milliers 2 2 5 2 7 2 2" xfId="15039"/>
    <cellStyle name="Milliers 2 2 5 2 7 2 2 2" xfId="15040"/>
    <cellStyle name="Milliers 2 2 5 2 7 2 3" xfId="15041"/>
    <cellStyle name="Milliers 2 2 5 2 7 3" xfId="15042"/>
    <cellStyle name="Milliers 2 2 5 2 7 3 2" xfId="15043"/>
    <cellStyle name="Milliers 2 2 5 2 7 4" xfId="15044"/>
    <cellStyle name="Milliers 2 2 5 2 8" xfId="15045"/>
    <cellStyle name="Milliers 2 2 5 2 8 2" xfId="15046"/>
    <cellStyle name="Milliers 2 2 5 2 8 2 2" xfId="15047"/>
    <cellStyle name="Milliers 2 2 5 2 8 3" xfId="15048"/>
    <cellStyle name="Milliers 2 2 5 2 9" xfId="15049"/>
    <cellStyle name="Milliers 2 2 5 2 9 2" xfId="15050"/>
    <cellStyle name="Milliers 2 2 5 3" xfId="15051"/>
    <cellStyle name="Milliers 2 2 5 3 2" xfId="15052"/>
    <cellStyle name="Milliers 2 2 5 3 2 2" xfId="15053"/>
    <cellStyle name="Milliers 2 2 5 3 2 2 2" xfId="15054"/>
    <cellStyle name="Milliers 2 2 5 3 2 2 2 2" xfId="15055"/>
    <cellStyle name="Milliers 2 2 5 3 2 2 2 2 2" xfId="15056"/>
    <cellStyle name="Milliers 2 2 5 3 2 2 2 2 2 2" xfId="15057"/>
    <cellStyle name="Milliers 2 2 5 3 2 2 2 2 2 2 2" xfId="15058"/>
    <cellStyle name="Milliers 2 2 5 3 2 2 2 2 2 2 2 2" xfId="15059"/>
    <cellStyle name="Milliers 2 2 5 3 2 2 2 2 2 2 3" xfId="15060"/>
    <cellStyle name="Milliers 2 2 5 3 2 2 2 2 2 3" xfId="15061"/>
    <cellStyle name="Milliers 2 2 5 3 2 2 2 2 2 3 2" xfId="15062"/>
    <cellStyle name="Milliers 2 2 5 3 2 2 2 2 2 4" xfId="15063"/>
    <cellStyle name="Milliers 2 2 5 3 2 2 2 2 3" xfId="15064"/>
    <cellStyle name="Milliers 2 2 5 3 2 2 2 2 3 2" xfId="15065"/>
    <cellStyle name="Milliers 2 2 5 3 2 2 2 2 3 2 2" xfId="15066"/>
    <cellStyle name="Milliers 2 2 5 3 2 2 2 2 3 3" xfId="15067"/>
    <cellStyle name="Milliers 2 2 5 3 2 2 2 2 4" xfId="15068"/>
    <cellStyle name="Milliers 2 2 5 3 2 2 2 2 4 2" xfId="15069"/>
    <cellStyle name="Milliers 2 2 5 3 2 2 2 2 5" xfId="15070"/>
    <cellStyle name="Milliers 2 2 5 3 2 2 2 3" xfId="15071"/>
    <cellStyle name="Milliers 2 2 5 3 2 2 2 3 2" xfId="15072"/>
    <cellStyle name="Milliers 2 2 5 3 2 2 2 3 2 2" xfId="15073"/>
    <cellStyle name="Milliers 2 2 5 3 2 2 2 3 2 2 2" xfId="15074"/>
    <cellStyle name="Milliers 2 2 5 3 2 2 2 3 2 3" xfId="15075"/>
    <cellStyle name="Milliers 2 2 5 3 2 2 2 3 3" xfId="15076"/>
    <cellStyle name="Milliers 2 2 5 3 2 2 2 3 3 2" xfId="15077"/>
    <cellStyle name="Milliers 2 2 5 3 2 2 2 3 4" xfId="15078"/>
    <cellStyle name="Milliers 2 2 5 3 2 2 2 4" xfId="15079"/>
    <cellStyle name="Milliers 2 2 5 3 2 2 2 4 2" xfId="15080"/>
    <cellStyle name="Milliers 2 2 5 3 2 2 2 4 2 2" xfId="15081"/>
    <cellStyle name="Milliers 2 2 5 3 2 2 2 4 3" xfId="15082"/>
    <cellStyle name="Milliers 2 2 5 3 2 2 2 5" xfId="15083"/>
    <cellStyle name="Milliers 2 2 5 3 2 2 2 5 2" xfId="15084"/>
    <cellStyle name="Milliers 2 2 5 3 2 2 2 6" xfId="15085"/>
    <cellStyle name="Milliers 2 2 5 3 2 2 3" xfId="15086"/>
    <cellStyle name="Milliers 2 2 5 3 2 2 3 2" xfId="15087"/>
    <cellStyle name="Milliers 2 2 5 3 2 2 3 2 2" xfId="15088"/>
    <cellStyle name="Milliers 2 2 5 3 2 2 3 2 2 2" xfId="15089"/>
    <cellStyle name="Milliers 2 2 5 3 2 2 3 2 2 2 2" xfId="15090"/>
    <cellStyle name="Milliers 2 2 5 3 2 2 3 2 2 3" xfId="15091"/>
    <cellStyle name="Milliers 2 2 5 3 2 2 3 2 3" xfId="15092"/>
    <cellStyle name="Milliers 2 2 5 3 2 2 3 2 3 2" xfId="15093"/>
    <cellStyle name="Milliers 2 2 5 3 2 2 3 2 4" xfId="15094"/>
    <cellStyle name="Milliers 2 2 5 3 2 2 3 3" xfId="15095"/>
    <cellStyle name="Milliers 2 2 5 3 2 2 3 3 2" xfId="15096"/>
    <cellStyle name="Milliers 2 2 5 3 2 2 3 3 2 2" xfId="15097"/>
    <cellStyle name="Milliers 2 2 5 3 2 2 3 3 3" xfId="15098"/>
    <cellStyle name="Milliers 2 2 5 3 2 2 3 4" xfId="15099"/>
    <cellStyle name="Milliers 2 2 5 3 2 2 3 4 2" xfId="15100"/>
    <cellStyle name="Milliers 2 2 5 3 2 2 3 5" xfId="15101"/>
    <cellStyle name="Milliers 2 2 5 3 2 2 4" xfId="15102"/>
    <cellStyle name="Milliers 2 2 5 3 2 2 4 2" xfId="15103"/>
    <cellStyle name="Milliers 2 2 5 3 2 2 4 2 2" xfId="15104"/>
    <cellStyle name="Milliers 2 2 5 3 2 2 4 2 2 2" xfId="15105"/>
    <cellStyle name="Milliers 2 2 5 3 2 2 4 2 3" xfId="15106"/>
    <cellStyle name="Milliers 2 2 5 3 2 2 4 3" xfId="15107"/>
    <cellStyle name="Milliers 2 2 5 3 2 2 4 3 2" xfId="15108"/>
    <cellStyle name="Milliers 2 2 5 3 2 2 4 4" xfId="15109"/>
    <cellStyle name="Milliers 2 2 5 3 2 2 5" xfId="15110"/>
    <cellStyle name="Milliers 2 2 5 3 2 2 5 2" xfId="15111"/>
    <cellStyle name="Milliers 2 2 5 3 2 2 5 2 2" xfId="15112"/>
    <cellStyle name="Milliers 2 2 5 3 2 2 5 3" xfId="15113"/>
    <cellStyle name="Milliers 2 2 5 3 2 2 6" xfId="15114"/>
    <cellStyle name="Milliers 2 2 5 3 2 2 6 2" xfId="15115"/>
    <cellStyle name="Milliers 2 2 5 3 2 2 7" xfId="15116"/>
    <cellStyle name="Milliers 2 2 5 3 2 3" xfId="15117"/>
    <cellStyle name="Milliers 2 2 5 3 2 3 2" xfId="15118"/>
    <cellStyle name="Milliers 2 2 5 3 2 3 2 2" xfId="15119"/>
    <cellStyle name="Milliers 2 2 5 3 2 3 2 2 2" xfId="15120"/>
    <cellStyle name="Milliers 2 2 5 3 2 3 2 2 2 2" xfId="15121"/>
    <cellStyle name="Milliers 2 2 5 3 2 3 2 2 2 2 2" xfId="15122"/>
    <cellStyle name="Milliers 2 2 5 3 2 3 2 2 2 3" xfId="15123"/>
    <cellStyle name="Milliers 2 2 5 3 2 3 2 2 3" xfId="15124"/>
    <cellStyle name="Milliers 2 2 5 3 2 3 2 2 3 2" xfId="15125"/>
    <cellStyle name="Milliers 2 2 5 3 2 3 2 2 4" xfId="15126"/>
    <cellStyle name="Milliers 2 2 5 3 2 3 2 3" xfId="15127"/>
    <cellStyle name="Milliers 2 2 5 3 2 3 2 3 2" xfId="15128"/>
    <cellStyle name="Milliers 2 2 5 3 2 3 2 3 2 2" xfId="15129"/>
    <cellStyle name="Milliers 2 2 5 3 2 3 2 3 3" xfId="15130"/>
    <cellStyle name="Milliers 2 2 5 3 2 3 2 4" xfId="15131"/>
    <cellStyle name="Milliers 2 2 5 3 2 3 2 4 2" xfId="15132"/>
    <cellStyle name="Milliers 2 2 5 3 2 3 2 5" xfId="15133"/>
    <cellStyle name="Milliers 2 2 5 3 2 3 3" xfId="15134"/>
    <cellStyle name="Milliers 2 2 5 3 2 3 3 2" xfId="15135"/>
    <cellStyle name="Milliers 2 2 5 3 2 3 3 2 2" xfId="15136"/>
    <cellStyle name="Milliers 2 2 5 3 2 3 3 2 2 2" xfId="15137"/>
    <cellStyle name="Milliers 2 2 5 3 2 3 3 2 3" xfId="15138"/>
    <cellStyle name="Milliers 2 2 5 3 2 3 3 3" xfId="15139"/>
    <cellStyle name="Milliers 2 2 5 3 2 3 3 3 2" xfId="15140"/>
    <cellStyle name="Milliers 2 2 5 3 2 3 3 4" xfId="15141"/>
    <cellStyle name="Milliers 2 2 5 3 2 3 4" xfId="15142"/>
    <cellStyle name="Milliers 2 2 5 3 2 3 4 2" xfId="15143"/>
    <cellStyle name="Milliers 2 2 5 3 2 3 4 2 2" xfId="15144"/>
    <cellStyle name="Milliers 2 2 5 3 2 3 4 3" xfId="15145"/>
    <cellStyle name="Milliers 2 2 5 3 2 3 5" xfId="15146"/>
    <cellStyle name="Milliers 2 2 5 3 2 3 5 2" xfId="15147"/>
    <cellStyle name="Milliers 2 2 5 3 2 3 6" xfId="15148"/>
    <cellStyle name="Milliers 2 2 5 3 2 4" xfId="15149"/>
    <cellStyle name="Milliers 2 2 5 3 2 4 2" xfId="15150"/>
    <cellStyle name="Milliers 2 2 5 3 2 4 2 2" xfId="15151"/>
    <cellStyle name="Milliers 2 2 5 3 2 4 2 2 2" xfId="15152"/>
    <cellStyle name="Milliers 2 2 5 3 2 4 2 2 2 2" xfId="15153"/>
    <cellStyle name="Milliers 2 2 5 3 2 4 2 2 3" xfId="15154"/>
    <cellStyle name="Milliers 2 2 5 3 2 4 2 3" xfId="15155"/>
    <cellStyle name="Milliers 2 2 5 3 2 4 2 3 2" xfId="15156"/>
    <cellStyle name="Milliers 2 2 5 3 2 4 2 4" xfId="15157"/>
    <cellStyle name="Milliers 2 2 5 3 2 4 3" xfId="15158"/>
    <cellStyle name="Milliers 2 2 5 3 2 4 3 2" xfId="15159"/>
    <cellStyle name="Milliers 2 2 5 3 2 4 3 2 2" xfId="15160"/>
    <cellStyle name="Milliers 2 2 5 3 2 4 3 3" xfId="15161"/>
    <cellStyle name="Milliers 2 2 5 3 2 4 4" xfId="15162"/>
    <cellStyle name="Milliers 2 2 5 3 2 4 4 2" xfId="15163"/>
    <cellStyle name="Milliers 2 2 5 3 2 4 5" xfId="15164"/>
    <cellStyle name="Milliers 2 2 5 3 2 5" xfId="15165"/>
    <cellStyle name="Milliers 2 2 5 3 2 5 2" xfId="15166"/>
    <cellStyle name="Milliers 2 2 5 3 2 5 2 2" xfId="15167"/>
    <cellStyle name="Milliers 2 2 5 3 2 5 2 2 2" xfId="15168"/>
    <cellStyle name="Milliers 2 2 5 3 2 5 2 3" xfId="15169"/>
    <cellStyle name="Milliers 2 2 5 3 2 5 3" xfId="15170"/>
    <cellStyle name="Milliers 2 2 5 3 2 5 3 2" xfId="15171"/>
    <cellStyle name="Milliers 2 2 5 3 2 5 4" xfId="15172"/>
    <cellStyle name="Milliers 2 2 5 3 2 6" xfId="15173"/>
    <cellStyle name="Milliers 2 2 5 3 2 6 2" xfId="15174"/>
    <cellStyle name="Milliers 2 2 5 3 2 6 2 2" xfId="15175"/>
    <cellStyle name="Milliers 2 2 5 3 2 6 3" xfId="15176"/>
    <cellStyle name="Milliers 2 2 5 3 2 7" xfId="15177"/>
    <cellStyle name="Milliers 2 2 5 3 2 7 2" xfId="15178"/>
    <cellStyle name="Milliers 2 2 5 3 2 8" xfId="15179"/>
    <cellStyle name="Milliers 2 2 5 3 3" xfId="15180"/>
    <cellStyle name="Milliers 2 2 5 3 3 2" xfId="15181"/>
    <cellStyle name="Milliers 2 2 5 3 3 2 2" xfId="15182"/>
    <cellStyle name="Milliers 2 2 5 3 3 2 2 2" xfId="15183"/>
    <cellStyle name="Milliers 2 2 5 3 3 2 2 2 2" xfId="15184"/>
    <cellStyle name="Milliers 2 2 5 3 3 2 2 2 2 2" xfId="15185"/>
    <cellStyle name="Milliers 2 2 5 3 3 2 2 2 2 2 2" xfId="15186"/>
    <cellStyle name="Milliers 2 2 5 3 3 2 2 2 2 3" xfId="15187"/>
    <cellStyle name="Milliers 2 2 5 3 3 2 2 2 3" xfId="15188"/>
    <cellStyle name="Milliers 2 2 5 3 3 2 2 2 3 2" xfId="15189"/>
    <cellStyle name="Milliers 2 2 5 3 3 2 2 2 4" xfId="15190"/>
    <cellStyle name="Milliers 2 2 5 3 3 2 2 3" xfId="15191"/>
    <cellStyle name="Milliers 2 2 5 3 3 2 2 3 2" xfId="15192"/>
    <cellStyle name="Milliers 2 2 5 3 3 2 2 3 2 2" xfId="15193"/>
    <cellStyle name="Milliers 2 2 5 3 3 2 2 3 3" xfId="15194"/>
    <cellStyle name="Milliers 2 2 5 3 3 2 2 4" xfId="15195"/>
    <cellStyle name="Milliers 2 2 5 3 3 2 2 4 2" xfId="15196"/>
    <cellStyle name="Milliers 2 2 5 3 3 2 2 5" xfId="15197"/>
    <cellStyle name="Milliers 2 2 5 3 3 2 3" xfId="15198"/>
    <cellStyle name="Milliers 2 2 5 3 3 2 3 2" xfId="15199"/>
    <cellStyle name="Milliers 2 2 5 3 3 2 3 2 2" xfId="15200"/>
    <cellStyle name="Milliers 2 2 5 3 3 2 3 2 2 2" xfId="15201"/>
    <cellStyle name="Milliers 2 2 5 3 3 2 3 2 3" xfId="15202"/>
    <cellStyle name="Milliers 2 2 5 3 3 2 3 3" xfId="15203"/>
    <cellStyle name="Milliers 2 2 5 3 3 2 3 3 2" xfId="15204"/>
    <cellStyle name="Milliers 2 2 5 3 3 2 3 4" xfId="15205"/>
    <cellStyle name="Milliers 2 2 5 3 3 2 4" xfId="15206"/>
    <cellStyle name="Milliers 2 2 5 3 3 2 4 2" xfId="15207"/>
    <cellStyle name="Milliers 2 2 5 3 3 2 4 2 2" xfId="15208"/>
    <cellStyle name="Milliers 2 2 5 3 3 2 4 3" xfId="15209"/>
    <cellStyle name="Milliers 2 2 5 3 3 2 5" xfId="15210"/>
    <cellStyle name="Milliers 2 2 5 3 3 2 5 2" xfId="15211"/>
    <cellStyle name="Milliers 2 2 5 3 3 2 6" xfId="15212"/>
    <cellStyle name="Milliers 2 2 5 3 3 3" xfId="15213"/>
    <cellStyle name="Milliers 2 2 5 3 3 3 2" xfId="15214"/>
    <cellStyle name="Milliers 2 2 5 3 3 3 2 2" xfId="15215"/>
    <cellStyle name="Milliers 2 2 5 3 3 3 2 2 2" xfId="15216"/>
    <cellStyle name="Milliers 2 2 5 3 3 3 2 2 2 2" xfId="15217"/>
    <cellStyle name="Milliers 2 2 5 3 3 3 2 2 3" xfId="15218"/>
    <cellStyle name="Milliers 2 2 5 3 3 3 2 3" xfId="15219"/>
    <cellStyle name="Milliers 2 2 5 3 3 3 2 3 2" xfId="15220"/>
    <cellStyle name="Milliers 2 2 5 3 3 3 2 4" xfId="15221"/>
    <cellStyle name="Milliers 2 2 5 3 3 3 3" xfId="15222"/>
    <cellStyle name="Milliers 2 2 5 3 3 3 3 2" xfId="15223"/>
    <cellStyle name="Milliers 2 2 5 3 3 3 3 2 2" xfId="15224"/>
    <cellStyle name="Milliers 2 2 5 3 3 3 3 3" xfId="15225"/>
    <cellStyle name="Milliers 2 2 5 3 3 3 4" xfId="15226"/>
    <cellStyle name="Milliers 2 2 5 3 3 3 4 2" xfId="15227"/>
    <cellStyle name="Milliers 2 2 5 3 3 3 5" xfId="15228"/>
    <cellStyle name="Milliers 2 2 5 3 3 4" xfId="15229"/>
    <cellStyle name="Milliers 2 2 5 3 3 4 2" xfId="15230"/>
    <cellStyle name="Milliers 2 2 5 3 3 4 2 2" xfId="15231"/>
    <cellStyle name="Milliers 2 2 5 3 3 4 2 2 2" xfId="15232"/>
    <cellStyle name="Milliers 2 2 5 3 3 4 2 3" xfId="15233"/>
    <cellStyle name="Milliers 2 2 5 3 3 4 3" xfId="15234"/>
    <cellStyle name="Milliers 2 2 5 3 3 4 3 2" xfId="15235"/>
    <cellStyle name="Milliers 2 2 5 3 3 4 4" xfId="15236"/>
    <cellStyle name="Milliers 2 2 5 3 3 5" xfId="15237"/>
    <cellStyle name="Milliers 2 2 5 3 3 5 2" xfId="15238"/>
    <cellStyle name="Milliers 2 2 5 3 3 5 2 2" xfId="15239"/>
    <cellStyle name="Milliers 2 2 5 3 3 5 3" xfId="15240"/>
    <cellStyle name="Milliers 2 2 5 3 3 6" xfId="15241"/>
    <cellStyle name="Milliers 2 2 5 3 3 6 2" xfId="15242"/>
    <cellStyle name="Milliers 2 2 5 3 3 7" xfId="15243"/>
    <cellStyle name="Milliers 2 2 5 3 4" xfId="15244"/>
    <cellStyle name="Milliers 2 2 5 3 4 2" xfId="15245"/>
    <cellStyle name="Milliers 2 2 5 3 4 2 2" xfId="15246"/>
    <cellStyle name="Milliers 2 2 5 3 4 2 2 2" xfId="15247"/>
    <cellStyle name="Milliers 2 2 5 3 4 2 2 2 2" xfId="15248"/>
    <cellStyle name="Milliers 2 2 5 3 4 2 2 2 2 2" xfId="15249"/>
    <cellStyle name="Milliers 2 2 5 3 4 2 2 2 3" xfId="15250"/>
    <cellStyle name="Milliers 2 2 5 3 4 2 2 3" xfId="15251"/>
    <cellStyle name="Milliers 2 2 5 3 4 2 2 3 2" xfId="15252"/>
    <cellStyle name="Milliers 2 2 5 3 4 2 2 4" xfId="15253"/>
    <cellStyle name="Milliers 2 2 5 3 4 2 3" xfId="15254"/>
    <cellStyle name="Milliers 2 2 5 3 4 2 3 2" xfId="15255"/>
    <cellStyle name="Milliers 2 2 5 3 4 2 3 2 2" xfId="15256"/>
    <cellStyle name="Milliers 2 2 5 3 4 2 3 3" xfId="15257"/>
    <cellStyle name="Milliers 2 2 5 3 4 2 4" xfId="15258"/>
    <cellStyle name="Milliers 2 2 5 3 4 2 4 2" xfId="15259"/>
    <cellStyle name="Milliers 2 2 5 3 4 2 5" xfId="15260"/>
    <cellStyle name="Milliers 2 2 5 3 4 3" xfId="15261"/>
    <cellStyle name="Milliers 2 2 5 3 4 3 2" xfId="15262"/>
    <cellStyle name="Milliers 2 2 5 3 4 3 2 2" xfId="15263"/>
    <cellStyle name="Milliers 2 2 5 3 4 3 2 2 2" xfId="15264"/>
    <cellStyle name="Milliers 2 2 5 3 4 3 2 3" xfId="15265"/>
    <cellStyle name="Milliers 2 2 5 3 4 3 3" xfId="15266"/>
    <cellStyle name="Milliers 2 2 5 3 4 3 3 2" xfId="15267"/>
    <cellStyle name="Milliers 2 2 5 3 4 3 4" xfId="15268"/>
    <cellStyle name="Milliers 2 2 5 3 4 4" xfId="15269"/>
    <cellStyle name="Milliers 2 2 5 3 4 4 2" xfId="15270"/>
    <cellStyle name="Milliers 2 2 5 3 4 4 2 2" xfId="15271"/>
    <cellStyle name="Milliers 2 2 5 3 4 4 3" xfId="15272"/>
    <cellStyle name="Milliers 2 2 5 3 4 5" xfId="15273"/>
    <cellStyle name="Milliers 2 2 5 3 4 5 2" xfId="15274"/>
    <cellStyle name="Milliers 2 2 5 3 4 6" xfId="15275"/>
    <cellStyle name="Milliers 2 2 5 3 5" xfId="15276"/>
    <cellStyle name="Milliers 2 2 5 3 5 2" xfId="15277"/>
    <cellStyle name="Milliers 2 2 5 3 5 2 2" xfId="15278"/>
    <cellStyle name="Milliers 2 2 5 3 5 2 2 2" xfId="15279"/>
    <cellStyle name="Milliers 2 2 5 3 5 2 2 2 2" xfId="15280"/>
    <cellStyle name="Milliers 2 2 5 3 5 2 2 3" xfId="15281"/>
    <cellStyle name="Milliers 2 2 5 3 5 2 3" xfId="15282"/>
    <cellStyle name="Milliers 2 2 5 3 5 2 3 2" xfId="15283"/>
    <cellStyle name="Milliers 2 2 5 3 5 2 4" xfId="15284"/>
    <cellStyle name="Milliers 2 2 5 3 5 3" xfId="15285"/>
    <cellStyle name="Milliers 2 2 5 3 5 3 2" xfId="15286"/>
    <cellStyle name="Milliers 2 2 5 3 5 3 2 2" xfId="15287"/>
    <cellStyle name="Milliers 2 2 5 3 5 3 3" xfId="15288"/>
    <cellStyle name="Milliers 2 2 5 3 5 4" xfId="15289"/>
    <cellStyle name="Milliers 2 2 5 3 5 4 2" xfId="15290"/>
    <cellStyle name="Milliers 2 2 5 3 5 5" xfId="15291"/>
    <cellStyle name="Milliers 2 2 5 3 6" xfId="15292"/>
    <cellStyle name="Milliers 2 2 5 3 6 2" xfId="15293"/>
    <cellStyle name="Milliers 2 2 5 3 6 2 2" xfId="15294"/>
    <cellStyle name="Milliers 2 2 5 3 6 2 2 2" xfId="15295"/>
    <cellStyle name="Milliers 2 2 5 3 6 2 3" xfId="15296"/>
    <cellStyle name="Milliers 2 2 5 3 6 3" xfId="15297"/>
    <cellStyle name="Milliers 2 2 5 3 6 3 2" xfId="15298"/>
    <cellStyle name="Milliers 2 2 5 3 6 4" xfId="15299"/>
    <cellStyle name="Milliers 2 2 5 3 7" xfId="15300"/>
    <cellStyle name="Milliers 2 2 5 3 7 2" xfId="15301"/>
    <cellStyle name="Milliers 2 2 5 3 7 2 2" xfId="15302"/>
    <cellStyle name="Milliers 2 2 5 3 7 3" xfId="15303"/>
    <cellStyle name="Milliers 2 2 5 3 8" xfId="15304"/>
    <cellStyle name="Milliers 2 2 5 3 8 2" xfId="15305"/>
    <cellStyle name="Milliers 2 2 5 3 9" xfId="15306"/>
    <cellStyle name="Milliers 2 2 5 4" xfId="15307"/>
    <cellStyle name="Milliers 2 2 5 4 2" xfId="15308"/>
    <cellStyle name="Milliers 2 2 5 4 2 2" xfId="15309"/>
    <cellStyle name="Milliers 2 2 5 4 2 2 2" xfId="15310"/>
    <cellStyle name="Milliers 2 2 5 4 2 2 2 2" xfId="15311"/>
    <cellStyle name="Milliers 2 2 5 4 2 2 2 2 2" xfId="15312"/>
    <cellStyle name="Milliers 2 2 5 4 2 2 2 2 2 2" xfId="15313"/>
    <cellStyle name="Milliers 2 2 5 4 2 2 2 2 2 2 2" xfId="15314"/>
    <cellStyle name="Milliers 2 2 5 4 2 2 2 2 2 3" xfId="15315"/>
    <cellStyle name="Milliers 2 2 5 4 2 2 2 2 3" xfId="15316"/>
    <cellStyle name="Milliers 2 2 5 4 2 2 2 2 3 2" xfId="15317"/>
    <cellStyle name="Milliers 2 2 5 4 2 2 2 2 4" xfId="15318"/>
    <cellStyle name="Milliers 2 2 5 4 2 2 2 3" xfId="15319"/>
    <cellStyle name="Milliers 2 2 5 4 2 2 2 3 2" xfId="15320"/>
    <cellStyle name="Milliers 2 2 5 4 2 2 2 3 2 2" xfId="15321"/>
    <cellStyle name="Milliers 2 2 5 4 2 2 2 3 3" xfId="15322"/>
    <cellStyle name="Milliers 2 2 5 4 2 2 2 4" xfId="15323"/>
    <cellStyle name="Milliers 2 2 5 4 2 2 2 4 2" xfId="15324"/>
    <cellStyle name="Milliers 2 2 5 4 2 2 2 5" xfId="15325"/>
    <cellStyle name="Milliers 2 2 5 4 2 2 3" xfId="15326"/>
    <cellStyle name="Milliers 2 2 5 4 2 2 3 2" xfId="15327"/>
    <cellStyle name="Milliers 2 2 5 4 2 2 3 2 2" xfId="15328"/>
    <cellStyle name="Milliers 2 2 5 4 2 2 3 2 2 2" xfId="15329"/>
    <cellStyle name="Milliers 2 2 5 4 2 2 3 2 3" xfId="15330"/>
    <cellStyle name="Milliers 2 2 5 4 2 2 3 3" xfId="15331"/>
    <cellStyle name="Milliers 2 2 5 4 2 2 3 3 2" xfId="15332"/>
    <cellStyle name="Milliers 2 2 5 4 2 2 3 4" xfId="15333"/>
    <cellStyle name="Milliers 2 2 5 4 2 2 4" xfId="15334"/>
    <cellStyle name="Milliers 2 2 5 4 2 2 4 2" xfId="15335"/>
    <cellStyle name="Milliers 2 2 5 4 2 2 4 2 2" xfId="15336"/>
    <cellStyle name="Milliers 2 2 5 4 2 2 4 3" xfId="15337"/>
    <cellStyle name="Milliers 2 2 5 4 2 2 5" xfId="15338"/>
    <cellStyle name="Milliers 2 2 5 4 2 2 5 2" xfId="15339"/>
    <cellStyle name="Milliers 2 2 5 4 2 2 6" xfId="15340"/>
    <cellStyle name="Milliers 2 2 5 4 2 3" xfId="15341"/>
    <cellStyle name="Milliers 2 2 5 4 2 3 2" xfId="15342"/>
    <cellStyle name="Milliers 2 2 5 4 2 3 2 2" xfId="15343"/>
    <cellStyle name="Milliers 2 2 5 4 2 3 2 2 2" xfId="15344"/>
    <cellStyle name="Milliers 2 2 5 4 2 3 2 2 2 2" xfId="15345"/>
    <cellStyle name="Milliers 2 2 5 4 2 3 2 2 3" xfId="15346"/>
    <cellStyle name="Milliers 2 2 5 4 2 3 2 3" xfId="15347"/>
    <cellStyle name="Milliers 2 2 5 4 2 3 2 3 2" xfId="15348"/>
    <cellStyle name="Milliers 2 2 5 4 2 3 2 4" xfId="15349"/>
    <cellStyle name="Milliers 2 2 5 4 2 3 3" xfId="15350"/>
    <cellStyle name="Milliers 2 2 5 4 2 3 3 2" xfId="15351"/>
    <cellStyle name="Milliers 2 2 5 4 2 3 3 2 2" xfId="15352"/>
    <cellStyle name="Milliers 2 2 5 4 2 3 3 3" xfId="15353"/>
    <cellStyle name="Milliers 2 2 5 4 2 3 4" xfId="15354"/>
    <cellStyle name="Milliers 2 2 5 4 2 3 4 2" xfId="15355"/>
    <cellStyle name="Milliers 2 2 5 4 2 3 5" xfId="15356"/>
    <cellStyle name="Milliers 2 2 5 4 2 4" xfId="15357"/>
    <cellStyle name="Milliers 2 2 5 4 2 4 2" xfId="15358"/>
    <cellStyle name="Milliers 2 2 5 4 2 4 2 2" xfId="15359"/>
    <cellStyle name="Milliers 2 2 5 4 2 4 2 2 2" xfId="15360"/>
    <cellStyle name="Milliers 2 2 5 4 2 4 2 3" xfId="15361"/>
    <cellStyle name="Milliers 2 2 5 4 2 4 3" xfId="15362"/>
    <cellStyle name="Milliers 2 2 5 4 2 4 3 2" xfId="15363"/>
    <cellStyle name="Milliers 2 2 5 4 2 4 4" xfId="15364"/>
    <cellStyle name="Milliers 2 2 5 4 2 5" xfId="15365"/>
    <cellStyle name="Milliers 2 2 5 4 2 5 2" xfId="15366"/>
    <cellStyle name="Milliers 2 2 5 4 2 5 2 2" xfId="15367"/>
    <cellStyle name="Milliers 2 2 5 4 2 5 3" xfId="15368"/>
    <cellStyle name="Milliers 2 2 5 4 2 6" xfId="15369"/>
    <cellStyle name="Milliers 2 2 5 4 2 6 2" xfId="15370"/>
    <cellStyle name="Milliers 2 2 5 4 2 7" xfId="15371"/>
    <cellStyle name="Milliers 2 2 5 4 3" xfId="15372"/>
    <cellStyle name="Milliers 2 2 5 4 3 2" xfId="15373"/>
    <cellStyle name="Milliers 2 2 5 4 3 2 2" xfId="15374"/>
    <cellStyle name="Milliers 2 2 5 4 3 2 2 2" xfId="15375"/>
    <cellStyle name="Milliers 2 2 5 4 3 2 2 2 2" xfId="15376"/>
    <cellStyle name="Milliers 2 2 5 4 3 2 2 2 2 2" xfId="15377"/>
    <cellStyle name="Milliers 2 2 5 4 3 2 2 2 3" xfId="15378"/>
    <cellStyle name="Milliers 2 2 5 4 3 2 2 3" xfId="15379"/>
    <cellStyle name="Milliers 2 2 5 4 3 2 2 3 2" xfId="15380"/>
    <cellStyle name="Milliers 2 2 5 4 3 2 2 4" xfId="15381"/>
    <cellStyle name="Milliers 2 2 5 4 3 2 3" xfId="15382"/>
    <cellStyle name="Milliers 2 2 5 4 3 2 3 2" xfId="15383"/>
    <cellStyle name="Milliers 2 2 5 4 3 2 3 2 2" xfId="15384"/>
    <cellStyle name="Milliers 2 2 5 4 3 2 3 3" xfId="15385"/>
    <cellStyle name="Milliers 2 2 5 4 3 2 4" xfId="15386"/>
    <cellStyle name="Milliers 2 2 5 4 3 2 4 2" xfId="15387"/>
    <cellStyle name="Milliers 2 2 5 4 3 2 5" xfId="15388"/>
    <cellStyle name="Milliers 2 2 5 4 3 3" xfId="15389"/>
    <cellStyle name="Milliers 2 2 5 4 3 3 2" xfId="15390"/>
    <cellStyle name="Milliers 2 2 5 4 3 3 2 2" xfId="15391"/>
    <cellStyle name="Milliers 2 2 5 4 3 3 2 2 2" xfId="15392"/>
    <cellStyle name="Milliers 2 2 5 4 3 3 2 3" xfId="15393"/>
    <cellStyle name="Milliers 2 2 5 4 3 3 3" xfId="15394"/>
    <cellStyle name="Milliers 2 2 5 4 3 3 3 2" xfId="15395"/>
    <cellStyle name="Milliers 2 2 5 4 3 3 4" xfId="15396"/>
    <cellStyle name="Milliers 2 2 5 4 3 4" xfId="15397"/>
    <cellStyle name="Milliers 2 2 5 4 3 4 2" xfId="15398"/>
    <cellStyle name="Milliers 2 2 5 4 3 4 2 2" xfId="15399"/>
    <cellStyle name="Milliers 2 2 5 4 3 4 3" xfId="15400"/>
    <cellStyle name="Milliers 2 2 5 4 3 5" xfId="15401"/>
    <cellStyle name="Milliers 2 2 5 4 3 5 2" xfId="15402"/>
    <cellStyle name="Milliers 2 2 5 4 3 6" xfId="15403"/>
    <cellStyle name="Milliers 2 2 5 4 4" xfId="15404"/>
    <cellStyle name="Milliers 2 2 5 4 4 2" xfId="15405"/>
    <cellStyle name="Milliers 2 2 5 4 4 2 2" xfId="15406"/>
    <cellStyle name="Milliers 2 2 5 4 4 2 2 2" xfId="15407"/>
    <cellStyle name="Milliers 2 2 5 4 4 2 2 2 2" xfId="15408"/>
    <cellStyle name="Milliers 2 2 5 4 4 2 2 3" xfId="15409"/>
    <cellStyle name="Milliers 2 2 5 4 4 2 3" xfId="15410"/>
    <cellStyle name="Milliers 2 2 5 4 4 2 3 2" xfId="15411"/>
    <cellStyle name="Milliers 2 2 5 4 4 2 4" xfId="15412"/>
    <cellStyle name="Milliers 2 2 5 4 4 3" xfId="15413"/>
    <cellStyle name="Milliers 2 2 5 4 4 3 2" xfId="15414"/>
    <cellStyle name="Milliers 2 2 5 4 4 3 2 2" xfId="15415"/>
    <cellStyle name="Milliers 2 2 5 4 4 3 3" xfId="15416"/>
    <cellStyle name="Milliers 2 2 5 4 4 4" xfId="15417"/>
    <cellStyle name="Milliers 2 2 5 4 4 4 2" xfId="15418"/>
    <cellStyle name="Milliers 2 2 5 4 4 5" xfId="15419"/>
    <cellStyle name="Milliers 2 2 5 4 5" xfId="15420"/>
    <cellStyle name="Milliers 2 2 5 4 5 2" xfId="15421"/>
    <cellStyle name="Milliers 2 2 5 4 5 2 2" xfId="15422"/>
    <cellStyle name="Milliers 2 2 5 4 5 2 2 2" xfId="15423"/>
    <cellStyle name="Milliers 2 2 5 4 5 2 3" xfId="15424"/>
    <cellStyle name="Milliers 2 2 5 4 5 3" xfId="15425"/>
    <cellStyle name="Milliers 2 2 5 4 5 3 2" xfId="15426"/>
    <cellStyle name="Milliers 2 2 5 4 5 4" xfId="15427"/>
    <cellStyle name="Milliers 2 2 5 4 6" xfId="15428"/>
    <cellStyle name="Milliers 2 2 5 4 6 2" xfId="15429"/>
    <cellStyle name="Milliers 2 2 5 4 6 2 2" xfId="15430"/>
    <cellStyle name="Milliers 2 2 5 4 6 3" xfId="15431"/>
    <cellStyle name="Milliers 2 2 5 4 7" xfId="15432"/>
    <cellStyle name="Milliers 2 2 5 4 7 2" xfId="15433"/>
    <cellStyle name="Milliers 2 2 5 4 8" xfId="15434"/>
    <cellStyle name="Milliers 2 2 5 5" xfId="15435"/>
    <cellStyle name="Milliers 2 2 5 5 2" xfId="15436"/>
    <cellStyle name="Milliers 2 2 5 5 2 2" xfId="15437"/>
    <cellStyle name="Milliers 2 2 5 5 2 2 2" xfId="15438"/>
    <cellStyle name="Milliers 2 2 5 5 2 2 2 2" xfId="15439"/>
    <cellStyle name="Milliers 2 2 5 5 2 2 2 2 2" xfId="15440"/>
    <cellStyle name="Milliers 2 2 5 5 2 2 2 2 2 2" xfId="15441"/>
    <cellStyle name="Milliers 2 2 5 5 2 2 2 2 3" xfId="15442"/>
    <cellStyle name="Milliers 2 2 5 5 2 2 2 3" xfId="15443"/>
    <cellStyle name="Milliers 2 2 5 5 2 2 2 3 2" xfId="15444"/>
    <cellStyle name="Milliers 2 2 5 5 2 2 2 4" xfId="15445"/>
    <cellStyle name="Milliers 2 2 5 5 2 2 3" xfId="15446"/>
    <cellStyle name="Milliers 2 2 5 5 2 2 3 2" xfId="15447"/>
    <cellStyle name="Milliers 2 2 5 5 2 2 3 2 2" xfId="15448"/>
    <cellStyle name="Milliers 2 2 5 5 2 2 3 3" xfId="15449"/>
    <cellStyle name="Milliers 2 2 5 5 2 2 4" xfId="15450"/>
    <cellStyle name="Milliers 2 2 5 5 2 2 4 2" xfId="15451"/>
    <cellStyle name="Milliers 2 2 5 5 2 2 5" xfId="15452"/>
    <cellStyle name="Milliers 2 2 5 5 2 3" xfId="15453"/>
    <cellStyle name="Milliers 2 2 5 5 2 3 2" xfId="15454"/>
    <cellStyle name="Milliers 2 2 5 5 2 3 2 2" xfId="15455"/>
    <cellStyle name="Milliers 2 2 5 5 2 3 2 2 2" xfId="15456"/>
    <cellStyle name="Milliers 2 2 5 5 2 3 2 3" xfId="15457"/>
    <cellStyle name="Milliers 2 2 5 5 2 3 3" xfId="15458"/>
    <cellStyle name="Milliers 2 2 5 5 2 3 3 2" xfId="15459"/>
    <cellStyle name="Milliers 2 2 5 5 2 3 4" xfId="15460"/>
    <cellStyle name="Milliers 2 2 5 5 2 4" xfId="15461"/>
    <cellStyle name="Milliers 2 2 5 5 2 4 2" xfId="15462"/>
    <cellStyle name="Milliers 2 2 5 5 2 4 2 2" xfId="15463"/>
    <cellStyle name="Milliers 2 2 5 5 2 4 3" xfId="15464"/>
    <cellStyle name="Milliers 2 2 5 5 2 5" xfId="15465"/>
    <cellStyle name="Milliers 2 2 5 5 2 5 2" xfId="15466"/>
    <cellStyle name="Milliers 2 2 5 5 2 6" xfId="15467"/>
    <cellStyle name="Milliers 2 2 5 5 3" xfId="15468"/>
    <cellStyle name="Milliers 2 2 5 5 3 2" xfId="15469"/>
    <cellStyle name="Milliers 2 2 5 5 3 2 2" xfId="15470"/>
    <cellStyle name="Milliers 2 2 5 5 3 2 2 2" xfId="15471"/>
    <cellStyle name="Milliers 2 2 5 5 3 2 2 2 2" xfId="15472"/>
    <cellStyle name="Milliers 2 2 5 5 3 2 2 3" xfId="15473"/>
    <cellStyle name="Milliers 2 2 5 5 3 2 3" xfId="15474"/>
    <cellStyle name="Milliers 2 2 5 5 3 2 3 2" xfId="15475"/>
    <cellStyle name="Milliers 2 2 5 5 3 2 4" xfId="15476"/>
    <cellStyle name="Milliers 2 2 5 5 3 3" xfId="15477"/>
    <cellStyle name="Milliers 2 2 5 5 3 3 2" xfId="15478"/>
    <cellStyle name="Milliers 2 2 5 5 3 3 2 2" xfId="15479"/>
    <cellStyle name="Milliers 2 2 5 5 3 3 3" xfId="15480"/>
    <cellStyle name="Milliers 2 2 5 5 3 4" xfId="15481"/>
    <cellStyle name="Milliers 2 2 5 5 3 4 2" xfId="15482"/>
    <cellStyle name="Milliers 2 2 5 5 3 5" xfId="15483"/>
    <cellStyle name="Milliers 2 2 5 5 4" xfId="15484"/>
    <cellStyle name="Milliers 2 2 5 5 4 2" xfId="15485"/>
    <cellStyle name="Milliers 2 2 5 5 4 2 2" xfId="15486"/>
    <cellStyle name="Milliers 2 2 5 5 4 2 2 2" xfId="15487"/>
    <cellStyle name="Milliers 2 2 5 5 4 2 3" xfId="15488"/>
    <cellStyle name="Milliers 2 2 5 5 4 3" xfId="15489"/>
    <cellStyle name="Milliers 2 2 5 5 4 3 2" xfId="15490"/>
    <cellStyle name="Milliers 2 2 5 5 4 4" xfId="15491"/>
    <cellStyle name="Milliers 2 2 5 5 5" xfId="15492"/>
    <cellStyle name="Milliers 2 2 5 5 5 2" xfId="15493"/>
    <cellStyle name="Milliers 2 2 5 5 5 2 2" xfId="15494"/>
    <cellStyle name="Milliers 2 2 5 5 5 3" xfId="15495"/>
    <cellStyle name="Milliers 2 2 5 5 6" xfId="15496"/>
    <cellStyle name="Milliers 2 2 5 5 6 2" xfId="15497"/>
    <cellStyle name="Milliers 2 2 5 5 7" xfId="15498"/>
    <cellStyle name="Milliers 2 2 5 6" xfId="15499"/>
    <cellStyle name="Milliers 2 2 5 6 2" xfId="15500"/>
    <cellStyle name="Milliers 2 2 5 6 2 2" xfId="15501"/>
    <cellStyle name="Milliers 2 2 5 6 2 2 2" xfId="15502"/>
    <cellStyle name="Milliers 2 2 5 6 2 2 2 2" xfId="15503"/>
    <cellStyle name="Milliers 2 2 5 6 2 2 2 2 2" xfId="15504"/>
    <cellStyle name="Milliers 2 2 5 6 2 2 2 3" xfId="15505"/>
    <cellStyle name="Milliers 2 2 5 6 2 2 3" xfId="15506"/>
    <cellStyle name="Milliers 2 2 5 6 2 2 3 2" xfId="15507"/>
    <cellStyle name="Milliers 2 2 5 6 2 2 4" xfId="15508"/>
    <cellStyle name="Milliers 2 2 5 6 2 3" xfId="15509"/>
    <cellStyle name="Milliers 2 2 5 6 2 3 2" xfId="15510"/>
    <cellStyle name="Milliers 2 2 5 6 2 3 2 2" xfId="15511"/>
    <cellStyle name="Milliers 2 2 5 6 2 3 3" xfId="15512"/>
    <cellStyle name="Milliers 2 2 5 6 2 4" xfId="15513"/>
    <cellStyle name="Milliers 2 2 5 6 2 4 2" xfId="15514"/>
    <cellStyle name="Milliers 2 2 5 6 2 5" xfId="15515"/>
    <cellStyle name="Milliers 2 2 5 6 3" xfId="15516"/>
    <cellStyle name="Milliers 2 2 5 6 3 2" xfId="15517"/>
    <cellStyle name="Milliers 2 2 5 6 3 2 2" xfId="15518"/>
    <cellStyle name="Milliers 2 2 5 6 3 2 2 2" xfId="15519"/>
    <cellStyle name="Milliers 2 2 5 6 3 2 3" xfId="15520"/>
    <cellStyle name="Milliers 2 2 5 6 3 3" xfId="15521"/>
    <cellStyle name="Milliers 2 2 5 6 3 3 2" xfId="15522"/>
    <cellStyle name="Milliers 2 2 5 6 3 4" xfId="15523"/>
    <cellStyle name="Milliers 2 2 5 6 4" xfId="15524"/>
    <cellStyle name="Milliers 2 2 5 6 4 2" xfId="15525"/>
    <cellStyle name="Milliers 2 2 5 6 4 2 2" xfId="15526"/>
    <cellStyle name="Milliers 2 2 5 6 4 3" xfId="15527"/>
    <cellStyle name="Milliers 2 2 5 6 5" xfId="15528"/>
    <cellStyle name="Milliers 2 2 5 6 5 2" xfId="15529"/>
    <cellStyle name="Milliers 2 2 5 6 6" xfId="15530"/>
    <cellStyle name="Milliers 2 2 5 7" xfId="15531"/>
    <cellStyle name="Milliers 2 2 5 7 2" xfId="15532"/>
    <cellStyle name="Milliers 2 2 5 7 2 2" xfId="15533"/>
    <cellStyle name="Milliers 2 2 5 7 2 2 2" xfId="15534"/>
    <cellStyle name="Milliers 2 2 5 7 2 2 2 2" xfId="15535"/>
    <cellStyle name="Milliers 2 2 5 7 2 2 3" xfId="15536"/>
    <cellStyle name="Milliers 2 2 5 7 2 3" xfId="15537"/>
    <cellStyle name="Milliers 2 2 5 7 2 3 2" xfId="15538"/>
    <cellStyle name="Milliers 2 2 5 7 2 4" xfId="15539"/>
    <cellStyle name="Milliers 2 2 5 7 3" xfId="15540"/>
    <cellStyle name="Milliers 2 2 5 7 3 2" xfId="15541"/>
    <cellStyle name="Milliers 2 2 5 7 3 2 2" xfId="15542"/>
    <cellStyle name="Milliers 2 2 5 7 3 3" xfId="15543"/>
    <cellStyle name="Milliers 2 2 5 7 4" xfId="15544"/>
    <cellStyle name="Milliers 2 2 5 7 4 2" xfId="15545"/>
    <cellStyle name="Milliers 2 2 5 7 5" xfId="15546"/>
    <cellStyle name="Milliers 2 2 5 8" xfId="15547"/>
    <cellStyle name="Milliers 2 2 5 8 2" xfId="15548"/>
    <cellStyle name="Milliers 2 2 5 8 2 2" xfId="15549"/>
    <cellStyle name="Milliers 2 2 5 8 2 2 2" xfId="15550"/>
    <cellStyle name="Milliers 2 2 5 8 2 3" xfId="15551"/>
    <cellStyle name="Milliers 2 2 5 8 3" xfId="15552"/>
    <cellStyle name="Milliers 2 2 5 8 3 2" xfId="15553"/>
    <cellStyle name="Milliers 2 2 5 8 4" xfId="15554"/>
    <cellStyle name="Milliers 2 2 5 9" xfId="15555"/>
    <cellStyle name="Milliers 2 2 5 9 2" xfId="15556"/>
    <cellStyle name="Milliers 2 2 5 9 2 2" xfId="15557"/>
    <cellStyle name="Milliers 2 2 5 9 3" xfId="15558"/>
    <cellStyle name="Milliers 2 2 6" xfId="15559"/>
    <cellStyle name="Milliers 2 2 6 10" xfId="15560"/>
    <cellStyle name="Milliers 2 2 6 2" xfId="15561"/>
    <cellStyle name="Milliers 2 2 6 2 2" xfId="15562"/>
    <cellStyle name="Milliers 2 2 6 2 2 2" xfId="15563"/>
    <cellStyle name="Milliers 2 2 6 2 2 2 2" xfId="15564"/>
    <cellStyle name="Milliers 2 2 6 2 2 2 2 2" xfId="15565"/>
    <cellStyle name="Milliers 2 2 6 2 2 2 2 2 2" xfId="15566"/>
    <cellStyle name="Milliers 2 2 6 2 2 2 2 2 2 2" xfId="15567"/>
    <cellStyle name="Milliers 2 2 6 2 2 2 2 2 2 2 2" xfId="15568"/>
    <cellStyle name="Milliers 2 2 6 2 2 2 2 2 2 2 2 2" xfId="15569"/>
    <cellStyle name="Milliers 2 2 6 2 2 2 2 2 2 2 3" xfId="15570"/>
    <cellStyle name="Milliers 2 2 6 2 2 2 2 2 2 3" xfId="15571"/>
    <cellStyle name="Milliers 2 2 6 2 2 2 2 2 2 3 2" xfId="15572"/>
    <cellStyle name="Milliers 2 2 6 2 2 2 2 2 2 4" xfId="15573"/>
    <cellStyle name="Milliers 2 2 6 2 2 2 2 2 3" xfId="15574"/>
    <cellStyle name="Milliers 2 2 6 2 2 2 2 2 3 2" xfId="15575"/>
    <cellStyle name="Milliers 2 2 6 2 2 2 2 2 3 2 2" xfId="15576"/>
    <cellStyle name="Milliers 2 2 6 2 2 2 2 2 3 3" xfId="15577"/>
    <cellStyle name="Milliers 2 2 6 2 2 2 2 2 4" xfId="15578"/>
    <cellStyle name="Milliers 2 2 6 2 2 2 2 2 4 2" xfId="15579"/>
    <cellStyle name="Milliers 2 2 6 2 2 2 2 2 5" xfId="15580"/>
    <cellStyle name="Milliers 2 2 6 2 2 2 2 3" xfId="15581"/>
    <cellStyle name="Milliers 2 2 6 2 2 2 2 3 2" xfId="15582"/>
    <cellStyle name="Milliers 2 2 6 2 2 2 2 3 2 2" xfId="15583"/>
    <cellStyle name="Milliers 2 2 6 2 2 2 2 3 2 2 2" xfId="15584"/>
    <cellStyle name="Milliers 2 2 6 2 2 2 2 3 2 3" xfId="15585"/>
    <cellStyle name="Milliers 2 2 6 2 2 2 2 3 3" xfId="15586"/>
    <cellStyle name="Milliers 2 2 6 2 2 2 2 3 3 2" xfId="15587"/>
    <cellStyle name="Milliers 2 2 6 2 2 2 2 3 4" xfId="15588"/>
    <cellStyle name="Milliers 2 2 6 2 2 2 2 4" xfId="15589"/>
    <cellStyle name="Milliers 2 2 6 2 2 2 2 4 2" xfId="15590"/>
    <cellStyle name="Milliers 2 2 6 2 2 2 2 4 2 2" xfId="15591"/>
    <cellStyle name="Milliers 2 2 6 2 2 2 2 4 3" xfId="15592"/>
    <cellStyle name="Milliers 2 2 6 2 2 2 2 5" xfId="15593"/>
    <cellStyle name="Milliers 2 2 6 2 2 2 2 5 2" xfId="15594"/>
    <cellStyle name="Milliers 2 2 6 2 2 2 2 6" xfId="15595"/>
    <cellStyle name="Milliers 2 2 6 2 2 2 3" xfId="15596"/>
    <cellStyle name="Milliers 2 2 6 2 2 2 3 2" xfId="15597"/>
    <cellStyle name="Milliers 2 2 6 2 2 2 3 2 2" xfId="15598"/>
    <cellStyle name="Milliers 2 2 6 2 2 2 3 2 2 2" xfId="15599"/>
    <cellStyle name="Milliers 2 2 6 2 2 2 3 2 2 2 2" xfId="15600"/>
    <cellStyle name="Milliers 2 2 6 2 2 2 3 2 2 3" xfId="15601"/>
    <cellStyle name="Milliers 2 2 6 2 2 2 3 2 3" xfId="15602"/>
    <cellStyle name="Milliers 2 2 6 2 2 2 3 2 3 2" xfId="15603"/>
    <cellStyle name="Milliers 2 2 6 2 2 2 3 2 4" xfId="15604"/>
    <cellStyle name="Milliers 2 2 6 2 2 2 3 3" xfId="15605"/>
    <cellStyle name="Milliers 2 2 6 2 2 2 3 3 2" xfId="15606"/>
    <cellStyle name="Milliers 2 2 6 2 2 2 3 3 2 2" xfId="15607"/>
    <cellStyle name="Milliers 2 2 6 2 2 2 3 3 3" xfId="15608"/>
    <cellStyle name="Milliers 2 2 6 2 2 2 3 4" xfId="15609"/>
    <cellStyle name="Milliers 2 2 6 2 2 2 3 4 2" xfId="15610"/>
    <cellStyle name="Milliers 2 2 6 2 2 2 3 5" xfId="15611"/>
    <cellStyle name="Milliers 2 2 6 2 2 2 4" xfId="15612"/>
    <cellStyle name="Milliers 2 2 6 2 2 2 4 2" xfId="15613"/>
    <cellStyle name="Milliers 2 2 6 2 2 2 4 2 2" xfId="15614"/>
    <cellStyle name="Milliers 2 2 6 2 2 2 4 2 2 2" xfId="15615"/>
    <cellStyle name="Milliers 2 2 6 2 2 2 4 2 3" xfId="15616"/>
    <cellStyle name="Milliers 2 2 6 2 2 2 4 3" xfId="15617"/>
    <cellStyle name="Milliers 2 2 6 2 2 2 4 3 2" xfId="15618"/>
    <cellStyle name="Milliers 2 2 6 2 2 2 4 4" xfId="15619"/>
    <cellStyle name="Milliers 2 2 6 2 2 2 5" xfId="15620"/>
    <cellStyle name="Milliers 2 2 6 2 2 2 5 2" xfId="15621"/>
    <cellStyle name="Milliers 2 2 6 2 2 2 5 2 2" xfId="15622"/>
    <cellStyle name="Milliers 2 2 6 2 2 2 5 3" xfId="15623"/>
    <cellStyle name="Milliers 2 2 6 2 2 2 6" xfId="15624"/>
    <cellStyle name="Milliers 2 2 6 2 2 2 6 2" xfId="15625"/>
    <cellStyle name="Milliers 2 2 6 2 2 2 7" xfId="15626"/>
    <cellStyle name="Milliers 2 2 6 2 2 3" xfId="15627"/>
    <cellStyle name="Milliers 2 2 6 2 2 3 2" xfId="15628"/>
    <cellStyle name="Milliers 2 2 6 2 2 3 2 2" xfId="15629"/>
    <cellStyle name="Milliers 2 2 6 2 2 3 2 2 2" xfId="15630"/>
    <cellStyle name="Milliers 2 2 6 2 2 3 2 2 2 2" xfId="15631"/>
    <cellStyle name="Milliers 2 2 6 2 2 3 2 2 2 2 2" xfId="15632"/>
    <cellStyle name="Milliers 2 2 6 2 2 3 2 2 2 3" xfId="15633"/>
    <cellStyle name="Milliers 2 2 6 2 2 3 2 2 3" xfId="15634"/>
    <cellStyle name="Milliers 2 2 6 2 2 3 2 2 3 2" xfId="15635"/>
    <cellStyle name="Milliers 2 2 6 2 2 3 2 2 4" xfId="15636"/>
    <cellStyle name="Milliers 2 2 6 2 2 3 2 3" xfId="15637"/>
    <cellStyle name="Milliers 2 2 6 2 2 3 2 3 2" xfId="15638"/>
    <cellStyle name="Milliers 2 2 6 2 2 3 2 3 2 2" xfId="15639"/>
    <cellStyle name="Milliers 2 2 6 2 2 3 2 3 3" xfId="15640"/>
    <cellStyle name="Milliers 2 2 6 2 2 3 2 4" xfId="15641"/>
    <cellStyle name="Milliers 2 2 6 2 2 3 2 4 2" xfId="15642"/>
    <cellStyle name="Milliers 2 2 6 2 2 3 2 5" xfId="15643"/>
    <cellStyle name="Milliers 2 2 6 2 2 3 3" xfId="15644"/>
    <cellStyle name="Milliers 2 2 6 2 2 3 3 2" xfId="15645"/>
    <cellStyle name="Milliers 2 2 6 2 2 3 3 2 2" xfId="15646"/>
    <cellStyle name="Milliers 2 2 6 2 2 3 3 2 2 2" xfId="15647"/>
    <cellStyle name="Milliers 2 2 6 2 2 3 3 2 3" xfId="15648"/>
    <cellStyle name="Milliers 2 2 6 2 2 3 3 3" xfId="15649"/>
    <cellStyle name="Milliers 2 2 6 2 2 3 3 3 2" xfId="15650"/>
    <cellStyle name="Milliers 2 2 6 2 2 3 3 4" xfId="15651"/>
    <cellStyle name="Milliers 2 2 6 2 2 3 4" xfId="15652"/>
    <cellStyle name="Milliers 2 2 6 2 2 3 4 2" xfId="15653"/>
    <cellStyle name="Milliers 2 2 6 2 2 3 4 2 2" xfId="15654"/>
    <cellStyle name="Milliers 2 2 6 2 2 3 4 3" xfId="15655"/>
    <cellStyle name="Milliers 2 2 6 2 2 3 5" xfId="15656"/>
    <cellStyle name="Milliers 2 2 6 2 2 3 5 2" xfId="15657"/>
    <cellStyle name="Milliers 2 2 6 2 2 3 6" xfId="15658"/>
    <cellStyle name="Milliers 2 2 6 2 2 4" xfId="15659"/>
    <cellStyle name="Milliers 2 2 6 2 2 4 2" xfId="15660"/>
    <cellStyle name="Milliers 2 2 6 2 2 4 2 2" xfId="15661"/>
    <cellStyle name="Milliers 2 2 6 2 2 4 2 2 2" xfId="15662"/>
    <cellStyle name="Milliers 2 2 6 2 2 4 2 2 2 2" xfId="15663"/>
    <cellStyle name="Milliers 2 2 6 2 2 4 2 2 3" xfId="15664"/>
    <cellStyle name="Milliers 2 2 6 2 2 4 2 3" xfId="15665"/>
    <cellStyle name="Milliers 2 2 6 2 2 4 2 3 2" xfId="15666"/>
    <cellStyle name="Milliers 2 2 6 2 2 4 2 4" xfId="15667"/>
    <cellStyle name="Milliers 2 2 6 2 2 4 3" xfId="15668"/>
    <cellStyle name="Milliers 2 2 6 2 2 4 3 2" xfId="15669"/>
    <cellStyle name="Milliers 2 2 6 2 2 4 3 2 2" xfId="15670"/>
    <cellStyle name="Milliers 2 2 6 2 2 4 3 3" xfId="15671"/>
    <cellStyle name="Milliers 2 2 6 2 2 4 4" xfId="15672"/>
    <cellStyle name="Milliers 2 2 6 2 2 4 4 2" xfId="15673"/>
    <cellStyle name="Milliers 2 2 6 2 2 4 5" xfId="15674"/>
    <cellStyle name="Milliers 2 2 6 2 2 5" xfId="15675"/>
    <cellStyle name="Milliers 2 2 6 2 2 5 2" xfId="15676"/>
    <cellStyle name="Milliers 2 2 6 2 2 5 2 2" xfId="15677"/>
    <cellStyle name="Milliers 2 2 6 2 2 5 2 2 2" xfId="15678"/>
    <cellStyle name="Milliers 2 2 6 2 2 5 2 3" xfId="15679"/>
    <cellStyle name="Milliers 2 2 6 2 2 5 3" xfId="15680"/>
    <cellStyle name="Milliers 2 2 6 2 2 5 3 2" xfId="15681"/>
    <cellStyle name="Milliers 2 2 6 2 2 5 4" xfId="15682"/>
    <cellStyle name="Milliers 2 2 6 2 2 6" xfId="15683"/>
    <cellStyle name="Milliers 2 2 6 2 2 6 2" xfId="15684"/>
    <cellStyle name="Milliers 2 2 6 2 2 6 2 2" xfId="15685"/>
    <cellStyle name="Milliers 2 2 6 2 2 6 3" xfId="15686"/>
    <cellStyle name="Milliers 2 2 6 2 2 7" xfId="15687"/>
    <cellStyle name="Milliers 2 2 6 2 2 7 2" xfId="15688"/>
    <cellStyle name="Milliers 2 2 6 2 2 8" xfId="15689"/>
    <cellStyle name="Milliers 2 2 6 2 3" xfId="15690"/>
    <cellStyle name="Milliers 2 2 6 2 3 2" xfId="15691"/>
    <cellStyle name="Milliers 2 2 6 2 3 2 2" xfId="15692"/>
    <cellStyle name="Milliers 2 2 6 2 3 2 2 2" xfId="15693"/>
    <cellStyle name="Milliers 2 2 6 2 3 2 2 2 2" xfId="15694"/>
    <cellStyle name="Milliers 2 2 6 2 3 2 2 2 2 2" xfId="15695"/>
    <cellStyle name="Milliers 2 2 6 2 3 2 2 2 2 2 2" xfId="15696"/>
    <cellStyle name="Milliers 2 2 6 2 3 2 2 2 2 3" xfId="15697"/>
    <cellStyle name="Milliers 2 2 6 2 3 2 2 2 3" xfId="15698"/>
    <cellStyle name="Milliers 2 2 6 2 3 2 2 2 3 2" xfId="15699"/>
    <cellStyle name="Milliers 2 2 6 2 3 2 2 2 4" xfId="15700"/>
    <cellStyle name="Milliers 2 2 6 2 3 2 2 3" xfId="15701"/>
    <cellStyle name="Milliers 2 2 6 2 3 2 2 3 2" xfId="15702"/>
    <cellStyle name="Milliers 2 2 6 2 3 2 2 3 2 2" xfId="15703"/>
    <cellStyle name="Milliers 2 2 6 2 3 2 2 3 3" xfId="15704"/>
    <cellStyle name="Milliers 2 2 6 2 3 2 2 4" xfId="15705"/>
    <cellStyle name="Milliers 2 2 6 2 3 2 2 4 2" xfId="15706"/>
    <cellStyle name="Milliers 2 2 6 2 3 2 2 5" xfId="15707"/>
    <cellStyle name="Milliers 2 2 6 2 3 2 3" xfId="15708"/>
    <cellStyle name="Milliers 2 2 6 2 3 2 3 2" xfId="15709"/>
    <cellStyle name="Milliers 2 2 6 2 3 2 3 2 2" xfId="15710"/>
    <cellStyle name="Milliers 2 2 6 2 3 2 3 2 2 2" xfId="15711"/>
    <cellStyle name="Milliers 2 2 6 2 3 2 3 2 3" xfId="15712"/>
    <cellStyle name="Milliers 2 2 6 2 3 2 3 3" xfId="15713"/>
    <cellStyle name="Milliers 2 2 6 2 3 2 3 3 2" xfId="15714"/>
    <cellStyle name="Milliers 2 2 6 2 3 2 3 4" xfId="15715"/>
    <cellStyle name="Milliers 2 2 6 2 3 2 4" xfId="15716"/>
    <cellStyle name="Milliers 2 2 6 2 3 2 4 2" xfId="15717"/>
    <cellStyle name="Milliers 2 2 6 2 3 2 4 2 2" xfId="15718"/>
    <cellStyle name="Milliers 2 2 6 2 3 2 4 3" xfId="15719"/>
    <cellStyle name="Milliers 2 2 6 2 3 2 5" xfId="15720"/>
    <cellStyle name="Milliers 2 2 6 2 3 2 5 2" xfId="15721"/>
    <cellStyle name="Milliers 2 2 6 2 3 2 6" xfId="15722"/>
    <cellStyle name="Milliers 2 2 6 2 3 3" xfId="15723"/>
    <cellStyle name="Milliers 2 2 6 2 3 3 2" xfId="15724"/>
    <cellStyle name="Milliers 2 2 6 2 3 3 2 2" xfId="15725"/>
    <cellStyle name="Milliers 2 2 6 2 3 3 2 2 2" xfId="15726"/>
    <cellStyle name="Milliers 2 2 6 2 3 3 2 2 2 2" xfId="15727"/>
    <cellStyle name="Milliers 2 2 6 2 3 3 2 2 3" xfId="15728"/>
    <cellStyle name="Milliers 2 2 6 2 3 3 2 3" xfId="15729"/>
    <cellStyle name="Milliers 2 2 6 2 3 3 2 3 2" xfId="15730"/>
    <cellStyle name="Milliers 2 2 6 2 3 3 2 4" xfId="15731"/>
    <cellStyle name="Milliers 2 2 6 2 3 3 3" xfId="15732"/>
    <cellStyle name="Milliers 2 2 6 2 3 3 3 2" xfId="15733"/>
    <cellStyle name="Milliers 2 2 6 2 3 3 3 2 2" xfId="15734"/>
    <cellStyle name="Milliers 2 2 6 2 3 3 3 3" xfId="15735"/>
    <cellStyle name="Milliers 2 2 6 2 3 3 4" xfId="15736"/>
    <cellStyle name="Milliers 2 2 6 2 3 3 4 2" xfId="15737"/>
    <cellStyle name="Milliers 2 2 6 2 3 3 5" xfId="15738"/>
    <cellStyle name="Milliers 2 2 6 2 3 4" xfId="15739"/>
    <cellStyle name="Milliers 2 2 6 2 3 4 2" xfId="15740"/>
    <cellStyle name="Milliers 2 2 6 2 3 4 2 2" xfId="15741"/>
    <cellStyle name="Milliers 2 2 6 2 3 4 2 2 2" xfId="15742"/>
    <cellStyle name="Milliers 2 2 6 2 3 4 2 3" xfId="15743"/>
    <cellStyle name="Milliers 2 2 6 2 3 4 3" xfId="15744"/>
    <cellStyle name="Milliers 2 2 6 2 3 4 3 2" xfId="15745"/>
    <cellStyle name="Milliers 2 2 6 2 3 4 4" xfId="15746"/>
    <cellStyle name="Milliers 2 2 6 2 3 5" xfId="15747"/>
    <cellStyle name="Milliers 2 2 6 2 3 5 2" xfId="15748"/>
    <cellStyle name="Milliers 2 2 6 2 3 5 2 2" xfId="15749"/>
    <cellStyle name="Milliers 2 2 6 2 3 5 3" xfId="15750"/>
    <cellStyle name="Milliers 2 2 6 2 3 6" xfId="15751"/>
    <cellStyle name="Milliers 2 2 6 2 3 6 2" xfId="15752"/>
    <cellStyle name="Milliers 2 2 6 2 3 7" xfId="15753"/>
    <cellStyle name="Milliers 2 2 6 2 4" xfId="15754"/>
    <cellStyle name="Milliers 2 2 6 2 4 2" xfId="15755"/>
    <cellStyle name="Milliers 2 2 6 2 4 2 2" xfId="15756"/>
    <cellStyle name="Milliers 2 2 6 2 4 2 2 2" xfId="15757"/>
    <cellStyle name="Milliers 2 2 6 2 4 2 2 2 2" xfId="15758"/>
    <cellStyle name="Milliers 2 2 6 2 4 2 2 2 2 2" xfId="15759"/>
    <cellStyle name="Milliers 2 2 6 2 4 2 2 2 3" xfId="15760"/>
    <cellStyle name="Milliers 2 2 6 2 4 2 2 3" xfId="15761"/>
    <cellStyle name="Milliers 2 2 6 2 4 2 2 3 2" xfId="15762"/>
    <cellStyle name="Milliers 2 2 6 2 4 2 2 4" xfId="15763"/>
    <cellStyle name="Milliers 2 2 6 2 4 2 3" xfId="15764"/>
    <cellStyle name="Milliers 2 2 6 2 4 2 3 2" xfId="15765"/>
    <cellStyle name="Milliers 2 2 6 2 4 2 3 2 2" xfId="15766"/>
    <cellStyle name="Milliers 2 2 6 2 4 2 3 3" xfId="15767"/>
    <cellStyle name="Milliers 2 2 6 2 4 2 4" xfId="15768"/>
    <cellStyle name="Milliers 2 2 6 2 4 2 4 2" xfId="15769"/>
    <cellStyle name="Milliers 2 2 6 2 4 2 5" xfId="15770"/>
    <cellStyle name="Milliers 2 2 6 2 4 3" xfId="15771"/>
    <cellStyle name="Milliers 2 2 6 2 4 3 2" xfId="15772"/>
    <cellStyle name="Milliers 2 2 6 2 4 3 2 2" xfId="15773"/>
    <cellStyle name="Milliers 2 2 6 2 4 3 2 2 2" xfId="15774"/>
    <cellStyle name="Milliers 2 2 6 2 4 3 2 3" xfId="15775"/>
    <cellStyle name="Milliers 2 2 6 2 4 3 3" xfId="15776"/>
    <cellStyle name="Milliers 2 2 6 2 4 3 3 2" xfId="15777"/>
    <cellStyle name="Milliers 2 2 6 2 4 3 4" xfId="15778"/>
    <cellStyle name="Milliers 2 2 6 2 4 4" xfId="15779"/>
    <cellStyle name="Milliers 2 2 6 2 4 4 2" xfId="15780"/>
    <cellStyle name="Milliers 2 2 6 2 4 4 2 2" xfId="15781"/>
    <cellStyle name="Milliers 2 2 6 2 4 4 3" xfId="15782"/>
    <cellStyle name="Milliers 2 2 6 2 4 5" xfId="15783"/>
    <cellStyle name="Milliers 2 2 6 2 4 5 2" xfId="15784"/>
    <cellStyle name="Milliers 2 2 6 2 4 6" xfId="15785"/>
    <cellStyle name="Milliers 2 2 6 2 5" xfId="15786"/>
    <cellStyle name="Milliers 2 2 6 2 5 2" xfId="15787"/>
    <cellStyle name="Milliers 2 2 6 2 5 2 2" xfId="15788"/>
    <cellStyle name="Milliers 2 2 6 2 5 2 2 2" xfId="15789"/>
    <cellStyle name="Milliers 2 2 6 2 5 2 2 2 2" xfId="15790"/>
    <cellStyle name="Milliers 2 2 6 2 5 2 2 3" xfId="15791"/>
    <cellStyle name="Milliers 2 2 6 2 5 2 3" xfId="15792"/>
    <cellStyle name="Milliers 2 2 6 2 5 2 3 2" xfId="15793"/>
    <cellStyle name="Milliers 2 2 6 2 5 2 4" xfId="15794"/>
    <cellStyle name="Milliers 2 2 6 2 5 3" xfId="15795"/>
    <cellStyle name="Milliers 2 2 6 2 5 3 2" xfId="15796"/>
    <cellStyle name="Milliers 2 2 6 2 5 3 2 2" xfId="15797"/>
    <cellStyle name="Milliers 2 2 6 2 5 3 3" xfId="15798"/>
    <cellStyle name="Milliers 2 2 6 2 5 4" xfId="15799"/>
    <cellStyle name="Milliers 2 2 6 2 5 4 2" xfId="15800"/>
    <cellStyle name="Milliers 2 2 6 2 5 5" xfId="15801"/>
    <cellStyle name="Milliers 2 2 6 2 6" xfId="15802"/>
    <cellStyle name="Milliers 2 2 6 2 6 2" xfId="15803"/>
    <cellStyle name="Milliers 2 2 6 2 6 2 2" xfId="15804"/>
    <cellStyle name="Milliers 2 2 6 2 6 2 2 2" xfId="15805"/>
    <cellStyle name="Milliers 2 2 6 2 6 2 3" xfId="15806"/>
    <cellStyle name="Milliers 2 2 6 2 6 3" xfId="15807"/>
    <cellStyle name="Milliers 2 2 6 2 6 3 2" xfId="15808"/>
    <cellStyle name="Milliers 2 2 6 2 6 4" xfId="15809"/>
    <cellStyle name="Milliers 2 2 6 2 7" xfId="15810"/>
    <cellStyle name="Milliers 2 2 6 2 7 2" xfId="15811"/>
    <cellStyle name="Milliers 2 2 6 2 7 2 2" xfId="15812"/>
    <cellStyle name="Milliers 2 2 6 2 7 3" xfId="15813"/>
    <cellStyle name="Milliers 2 2 6 2 8" xfId="15814"/>
    <cellStyle name="Milliers 2 2 6 2 8 2" xfId="15815"/>
    <cellStyle name="Milliers 2 2 6 2 9" xfId="15816"/>
    <cellStyle name="Milliers 2 2 6 3" xfId="15817"/>
    <cellStyle name="Milliers 2 2 6 3 2" xfId="15818"/>
    <cellStyle name="Milliers 2 2 6 3 2 2" xfId="15819"/>
    <cellStyle name="Milliers 2 2 6 3 2 2 2" xfId="15820"/>
    <cellStyle name="Milliers 2 2 6 3 2 2 2 2" xfId="15821"/>
    <cellStyle name="Milliers 2 2 6 3 2 2 2 2 2" xfId="15822"/>
    <cellStyle name="Milliers 2 2 6 3 2 2 2 2 2 2" xfId="15823"/>
    <cellStyle name="Milliers 2 2 6 3 2 2 2 2 2 2 2" xfId="15824"/>
    <cellStyle name="Milliers 2 2 6 3 2 2 2 2 2 3" xfId="15825"/>
    <cellStyle name="Milliers 2 2 6 3 2 2 2 2 3" xfId="15826"/>
    <cellStyle name="Milliers 2 2 6 3 2 2 2 2 3 2" xfId="15827"/>
    <cellStyle name="Milliers 2 2 6 3 2 2 2 2 4" xfId="15828"/>
    <cellStyle name="Milliers 2 2 6 3 2 2 2 3" xfId="15829"/>
    <cellStyle name="Milliers 2 2 6 3 2 2 2 3 2" xfId="15830"/>
    <cellStyle name="Milliers 2 2 6 3 2 2 2 3 2 2" xfId="15831"/>
    <cellStyle name="Milliers 2 2 6 3 2 2 2 3 3" xfId="15832"/>
    <cellStyle name="Milliers 2 2 6 3 2 2 2 4" xfId="15833"/>
    <cellStyle name="Milliers 2 2 6 3 2 2 2 4 2" xfId="15834"/>
    <cellStyle name="Milliers 2 2 6 3 2 2 2 5" xfId="15835"/>
    <cellStyle name="Milliers 2 2 6 3 2 2 3" xfId="15836"/>
    <cellStyle name="Milliers 2 2 6 3 2 2 3 2" xfId="15837"/>
    <cellStyle name="Milliers 2 2 6 3 2 2 3 2 2" xfId="15838"/>
    <cellStyle name="Milliers 2 2 6 3 2 2 3 2 2 2" xfId="15839"/>
    <cellStyle name="Milliers 2 2 6 3 2 2 3 2 3" xfId="15840"/>
    <cellStyle name="Milliers 2 2 6 3 2 2 3 3" xfId="15841"/>
    <cellStyle name="Milliers 2 2 6 3 2 2 3 3 2" xfId="15842"/>
    <cellStyle name="Milliers 2 2 6 3 2 2 3 4" xfId="15843"/>
    <cellStyle name="Milliers 2 2 6 3 2 2 4" xfId="15844"/>
    <cellStyle name="Milliers 2 2 6 3 2 2 4 2" xfId="15845"/>
    <cellStyle name="Milliers 2 2 6 3 2 2 4 2 2" xfId="15846"/>
    <cellStyle name="Milliers 2 2 6 3 2 2 4 3" xfId="15847"/>
    <cellStyle name="Milliers 2 2 6 3 2 2 5" xfId="15848"/>
    <cellStyle name="Milliers 2 2 6 3 2 2 5 2" xfId="15849"/>
    <cellStyle name="Milliers 2 2 6 3 2 2 6" xfId="15850"/>
    <cellStyle name="Milliers 2 2 6 3 2 3" xfId="15851"/>
    <cellStyle name="Milliers 2 2 6 3 2 3 2" xfId="15852"/>
    <cellStyle name="Milliers 2 2 6 3 2 3 2 2" xfId="15853"/>
    <cellStyle name="Milliers 2 2 6 3 2 3 2 2 2" xfId="15854"/>
    <cellStyle name="Milliers 2 2 6 3 2 3 2 2 2 2" xfId="15855"/>
    <cellStyle name="Milliers 2 2 6 3 2 3 2 2 3" xfId="15856"/>
    <cellStyle name="Milliers 2 2 6 3 2 3 2 3" xfId="15857"/>
    <cellStyle name="Milliers 2 2 6 3 2 3 2 3 2" xfId="15858"/>
    <cellStyle name="Milliers 2 2 6 3 2 3 2 4" xfId="15859"/>
    <cellStyle name="Milliers 2 2 6 3 2 3 3" xfId="15860"/>
    <cellStyle name="Milliers 2 2 6 3 2 3 3 2" xfId="15861"/>
    <cellStyle name="Milliers 2 2 6 3 2 3 3 2 2" xfId="15862"/>
    <cellStyle name="Milliers 2 2 6 3 2 3 3 3" xfId="15863"/>
    <cellStyle name="Milliers 2 2 6 3 2 3 4" xfId="15864"/>
    <cellStyle name="Milliers 2 2 6 3 2 3 4 2" xfId="15865"/>
    <cellStyle name="Milliers 2 2 6 3 2 3 5" xfId="15866"/>
    <cellStyle name="Milliers 2 2 6 3 2 4" xfId="15867"/>
    <cellStyle name="Milliers 2 2 6 3 2 4 2" xfId="15868"/>
    <cellStyle name="Milliers 2 2 6 3 2 4 2 2" xfId="15869"/>
    <cellStyle name="Milliers 2 2 6 3 2 4 2 2 2" xfId="15870"/>
    <cellStyle name="Milliers 2 2 6 3 2 4 2 3" xfId="15871"/>
    <cellStyle name="Milliers 2 2 6 3 2 4 3" xfId="15872"/>
    <cellStyle name="Milliers 2 2 6 3 2 4 3 2" xfId="15873"/>
    <cellStyle name="Milliers 2 2 6 3 2 4 4" xfId="15874"/>
    <cellStyle name="Milliers 2 2 6 3 2 5" xfId="15875"/>
    <cellStyle name="Milliers 2 2 6 3 2 5 2" xfId="15876"/>
    <cellStyle name="Milliers 2 2 6 3 2 5 2 2" xfId="15877"/>
    <cellStyle name="Milliers 2 2 6 3 2 5 3" xfId="15878"/>
    <cellStyle name="Milliers 2 2 6 3 2 6" xfId="15879"/>
    <cellStyle name="Milliers 2 2 6 3 2 6 2" xfId="15880"/>
    <cellStyle name="Milliers 2 2 6 3 2 7" xfId="15881"/>
    <cellStyle name="Milliers 2 2 6 3 3" xfId="15882"/>
    <cellStyle name="Milliers 2 2 6 3 3 2" xfId="15883"/>
    <cellStyle name="Milliers 2 2 6 3 3 2 2" xfId="15884"/>
    <cellStyle name="Milliers 2 2 6 3 3 2 2 2" xfId="15885"/>
    <cellStyle name="Milliers 2 2 6 3 3 2 2 2 2" xfId="15886"/>
    <cellStyle name="Milliers 2 2 6 3 3 2 2 2 2 2" xfId="15887"/>
    <cellStyle name="Milliers 2 2 6 3 3 2 2 2 3" xfId="15888"/>
    <cellStyle name="Milliers 2 2 6 3 3 2 2 3" xfId="15889"/>
    <cellStyle name="Milliers 2 2 6 3 3 2 2 3 2" xfId="15890"/>
    <cellStyle name="Milliers 2 2 6 3 3 2 2 4" xfId="15891"/>
    <cellStyle name="Milliers 2 2 6 3 3 2 3" xfId="15892"/>
    <cellStyle name="Milliers 2 2 6 3 3 2 3 2" xfId="15893"/>
    <cellStyle name="Milliers 2 2 6 3 3 2 3 2 2" xfId="15894"/>
    <cellStyle name="Milliers 2 2 6 3 3 2 3 3" xfId="15895"/>
    <cellStyle name="Milliers 2 2 6 3 3 2 4" xfId="15896"/>
    <cellStyle name="Milliers 2 2 6 3 3 2 4 2" xfId="15897"/>
    <cellStyle name="Milliers 2 2 6 3 3 2 5" xfId="15898"/>
    <cellStyle name="Milliers 2 2 6 3 3 3" xfId="15899"/>
    <cellStyle name="Milliers 2 2 6 3 3 3 2" xfId="15900"/>
    <cellStyle name="Milliers 2 2 6 3 3 3 2 2" xfId="15901"/>
    <cellStyle name="Milliers 2 2 6 3 3 3 2 2 2" xfId="15902"/>
    <cellStyle name="Milliers 2 2 6 3 3 3 2 3" xfId="15903"/>
    <cellStyle name="Milliers 2 2 6 3 3 3 3" xfId="15904"/>
    <cellStyle name="Milliers 2 2 6 3 3 3 3 2" xfId="15905"/>
    <cellStyle name="Milliers 2 2 6 3 3 3 4" xfId="15906"/>
    <cellStyle name="Milliers 2 2 6 3 3 4" xfId="15907"/>
    <cellStyle name="Milliers 2 2 6 3 3 4 2" xfId="15908"/>
    <cellStyle name="Milliers 2 2 6 3 3 4 2 2" xfId="15909"/>
    <cellStyle name="Milliers 2 2 6 3 3 4 3" xfId="15910"/>
    <cellStyle name="Milliers 2 2 6 3 3 5" xfId="15911"/>
    <cellStyle name="Milliers 2 2 6 3 3 5 2" xfId="15912"/>
    <cellStyle name="Milliers 2 2 6 3 3 6" xfId="15913"/>
    <cellStyle name="Milliers 2 2 6 3 4" xfId="15914"/>
    <cellStyle name="Milliers 2 2 6 3 4 2" xfId="15915"/>
    <cellStyle name="Milliers 2 2 6 3 4 2 2" xfId="15916"/>
    <cellStyle name="Milliers 2 2 6 3 4 2 2 2" xfId="15917"/>
    <cellStyle name="Milliers 2 2 6 3 4 2 2 2 2" xfId="15918"/>
    <cellStyle name="Milliers 2 2 6 3 4 2 2 3" xfId="15919"/>
    <cellStyle name="Milliers 2 2 6 3 4 2 3" xfId="15920"/>
    <cellStyle name="Milliers 2 2 6 3 4 2 3 2" xfId="15921"/>
    <cellStyle name="Milliers 2 2 6 3 4 2 4" xfId="15922"/>
    <cellStyle name="Milliers 2 2 6 3 4 3" xfId="15923"/>
    <cellStyle name="Milliers 2 2 6 3 4 3 2" xfId="15924"/>
    <cellStyle name="Milliers 2 2 6 3 4 3 2 2" xfId="15925"/>
    <cellStyle name="Milliers 2 2 6 3 4 3 3" xfId="15926"/>
    <cellStyle name="Milliers 2 2 6 3 4 4" xfId="15927"/>
    <cellStyle name="Milliers 2 2 6 3 4 4 2" xfId="15928"/>
    <cellStyle name="Milliers 2 2 6 3 4 5" xfId="15929"/>
    <cellStyle name="Milliers 2 2 6 3 5" xfId="15930"/>
    <cellStyle name="Milliers 2 2 6 3 5 2" xfId="15931"/>
    <cellStyle name="Milliers 2 2 6 3 5 2 2" xfId="15932"/>
    <cellStyle name="Milliers 2 2 6 3 5 2 2 2" xfId="15933"/>
    <cellStyle name="Milliers 2 2 6 3 5 2 3" xfId="15934"/>
    <cellStyle name="Milliers 2 2 6 3 5 3" xfId="15935"/>
    <cellStyle name="Milliers 2 2 6 3 5 3 2" xfId="15936"/>
    <cellStyle name="Milliers 2 2 6 3 5 4" xfId="15937"/>
    <cellStyle name="Milliers 2 2 6 3 6" xfId="15938"/>
    <cellStyle name="Milliers 2 2 6 3 6 2" xfId="15939"/>
    <cellStyle name="Milliers 2 2 6 3 6 2 2" xfId="15940"/>
    <cellStyle name="Milliers 2 2 6 3 6 3" xfId="15941"/>
    <cellStyle name="Milliers 2 2 6 3 7" xfId="15942"/>
    <cellStyle name="Milliers 2 2 6 3 7 2" xfId="15943"/>
    <cellStyle name="Milliers 2 2 6 3 8" xfId="15944"/>
    <cellStyle name="Milliers 2 2 6 4" xfId="15945"/>
    <cellStyle name="Milliers 2 2 6 4 2" xfId="15946"/>
    <cellStyle name="Milliers 2 2 6 4 2 2" xfId="15947"/>
    <cellStyle name="Milliers 2 2 6 4 2 2 2" xfId="15948"/>
    <cellStyle name="Milliers 2 2 6 4 2 2 2 2" xfId="15949"/>
    <cellStyle name="Milliers 2 2 6 4 2 2 2 2 2" xfId="15950"/>
    <cellStyle name="Milliers 2 2 6 4 2 2 2 2 2 2" xfId="15951"/>
    <cellStyle name="Milliers 2 2 6 4 2 2 2 2 3" xfId="15952"/>
    <cellStyle name="Milliers 2 2 6 4 2 2 2 3" xfId="15953"/>
    <cellStyle name="Milliers 2 2 6 4 2 2 2 3 2" xfId="15954"/>
    <cellStyle name="Milliers 2 2 6 4 2 2 2 4" xfId="15955"/>
    <cellStyle name="Milliers 2 2 6 4 2 2 3" xfId="15956"/>
    <cellStyle name="Milliers 2 2 6 4 2 2 3 2" xfId="15957"/>
    <cellStyle name="Milliers 2 2 6 4 2 2 3 2 2" xfId="15958"/>
    <cellStyle name="Milliers 2 2 6 4 2 2 3 3" xfId="15959"/>
    <cellStyle name="Milliers 2 2 6 4 2 2 4" xfId="15960"/>
    <cellStyle name="Milliers 2 2 6 4 2 2 4 2" xfId="15961"/>
    <cellStyle name="Milliers 2 2 6 4 2 2 5" xfId="15962"/>
    <cellStyle name="Milliers 2 2 6 4 2 3" xfId="15963"/>
    <cellStyle name="Milliers 2 2 6 4 2 3 2" xfId="15964"/>
    <cellStyle name="Milliers 2 2 6 4 2 3 2 2" xfId="15965"/>
    <cellStyle name="Milliers 2 2 6 4 2 3 2 2 2" xfId="15966"/>
    <cellStyle name="Milliers 2 2 6 4 2 3 2 3" xfId="15967"/>
    <cellStyle name="Milliers 2 2 6 4 2 3 3" xfId="15968"/>
    <cellStyle name="Milliers 2 2 6 4 2 3 3 2" xfId="15969"/>
    <cellStyle name="Milliers 2 2 6 4 2 3 4" xfId="15970"/>
    <cellStyle name="Milliers 2 2 6 4 2 4" xfId="15971"/>
    <cellStyle name="Milliers 2 2 6 4 2 4 2" xfId="15972"/>
    <cellStyle name="Milliers 2 2 6 4 2 4 2 2" xfId="15973"/>
    <cellStyle name="Milliers 2 2 6 4 2 4 3" xfId="15974"/>
    <cellStyle name="Milliers 2 2 6 4 2 5" xfId="15975"/>
    <cellStyle name="Milliers 2 2 6 4 2 5 2" xfId="15976"/>
    <cellStyle name="Milliers 2 2 6 4 2 6" xfId="15977"/>
    <cellStyle name="Milliers 2 2 6 4 3" xfId="15978"/>
    <cellStyle name="Milliers 2 2 6 4 3 2" xfId="15979"/>
    <cellStyle name="Milliers 2 2 6 4 3 2 2" xfId="15980"/>
    <cellStyle name="Milliers 2 2 6 4 3 2 2 2" xfId="15981"/>
    <cellStyle name="Milliers 2 2 6 4 3 2 2 2 2" xfId="15982"/>
    <cellStyle name="Milliers 2 2 6 4 3 2 2 3" xfId="15983"/>
    <cellStyle name="Milliers 2 2 6 4 3 2 3" xfId="15984"/>
    <cellStyle name="Milliers 2 2 6 4 3 2 3 2" xfId="15985"/>
    <cellStyle name="Milliers 2 2 6 4 3 2 4" xfId="15986"/>
    <cellStyle name="Milliers 2 2 6 4 3 3" xfId="15987"/>
    <cellStyle name="Milliers 2 2 6 4 3 3 2" xfId="15988"/>
    <cellStyle name="Milliers 2 2 6 4 3 3 2 2" xfId="15989"/>
    <cellStyle name="Milliers 2 2 6 4 3 3 3" xfId="15990"/>
    <cellStyle name="Milliers 2 2 6 4 3 4" xfId="15991"/>
    <cellStyle name="Milliers 2 2 6 4 3 4 2" xfId="15992"/>
    <cellStyle name="Milliers 2 2 6 4 3 5" xfId="15993"/>
    <cellStyle name="Milliers 2 2 6 4 4" xfId="15994"/>
    <cellStyle name="Milliers 2 2 6 4 4 2" xfId="15995"/>
    <cellStyle name="Milliers 2 2 6 4 4 2 2" xfId="15996"/>
    <cellStyle name="Milliers 2 2 6 4 4 2 2 2" xfId="15997"/>
    <cellStyle name="Milliers 2 2 6 4 4 2 3" xfId="15998"/>
    <cellStyle name="Milliers 2 2 6 4 4 3" xfId="15999"/>
    <cellStyle name="Milliers 2 2 6 4 4 3 2" xfId="16000"/>
    <cellStyle name="Milliers 2 2 6 4 4 4" xfId="16001"/>
    <cellStyle name="Milliers 2 2 6 4 5" xfId="16002"/>
    <cellStyle name="Milliers 2 2 6 4 5 2" xfId="16003"/>
    <cellStyle name="Milliers 2 2 6 4 5 2 2" xfId="16004"/>
    <cellStyle name="Milliers 2 2 6 4 5 3" xfId="16005"/>
    <cellStyle name="Milliers 2 2 6 4 6" xfId="16006"/>
    <cellStyle name="Milliers 2 2 6 4 6 2" xfId="16007"/>
    <cellStyle name="Milliers 2 2 6 4 7" xfId="16008"/>
    <cellStyle name="Milliers 2 2 6 5" xfId="16009"/>
    <cellStyle name="Milliers 2 2 6 5 2" xfId="16010"/>
    <cellStyle name="Milliers 2 2 6 5 2 2" xfId="16011"/>
    <cellStyle name="Milliers 2 2 6 5 2 2 2" xfId="16012"/>
    <cellStyle name="Milliers 2 2 6 5 2 2 2 2" xfId="16013"/>
    <cellStyle name="Milliers 2 2 6 5 2 2 2 2 2" xfId="16014"/>
    <cellStyle name="Milliers 2 2 6 5 2 2 2 3" xfId="16015"/>
    <cellStyle name="Milliers 2 2 6 5 2 2 3" xfId="16016"/>
    <cellStyle name="Milliers 2 2 6 5 2 2 3 2" xfId="16017"/>
    <cellStyle name="Milliers 2 2 6 5 2 2 4" xfId="16018"/>
    <cellStyle name="Milliers 2 2 6 5 2 3" xfId="16019"/>
    <cellStyle name="Milliers 2 2 6 5 2 3 2" xfId="16020"/>
    <cellStyle name="Milliers 2 2 6 5 2 3 2 2" xfId="16021"/>
    <cellStyle name="Milliers 2 2 6 5 2 3 3" xfId="16022"/>
    <cellStyle name="Milliers 2 2 6 5 2 4" xfId="16023"/>
    <cellStyle name="Milliers 2 2 6 5 2 4 2" xfId="16024"/>
    <cellStyle name="Milliers 2 2 6 5 2 5" xfId="16025"/>
    <cellStyle name="Milliers 2 2 6 5 3" xfId="16026"/>
    <cellStyle name="Milliers 2 2 6 5 3 2" xfId="16027"/>
    <cellStyle name="Milliers 2 2 6 5 3 2 2" xfId="16028"/>
    <cellStyle name="Milliers 2 2 6 5 3 2 2 2" xfId="16029"/>
    <cellStyle name="Milliers 2 2 6 5 3 2 3" xfId="16030"/>
    <cellStyle name="Milliers 2 2 6 5 3 3" xfId="16031"/>
    <cellStyle name="Milliers 2 2 6 5 3 3 2" xfId="16032"/>
    <cellStyle name="Milliers 2 2 6 5 3 4" xfId="16033"/>
    <cellStyle name="Milliers 2 2 6 5 4" xfId="16034"/>
    <cellStyle name="Milliers 2 2 6 5 4 2" xfId="16035"/>
    <cellStyle name="Milliers 2 2 6 5 4 2 2" xfId="16036"/>
    <cellStyle name="Milliers 2 2 6 5 4 3" xfId="16037"/>
    <cellStyle name="Milliers 2 2 6 5 5" xfId="16038"/>
    <cellStyle name="Milliers 2 2 6 5 5 2" xfId="16039"/>
    <cellStyle name="Milliers 2 2 6 5 6" xfId="16040"/>
    <cellStyle name="Milliers 2 2 6 6" xfId="16041"/>
    <cellStyle name="Milliers 2 2 6 6 2" xfId="16042"/>
    <cellStyle name="Milliers 2 2 6 6 2 2" xfId="16043"/>
    <cellStyle name="Milliers 2 2 6 6 2 2 2" xfId="16044"/>
    <cellStyle name="Milliers 2 2 6 6 2 2 2 2" xfId="16045"/>
    <cellStyle name="Milliers 2 2 6 6 2 2 3" xfId="16046"/>
    <cellStyle name="Milliers 2 2 6 6 2 3" xfId="16047"/>
    <cellStyle name="Milliers 2 2 6 6 2 3 2" xfId="16048"/>
    <cellStyle name="Milliers 2 2 6 6 2 4" xfId="16049"/>
    <cellStyle name="Milliers 2 2 6 6 3" xfId="16050"/>
    <cellStyle name="Milliers 2 2 6 6 3 2" xfId="16051"/>
    <cellStyle name="Milliers 2 2 6 6 3 2 2" xfId="16052"/>
    <cellStyle name="Milliers 2 2 6 6 3 3" xfId="16053"/>
    <cellStyle name="Milliers 2 2 6 6 4" xfId="16054"/>
    <cellStyle name="Milliers 2 2 6 6 4 2" xfId="16055"/>
    <cellStyle name="Milliers 2 2 6 6 5" xfId="16056"/>
    <cellStyle name="Milliers 2 2 6 7" xfId="16057"/>
    <cellStyle name="Milliers 2 2 6 7 2" xfId="16058"/>
    <cellStyle name="Milliers 2 2 6 7 2 2" xfId="16059"/>
    <cellStyle name="Milliers 2 2 6 7 2 2 2" xfId="16060"/>
    <cellStyle name="Milliers 2 2 6 7 2 3" xfId="16061"/>
    <cellStyle name="Milliers 2 2 6 7 3" xfId="16062"/>
    <cellStyle name="Milliers 2 2 6 7 3 2" xfId="16063"/>
    <cellStyle name="Milliers 2 2 6 7 4" xfId="16064"/>
    <cellStyle name="Milliers 2 2 6 8" xfId="16065"/>
    <cellStyle name="Milliers 2 2 6 8 2" xfId="16066"/>
    <cellStyle name="Milliers 2 2 6 8 2 2" xfId="16067"/>
    <cellStyle name="Milliers 2 2 6 8 3" xfId="16068"/>
    <cellStyle name="Milliers 2 2 6 9" xfId="16069"/>
    <cellStyle name="Milliers 2 2 6 9 2" xfId="16070"/>
    <cellStyle name="Milliers 2 2 7" xfId="16071"/>
    <cellStyle name="Milliers 2 2 7 2" xfId="16072"/>
    <cellStyle name="Milliers 2 2 7 2 2" xfId="16073"/>
    <cellStyle name="Milliers 2 2 7 2 2 2" xfId="16074"/>
    <cellStyle name="Milliers 2 2 7 2 2 2 2" xfId="16075"/>
    <cellStyle name="Milliers 2 2 7 2 2 2 2 2" xfId="16076"/>
    <cellStyle name="Milliers 2 2 7 2 2 2 2 2 2" xfId="16077"/>
    <cellStyle name="Milliers 2 2 7 2 2 2 2 2 2 2" xfId="16078"/>
    <cellStyle name="Milliers 2 2 7 2 2 2 2 2 2 2 2" xfId="16079"/>
    <cellStyle name="Milliers 2 2 7 2 2 2 2 2 2 3" xfId="16080"/>
    <cellStyle name="Milliers 2 2 7 2 2 2 2 2 3" xfId="16081"/>
    <cellStyle name="Milliers 2 2 7 2 2 2 2 2 3 2" xfId="16082"/>
    <cellStyle name="Milliers 2 2 7 2 2 2 2 2 4" xfId="16083"/>
    <cellStyle name="Milliers 2 2 7 2 2 2 2 3" xfId="16084"/>
    <cellStyle name="Milliers 2 2 7 2 2 2 2 3 2" xfId="16085"/>
    <cellStyle name="Milliers 2 2 7 2 2 2 2 3 2 2" xfId="16086"/>
    <cellStyle name="Milliers 2 2 7 2 2 2 2 3 3" xfId="16087"/>
    <cellStyle name="Milliers 2 2 7 2 2 2 2 4" xfId="16088"/>
    <cellStyle name="Milliers 2 2 7 2 2 2 2 4 2" xfId="16089"/>
    <cellStyle name="Milliers 2 2 7 2 2 2 2 5" xfId="16090"/>
    <cellStyle name="Milliers 2 2 7 2 2 2 3" xfId="16091"/>
    <cellStyle name="Milliers 2 2 7 2 2 2 3 2" xfId="16092"/>
    <cellStyle name="Milliers 2 2 7 2 2 2 3 2 2" xfId="16093"/>
    <cellStyle name="Milliers 2 2 7 2 2 2 3 2 2 2" xfId="16094"/>
    <cellStyle name="Milliers 2 2 7 2 2 2 3 2 3" xfId="16095"/>
    <cellStyle name="Milliers 2 2 7 2 2 2 3 3" xfId="16096"/>
    <cellStyle name="Milliers 2 2 7 2 2 2 3 3 2" xfId="16097"/>
    <cellStyle name="Milliers 2 2 7 2 2 2 3 4" xfId="16098"/>
    <cellStyle name="Milliers 2 2 7 2 2 2 4" xfId="16099"/>
    <cellStyle name="Milliers 2 2 7 2 2 2 4 2" xfId="16100"/>
    <cellStyle name="Milliers 2 2 7 2 2 2 4 2 2" xfId="16101"/>
    <cellStyle name="Milliers 2 2 7 2 2 2 4 3" xfId="16102"/>
    <cellStyle name="Milliers 2 2 7 2 2 2 5" xfId="16103"/>
    <cellStyle name="Milliers 2 2 7 2 2 2 5 2" xfId="16104"/>
    <cellStyle name="Milliers 2 2 7 2 2 2 6" xfId="16105"/>
    <cellStyle name="Milliers 2 2 7 2 2 3" xfId="16106"/>
    <cellStyle name="Milliers 2 2 7 2 2 3 2" xfId="16107"/>
    <cellStyle name="Milliers 2 2 7 2 2 3 2 2" xfId="16108"/>
    <cellStyle name="Milliers 2 2 7 2 2 3 2 2 2" xfId="16109"/>
    <cellStyle name="Milliers 2 2 7 2 2 3 2 2 2 2" xfId="16110"/>
    <cellStyle name="Milliers 2 2 7 2 2 3 2 2 3" xfId="16111"/>
    <cellStyle name="Milliers 2 2 7 2 2 3 2 3" xfId="16112"/>
    <cellStyle name="Milliers 2 2 7 2 2 3 2 3 2" xfId="16113"/>
    <cellStyle name="Milliers 2 2 7 2 2 3 2 4" xfId="16114"/>
    <cellStyle name="Milliers 2 2 7 2 2 3 3" xfId="16115"/>
    <cellStyle name="Milliers 2 2 7 2 2 3 3 2" xfId="16116"/>
    <cellStyle name="Milliers 2 2 7 2 2 3 3 2 2" xfId="16117"/>
    <cellStyle name="Milliers 2 2 7 2 2 3 3 3" xfId="16118"/>
    <cellStyle name="Milliers 2 2 7 2 2 3 4" xfId="16119"/>
    <cellStyle name="Milliers 2 2 7 2 2 3 4 2" xfId="16120"/>
    <cellStyle name="Milliers 2 2 7 2 2 3 5" xfId="16121"/>
    <cellStyle name="Milliers 2 2 7 2 2 4" xfId="16122"/>
    <cellStyle name="Milliers 2 2 7 2 2 4 2" xfId="16123"/>
    <cellStyle name="Milliers 2 2 7 2 2 4 2 2" xfId="16124"/>
    <cellStyle name="Milliers 2 2 7 2 2 4 2 2 2" xfId="16125"/>
    <cellStyle name="Milliers 2 2 7 2 2 4 2 3" xfId="16126"/>
    <cellStyle name="Milliers 2 2 7 2 2 4 3" xfId="16127"/>
    <cellStyle name="Milliers 2 2 7 2 2 4 3 2" xfId="16128"/>
    <cellStyle name="Milliers 2 2 7 2 2 4 4" xfId="16129"/>
    <cellStyle name="Milliers 2 2 7 2 2 5" xfId="16130"/>
    <cellStyle name="Milliers 2 2 7 2 2 5 2" xfId="16131"/>
    <cellStyle name="Milliers 2 2 7 2 2 5 2 2" xfId="16132"/>
    <cellStyle name="Milliers 2 2 7 2 2 5 3" xfId="16133"/>
    <cellStyle name="Milliers 2 2 7 2 2 6" xfId="16134"/>
    <cellStyle name="Milliers 2 2 7 2 2 6 2" xfId="16135"/>
    <cellStyle name="Milliers 2 2 7 2 2 7" xfId="16136"/>
    <cellStyle name="Milliers 2 2 7 2 3" xfId="16137"/>
    <cellStyle name="Milliers 2 2 7 2 3 2" xfId="16138"/>
    <cellStyle name="Milliers 2 2 7 2 3 2 2" xfId="16139"/>
    <cellStyle name="Milliers 2 2 7 2 3 2 2 2" xfId="16140"/>
    <cellStyle name="Milliers 2 2 7 2 3 2 2 2 2" xfId="16141"/>
    <cellStyle name="Milliers 2 2 7 2 3 2 2 2 2 2" xfId="16142"/>
    <cellStyle name="Milliers 2 2 7 2 3 2 2 2 3" xfId="16143"/>
    <cellStyle name="Milliers 2 2 7 2 3 2 2 3" xfId="16144"/>
    <cellStyle name="Milliers 2 2 7 2 3 2 2 3 2" xfId="16145"/>
    <cellStyle name="Milliers 2 2 7 2 3 2 2 4" xfId="16146"/>
    <cellStyle name="Milliers 2 2 7 2 3 2 3" xfId="16147"/>
    <cellStyle name="Milliers 2 2 7 2 3 2 3 2" xfId="16148"/>
    <cellStyle name="Milliers 2 2 7 2 3 2 3 2 2" xfId="16149"/>
    <cellStyle name="Milliers 2 2 7 2 3 2 3 3" xfId="16150"/>
    <cellStyle name="Milliers 2 2 7 2 3 2 4" xfId="16151"/>
    <cellStyle name="Milliers 2 2 7 2 3 2 4 2" xfId="16152"/>
    <cellStyle name="Milliers 2 2 7 2 3 2 5" xfId="16153"/>
    <cellStyle name="Milliers 2 2 7 2 3 3" xfId="16154"/>
    <cellStyle name="Milliers 2 2 7 2 3 3 2" xfId="16155"/>
    <cellStyle name="Milliers 2 2 7 2 3 3 2 2" xfId="16156"/>
    <cellStyle name="Milliers 2 2 7 2 3 3 2 2 2" xfId="16157"/>
    <cellStyle name="Milliers 2 2 7 2 3 3 2 3" xfId="16158"/>
    <cellStyle name="Milliers 2 2 7 2 3 3 3" xfId="16159"/>
    <cellStyle name="Milliers 2 2 7 2 3 3 3 2" xfId="16160"/>
    <cellStyle name="Milliers 2 2 7 2 3 3 4" xfId="16161"/>
    <cellStyle name="Milliers 2 2 7 2 3 4" xfId="16162"/>
    <cellStyle name="Milliers 2 2 7 2 3 4 2" xfId="16163"/>
    <cellStyle name="Milliers 2 2 7 2 3 4 2 2" xfId="16164"/>
    <cellStyle name="Milliers 2 2 7 2 3 4 3" xfId="16165"/>
    <cellStyle name="Milliers 2 2 7 2 3 5" xfId="16166"/>
    <cellStyle name="Milliers 2 2 7 2 3 5 2" xfId="16167"/>
    <cellStyle name="Milliers 2 2 7 2 3 6" xfId="16168"/>
    <cellStyle name="Milliers 2 2 7 2 4" xfId="16169"/>
    <cellStyle name="Milliers 2 2 7 2 4 2" xfId="16170"/>
    <cellStyle name="Milliers 2 2 7 2 4 2 2" xfId="16171"/>
    <cellStyle name="Milliers 2 2 7 2 4 2 2 2" xfId="16172"/>
    <cellStyle name="Milliers 2 2 7 2 4 2 2 2 2" xfId="16173"/>
    <cellStyle name="Milliers 2 2 7 2 4 2 2 3" xfId="16174"/>
    <cellStyle name="Milliers 2 2 7 2 4 2 3" xfId="16175"/>
    <cellStyle name="Milliers 2 2 7 2 4 2 3 2" xfId="16176"/>
    <cellStyle name="Milliers 2 2 7 2 4 2 4" xfId="16177"/>
    <cellStyle name="Milliers 2 2 7 2 4 3" xfId="16178"/>
    <cellStyle name="Milliers 2 2 7 2 4 3 2" xfId="16179"/>
    <cellStyle name="Milliers 2 2 7 2 4 3 2 2" xfId="16180"/>
    <cellStyle name="Milliers 2 2 7 2 4 3 3" xfId="16181"/>
    <cellStyle name="Milliers 2 2 7 2 4 4" xfId="16182"/>
    <cellStyle name="Milliers 2 2 7 2 4 4 2" xfId="16183"/>
    <cellStyle name="Milliers 2 2 7 2 4 5" xfId="16184"/>
    <cellStyle name="Milliers 2 2 7 2 5" xfId="16185"/>
    <cellStyle name="Milliers 2 2 7 2 5 2" xfId="16186"/>
    <cellStyle name="Milliers 2 2 7 2 5 2 2" xfId="16187"/>
    <cellStyle name="Milliers 2 2 7 2 5 2 2 2" xfId="16188"/>
    <cellStyle name="Milliers 2 2 7 2 5 2 3" xfId="16189"/>
    <cellStyle name="Milliers 2 2 7 2 5 3" xfId="16190"/>
    <cellStyle name="Milliers 2 2 7 2 5 3 2" xfId="16191"/>
    <cellStyle name="Milliers 2 2 7 2 5 4" xfId="16192"/>
    <cellStyle name="Milliers 2 2 7 2 6" xfId="16193"/>
    <cellStyle name="Milliers 2 2 7 2 6 2" xfId="16194"/>
    <cellStyle name="Milliers 2 2 7 2 6 2 2" xfId="16195"/>
    <cellStyle name="Milliers 2 2 7 2 6 3" xfId="16196"/>
    <cellStyle name="Milliers 2 2 7 2 7" xfId="16197"/>
    <cellStyle name="Milliers 2 2 7 2 7 2" xfId="16198"/>
    <cellStyle name="Milliers 2 2 7 2 8" xfId="16199"/>
    <cellStyle name="Milliers 2 2 7 3" xfId="16200"/>
    <cellStyle name="Milliers 2 2 7 3 2" xfId="16201"/>
    <cellStyle name="Milliers 2 2 7 3 2 2" xfId="16202"/>
    <cellStyle name="Milliers 2 2 7 3 2 2 2" xfId="16203"/>
    <cellStyle name="Milliers 2 2 7 3 2 2 2 2" xfId="16204"/>
    <cellStyle name="Milliers 2 2 7 3 2 2 2 2 2" xfId="16205"/>
    <cellStyle name="Milliers 2 2 7 3 2 2 2 2 2 2" xfId="16206"/>
    <cellStyle name="Milliers 2 2 7 3 2 2 2 2 3" xfId="16207"/>
    <cellStyle name="Milliers 2 2 7 3 2 2 2 3" xfId="16208"/>
    <cellStyle name="Milliers 2 2 7 3 2 2 2 3 2" xfId="16209"/>
    <cellStyle name="Milliers 2 2 7 3 2 2 2 4" xfId="16210"/>
    <cellStyle name="Milliers 2 2 7 3 2 2 3" xfId="16211"/>
    <cellStyle name="Milliers 2 2 7 3 2 2 3 2" xfId="16212"/>
    <cellStyle name="Milliers 2 2 7 3 2 2 3 2 2" xfId="16213"/>
    <cellStyle name="Milliers 2 2 7 3 2 2 3 3" xfId="16214"/>
    <cellStyle name="Milliers 2 2 7 3 2 2 4" xfId="16215"/>
    <cellStyle name="Milliers 2 2 7 3 2 2 4 2" xfId="16216"/>
    <cellStyle name="Milliers 2 2 7 3 2 2 5" xfId="16217"/>
    <cellStyle name="Milliers 2 2 7 3 2 3" xfId="16218"/>
    <cellStyle name="Milliers 2 2 7 3 2 3 2" xfId="16219"/>
    <cellStyle name="Milliers 2 2 7 3 2 3 2 2" xfId="16220"/>
    <cellStyle name="Milliers 2 2 7 3 2 3 2 2 2" xfId="16221"/>
    <cellStyle name="Milliers 2 2 7 3 2 3 2 3" xfId="16222"/>
    <cellStyle name="Milliers 2 2 7 3 2 3 3" xfId="16223"/>
    <cellStyle name="Milliers 2 2 7 3 2 3 3 2" xfId="16224"/>
    <cellStyle name="Milliers 2 2 7 3 2 3 4" xfId="16225"/>
    <cellStyle name="Milliers 2 2 7 3 2 4" xfId="16226"/>
    <cellStyle name="Milliers 2 2 7 3 2 4 2" xfId="16227"/>
    <cellStyle name="Milliers 2 2 7 3 2 4 2 2" xfId="16228"/>
    <cellStyle name="Milliers 2 2 7 3 2 4 3" xfId="16229"/>
    <cellStyle name="Milliers 2 2 7 3 2 5" xfId="16230"/>
    <cellStyle name="Milliers 2 2 7 3 2 5 2" xfId="16231"/>
    <cellStyle name="Milliers 2 2 7 3 2 6" xfId="16232"/>
    <cellStyle name="Milliers 2 2 7 3 3" xfId="16233"/>
    <cellStyle name="Milliers 2 2 7 3 3 2" xfId="16234"/>
    <cellStyle name="Milliers 2 2 7 3 3 2 2" xfId="16235"/>
    <cellStyle name="Milliers 2 2 7 3 3 2 2 2" xfId="16236"/>
    <cellStyle name="Milliers 2 2 7 3 3 2 2 2 2" xfId="16237"/>
    <cellStyle name="Milliers 2 2 7 3 3 2 2 3" xfId="16238"/>
    <cellStyle name="Milliers 2 2 7 3 3 2 3" xfId="16239"/>
    <cellStyle name="Milliers 2 2 7 3 3 2 3 2" xfId="16240"/>
    <cellStyle name="Milliers 2 2 7 3 3 2 4" xfId="16241"/>
    <cellStyle name="Milliers 2 2 7 3 3 3" xfId="16242"/>
    <cellStyle name="Milliers 2 2 7 3 3 3 2" xfId="16243"/>
    <cellStyle name="Milliers 2 2 7 3 3 3 2 2" xfId="16244"/>
    <cellStyle name="Milliers 2 2 7 3 3 3 3" xfId="16245"/>
    <cellStyle name="Milliers 2 2 7 3 3 4" xfId="16246"/>
    <cellStyle name="Milliers 2 2 7 3 3 4 2" xfId="16247"/>
    <cellStyle name="Milliers 2 2 7 3 3 5" xfId="16248"/>
    <cellStyle name="Milliers 2 2 7 3 4" xfId="16249"/>
    <cellStyle name="Milliers 2 2 7 3 4 2" xfId="16250"/>
    <cellStyle name="Milliers 2 2 7 3 4 2 2" xfId="16251"/>
    <cellStyle name="Milliers 2 2 7 3 4 2 2 2" xfId="16252"/>
    <cellStyle name="Milliers 2 2 7 3 4 2 3" xfId="16253"/>
    <cellStyle name="Milliers 2 2 7 3 4 3" xfId="16254"/>
    <cellStyle name="Milliers 2 2 7 3 4 3 2" xfId="16255"/>
    <cellStyle name="Milliers 2 2 7 3 4 4" xfId="16256"/>
    <cellStyle name="Milliers 2 2 7 3 5" xfId="16257"/>
    <cellStyle name="Milliers 2 2 7 3 5 2" xfId="16258"/>
    <cellStyle name="Milliers 2 2 7 3 5 2 2" xfId="16259"/>
    <cellStyle name="Milliers 2 2 7 3 5 3" xfId="16260"/>
    <cellStyle name="Milliers 2 2 7 3 6" xfId="16261"/>
    <cellStyle name="Milliers 2 2 7 3 6 2" xfId="16262"/>
    <cellStyle name="Milliers 2 2 7 3 7" xfId="16263"/>
    <cellStyle name="Milliers 2 2 7 4" xfId="16264"/>
    <cellStyle name="Milliers 2 2 7 4 2" xfId="16265"/>
    <cellStyle name="Milliers 2 2 7 4 2 2" xfId="16266"/>
    <cellStyle name="Milliers 2 2 7 4 2 2 2" xfId="16267"/>
    <cellStyle name="Milliers 2 2 7 4 2 2 2 2" xfId="16268"/>
    <cellStyle name="Milliers 2 2 7 4 2 2 2 2 2" xfId="16269"/>
    <cellStyle name="Milliers 2 2 7 4 2 2 2 3" xfId="16270"/>
    <cellStyle name="Milliers 2 2 7 4 2 2 3" xfId="16271"/>
    <cellStyle name="Milliers 2 2 7 4 2 2 3 2" xfId="16272"/>
    <cellStyle name="Milliers 2 2 7 4 2 2 4" xfId="16273"/>
    <cellStyle name="Milliers 2 2 7 4 2 3" xfId="16274"/>
    <cellStyle name="Milliers 2 2 7 4 2 3 2" xfId="16275"/>
    <cellStyle name="Milliers 2 2 7 4 2 3 2 2" xfId="16276"/>
    <cellStyle name="Milliers 2 2 7 4 2 3 3" xfId="16277"/>
    <cellStyle name="Milliers 2 2 7 4 2 4" xfId="16278"/>
    <cellStyle name="Milliers 2 2 7 4 2 4 2" xfId="16279"/>
    <cellStyle name="Milliers 2 2 7 4 2 5" xfId="16280"/>
    <cellStyle name="Milliers 2 2 7 4 3" xfId="16281"/>
    <cellStyle name="Milliers 2 2 7 4 3 2" xfId="16282"/>
    <cellStyle name="Milliers 2 2 7 4 3 2 2" xfId="16283"/>
    <cellStyle name="Milliers 2 2 7 4 3 2 2 2" xfId="16284"/>
    <cellStyle name="Milliers 2 2 7 4 3 2 3" xfId="16285"/>
    <cellStyle name="Milliers 2 2 7 4 3 3" xfId="16286"/>
    <cellStyle name="Milliers 2 2 7 4 3 3 2" xfId="16287"/>
    <cellStyle name="Milliers 2 2 7 4 3 4" xfId="16288"/>
    <cellStyle name="Milliers 2 2 7 4 4" xfId="16289"/>
    <cellStyle name="Milliers 2 2 7 4 4 2" xfId="16290"/>
    <cellStyle name="Milliers 2 2 7 4 4 2 2" xfId="16291"/>
    <cellStyle name="Milliers 2 2 7 4 4 3" xfId="16292"/>
    <cellStyle name="Milliers 2 2 7 4 5" xfId="16293"/>
    <cellStyle name="Milliers 2 2 7 4 5 2" xfId="16294"/>
    <cellStyle name="Milliers 2 2 7 4 6" xfId="16295"/>
    <cellStyle name="Milliers 2 2 7 5" xfId="16296"/>
    <cellStyle name="Milliers 2 2 7 5 2" xfId="16297"/>
    <cellStyle name="Milliers 2 2 7 5 2 2" xfId="16298"/>
    <cellStyle name="Milliers 2 2 7 5 2 2 2" xfId="16299"/>
    <cellStyle name="Milliers 2 2 7 5 2 2 2 2" xfId="16300"/>
    <cellStyle name="Milliers 2 2 7 5 2 2 3" xfId="16301"/>
    <cellStyle name="Milliers 2 2 7 5 2 3" xfId="16302"/>
    <cellStyle name="Milliers 2 2 7 5 2 3 2" xfId="16303"/>
    <cellStyle name="Milliers 2 2 7 5 2 4" xfId="16304"/>
    <cellStyle name="Milliers 2 2 7 5 3" xfId="16305"/>
    <cellStyle name="Milliers 2 2 7 5 3 2" xfId="16306"/>
    <cellStyle name="Milliers 2 2 7 5 3 2 2" xfId="16307"/>
    <cellStyle name="Milliers 2 2 7 5 3 3" xfId="16308"/>
    <cellStyle name="Milliers 2 2 7 5 4" xfId="16309"/>
    <cellStyle name="Milliers 2 2 7 5 4 2" xfId="16310"/>
    <cellStyle name="Milliers 2 2 7 5 5" xfId="16311"/>
    <cellStyle name="Milliers 2 2 7 6" xfId="16312"/>
    <cellStyle name="Milliers 2 2 7 6 2" xfId="16313"/>
    <cellStyle name="Milliers 2 2 7 6 2 2" xfId="16314"/>
    <cellStyle name="Milliers 2 2 7 6 2 2 2" xfId="16315"/>
    <cellStyle name="Milliers 2 2 7 6 2 3" xfId="16316"/>
    <cellStyle name="Milliers 2 2 7 6 3" xfId="16317"/>
    <cellStyle name="Milliers 2 2 7 6 3 2" xfId="16318"/>
    <cellStyle name="Milliers 2 2 7 6 4" xfId="16319"/>
    <cellStyle name="Milliers 2 2 7 7" xfId="16320"/>
    <cellStyle name="Milliers 2 2 7 7 2" xfId="16321"/>
    <cellStyle name="Milliers 2 2 7 7 2 2" xfId="16322"/>
    <cellStyle name="Milliers 2 2 7 7 3" xfId="16323"/>
    <cellStyle name="Milliers 2 2 7 8" xfId="16324"/>
    <cellStyle name="Milliers 2 2 7 8 2" xfId="16325"/>
    <cellStyle name="Milliers 2 2 7 9" xfId="16326"/>
    <cellStyle name="Milliers 2 2 8" xfId="16327"/>
    <cellStyle name="Milliers 2 2 8 2" xfId="16328"/>
    <cellStyle name="Milliers 2 2 8 2 2" xfId="16329"/>
    <cellStyle name="Milliers 2 2 8 2 2 2" xfId="16330"/>
    <cellStyle name="Milliers 2 2 8 2 2 2 2" xfId="16331"/>
    <cellStyle name="Milliers 2 2 8 2 2 2 2 2" xfId="16332"/>
    <cellStyle name="Milliers 2 2 8 2 2 2 2 2 2" xfId="16333"/>
    <cellStyle name="Milliers 2 2 8 2 2 2 2 2 2 2" xfId="16334"/>
    <cellStyle name="Milliers 2 2 8 2 2 2 2 2 3" xfId="16335"/>
    <cellStyle name="Milliers 2 2 8 2 2 2 2 3" xfId="16336"/>
    <cellStyle name="Milliers 2 2 8 2 2 2 2 3 2" xfId="16337"/>
    <cellStyle name="Milliers 2 2 8 2 2 2 2 4" xfId="16338"/>
    <cellStyle name="Milliers 2 2 8 2 2 2 3" xfId="16339"/>
    <cellStyle name="Milliers 2 2 8 2 2 2 3 2" xfId="16340"/>
    <cellStyle name="Milliers 2 2 8 2 2 2 3 2 2" xfId="16341"/>
    <cellStyle name="Milliers 2 2 8 2 2 2 3 3" xfId="16342"/>
    <cellStyle name="Milliers 2 2 8 2 2 2 4" xfId="16343"/>
    <cellStyle name="Milliers 2 2 8 2 2 2 4 2" xfId="16344"/>
    <cellStyle name="Milliers 2 2 8 2 2 2 5" xfId="16345"/>
    <cellStyle name="Milliers 2 2 8 2 2 3" xfId="16346"/>
    <cellStyle name="Milliers 2 2 8 2 2 3 2" xfId="16347"/>
    <cellStyle name="Milliers 2 2 8 2 2 3 2 2" xfId="16348"/>
    <cellStyle name="Milliers 2 2 8 2 2 3 2 2 2" xfId="16349"/>
    <cellStyle name="Milliers 2 2 8 2 2 3 2 3" xfId="16350"/>
    <cellStyle name="Milliers 2 2 8 2 2 3 3" xfId="16351"/>
    <cellStyle name="Milliers 2 2 8 2 2 3 3 2" xfId="16352"/>
    <cellStyle name="Milliers 2 2 8 2 2 3 4" xfId="16353"/>
    <cellStyle name="Milliers 2 2 8 2 2 4" xfId="16354"/>
    <cellStyle name="Milliers 2 2 8 2 2 4 2" xfId="16355"/>
    <cellStyle name="Milliers 2 2 8 2 2 4 2 2" xfId="16356"/>
    <cellStyle name="Milliers 2 2 8 2 2 4 3" xfId="16357"/>
    <cellStyle name="Milliers 2 2 8 2 2 5" xfId="16358"/>
    <cellStyle name="Milliers 2 2 8 2 2 5 2" xfId="16359"/>
    <cellStyle name="Milliers 2 2 8 2 2 6" xfId="16360"/>
    <cellStyle name="Milliers 2 2 8 2 3" xfId="16361"/>
    <cellStyle name="Milliers 2 2 8 2 3 2" xfId="16362"/>
    <cellStyle name="Milliers 2 2 8 2 3 2 2" xfId="16363"/>
    <cellStyle name="Milliers 2 2 8 2 3 2 2 2" xfId="16364"/>
    <cellStyle name="Milliers 2 2 8 2 3 2 2 2 2" xfId="16365"/>
    <cellStyle name="Milliers 2 2 8 2 3 2 2 3" xfId="16366"/>
    <cellStyle name="Milliers 2 2 8 2 3 2 3" xfId="16367"/>
    <cellStyle name="Milliers 2 2 8 2 3 2 3 2" xfId="16368"/>
    <cellStyle name="Milliers 2 2 8 2 3 2 4" xfId="16369"/>
    <cellStyle name="Milliers 2 2 8 2 3 3" xfId="16370"/>
    <cellStyle name="Milliers 2 2 8 2 3 3 2" xfId="16371"/>
    <cellStyle name="Milliers 2 2 8 2 3 3 2 2" xfId="16372"/>
    <cellStyle name="Milliers 2 2 8 2 3 3 3" xfId="16373"/>
    <cellStyle name="Milliers 2 2 8 2 3 4" xfId="16374"/>
    <cellStyle name="Milliers 2 2 8 2 3 4 2" xfId="16375"/>
    <cellStyle name="Milliers 2 2 8 2 3 5" xfId="16376"/>
    <cellStyle name="Milliers 2 2 8 2 4" xfId="16377"/>
    <cellStyle name="Milliers 2 2 8 2 4 2" xfId="16378"/>
    <cellStyle name="Milliers 2 2 8 2 4 2 2" xfId="16379"/>
    <cellStyle name="Milliers 2 2 8 2 4 2 2 2" xfId="16380"/>
    <cellStyle name="Milliers 2 2 8 2 4 2 3" xfId="16381"/>
    <cellStyle name="Milliers 2 2 8 2 4 3" xfId="16382"/>
    <cellStyle name="Milliers 2 2 8 2 4 3 2" xfId="16383"/>
    <cellStyle name="Milliers 2 2 8 2 4 4" xfId="16384"/>
    <cellStyle name="Milliers 2 2 8 2 5" xfId="16385"/>
    <cellStyle name="Milliers 2 2 8 2 5 2" xfId="16386"/>
    <cellStyle name="Milliers 2 2 8 2 5 2 2" xfId="16387"/>
    <cellStyle name="Milliers 2 2 8 2 5 3" xfId="16388"/>
    <cellStyle name="Milliers 2 2 8 2 6" xfId="16389"/>
    <cellStyle name="Milliers 2 2 8 2 6 2" xfId="16390"/>
    <cellStyle name="Milliers 2 2 8 2 7" xfId="16391"/>
    <cellStyle name="Milliers 2 2 8 3" xfId="16392"/>
    <cellStyle name="Milliers 2 2 8 3 2" xfId="16393"/>
    <cellStyle name="Milliers 2 2 8 3 2 2" xfId="16394"/>
    <cellStyle name="Milliers 2 2 8 3 2 2 2" xfId="16395"/>
    <cellStyle name="Milliers 2 2 8 3 2 2 2 2" xfId="16396"/>
    <cellStyle name="Milliers 2 2 8 3 2 2 2 2 2" xfId="16397"/>
    <cellStyle name="Milliers 2 2 8 3 2 2 2 3" xfId="16398"/>
    <cellStyle name="Milliers 2 2 8 3 2 2 3" xfId="16399"/>
    <cellStyle name="Milliers 2 2 8 3 2 2 3 2" xfId="16400"/>
    <cellStyle name="Milliers 2 2 8 3 2 2 4" xfId="16401"/>
    <cellStyle name="Milliers 2 2 8 3 2 3" xfId="16402"/>
    <cellStyle name="Milliers 2 2 8 3 2 3 2" xfId="16403"/>
    <cellStyle name="Milliers 2 2 8 3 2 3 2 2" xfId="16404"/>
    <cellStyle name="Milliers 2 2 8 3 2 3 3" xfId="16405"/>
    <cellStyle name="Milliers 2 2 8 3 2 4" xfId="16406"/>
    <cellStyle name="Milliers 2 2 8 3 2 4 2" xfId="16407"/>
    <cellStyle name="Milliers 2 2 8 3 2 5" xfId="16408"/>
    <cellStyle name="Milliers 2 2 8 3 3" xfId="16409"/>
    <cellStyle name="Milliers 2 2 8 3 3 2" xfId="16410"/>
    <cellStyle name="Milliers 2 2 8 3 3 2 2" xfId="16411"/>
    <cellStyle name="Milliers 2 2 8 3 3 2 2 2" xfId="16412"/>
    <cellStyle name="Milliers 2 2 8 3 3 2 3" xfId="16413"/>
    <cellStyle name="Milliers 2 2 8 3 3 3" xfId="16414"/>
    <cellStyle name="Milliers 2 2 8 3 3 3 2" xfId="16415"/>
    <cellStyle name="Milliers 2 2 8 3 3 4" xfId="16416"/>
    <cellStyle name="Milliers 2 2 8 3 4" xfId="16417"/>
    <cellStyle name="Milliers 2 2 8 3 4 2" xfId="16418"/>
    <cellStyle name="Milliers 2 2 8 3 4 2 2" xfId="16419"/>
    <cellStyle name="Milliers 2 2 8 3 4 3" xfId="16420"/>
    <cellStyle name="Milliers 2 2 8 3 5" xfId="16421"/>
    <cellStyle name="Milliers 2 2 8 3 5 2" xfId="16422"/>
    <cellStyle name="Milliers 2 2 8 3 6" xfId="16423"/>
    <cellStyle name="Milliers 2 2 8 4" xfId="16424"/>
    <cellStyle name="Milliers 2 2 8 4 2" xfId="16425"/>
    <cellStyle name="Milliers 2 2 8 4 2 2" xfId="16426"/>
    <cellStyle name="Milliers 2 2 8 4 2 2 2" xfId="16427"/>
    <cellStyle name="Milliers 2 2 8 4 2 2 2 2" xfId="16428"/>
    <cellStyle name="Milliers 2 2 8 4 2 2 3" xfId="16429"/>
    <cellStyle name="Milliers 2 2 8 4 2 3" xfId="16430"/>
    <cellStyle name="Milliers 2 2 8 4 2 3 2" xfId="16431"/>
    <cellStyle name="Milliers 2 2 8 4 2 4" xfId="16432"/>
    <cellStyle name="Milliers 2 2 8 4 3" xfId="16433"/>
    <cellStyle name="Milliers 2 2 8 4 3 2" xfId="16434"/>
    <cellStyle name="Milliers 2 2 8 4 3 2 2" xfId="16435"/>
    <cellStyle name="Milliers 2 2 8 4 3 3" xfId="16436"/>
    <cellStyle name="Milliers 2 2 8 4 4" xfId="16437"/>
    <cellStyle name="Milliers 2 2 8 4 4 2" xfId="16438"/>
    <cellStyle name="Milliers 2 2 8 4 5" xfId="16439"/>
    <cellStyle name="Milliers 2 2 8 5" xfId="16440"/>
    <cellStyle name="Milliers 2 2 8 5 2" xfId="16441"/>
    <cellStyle name="Milliers 2 2 8 5 2 2" xfId="16442"/>
    <cellStyle name="Milliers 2 2 8 5 2 2 2" xfId="16443"/>
    <cellStyle name="Milliers 2 2 8 5 2 3" xfId="16444"/>
    <cellStyle name="Milliers 2 2 8 5 3" xfId="16445"/>
    <cellStyle name="Milliers 2 2 8 5 3 2" xfId="16446"/>
    <cellStyle name="Milliers 2 2 8 5 4" xfId="16447"/>
    <cellStyle name="Milliers 2 2 8 6" xfId="16448"/>
    <cellStyle name="Milliers 2 2 8 6 2" xfId="16449"/>
    <cellStyle name="Milliers 2 2 8 6 2 2" xfId="16450"/>
    <cellStyle name="Milliers 2 2 8 6 3" xfId="16451"/>
    <cellStyle name="Milliers 2 2 8 7" xfId="16452"/>
    <cellStyle name="Milliers 2 2 8 7 2" xfId="16453"/>
    <cellStyle name="Milliers 2 2 8 8" xfId="16454"/>
    <cellStyle name="Milliers 2 2 9" xfId="16455"/>
    <cellStyle name="Milliers 2 2 9 2" xfId="16456"/>
    <cellStyle name="Milliers 2 2 9 2 2" xfId="16457"/>
    <cellStyle name="Milliers 2 2 9 2 2 2" xfId="16458"/>
    <cellStyle name="Milliers 2 2 9 2 2 2 2" xfId="16459"/>
    <cellStyle name="Milliers 2 2 9 2 2 2 2 2" xfId="16460"/>
    <cellStyle name="Milliers 2 2 9 2 2 2 2 2 2" xfId="16461"/>
    <cellStyle name="Milliers 2 2 9 2 2 2 2 3" xfId="16462"/>
    <cellStyle name="Milliers 2 2 9 2 2 2 3" xfId="16463"/>
    <cellStyle name="Milliers 2 2 9 2 2 2 3 2" xfId="16464"/>
    <cellStyle name="Milliers 2 2 9 2 2 2 4" xfId="16465"/>
    <cellStyle name="Milliers 2 2 9 2 2 3" xfId="16466"/>
    <cellStyle name="Milliers 2 2 9 2 2 3 2" xfId="16467"/>
    <cellStyle name="Milliers 2 2 9 2 2 3 2 2" xfId="16468"/>
    <cellStyle name="Milliers 2 2 9 2 2 3 3" xfId="16469"/>
    <cellStyle name="Milliers 2 2 9 2 2 4" xfId="16470"/>
    <cellStyle name="Milliers 2 2 9 2 2 4 2" xfId="16471"/>
    <cellStyle name="Milliers 2 2 9 2 2 5" xfId="16472"/>
    <cellStyle name="Milliers 2 2 9 2 3" xfId="16473"/>
    <cellStyle name="Milliers 2 2 9 2 3 2" xfId="16474"/>
    <cellStyle name="Milliers 2 2 9 2 3 2 2" xfId="16475"/>
    <cellStyle name="Milliers 2 2 9 2 3 2 2 2" xfId="16476"/>
    <cellStyle name="Milliers 2 2 9 2 3 2 3" xfId="16477"/>
    <cellStyle name="Milliers 2 2 9 2 3 3" xfId="16478"/>
    <cellStyle name="Milliers 2 2 9 2 3 3 2" xfId="16479"/>
    <cellStyle name="Milliers 2 2 9 2 3 4" xfId="16480"/>
    <cellStyle name="Milliers 2 2 9 2 4" xfId="16481"/>
    <cellStyle name="Milliers 2 2 9 2 4 2" xfId="16482"/>
    <cellStyle name="Milliers 2 2 9 2 4 2 2" xfId="16483"/>
    <cellStyle name="Milliers 2 2 9 2 4 3" xfId="16484"/>
    <cellStyle name="Milliers 2 2 9 2 5" xfId="16485"/>
    <cellStyle name="Milliers 2 2 9 2 5 2" xfId="16486"/>
    <cellStyle name="Milliers 2 2 9 2 6" xfId="16487"/>
    <cellStyle name="Milliers 2 2 9 3" xfId="16488"/>
    <cellStyle name="Milliers 2 2 9 3 2" xfId="16489"/>
    <cellStyle name="Milliers 2 2 9 3 2 2" xfId="16490"/>
    <cellStyle name="Milliers 2 2 9 3 2 2 2" xfId="16491"/>
    <cellStyle name="Milliers 2 2 9 3 2 2 2 2" xfId="16492"/>
    <cellStyle name="Milliers 2 2 9 3 2 2 3" xfId="16493"/>
    <cellStyle name="Milliers 2 2 9 3 2 3" xfId="16494"/>
    <cellStyle name="Milliers 2 2 9 3 2 3 2" xfId="16495"/>
    <cellStyle name="Milliers 2 2 9 3 2 4" xfId="16496"/>
    <cellStyle name="Milliers 2 2 9 3 3" xfId="16497"/>
    <cellStyle name="Milliers 2 2 9 3 3 2" xfId="16498"/>
    <cellStyle name="Milliers 2 2 9 3 3 2 2" xfId="16499"/>
    <cellStyle name="Milliers 2 2 9 3 3 3" xfId="16500"/>
    <cellStyle name="Milliers 2 2 9 3 4" xfId="16501"/>
    <cellStyle name="Milliers 2 2 9 3 4 2" xfId="16502"/>
    <cellStyle name="Milliers 2 2 9 3 5" xfId="16503"/>
    <cellStyle name="Milliers 2 2 9 4" xfId="16504"/>
    <cellStyle name="Milliers 2 2 9 4 2" xfId="16505"/>
    <cellStyle name="Milliers 2 2 9 4 2 2" xfId="16506"/>
    <cellStyle name="Milliers 2 2 9 4 2 2 2" xfId="16507"/>
    <cellStyle name="Milliers 2 2 9 4 2 3" xfId="16508"/>
    <cellStyle name="Milliers 2 2 9 4 3" xfId="16509"/>
    <cellStyle name="Milliers 2 2 9 4 3 2" xfId="16510"/>
    <cellStyle name="Milliers 2 2 9 4 4" xfId="16511"/>
    <cellStyle name="Milliers 2 2 9 5" xfId="16512"/>
    <cellStyle name="Milliers 2 2 9 5 2" xfId="16513"/>
    <cellStyle name="Milliers 2 2 9 5 2 2" xfId="16514"/>
    <cellStyle name="Milliers 2 2 9 5 3" xfId="16515"/>
    <cellStyle name="Milliers 2 2 9 6" xfId="16516"/>
    <cellStyle name="Milliers 2 2 9 6 2" xfId="16517"/>
    <cellStyle name="Milliers 2 2 9 7" xfId="16518"/>
    <cellStyle name="Milliers 2 3" xfId="16519"/>
    <cellStyle name="Milliers 2 3 10" xfId="16520"/>
    <cellStyle name="Milliers 2 3 10 2" xfId="16521"/>
    <cellStyle name="Milliers 2 3 10 2 2" xfId="16522"/>
    <cellStyle name="Milliers 2 3 10 2 2 2" xfId="16523"/>
    <cellStyle name="Milliers 2 3 10 2 2 2 2" xfId="16524"/>
    <cellStyle name="Milliers 2 3 10 2 2 3" xfId="16525"/>
    <cellStyle name="Milliers 2 3 10 2 3" xfId="16526"/>
    <cellStyle name="Milliers 2 3 10 2 3 2" xfId="16527"/>
    <cellStyle name="Milliers 2 3 10 2 4" xfId="16528"/>
    <cellStyle name="Milliers 2 3 10 3" xfId="16529"/>
    <cellStyle name="Milliers 2 3 10 3 2" xfId="16530"/>
    <cellStyle name="Milliers 2 3 10 3 2 2" xfId="16531"/>
    <cellStyle name="Milliers 2 3 10 3 3" xfId="16532"/>
    <cellStyle name="Milliers 2 3 10 4" xfId="16533"/>
    <cellStyle name="Milliers 2 3 10 4 2" xfId="16534"/>
    <cellStyle name="Milliers 2 3 10 5" xfId="16535"/>
    <cellStyle name="Milliers 2 3 11" xfId="16536"/>
    <cellStyle name="Milliers 2 3 11 2" xfId="16537"/>
    <cellStyle name="Milliers 2 3 11 2 2" xfId="16538"/>
    <cellStyle name="Milliers 2 3 11 2 2 2" xfId="16539"/>
    <cellStyle name="Milliers 2 3 11 2 3" xfId="16540"/>
    <cellStyle name="Milliers 2 3 11 3" xfId="16541"/>
    <cellStyle name="Milliers 2 3 11 3 2" xfId="16542"/>
    <cellStyle name="Milliers 2 3 11 4" xfId="16543"/>
    <cellStyle name="Milliers 2 3 12" xfId="16544"/>
    <cellStyle name="Milliers 2 3 12 2" xfId="16545"/>
    <cellStyle name="Milliers 2 3 12 2 2" xfId="16546"/>
    <cellStyle name="Milliers 2 3 12 3" xfId="16547"/>
    <cellStyle name="Milliers 2 3 13" xfId="16548"/>
    <cellStyle name="Milliers 2 3 13 2" xfId="16549"/>
    <cellStyle name="Milliers 2 3 14" xfId="16550"/>
    <cellStyle name="Milliers 2 3 2" xfId="16551"/>
    <cellStyle name="Milliers 2 3 2 10" xfId="16552"/>
    <cellStyle name="Milliers 2 3 2 10 2" xfId="16553"/>
    <cellStyle name="Milliers 2 3 2 10 2 2" xfId="16554"/>
    <cellStyle name="Milliers 2 3 2 10 2 2 2" xfId="16555"/>
    <cellStyle name="Milliers 2 3 2 10 2 3" xfId="16556"/>
    <cellStyle name="Milliers 2 3 2 10 3" xfId="16557"/>
    <cellStyle name="Milliers 2 3 2 10 3 2" xfId="16558"/>
    <cellStyle name="Milliers 2 3 2 10 4" xfId="16559"/>
    <cellStyle name="Milliers 2 3 2 11" xfId="16560"/>
    <cellStyle name="Milliers 2 3 2 11 2" xfId="16561"/>
    <cellStyle name="Milliers 2 3 2 11 2 2" xfId="16562"/>
    <cellStyle name="Milliers 2 3 2 11 3" xfId="16563"/>
    <cellStyle name="Milliers 2 3 2 12" xfId="16564"/>
    <cellStyle name="Milliers 2 3 2 12 2" xfId="16565"/>
    <cellStyle name="Milliers 2 3 2 13" xfId="16566"/>
    <cellStyle name="Milliers 2 3 2 2" xfId="16567"/>
    <cellStyle name="Milliers 2 3 2 2 10" xfId="16568"/>
    <cellStyle name="Milliers 2 3 2 2 10 2" xfId="16569"/>
    <cellStyle name="Milliers 2 3 2 2 10 2 2" xfId="16570"/>
    <cellStyle name="Milliers 2 3 2 2 10 3" xfId="16571"/>
    <cellStyle name="Milliers 2 3 2 2 11" xfId="16572"/>
    <cellStyle name="Milliers 2 3 2 2 11 2" xfId="16573"/>
    <cellStyle name="Milliers 2 3 2 2 12" xfId="16574"/>
    <cellStyle name="Milliers 2 3 2 2 2" xfId="16575"/>
    <cellStyle name="Milliers 2 3 2 2 2 10" xfId="16576"/>
    <cellStyle name="Milliers 2 3 2 2 2 10 2" xfId="16577"/>
    <cellStyle name="Milliers 2 3 2 2 2 11" xfId="16578"/>
    <cellStyle name="Milliers 2 3 2 2 2 2" xfId="16579"/>
    <cellStyle name="Milliers 2 3 2 2 2 2 10" xfId="16580"/>
    <cellStyle name="Milliers 2 3 2 2 2 2 2" xfId="16581"/>
    <cellStyle name="Milliers 2 3 2 2 2 2 2 2" xfId="16582"/>
    <cellStyle name="Milliers 2 3 2 2 2 2 2 2 2" xfId="16583"/>
    <cellStyle name="Milliers 2 3 2 2 2 2 2 2 2 2" xfId="16584"/>
    <cellStyle name="Milliers 2 3 2 2 2 2 2 2 2 2 2" xfId="16585"/>
    <cellStyle name="Milliers 2 3 2 2 2 2 2 2 2 2 2 2" xfId="16586"/>
    <cellStyle name="Milliers 2 3 2 2 2 2 2 2 2 2 2 2 2" xfId="16587"/>
    <cellStyle name="Milliers 2 3 2 2 2 2 2 2 2 2 2 2 2 2" xfId="16588"/>
    <cellStyle name="Milliers 2 3 2 2 2 2 2 2 2 2 2 2 2 2 2" xfId="16589"/>
    <cellStyle name="Milliers 2 3 2 2 2 2 2 2 2 2 2 2 2 3" xfId="16590"/>
    <cellStyle name="Milliers 2 3 2 2 2 2 2 2 2 2 2 2 3" xfId="16591"/>
    <cellStyle name="Milliers 2 3 2 2 2 2 2 2 2 2 2 2 3 2" xfId="16592"/>
    <cellStyle name="Milliers 2 3 2 2 2 2 2 2 2 2 2 2 4" xfId="16593"/>
    <cellStyle name="Milliers 2 3 2 2 2 2 2 2 2 2 2 3" xfId="16594"/>
    <cellStyle name="Milliers 2 3 2 2 2 2 2 2 2 2 2 3 2" xfId="16595"/>
    <cellStyle name="Milliers 2 3 2 2 2 2 2 2 2 2 2 3 2 2" xfId="16596"/>
    <cellStyle name="Milliers 2 3 2 2 2 2 2 2 2 2 2 3 3" xfId="16597"/>
    <cellStyle name="Milliers 2 3 2 2 2 2 2 2 2 2 2 4" xfId="16598"/>
    <cellStyle name="Milliers 2 3 2 2 2 2 2 2 2 2 2 4 2" xfId="16599"/>
    <cellStyle name="Milliers 2 3 2 2 2 2 2 2 2 2 2 5" xfId="16600"/>
    <cellStyle name="Milliers 2 3 2 2 2 2 2 2 2 2 3" xfId="16601"/>
    <cellStyle name="Milliers 2 3 2 2 2 2 2 2 2 2 3 2" xfId="16602"/>
    <cellStyle name="Milliers 2 3 2 2 2 2 2 2 2 2 3 2 2" xfId="16603"/>
    <cellStyle name="Milliers 2 3 2 2 2 2 2 2 2 2 3 2 2 2" xfId="16604"/>
    <cellStyle name="Milliers 2 3 2 2 2 2 2 2 2 2 3 2 3" xfId="16605"/>
    <cellStyle name="Milliers 2 3 2 2 2 2 2 2 2 2 3 3" xfId="16606"/>
    <cellStyle name="Milliers 2 3 2 2 2 2 2 2 2 2 3 3 2" xfId="16607"/>
    <cellStyle name="Milliers 2 3 2 2 2 2 2 2 2 2 3 4" xfId="16608"/>
    <cellStyle name="Milliers 2 3 2 2 2 2 2 2 2 2 4" xfId="16609"/>
    <cellStyle name="Milliers 2 3 2 2 2 2 2 2 2 2 4 2" xfId="16610"/>
    <cellStyle name="Milliers 2 3 2 2 2 2 2 2 2 2 4 2 2" xfId="16611"/>
    <cellStyle name="Milliers 2 3 2 2 2 2 2 2 2 2 4 3" xfId="16612"/>
    <cellStyle name="Milliers 2 3 2 2 2 2 2 2 2 2 5" xfId="16613"/>
    <cellStyle name="Milliers 2 3 2 2 2 2 2 2 2 2 5 2" xfId="16614"/>
    <cellStyle name="Milliers 2 3 2 2 2 2 2 2 2 2 6" xfId="16615"/>
    <cellStyle name="Milliers 2 3 2 2 2 2 2 2 2 3" xfId="16616"/>
    <cellStyle name="Milliers 2 3 2 2 2 2 2 2 2 3 2" xfId="16617"/>
    <cellStyle name="Milliers 2 3 2 2 2 2 2 2 2 3 2 2" xfId="16618"/>
    <cellStyle name="Milliers 2 3 2 2 2 2 2 2 2 3 2 2 2" xfId="16619"/>
    <cellStyle name="Milliers 2 3 2 2 2 2 2 2 2 3 2 2 2 2" xfId="16620"/>
    <cellStyle name="Milliers 2 3 2 2 2 2 2 2 2 3 2 2 3" xfId="16621"/>
    <cellStyle name="Milliers 2 3 2 2 2 2 2 2 2 3 2 3" xfId="16622"/>
    <cellStyle name="Milliers 2 3 2 2 2 2 2 2 2 3 2 3 2" xfId="16623"/>
    <cellStyle name="Milliers 2 3 2 2 2 2 2 2 2 3 2 4" xfId="16624"/>
    <cellStyle name="Milliers 2 3 2 2 2 2 2 2 2 3 3" xfId="16625"/>
    <cellStyle name="Milliers 2 3 2 2 2 2 2 2 2 3 3 2" xfId="16626"/>
    <cellStyle name="Milliers 2 3 2 2 2 2 2 2 2 3 3 2 2" xfId="16627"/>
    <cellStyle name="Milliers 2 3 2 2 2 2 2 2 2 3 3 3" xfId="16628"/>
    <cellStyle name="Milliers 2 3 2 2 2 2 2 2 2 3 4" xfId="16629"/>
    <cellStyle name="Milliers 2 3 2 2 2 2 2 2 2 3 4 2" xfId="16630"/>
    <cellStyle name="Milliers 2 3 2 2 2 2 2 2 2 3 5" xfId="16631"/>
    <cellStyle name="Milliers 2 3 2 2 2 2 2 2 2 4" xfId="16632"/>
    <cellStyle name="Milliers 2 3 2 2 2 2 2 2 2 4 2" xfId="16633"/>
    <cellStyle name="Milliers 2 3 2 2 2 2 2 2 2 4 2 2" xfId="16634"/>
    <cellStyle name="Milliers 2 3 2 2 2 2 2 2 2 4 2 2 2" xfId="16635"/>
    <cellStyle name="Milliers 2 3 2 2 2 2 2 2 2 4 2 3" xfId="16636"/>
    <cellStyle name="Milliers 2 3 2 2 2 2 2 2 2 4 3" xfId="16637"/>
    <cellStyle name="Milliers 2 3 2 2 2 2 2 2 2 4 3 2" xfId="16638"/>
    <cellStyle name="Milliers 2 3 2 2 2 2 2 2 2 4 4" xfId="16639"/>
    <cellStyle name="Milliers 2 3 2 2 2 2 2 2 2 5" xfId="16640"/>
    <cellStyle name="Milliers 2 3 2 2 2 2 2 2 2 5 2" xfId="16641"/>
    <cellStyle name="Milliers 2 3 2 2 2 2 2 2 2 5 2 2" xfId="16642"/>
    <cellStyle name="Milliers 2 3 2 2 2 2 2 2 2 5 3" xfId="16643"/>
    <cellStyle name="Milliers 2 3 2 2 2 2 2 2 2 6" xfId="16644"/>
    <cellStyle name="Milliers 2 3 2 2 2 2 2 2 2 6 2" xfId="16645"/>
    <cellStyle name="Milliers 2 3 2 2 2 2 2 2 2 7" xfId="16646"/>
    <cellStyle name="Milliers 2 3 2 2 2 2 2 2 3" xfId="16647"/>
    <cellStyle name="Milliers 2 3 2 2 2 2 2 2 3 2" xfId="16648"/>
    <cellStyle name="Milliers 2 3 2 2 2 2 2 2 3 2 2" xfId="16649"/>
    <cellStyle name="Milliers 2 3 2 2 2 2 2 2 3 2 2 2" xfId="16650"/>
    <cellStyle name="Milliers 2 3 2 2 2 2 2 2 3 2 2 2 2" xfId="16651"/>
    <cellStyle name="Milliers 2 3 2 2 2 2 2 2 3 2 2 2 2 2" xfId="16652"/>
    <cellStyle name="Milliers 2 3 2 2 2 2 2 2 3 2 2 2 3" xfId="16653"/>
    <cellStyle name="Milliers 2 3 2 2 2 2 2 2 3 2 2 3" xfId="16654"/>
    <cellStyle name="Milliers 2 3 2 2 2 2 2 2 3 2 2 3 2" xfId="16655"/>
    <cellStyle name="Milliers 2 3 2 2 2 2 2 2 3 2 2 4" xfId="16656"/>
    <cellStyle name="Milliers 2 3 2 2 2 2 2 2 3 2 3" xfId="16657"/>
    <cellStyle name="Milliers 2 3 2 2 2 2 2 2 3 2 3 2" xfId="16658"/>
    <cellStyle name="Milliers 2 3 2 2 2 2 2 2 3 2 3 2 2" xfId="16659"/>
    <cellStyle name="Milliers 2 3 2 2 2 2 2 2 3 2 3 3" xfId="16660"/>
    <cellStyle name="Milliers 2 3 2 2 2 2 2 2 3 2 4" xfId="16661"/>
    <cellStyle name="Milliers 2 3 2 2 2 2 2 2 3 2 4 2" xfId="16662"/>
    <cellStyle name="Milliers 2 3 2 2 2 2 2 2 3 2 5" xfId="16663"/>
    <cellStyle name="Milliers 2 3 2 2 2 2 2 2 3 3" xfId="16664"/>
    <cellStyle name="Milliers 2 3 2 2 2 2 2 2 3 3 2" xfId="16665"/>
    <cellStyle name="Milliers 2 3 2 2 2 2 2 2 3 3 2 2" xfId="16666"/>
    <cellStyle name="Milliers 2 3 2 2 2 2 2 2 3 3 2 2 2" xfId="16667"/>
    <cellStyle name="Milliers 2 3 2 2 2 2 2 2 3 3 2 3" xfId="16668"/>
    <cellStyle name="Milliers 2 3 2 2 2 2 2 2 3 3 3" xfId="16669"/>
    <cellStyle name="Milliers 2 3 2 2 2 2 2 2 3 3 3 2" xfId="16670"/>
    <cellStyle name="Milliers 2 3 2 2 2 2 2 2 3 3 4" xfId="16671"/>
    <cellStyle name="Milliers 2 3 2 2 2 2 2 2 3 4" xfId="16672"/>
    <cellStyle name="Milliers 2 3 2 2 2 2 2 2 3 4 2" xfId="16673"/>
    <cellStyle name="Milliers 2 3 2 2 2 2 2 2 3 4 2 2" xfId="16674"/>
    <cellStyle name="Milliers 2 3 2 2 2 2 2 2 3 4 3" xfId="16675"/>
    <cellStyle name="Milliers 2 3 2 2 2 2 2 2 3 5" xfId="16676"/>
    <cellStyle name="Milliers 2 3 2 2 2 2 2 2 3 5 2" xfId="16677"/>
    <cellStyle name="Milliers 2 3 2 2 2 2 2 2 3 6" xfId="16678"/>
    <cellStyle name="Milliers 2 3 2 2 2 2 2 2 4" xfId="16679"/>
    <cellStyle name="Milliers 2 3 2 2 2 2 2 2 4 2" xfId="16680"/>
    <cellStyle name="Milliers 2 3 2 2 2 2 2 2 4 2 2" xfId="16681"/>
    <cellStyle name="Milliers 2 3 2 2 2 2 2 2 4 2 2 2" xfId="16682"/>
    <cellStyle name="Milliers 2 3 2 2 2 2 2 2 4 2 2 2 2" xfId="16683"/>
    <cellStyle name="Milliers 2 3 2 2 2 2 2 2 4 2 2 3" xfId="16684"/>
    <cellStyle name="Milliers 2 3 2 2 2 2 2 2 4 2 3" xfId="16685"/>
    <cellStyle name="Milliers 2 3 2 2 2 2 2 2 4 2 3 2" xfId="16686"/>
    <cellStyle name="Milliers 2 3 2 2 2 2 2 2 4 2 4" xfId="16687"/>
    <cellStyle name="Milliers 2 3 2 2 2 2 2 2 4 3" xfId="16688"/>
    <cellStyle name="Milliers 2 3 2 2 2 2 2 2 4 3 2" xfId="16689"/>
    <cellStyle name="Milliers 2 3 2 2 2 2 2 2 4 3 2 2" xfId="16690"/>
    <cellStyle name="Milliers 2 3 2 2 2 2 2 2 4 3 3" xfId="16691"/>
    <cellStyle name="Milliers 2 3 2 2 2 2 2 2 4 4" xfId="16692"/>
    <cellStyle name="Milliers 2 3 2 2 2 2 2 2 4 4 2" xfId="16693"/>
    <cellStyle name="Milliers 2 3 2 2 2 2 2 2 4 5" xfId="16694"/>
    <cellStyle name="Milliers 2 3 2 2 2 2 2 2 5" xfId="16695"/>
    <cellStyle name="Milliers 2 3 2 2 2 2 2 2 5 2" xfId="16696"/>
    <cellStyle name="Milliers 2 3 2 2 2 2 2 2 5 2 2" xfId="16697"/>
    <cellStyle name="Milliers 2 3 2 2 2 2 2 2 5 2 2 2" xfId="16698"/>
    <cellStyle name="Milliers 2 3 2 2 2 2 2 2 5 2 3" xfId="16699"/>
    <cellStyle name="Milliers 2 3 2 2 2 2 2 2 5 3" xfId="16700"/>
    <cellStyle name="Milliers 2 3 2 2 2 2 2 2 5 3 2" xfId="16701"/>
    <cellStyle name="Milliers 2 3 2 2 2 2 2 2 5 4" xfId="16702"/>
    <cellStyle name="Milliers 2 3 2 2 2 2 2 2 6" xfId="16703"/>
    <cellStyle name="Milliers 2 3 2 2 2 2 2 2 6 2" xfId="16704"/>
    <cellStyle name="Milliers 2 3 2 2 2 2 2 2 6 2 2" xfId="16705"/>
    <cellStyle name="Milliers 2 3 2 2 2 2 2 2 6 3" xfId="16706"/>
    <cellStyle name="Milliers 2 3 2 2 2 2 2 2 7" xfId="16707"/>
    <cellStyle name="Milliers 2 3 2 2 2 2 2 2 7 2" xfId="16708"/>
    <cellStyle name="Milliers 2 3 2 2 2 2 2 2 8" xfId="16709"/>
    <cellStyle name="Milliers 2 3 2 2 2 2 2 3" xfId="16710"/>
    <cellStyle name="Milliers 2 3 2 2 2 2 2 3 2" xfId="16711"/>
    <cellStyle name="Milliers 2 3 2 2 2 2 2 3 2 2" xfId="16712"/>
    <cellStyle name="Milliers 2 3 2 2 2 2 2 3 2 2 2" xfId="16713"/>
    <cellStyle name="Milliers 2 3 2 2 2 2 2 3 2 2 2 2" xfId="16714"/>
    <cellStyle name="Milliers 2 3 2 2 2 2 2 3 2 2 2 2 2" xfId="16715"/>
    <cellStyle name="Milliers 2 3 2 2 2 2 2 3 2 2 2 2 2 2" xfId="16716"/>
    <cellStyle name="Milliers 2 3 2 2 2 2 2 3 2 2 2 2 3" xfId="16717"/>
    <cellStyle name="Milliers 2 3 2 2 2 2 2 3 2 2 2 3" xfId="16718"/>
    <cellStyle name="Milliers 2 3 2 2 2 2 2 3 2 2 2 3 2" xfId="16719"/>
    <cellStyle name="Milliers 2 3 2 2 2 2 2 3 2 2 2 4" xfId="16720"/>
    <cellStyle name="Milliers 2 3 2 2 2 2 2 3 2 2 3" xfId="16721"/>
    <cellStyle name="Milliers 2 3 2 2 2 2 2 3 2 2 3 2" xfId="16722"/>
    <cellStyle name="Milliers 2 3 2 2 2 2 2 3 2 2 3 2 2" xfId="16723"/>
    <cellStyle name="Milliers 2 3 2 2 2 2 2 3 2 2 3 3" xfId="16724"/>
    <cellStyle name="Milliers 2 3 2 2 2 2 2 3 2 2 4" xfId="16725"/>
    <cellStyle name="Milliers 2 3 2 2 2 2 2 3 2 2 4 2" xfId="16726"/>
    <cellStyle name="Milliers 2 3 2 2 2 2 2 3 2 2 5" xfId="16727"/>
    <cellStyle name="Milliers 2 3 2 2 2 2 2 3 2 3" xfId="16728"/>
    <cellStyle name="Milliers 2 3 2 2 2 2 2 3 2 3 2" xfId="16729"/>
    <cellStyle name="Milliers 2 3 2 2 2 2 2 3 2 3 2 2" xfId="16730"/>
    <cellStyle name="Milliers 2 3 2 2 2 2 2 3 2 3 2 2 2" xfId="16731"/>
    <cellStyle name="Milliers 2 3 2 2 2 2 2 3 2 3 2 3" xfId="16732"/>
    <cellStyle name="Milliers 2 3 2 2 2 2 2 3 2 3 3" xfId="16733"/>
    <cellStyle name="Milliers 2 3 2 2 2 2 2 3 2 3 3 2" xfId="16734"/>
    <cellStyle name="Milliers 2 3 2 2 2 2 2 3 2 3 4" xfId="16735"/>
    <cellStyle name="Milliers 2 3 2 2 2 2 2 3 2 4" xfId="16736"/>
    <cellStyle name="Milliers 2 3 2 2 2 2 2 3 2 4 2" xfId="16737"/>
    <cellStyle name="Milliers 2 3 2 2 2 2 2 3 2 4 2 2" xfId="16738"/>
    <cellStyle name="Milliers 2 3 2 2 2 2 2 3 2 4 3" xfId="16739"/>
    <cellStyle name="Milliers 2 3 2 2 2 2 2 3 2 5" xfId="16740"/>
    <cellStyle name="Milliers 2 3 2 2 2 2 2 3 2 5 2" xfId="16741"/>
    <cellStyle name="Milliers 2 3 2 2 2 2 2 3 2 6" xfId="16742"/>
    <cellStyle name="Milliers 2 3 2 2 2 2 2 3 3" xfId="16743"/>
    <cellStyle name="Milliers 2 3 2 2 2 2 2 3 3 2" xfId="16744"/>
    <cellStyle name="Milliers 2 3 2 2 2 2 2 3 3 2 2" xfId="16745"/>
    <cellStyle name="Milliers 2 3 2 2 2 2 2 3 3 2 2 2" xfId="16746"/>
    <cellStyle name="Milliers 2 3 2 2 2 2 2 3 3 2 2 2 2" xfId="16747"/>
    <cellStyle name="Milliers 2 3 2 2 2 2 2 3 3 2 2 3" xfId="16748"/>
    <cellStyle name="Milliers 2 3 2 2 2 2 2 3 3 2 3" xfId="16749"/>
    <cellStyle name="Milliers 2 3 2 2 2 2 2 3 3 2 3 2" xfId="16750"/>
    <cellStyle name="Milliers 2 3 2 2 2 2 2 3 3 2 4" xfId="16751"/>
    <cellStyle name="Milliers 2 3 2 2 2 2 2 3 3 3" xfId="16752"/>
    <cellStyle name="Milliers 2 3 2 2 2 2 2 3 3 3 2" xfId="16753"/>
    <cellStyle name="Milliers 2 3 2 2 2 2 2 3 3 3 2 2" xfId="16754"/>
    <cellStyle name="Milliers 2 3 2 2 2 2 2 3 3 3 3" xfId="16755"/>
    <cellStyle name="Milliers 2 3 2 2 2 2 2 3 3 4" xfId="16756"/>
    <cellStyle name="Milliers 2 3 2 2 2 2 2 3 3 4 2" xfId="16757"/>
    <cellStyle name="Milliers 2 3 2 2 2 2 2 3 3 5" xfId="16758"/>
    <cellStyle name="Milliers 2 3 2 2 2 2 2 3 4" xfId="16759"/>
    <cellStyle name="Milliers 2 3 2 2 2 2 2 3 4 2" xfId="16760"/>
    <cellStyle name="Milliers 2 3 2 2 2 2 2 3 4 2 2" xfId="16761"/>
    <cellStyle name="Milliers 2 3 2 2 2 2 2 3 4 2 2 2" xfId="16762"/>
    <cellStyle name="Milliers 2 3 2 2 2 2 2 3 4 2 3" xfId="16763"/>
    <cellStyle name="Milliers 2 3 2 2 2 2 2 3 4 3" xfId="16764"/>
    <cellStyle name="Milliers 2 3 2 2 2 2 2 3 4 3 2" xfId="16765"/>
    <cellStyle name="Milliers 2 3 2 2 2 2 2 3 4 4" xfId="16766"/>
    <cellStyle name="Milliers 2 3 2 2 2 2 2 3 5" xfId="16767"/>
    <cellStyle name="Milliers 2 3 2 2 2 2 2 3 5 2" xfId="16768"/>
    <cellStyle name="Milliers 2 3 2 2 2 2 2 3 5 2 2" xfId="16769"/>
    <cellStyle name="Milliers 2 3 2 2 2 2 2 3 5 3" xfId="16770"/>
    <cellStyle name="Milliers 2 3 2 2 2 2 2 3 6" xfId="16771"/>
    <cellStyle name="Milliers 2 3 2 2 2 2 2 3 6 2" xfId="16772"/>
    <cellStyle name="Milliers 2 3 2 2 2 2 2 3 7" xfId="16773"/>
    <cellStyle name="Milliers 2 3 2 2 2 2 2 4" xfId="16774"/>
    <cellStyle name="Milliers 2 3 2 2 2 2 2 4 2" xfId="16775"/>
    <cellStyle name="Milliers 2 3 2 2 2 2 2 4 2 2" xfId="16776"/>
    <cellStyle name="Milliers 2 3 2 2 2 2 2 4 2 2 2" xfId="16777"/>
    <cellStyle name="Milliers 2 3 2 2 2 2 2 4 2 2 2 2" xfId="16778"/>
    <cellStyle name="Milliers 2 3 2 2 2 2 2 4 2 2 2 2 2" xfId="16779"/>
    <cellStyle name="Milliers 2 3 2 2 2 2 2 4 2 2 2 3" xfId="16780"/>
    <cellStyle name="Milliers 2 3 2 2 2 2 2 4 2 2 3" xfId="16781"/>
    <cellStyle name="Milliers 2 3 2 2 2 2 2 4 2 2 3 2" xfId="16782"/>
    <cellStyle name="Milliers 2 3 2 2 2 2 2 4 2 2 4" xfId="16783"/>
    <cellStyle name="Milliers 2 3 2 2 2 2 2 4 2 3" xfId="16784"/>
    <cellStyle name="Milliers 2 3 2 2 2 2 2 4 2 3 2" xfId="16785"/>
    <cellStyle name="Milliers 2 3 2 2 2 2 2 4 2 3 2 2" xfId="16786"/>
    <cellStyle name="Milliers 2 3 2 2 2 2 2 4 2 3 3" xfId="16787"/>
    <cellStyle name="Milliers 2 3 2 2 2 2 2 4 2 4" xfId="16788"/>
    <cellStyle name="Milliers 2 3 2 2 2 2 2 4 2 4 2" xfId="16789"/>
    <cellStyle name="Milliers 2 3 2 2 2 2 2 4 2 5" xfId="16790"/>
    <cellStyle name="Milliers 2 3 2 2 2 2 2 4 3" xfId="16791"/>
    <cellStyle name="Milliers 2 3 2 2 2 2 2 4 3 2" xfId="16792"/>
    <cellStyle name="Milliers 2 3 2 2 2 2 2 4 3 2 2" xfId="16793"/>
    <cellStyle name="Milliers 2 3 2 2 2 2 2 4 3 2 2 2" xfId="16794"/>
    <cellStyle name="Milliers 2 3 2 2 2 2 2 4 3 2 3" xfId="16795"/>
    <cellStyle name="Milliers 2 3 2 2 2 2 2 4 3 3" xfId="16796"/>
    <cellStyle name="Milliers 2 3 2 2 2 2 2 4 3 3 2" xfId="16797"/>
    <cellStyle name="Milliers 2 3 2 2 2 2 2 4 3 4" xfId="16798"/>
    <cellStyle name="Milliers 2 3 2 2 2 2 2 4 4" xfId="16799"/>
    <cellStyle name="Milliers 2 3 2 2 2 2 2 4 4 2" xfId="16800"/>
    <cellStyle name="Milliers 2 3 2 2 2 2 2 4 4 2 2" xfId="16801"/>
    <cellStyle name="Milliers 2 3 2 2 2 2 2 4 4 3" xfId="16802"/>
    <cellStyle name="Milliers 2 3 2 2 2 2 2 4 5" xfId="16803"/>
    <cellStyle name="Milliers 2 3 2 2 2 2 2 4 5 2" xfId="16804"/>
    <cellStyle name="Milliers 2 3 2 2 2 2 2 4 6" xfId="16805"/>
    <cellStyle name="Milliers 2 3 2 2 2 2 2 5" xfId="16806"/>
    <cellStyle name="Milliers 2 3 2 2 2 2 2 5 2" xfId="16807"/>
    <cellStyle name="Milliers 2 3 2 2 2 2 2 5 2 2" xfId="16808"/>
    <cellStyle name="Milliers 2 3 2 2 2 2 2 5 2 2 2" xfId="16809"/>
    <cellStyle name="Milliers 2 3 2 2 2 2 2 5 2 2 2 2" xfId="16810"/>
    <cellStyle name="Milliers 2 3 2 2 2 2 2 5 2 2 3" xfId="16811"/>
    <cellStyle name="Milliers 2 3 2 2 2 2 2 5 2 3" xfId="16812"/>
    <cellStyle name="Milliers 2 3 2 2 2 2 2 5 2 3 2" xfId="16813"/>
    <cellStyle name="Milliers 2 3 2 2 2 2 2 5 2 4" xfId="16814"/>
    <cellStyle name="Milliers 2 3 2 2 2 2 2 5 3" xfId="16815"/>
    <cellStyle name="Milliers 2 3 2 2 2 2 2 5 3 2" xfId="16816"/>
    <cellStyle name="Milliers 2 3 2 2 2 2 2 5 3 2 2" xfId="16817"/>
    <cellStyle name="Milliers 2 3 2 2 2 2 2 5 3 3" xfId="16818"/>
    <cellStyle name="Milliers 2 3 2 2 2 2 2 5 4" xfId="16819"/>
    <cellStyle name="Milliers 2 3 2 2 2 2 2 5 4 2" xfId="16820"/>
    <cellStyle name="Milliers 2 3 2 2 2 2 2 5 5" xfId="16821"/>
    <cellStyle name="Milliers 2 3 2 2 2 2 2 6" xfId="16822"/>
    <cellStyle name="Milliers 2 3 2 2 2 2 2 6 2" xfId="16823"/>
    <cellStyle name="Milliers 2 3 2 2 2 2 2 6 2 2" xfId="16824"/>
    <cellStyle name="Milliers 2 3 2 2 2 2 2 6 2 2 2" xfId="16825"/>
    <cellStyle name="Milliers 2 3 2 2 2 2 2 6 2 3" xfId="16826"/>
    <cellStyle name="Milliers 2 3 2 2 2 2 2 6 3" xfId="16827"/>
    <cellStyle name="Milliers 2 3 2 2 2 2 2 6 3 2" xfId="16828"/>
    <cellStyle name="Milliers 2 3 2 2 2 2 2 6 4" xfId="16829"/>
    <cellStyle name="Milliers 2 3 2 2 2 2 2 7" xfId="16830"/>
    <cellStyle name="Milliers 2 3 2 2 2 2 2 7 2" xfId="16831"/>
    <cellStyle name="Milliers 2 3 2 2 2 2 2 7 2 2" xfId="16832"/>
    <cellStyle name="Milliers 2 3 2 2 2 2 2 7 3" xfId="16833"/>
    <cellStyle name="Milliers 2 3 2 2 2 2 2 8" xfId="16834"/>
    <cellStyle name="Milliers 2 3 2 2 2 2 2 8 2" xfId="16835"/>
    <cellStyle name="Milliers 2 3 2 2 2 2 2 9" xfId="16836"/>
    <cellStyle name="Milliers 2 3 2 2 2 2 3" xfId="16837"/>
    <cellStyle name="Milliers 2 3 2 2 2 2 3 2" xfId="16838"/>
    <cellStyle name="Milliers 2 3 2 2 2 2 3 2 2" xfId="16839"/>
    <cellStyle name="Milliers 2 3 2 2 2 2 3 2 2 2" xfId="16840"/>
    <cellStyle name="Milliers 2 3 2 2 2 2 3 2 2 2 2" xfId="16841"/>
    <cellStyle name="Milliers 2 3 2 2 2 2 3 2 2 2 2 2" xfId="16842"/>
    <cellStyle name="Milliers 2 3 2 2 2 2 3 2 2 2 2 2 2" xfId="16843"/>
    <cellStyle name="Milliers 2 3 2 2 2 2 3 2 2 2 2 2 2 2" xfId="16844"/>
    <cellStyle name="Milliers 2 3 2 2 2 2 3 2 2 2 2 2 3" xfId="16845"/>
    <cellStyle name="Milliers 2 3 2 2 2 2 3 2 2 2 2 3" xfId="16846"/>
    <cellStyle name="Milliers 2 3 2 2 2 2 3 2 2 2 2 3 2" xfId="16847"/>
    <cellStyle name="Milliers 2 3 2 2 2 2 3 2 2 2 2 4" xfId="16848"/>
    <cellStyle name="Milliers 2 3 2 2 2 2 3 2 2 2 3" xfId="16849"/>
    <cellStyle name="Milliers 2 3 2 2 2 2 3 2 2 2 3 2" xfId="16850"/>
    <cellStyle name="Milliers 2 3 2 2 2 2 3 2 2 2 3 2 2" xfId="16851"/>
    <cellStyle name="Milliers 2 3 2 2 2 2 3 2 2 2 3 3" xfId="16852"/>
    <cellStyle name="Milliers 2 3 2 2 2 2 3 2 2 2 4" xfId="16853"/>
    <cellStyle name="Milliers 2 3 2 2 2 2 3 2 2 2 4 2" xfId="16854"/>
    <cellStyle name="Milliers 2 3 2 2 2 2 3 2 2 2 5" xfId="16855"/>
    <cellStyle name="Milliers 2 3 2 2 2 2 3 2 2 3" xfId="16856"/>
    <cellStyle name="Milliers 2 3 2 2 2 2 3 2 2 3 2" xfId="16857"/>
    <cellStyle name="Milliers 2 3 2 2 2 2 3 2 2 3 2 2" xfId="16858"/>
    <cellStyle name="Milliers 2 3 2 2 2 2 3 2 2 3 2 2 2" xfId="16859"/>
    <cellStyle name="Milliers 2 3 2 2 2 2 3 2 2 3 2 3" xfId="16860"/>
    <cellStyle name="Milliers 2 3 2 2 2 2 3 2 2 3 3" xfId="16861"/>
    <cellStyle name="Milliers 2 3 2 2 2 2 3 2 2 3 3 2" xfId="16862"/>
    <cellStyle name="Milliers 2 3 2 2 2 2 3 2 2 3 4" xfId="16863"/>
    <cellStyle name="Milliers 2 3 2 2 2 2 3 2 2 4" xfId="16864"/>
    <cellStyle name="Milliers 2 3 2 2 2 2 3 2 2 4 2" xfId="16865"/>
    <cellStyle name="Milliers 2 3 2 2 2 2 3 2 2 4 2 2" xfId="16866"/>
    <cellStyle name="Milliers 2 3 2 2 2 2 3 2 2 4 3" xfId="16867"/>
    <cellStyle name="Milliers 2 3 2 2 2 2 3 2 2 5" xfId="16868"/>
    <cellStyle name="Milliers 2 3 2 2 2 2 3 2 2 5 2" xfId="16869"/>
    <cellStyle name="Milliers 2 3 2 2 2 2 3 2 2 6" xfId="16870"/>
    <cellStyle name="Milliers 2 3 2 2 2 2 3 2 3" xfId="16871"/>
    <cellStyle name="Milliers 2 3 2 2 2 2 3 2 3 2" xfId="16872"/>
    <cellStyle name="Milliers 2 3 2 2 2 2 3 2 3 2 2" xfId="16873"/>
    <cellStyle name="Milliers 2 3 2 2 2 2 3 2 3 2 2 2" xfId="16874"/>
    <cellStyle name="Milliers 2 3 2 2 2 2 3 2 3 2 2 2 2" xfId="16875"/>
    <cellStyle name="Milliers 2 3 2 2 2 2 3 2 3 2 2 3" xfId="16876"/>
    <cellStyle name="Milliers 2 3 2 2 2 2 3 2 3 2 3" xfId="16877"/>
    <cellStyle name="Milliers 2 3 2 2 2 2 3 2 3 2 3 2" xfId="16878"/>
    <cellStyle name="Milliers 2 3 2 2 2 2 3 2 3 2 4" xfId="16879"/>
    <cellStyle name="Milliers 2 3 2 2 2 2 3 2 3 3" xfId="16880"/>
    <cellStyle name="Milliers 2 3 2 2 2 2 3 2 3 3 2" xfId="16881"/>
    <cellStyle name="Milliers 2 3 2 2 2 2 3 2 3 3 2 2" xfId="16882"/>
    <cellStyle name="Milliers 2 3 2 2 2 2 3 2 3 3 3" xfId="16883"/>
    <cellStyle name="Milliers 2 3 2 2 2 2 3 2 3 4" xfId="16884"/>
    <cellStyle name="Milliers 2 3 2 2 2 2 3 2 3 4 2" xfId="16885"/>
    <cellStyle name="Milliers 2 3 2 2 2 2 3 2 3 5" xfId="16886"/>
    <cellStyle name="Milliers 2 3 2 2 2 2 3 2 4" xfId="16887"/>
    <cellStyle name="Milliers 2 3 2 2 2 2 3 2 4 2" xfId="16888"/>
    <cellStyle name="Milliers 2 3 2 2 2 2 3 2 4 2 2" xfId="16889"/>
    <cellStyle name="Milliers 2 3 2 2 2 2 3 2 4 2 2 2" xfId="16890"/>
    <cellStyle name="Milliers 2 3 2 2 2 2 3 2 4 2 3" xfId="16891"/>
    <cellStyle name="Milliers 2 3 2 2 2 2 3 2 4 3" xfId="16892"/>
    <cellStyle name="Milliers 2 3 2 2 2 2 3 2 4 3 2" xfId="16893"/>
    <cellStyle name="Milliers 2 3 2 2 2 2 3 2 4 4" xfId="16894"/>
    <cellStyle name="Milliers 2 3 2 2 2 2 3 2 5" xfId="16895"/>
    <cellStyle name="Milliers 2 3 2 2 2 2 3 2 5 2" xfId="16896"/>
    <cellStyle name="Milliers 2 3 2 2 2 2 3 2 5 2 2" xfId="16897"/>
    <cellStyle name="Milliers 2 3 2 2 2 2 3 2 5 3" xfId="16898"/>
    <cellStyle name="Milliers 2 3 2 2 2 2 3 2 6" xfId="16899"/>
    <cellStyle name="Milliers 2 3 2 2 2 2 3 2 6 2" xfId="16900"/>
    <cellStyle name="Milliers 2 3 2 2 2 2 3 2 7" xfId="16901"/>
    <cellStyle name="Milliers 2 3 2 2 2 2 3 3" xfId="16902"/>
    <cellStyle name="Milliers 2 3 2 2 2 2 3 3 2" xfId="16903"/>
    <cellStyle name="Milliers 2 3 2 2 2 2 3 3 2 2" xfId="16904"/>
    <cellStyle name="Milliers 2 3 2 2 2 2 3 3 2 2 2" xfId="16905"/>
    <cellStyle name="Milliers 2 3 2 2 2 2 3 3 2 2 2 2" xfId="16906"/>
    <cellStyle name="Milliers 2 3 2 2 2 2 3 3 2 2 2 2 2" xfId="16907"/>
    <cellStyle name="Milliers 2 3 2 2 2 2 3 3 2 2 2 3" xfId="16908"/>
    <cellStyle name="Milliers 2 3 2 2 2 2 3 3 2 2 3" xfId="16909"/>
    <cellStyle name="Milliers 2 3 2 2 2 2 3 3 2 2 3 2" xfId="16910"/>
    <cellStyle name="Milliers 2 3 2 2 2 2 3 3 2 2 4" xfId="16911"/>
    <cellStyle name="Milliers 2 3 2 2 2 2 3 3 2 3" xfId="16912"/>
    <cellStyle name="Milliers 2 3 2 2 2 2 3 3 2 3 2" xfId="16913"/>
    <cellStyle name="Milliers 2 3 2 2 2 2 3 3 2 3 2 2" xfId="16914"/>
    <cellStyle name="Milliers 2 3 2 2 2 2 3 3 2 3 3" xfId="16915"/>
    <cellStyle name="Milliers 2 3 2 2 2 2 3 3 2 4" xfId="16916"/>
    <cellStyle name="Milliers 2 3 2 2 2 2 3 3 2 4 2" xfId="16917"/>
    <cellStyle name="Milliers 2 3 2 2 2 2 3 3 2 5" xfId="16918"/>
    <cellStyle name="Milliers 2 3 2 2 2 2 3 3 3" xfId="16919"/>
    <cellStyle name="Milliers 2 3 2 2 2 2 3 3 3 2" xfId="16920"/>
    <cellStyle name="Milliers 2 3 2 2 2 2 3 3 3 2 2" xfId="16921"/>
    <cellStyle name="Milliers 2 3 2 2 2 2 3 3 3 2 2 2" xfId="16922"/>
    <cellStyle name="Milliers 2 3 2 2 2 2 3 3 3 2 3" xfId="16923"/>
    <cellStyle name="Milliers 2 3 2 2 2 2 3 3 3 3" xfId="16924"/>
    <cellStyle name="Milliers 2 3 2 2 2 2 3 3 3 3 2" xfId="16925"/>
    <cellStyle name="Milliers 2 3 2 2 2 2 3 3 3 4" xfId="16926"/>
    <cellStyle name="Milliers 2 3 2 2 2 2 3 3 4" xfId="16927"/>
    <cellStyle name="Milliers 2 3 2 2 2 2 3 3 4 2" xfId="16928"/>
    <cellStyle name="Milliers 2 3 2 2 2 2 3 3 4 2 2" xfId="16929"/>
    <cellStyle name="Milliers 2 3 2 2 2 2 3 3 4 3" xfId="16930"/>
    <cellStyle name="Milliers 2 3 2 2 2 2 3 3 5" xfId="16931"/>
    <cellStyle name="Milliers 2 3 2 2 2 2 3 3 5 2" xfId="16932"/>
    <cellStyle name="Milliers 2 3 2 2 2 2 3 3 6" xfId="16933"/>
    <cellStyle name="Milliers 2 3 2 2 2 2 3 4" xfId="16934"/>
    <cellStyle name="Milliers 2 3 2 2 2 2 3 4 2" xfId="16935"/>
    <cellStyle name="Milliers 2 3 2 2 2 2 3 4 2 2" xfId="16936"/>
    <cellStyle name="Milliers 2 3 2 2 2 2 3 4 2 2 2" xfId="16937"/>
    <cellStyle name="Milliers 2 3 2 2 2 2 3 4 2 2 2 2" xfId="16938"/>
    <cellStyle name="Milliers 2 3 2 2 2 2 3 4 2 2 3" xfId="16939"/>
    <cellStyle name="Milliers 2 3 2 2 2 2 3 4 2 3" xfId="16940"/>
    <cellStyle name="Milliers 2 3 2 2 2 2 3 4 2 3 2" xfId="16941"/>
    <cellStyle name="Milliers 2 3 2 2 2 2 3 4 2 4" xfId="16942"/>
    <cellStyle name="Milliers 2 3 2 2 2 2 3 4 3" xfId="16943"/>
    <cellStyle name="Milliers 2 3 2 2 2 2 3 4 3 2" xfId="16944"/>
    <cellStyle name="Milliers 2 3 2 2 2 2 3 4 3 2 2" xfId="16945"/>
    <cellStyle name="Milliers 2 3 2 2 2 2 3 4 3 3" xfId="16946"/>
    <cellStyle name="Milliers 2 3 2 2 2 2 3 4 4" xfId="16947"/>
    <cellStyle name="Milliers 2 3 2 2 2 2 3 4 4 2" xfId="16948"/>
    <cellStyle name="Milliers 2 3 2 2 2 2 3 4 5" xfId="16949"/>
    <cellStyle name="Milliers 2 3 2 2 2 2 3 5" xfId="16950"/>
    <cellStyle name="Milliers 2 3 2 2 2 2 3 5 2" xfId="16951"/>
    <cellStyle name="Milliers 2 3 2 2 2 2 3 5 2 2" xfId="16952"/>
    <cellStyle name="Milliers 2 3 2 2 2 2 3 5 2 2 2" xfId="16953"/>
    <cellStyle name="Milliers 2 3 2 2 2 2 3 5 2 3" xfId="16954"/>
    <cellStyle name="Milliers 2 3 2 2 2 2 3 5 3" xfId="16955"/>
    <cellStyle name="Milliers 2 3 2 2 2 2 3 5 3 2" xfId="16956"/>
    <cellStyle name="Milliers 2 3 2 2 2 2 3 5 4" xfId="16957"/>
    <cellStyle name="Milliers 2 3 2 2 2 2 3 6" xfId="16958"/>
    <cellStyle name="Milliers 2 3 2 2 2 2 3 6 2" xfId="16959"/>
    <cellStyle name="Milliers 2 3 2 2 2 2 3 6 2 2" xfId="16960"/>
    <cellStyle name="Milliers 2 3 2 2 2 2 3 6 3" xfId="16961"/>
    <cellStyle name="Milliers 2 3 2 2 2 2 3 7" xfId="16962"/>
    <cellStyle name="Milliers 2 3 2 2 2 2 3 7 2" xfId="16963"/>
    <cellStyle name="Milliers 2 3 2 2 2 2 3 8" xfId="16964"/>
    <cellStyle name="Milliers 2 3 2 2 2 2 4" xfId="16965"/>
    <cellStyle name="Milliers 2 3 2 2 2 2 4 2" xfId="16966"/>
    <cellStyle name="Milliers 2 3 2 2 2 2 4 2 2" xfId="16967"/>
    <cellStyle name="Milliers 2 3 2 2 2 2 4 2 2 2" xfId="16968"/>
    <cellStyle name="Milliers 2 3 2 2 2 2 4 2 2 2 2" xfId="16969"/>
    <cellStyle name="Milliers 2 3 2 2 2 2 4 2 2 2 2 2" xfId="16970"/>
    <cellStyle name="Milliers 2 3 2 2 2 2 4 2 2 2 2 2 2" xfId="16971"/>
    <cellStyle name="Milliers 2 3 2 2 2 2 4 2 2 2 2 3" xfId="16972"/>
    <cellStyle name="Milliers 2 3 2 2 2 2 4 2 2 2 3" xfId="16973"/>
    <cellStyle name="Milliers 2 3 2 2 2 2 4 2 2 2 3 2" xfId="16974"/>
    <cellStyle name="Milliers 2 3 2 2 2 2 4 2 2 2 4" xfId="16975"/>
    <cellStyle name="Milliers 2 3 2 2 2 2 4 2 2 3" xfId="16976"/>
    <cellStyle name="Milliers 2 3 2 2 2 2 4 2 2 3 2" xfId="16977"/>
    <cellStyle name="Milliers 2 3 2 2 2 2 4 2 2 3 2 2" xfId="16978"/>
    <cellStyle name="Milliers 2 3 2 2 2 2 4 2 2 3 3" xfId="16979"/>
    <cellStyle name="Milliers 2 3 2 2 2 2 4 2 2 4" xfId="16980"/>
    <cellStyle name="Milliers 2 3 2 2 2 2 4 2 2 4 2" xfId="16981"/>
    <cellStyle name="Milliers 2 3 2 2 2 2 4 2 2 5" xfId="16982"/>
    <cellStyle name="Milliers 2 3 2 2 2 2 4 2 3" xfId="16983"/>
    <cellStyle name="Milliers 2 3 2 2 2 2 4 2 3 2" xfId="16984"/>
    <cellStyle name="Milliers 2 3 2 2 2 2 4 2 3 2 2" xfId="16985"/>
    <cellStyle name="Milliers 2 3 2 2 2 2 4 2 3 2 2 2" xfId="16986"/>
    <cellStyle name="Milliers 2 3 2 2 2 2 4 2 3 2 3" xfId="16987"/>
    <cellStyle name="Milliers 2 3 2 2 2 2 4 2 3 3" xfId="16988"/>
    <cellStyle name="Milliers 2 3 2 2 2 2 4 2 3 3 2" xfId="16989"/>
    <cellStyle name="Milliers 2 3 2 2 2 2 4 2 3 4" xfId="16990"/>
    <cellStyle name="Milliers 2 3 2 2 2 2 4 2 4" xfId="16991"/>
    <cellStyle name="Milliers 2 3 2 2 2 2 4 2 4 2" xfId="16992"/>
    <cellStyle name="Milliers 2 3 2 2 2 2 4 2 4 2 2" xfId="16993"/>
    <cellStyle name="Milliers 2 3 2 2 2 2 4 2 4 3" xfId="16994"/>
    <cellStyle name="Milliers 2 3 2 2 2 2 4 2 5" xfId="16995"/>
    <cellStyle name="Milliers 2 3 2 2 2 2 4 2 5 2" xfId="16996"/>
    <cellStyle name="Milliers 2 3 2 2 2 2 4 2 6" xfId="16997"/>
    <cellStyle name="Milliers 2 3 2 2 2 2 4 3" xfId="16998"/>
    <cellStyle name="Milliers 2 3 2 2 2 2 4 3 2" xfId="16999"/>
    <cellStyle name="Milliers 2 3 2 2 2 2 4 3 2 2" xfId="17000"/>
    <cellStyle name="Milliers 2 3 2 2 2 2 4 3 2 2 2" xfId="17001"/>
    <cellStyle name="Milliers 2 3 2 2 2 2 4 3 2 2 2 2" xfId="17002"/>
    <cellStyle name="Milliers 2 3 2 2 2 2 4 3 2 2 3" xfId="17003"/>
    <cellStyle name="Milliers 2 3 2 2 2 2 4 3 2 3" xfId="17004"/>
    <cellStyle name="Milliers 2 3 2 2 2 2 4 3 2 3 2" xfId="17005"/>
    <cellStyle name="Milliers 2 3 2 2 2 2 4 3 2 4" xfId="17006"/>
    <cellStyle name="Milliers 2 3 2 2 2 2 4 3 3" xfId="17007"/>
    <cellStyle name="Milliers 2 3 2 2 2 2 4 3 3 2" xfId="17008"/>
    <cellStyle name="Milliers 2 3 2 2 2 2 4 3 3 2 2" xfId="17009"/>
    <cellStyle name="Milliers 2 3 2 2 2 2 4 3 3 3" xfId="17010"/>
    <cellStyle name="Milliers 2 3 2 2 2 2 4 3 4" xfId="17011"/>
    <cellStyle name="Milliers 2 3 2 2 2 2 4 3 4 2" xfId="17012"/>
    <cellStyle name="Milliers 2 3 2 2 2 2 4 3 5" xfId="17013"/>
    <cellStyle name="Milliers 2 3 2 2 2 2 4 4" xfId="17014"/>
    <cellStyle name="Milliers 2 3 2 2 2 2 4 4 2" xfId="17015"/>
    <cellStyle name="Milliers 2 3 2 2 2 2 4 4 2 2" xfId="17016"/>
    <cellStyle name="Milliers 2 3 2 2 2 2 4 4 2 2 2" xfId="17017"/>
    <cellStyle name="Milliers 2 3 2 2 2 2 4 4 2 3" xfId="17018"/>
    <cellStyle name="Milliers 2 3 2 2 2 2 4 4 3" xfId="17019"/>
    <cellStyle name="Milliers 2 3 2 2 2 2 4 4 3 2" xfId="17020"/>
    <cellStyle name="Milliers 2 3 2 2 2 2 4 4 4" xfId="17021"/>
    <cellStyle name="Milliers 2 3 2 2 2 2 4 5" xfId="17022"/>
    <cellStyle name="Milliers 2 3 2 2 2 2 4 5 2" xfId="17023"/>
    <cellStyle name="Milliers 2 3 2 2 2 2 4 5 2 2" xfId="17024"/>
    <cellStyle name="Milliers 2 3 2 2 2 2 4 5 3" xfId="17025"/>
    <cellStyle name="Milliers 2 3 2 2 2 2 4 6" xfId="17026"/>
    <cellStyle name="Milliers 2 3 2 2 2 2 4 6 2" xfId="17027"/>
    <cellStyle name="Milliers 2 3 2 2 2 2 4 7" xfId="17028"/>
    <cellStyle name="Milliers 2 3 2 2 2 2 5" xfId="17029"/>
    <cellStyle name="Milliers 2 3 2 2 2 2 5 2" xfId="17030"/>
    <cellStyle name="Milliers 2 3 2 2 2 2 5 2 2" xfId="17031"/>
    <cellStyle name="Milliers 2 3 2 2 2 2 5 2 2 2" xfId="17032"/>
    <cellStyle name="Milliers 2 3 2 2 2 2 5 2 2 2 2" xfId="17033"/>
    <cellStyle name="Milliers 2 3 2 2 2 2 5 2 2 2 2 2" xfId="17034"/>
    <cellStyle name="Milliers 2 3 2 2 2 2 5 2 2 2 3" xfId="17035"/>
    <cellStyle name="Milliers 2 3 2 2 2 2 5 2 2 3" xfId="17036"/>
    <cellStyle name="Milliers 2 3 2 2 2 2 5 2 2 3 2" xfId="17037"/>
    <cellStyle name="Milliers 2 3 2 2 2 2 5 2 2 4" xfId="17038"/>
    <cellStyle name="Milliers 2 3 2 2 2 2 5 2 3" xfId="17039"/>
    <cellStyle name="Milliers 2 3 2 2 2 2 5 2 3 2" xfId="17040"/>
    <cellStyle name="Milliers 2 3 2 2 2 2 5 2 3 2 2" xfId="17041"/>
    <cellStyle name="Milliers 2 3 2 2 2 2 5 2 3 3" xfId="17042"/>
    <cellStyle name="Milliers 2 3 2 2 2 2 5 2 4" xfId="17043"/>
    <cellStyle name="Milliers 2 3 2 2 2 2 5 2 4 2" xfId="17044"/>
    <cellStyle name="Milliers 2 3 2 2 2 2 5 2 5" xfId="17045"/>
    <cellStyle name="Milliers 2 3 2 2 2 2 5 3" xfId="17046"/>
    <cellStyle name="Milliers 2 3 2 2 2 2 5 3 2" xfId="17047"/>
    <cellStyle name="Milliers 2 3 2 2 2 2 5 3 2 2" xfId="17048"/>
    <cellStyle name="Milliers 2 3 2 2 2 2 5 3 2 2 2" xfId="17049"/>
    <cellStyle name="Milliers 2 3 2 2 2 2 5 3 2 3" xfId="17050"/>
    <cellStyle name="Milliers 2 3 2 2 2 2 5 3 3" xfId="17051"/>
    <cellStyle name="Milliers 2 3 2 2 2 2 5 3 3 2" xfId="17052"/>
    <cellStyle name="Milliers 2 3 2 2 2 2 5 3 4" xfId="17053"/>
    <cellStyle name="Milliers 2 3 2 2 2 2 5 4" xfId="17054"/>
    <cellStyle name="Milliers 2 3 2 2 2 2 5 4 2" xfId="17055"/>
    <cellStyle name="Milliers 2 3 2 2 2 2 5 4 2 2" xfId="17056"/>
    <cellStyle name="Milliers 2 3 2 2 2 2 5 4 3" xfId="17057"/>
    <cellStyle name="Milliers 2 3 2 2 2 2 5 5" xfId="17058"/>
    <cellStyle name="Milliers 2 3 2 2 2 2 5 5 2" xfId="17059"/>
    <cellStyle name="Milliers 2 3 2 2 2 2 5 6" xfId="17060"/>
    <cellStyle name="Milliers 2 3 2 2 2 2 6" xfId="17061"/>
    <cellStyle name="Milliers 2 3 2 2 2 2 6 2" xfId="17062"/>
    <cellStyle name="Milliers 2 3 2 2 2 2 6 2 2" xfId="17063"/>
    <cellStyle name="Milliers 2 3 2 2 2 2 6 2 2 2" xfId="17064"/>
    <cellStyle name="Milliers 2 3 2 2 2 2 6 2 2 2 2" xfId="17065"/>
    <cellStyle name="Milliers 2 3 2 2 2 2 6 2 2 3" xfId="17066"/>
    <cellStyle name="Milliers 2 3 2 2 2 2 6 2 3" xfId="17067"/>
    <cellStyle name="Milliers 2 3 2 2 2 2 6 2 3 2" xfId="17068"/>
    <cellStyle name="Milliers 2 3 2 2 2 2 6 2 4" xfId="17069"/>
    <cellStyle name="Milliers 2 3 2 2 2 2 6 3" xfId="17070"/>
    <cellStyle name="Milliers 2 3 2 2 2 2 6 3 2" xfId="17071"/>
    <cellStyle name="Milliers 2 3 2 2 2 2 6 3 2 2" xfId="17072"/>
    <cellStyle name="Milliers 2 3 2 2 2 2 6 3 3" xfId="17073"/>
    <cellStyle name="Milliers 2 3 2 2 2 2 6 4" xfId="17074"/>
    <cellStyle name="Milliers 2 3 2 2 2 2 6 4 2" xfId="17075"/>
    <cellStyle name="Milliers 2 3 2 2 2 2 6 5" xfId="17076"/>
    <cellStyle name="Milliers 2 3 2 2 2 2 7" xfId="17077"/>
    <cellStyle name="Milliers 2 3 2 2 2 2 7 2" xfId="17078"/>
    <cellStyle name="Milliers 2 3 2 2 2 2 7 2 2" xfId="17079"/>
    <cellStyle name="Milliers 2 3 2 2 2 2 7 2 2 2" xfId="17080"/>
    <cellStyle name="Milliers 2 3 2 2 2 2 7 2 3" xfId="17081"/>
    <cellStyle name="Milliers 2 3 2 2 2 2 7 3" xfId="17082"/>
    <cellStyle name="Milliers 2 3 2 2 2 2 7 3 2" xfId="17083"/>
    <cellStyle name="Milliers 2 3 2 2 2 2 7 4" xfId="17084"/>
    <cellStyle name="Milliers 2 3 2 2 2 2 8" xfId="17085"/>
    <cellStyle name="Milliers 2 3 2 2 2 2 8 2" xfId="17086"/>
    <cellStyle name="Milliers 2 3 2 2 2 2 8 2 2" xfId="17087"/>
    <cellStyle name="Milliers 2 3 2 2 2 2 8 3" xfId="17088"/>
    <cellStyle name="Milliers 2 3 2 2 2 2 9" xfId="17089"/>
    <cellStyle name="Milliers 2 3 2 2 2 2 9 2" xfId="17090"/>
    <cellStyle name="Milliers 2 3 2 2 2 3" xfId="17091"/>
    <cellStyle name="Milliers 2 3 2 2 2 3 2" xfId="17092"/>
    <cellStyle name="Milliers 2 3 2 2 2 3 2 2" xfId="17093"/>
    <cellStyle name="Milliers 2 3 2 2 2 3 2 2 2" xfId="17094"/>
    <cellStyle name="Milliers 2 3 2 2 2 3 2 2 2 2" xfId="17095"/>
    <cellStyle name="Milliers 2 3 2 2 2 3 2 2 2 2 2" xfId="17096"/>
    <cellStyle name="Milliers 2 3 2 2 2 3 2 2 2 2 2 2" xfId="17097"/>
    <cellStyle name="Milliers 2 3 2 2 2 3 2 2 2 2 2 2 2" xfId="17098"/>
    <cellStyle name="Milliers 2 3 2 2 2 3 2 2 2 2 2 2 2 2" xfId="17099"/>
    <cellStyle name="Milliers 2 3 2 2 2 3 2 2 2 2 2 2 3" xfId="17100"/>
    <cellStyle name="Milliers 2 3 2 2 2 3 2 2 2 2 2 3" xfId="17101"/>
    <cellStyle name="Milliers 2 3 2 2 2 3 2 2 2 2 2 3 2" xfId="17102"/>
    <cellStyle name="Milliers 2 3 2 2 2 3 2 2 2 2 2 4" xfId="17103"/>
    <cellStyle name="Milliers 2 3 2 2 2 3 2 2 2 2 3" xfId="17104"/>
    <cellStyle name="Milliers 2 3 2 2 2 3 2 2 2 2 3 2" xfId="17105"/>
    <cellStyle name="Milliers 2 3 2 2 2 3 2 2 2 2 3 2 2" xfId="17106"/>
    <cellStyle name="Milliers 2 3 2 2 2 3 2 2 2 2 3 3" xfId="17107"/>
    <cellStyle name="Milliers 2 3 2 2 2 3 2 2 2 2 4" xfId="17108"/>
    <cellStyle name="Milliers 2 3 2 2 2 3 2 2 2 2 4 2" xfId="17109"/>
    <cellStyle name="Milliers 2 3 2 2 2 3 2 2 2 2 5" xfId="17110"/>
    <cellStyle name="Milliers 2 3 2 2 2 3 2 2 2 3" xfId="17111"/>
    <cellStyle name="Milliers 2 3 2 2 2 3 2 2 2 3 2" xfId="17112"/>
    <cellStyle name="Milliers 2 3 2 2 2 3 2 2 2 3 2 2" xfId="17113"/>
    <cellStyle name="Milliers 2 3 2 2 2 3 2 2 2 3 2 2 2" xfId="17114"/>
    <cellStyle name="Milliers 2 3 2 2 2 3 2 2 2 3 2 3" xfId="17115"/>
    <cellStyle name="Milliers 2 3 2 2 2 3 2 2 2 3 3" xfId="17116"/>
    <cellStyle name="Milliers 2 3 2 2 2 3 2 2 2 3 3 2" xfId="17117"/>
    <cellStyle name="Milliers 2 3 2 2 2 3 2 2 2 3 4" xfId="17118"/>
    <cellStyle name="Milliers 2 3 2 2 2 3 2 2 2 4" xfId="17119"/>
    <cellStyle name="Milliers 2 3 2 2 2 3 2 2 2 4 2" xfId="17120"/>
    <cellStyle name="Milliers 2 3 2 2 2 3 2 2 2 4 2 2" xfId="17121"/>
    <cellStyle name="Milliers 2 3 2 2 2 3 2 2 2 4 3" xfId="17122"/>
    <cellStyle name="Milliers 2 3 2 2 2 3 2 2 2 5" xfId="17123"/>
    <cellStyle name="Milliers 2 3 2 2 2 3 2 2 2 5 2" xfId="17124"/>
    <cellStyle name="Milliers 2 3 2 2 2 3 2 2 2 6" xfId="17125"/>
    <cellStyle name="Milliers 2 3 2 2 2 3 2 2 3" xfId="17126"/>
    <cellStyle name="Milliers 2 3 2 2 2 3 2 2 3 2" xfId="17127"/>
    <cellStyle name="Milliers 2 3 2 2 2 3 2 2 3 2 2" xfId="17128"/>
    <cellStyle name="Milliers 2 3 2 2 2 3 2 2 3 2 2 2" xfId="17129"/>
    <cellStyle name="Milliers 2 3 2 2 2 3 2 2 3 2 2 2 2" xfId="17130"/>
    <cellStyle name="Milliers 2 3 2 2 2 3 2 2 3 2 2 3" xfId="17131"/>
    <cellStyle name="Milliers 2 3 2 2 2 3 2 2 3 2 3" xfId="17132"/>
    <cellStyle name="Milliers 2 3 2 2 2 3 2 2 3 2 3 2" xfId="17133"/>
    <cellStyle name="Milliers 2 3 2 2 2 3 2 2 3 2 4" xfId="17134"/>
    <cellStyle name="Milliers 2 3 2 2 2 3 2 2 3 3" xfId="17135"/>
    <cellStyle name="Milliers 2 3 2 2 2 3 2 2 3 3 2" xfId="17136"/>
    <cellStyle name="Milliers 2 3 2 2 2 3 2 2 3 3 2 2" xfId="17137"/>
    <cellStyle name="Milliers 2 3 2 2 2 3 2 2 3 3 3" xfId="17138"/>
    <cellStyle name="Milliers 2 3 2 2 2 3 2 2 3 4" xfId="17139"/>
    <cellStyle name="Milliers 2 3 2 2 2 3 2 2 3 4 2" xfId="17140"/>
    <cellStyle name="Milliers 2 3 2 2 2 3 2 2 3 5" xfId="17141"/>
    <cellStyle name="Milliers 2 3 2 2 2 3 2 2 4" xfId="17142"/>
    <cellStyle name="Milliers 2 3 2 2 2 3 2 2 4 2" xfId="17143"/>
    <cellStyle name="Milliers 2 3 2 2 2 3 2 2 4 2 2" xfId="17144"/>
    <cellStyle name="Milliers 2 3 2 2 2 3 2 2 4 2 2 2" xfId="17145"/>
    <cellStyle name="Milliers 2 3 2 2 2 3 2 2 4 2 3" xfId="17146"/>
    <cellStyle name="Milliers 2 3 2 2 2 3 2 2 4 3" xfId="17147"/>
    <cellStyle name="Milliers 2 3 2 2 2 3 2 2 4 3 2" xfId="17148"/>
    <cellStyle name="Milliers 2 3 2 2 2 3 2 2 4 4" xfId="17149"/>
    <cellStyle name="Milliers 2 3 2 2 2 3 2 2 5" xfId="17150"/>
    <cellStyle name="Milliers 2 3 2 2 2 3 2 2 5 2" xfId="17151"/>
    <cellStyle name="Milliers 2 3 2 2 2 3 2 2 5 2 2" xfId="17152"/>
    <cellStyle name="Milliers 2 3 2 2 2 3 2 2 5 3" xfId="17153"/>
    <cellStyle name="Milliers 2 3 2 2 2 3 2 2 6" xfId="17154"/>
    <cellStyle name="Milliers 2 3 2 2 2 3 2 2 6 2" xfId="17155"/>
    <cellStyle name="Milliers 2 3 2 2 2 3 2 2 7" xfId="17156"/>
    <cellStyle name="Milliers 2 3 2 2 2 3 2 3" xfId="17157"/>
    <cellStyle name="Milliers 2 3 2 2 2 3 2 3 2" xfId="17158"/>
    <cellStyle name="Milliers 2 3 2 2 2 3 2 3 2 2" xfId="17159"/>
    <cellStyle name="Milliers 2 3 2 2 2 3 2 3 2 2 2" xfId="17160"/>
    <cellStyle name="Milliers 2 3 2 2 2 3 2 3 2 2 2 2" xfId="17161"/>
    <cellStyle name="Milliers 2 3 2 2 2 3 2 3 2 2 2 2 2" xfId="17162"/>
    <cellStyle name="Milliers 2 3 2 2 2 3 2 3 2 2 2 3" xfId="17163"/>
    <cellStyle name="Milliers 2 3 2 2 2 3 2 3 2 2 3" xfId="17164"/>
    <cellStyle name="Milliers 2 3 2 2 2 3 2 3 2 2 3 2" xfId="17165"/>
    <cellStyle name="Milliers 2 3 2 2 2 3 2 3 2 2 4" xfId="17166"/>
    <cellStyle name="Milliers 2 3 2 2 2 3 2 3 2 3" xfId="17167"/>
    <cellStyle name="Milliers 2 3 2 2 2 3 2 3 2 3 2" xfId="17168"/>
    <cellStyle name="Milliers 2 3 2 2 2 3 2 3 2 3 2 2" xfId="17169"/>
    <cellStyle name="Milliers 2 3 2 2 2 3 2 3 2 3 3" xfId="17170"/>
    <cellStyle name="Milliers 2 3 2 2 2 3 2 3 2 4" xfId="17171"/>
    <cellStyle name="Milliers 2 3 2 2 2 3 2 3 2 4 2" xfId="17172"/>
    <cellStyle name="Milliers 2 3 2 2 2 3 2 3 2 5" xfId="17173"/>
    <cellStyle name="Milliers 2 3 2 2 2 3 2 3 3" xfId="17174"/>
    <cellStyle name="Milliers 2 3 2 2 2 3 2 3 3 2" xfId="17175"/>
    <cellStyle name="Milliers 2 3 2 2 2 3 2 3 3 2 2" xfId="17176"/>
    <cellStyle name="Milliers 2 3 2 2 2 3 2 3 3 2 2 2" xfId="17177"/>
    <cellStyle name="Milliers 2 3 2 2 2 3 2 3 3 2 3" xfId="17178"/>
    <cellStyle name="Milliers 2 3 2 2 2 3 2 3 3 3" xfId="17179"/>
    <cellStyle name="Milliers 2 3 2 2 2 3 2 3 3 3 2" xfId="17180"/>
    <cellStyle name="Milliers 2 3 2 2 2 3 2 3 3 4" xfId="17181"/>
    <cellStyle name="Milliers 2 3 2 2 2 3 2 3 4" xfId="17182"/>
    <cellStyle name="Milliers 2 3 2 2 2 3 2 3 4 2" xfId="17183"/>
    <cellStyle name="Milliers 2 3 2 2 2 3 2 3 4 2 2" xfId="17184"/>
    <cellStyle name="Milliers 2 3 2 2 2 3 2 3 4 3" xfId="17185"/>
    <cellStyle name="Milliers 2 3 2 2 2 3 2 3 5" xfId="17186"/>
    <cellStyle name="Milliers 2 3 2 2 2 3 2 3 5 2" xfId="17187"/>
    <cellStyle name="Milliers 2 3 2 2 2 3 2 3 6" xfId="17188"/>
    <cellStyle name="Milliers 2 3 2 2 2 3 2 4" xfId="17189"/>
    <cellStyle name="Milliers 2 3 2 2 2 3 2 4 2" xfId="17190"/>
    <cellStyle name="Milliers 2 3 2 2 2 3 2 4 2 2" xfId="17191"/>
    <cellStyle name="Milliers 2 3 2 2 2 3 2 4 2 2 2" xfId="17192"/>
    <cellStyle name="Milliers 2 3 2 2 2 3 2 4 2 2 2 2" xfId="17193"/>
    <cellStyle name="Milliers 2 3 2 2 2 3 2 4 2 2 3" xfId="17194"/>
    <cellStyle name="Milliers 2 3 2 2 2 3 2 4 2 3" xfId="17195"/>
    <cellStyle name="Milliers 2 3 2 2 2 3 2 4 2 3 2" xfId="17196"/>
    <cellStyle name="Milliers 2 3 2 2 2 3 2 4 2 4" xfId="17197"/>
    <cellStyle name="Milliers 2 3 2 2 2 3 2 4 3" xfId="17198"/>
    <cellStyle name="Milliers 2 3 2 2 2 3 2 4 3 2" xfId="17199"/>
    <cellStyle name="Milliers 2 3 2 2 2 3 2 4 3 2 2" xfId="17200"/>
    <cellStyle name="Milliers 2 3 2 2 2 3 2 4 3 3" xfId="17201"/>
    <cellStyle name="Milliers 2 3 2 2 2 3 2 4 4" xfId="17202"/>
    <cellStyle name="Milliers 2 3 2 2 2 3 2 4 4 2" xfId="17203"/>
    <cellStyle name="Milliers 2 3 2 2 2 3 2 4 5" xfId="17204"/>
    <cellStyle name="Milliers 2 3 2 2 2 3 2 5" xfId="17205"/>
    <cellStyle name="Milliers 2 3 2 2 2 3 2 5 2" xfId="17206"/>
    <cellStyle name="Milliers 2 3 2 2 2 3 2 5 2 2" xfId="17207"/>
    <cellStyle name="Milliers 2 3 2 2 2 3 2 5 2 2 2" xfId="17208"/>
    <cellStyle name="Milliers 2 3 2 2 2 3 2 5 2 3" xfId="17209"/>
    <cellStyle name="Milliers 2 3 2 2 2 3 2 5 3" xfId="17210"/>
    <cellStyle name="Milliers 2 3 2 2 2 3 2 5 3 2" xfId="17211"/>
    <cellStyle name="Milliers 2 3 2 2 2 3 2 5 4" xfId="17212"/>
    <cellStyle name="Milliers 2 3 2 2 2 3 2 6" xfId="17213"/>
    <cellStyle name="Milliers 2 3 2 2 2 3 2 6 2" xfId="17214"/>
    <cellStyle name="Milliers 2 3 2 2 2 3 2 6 2 2" xfId="17215"/>
    <cellStyle name="Milliers 2 3 2 2 2 3 2 6 3" xfId="17216"/>
    <cellStyle name="Milliers 2 3 2 2 2 3 2 7" xfId="17217"/>
    <cellStyle name="Milliers 2 3 2 2 2 3 2 7 2" xfId="17218"/>
    <cellStyle name="Milliers 2 3 2 2 2 3 2 8" xfId="17219"/>
    <cellStyle name="Milliers 2 3 2 2 2 3 3" xfId="17220"/>
    <cellStyle name="Milliers 2 3 2 2 2 3 3 2" xfId="17221"/>
    <cellStyle name="Milliers 2 3 2 2 2 3 3 2 2" xfId="17222"/>
    <cellStyle name="Milliers 2 3 2 2 2 3 3 2 2 2" xfId="17223"/>
    <cellStyle name="Milliers 2 3 2 2 2 3 3 2 2 2 2" xfId="17224"/>
    <cellStyle name="Milliers 2 3 2 2 2 3 3 2 2 2 2 2" xfId="17225"/>
    <cellStyle name="Milliers 2 3 2 2 2 3 3 2 2 2 2 2 2" xfId="17226"/>
    <cellStyle name="Milliers 2 3 2 2 2 3 3 2 2 2 2 3" xfId="17227"/>
    <cellStyle name="Milliers 2 3 2 2 2 3 3 2 2 2 3" xfId="17228"/>
    <cellStyle name="Milliers 2 3 2 2 2 3 3 2 2 2 3 2" xfId="17229"/>
    <cellStyle name="Milliers 2 3 2 2 2 3 3 2 2 2 4" xfId="17230"/>
    <cellStyle name="Milliers 2 3 2 2 2 3 3 2 2 3" xfId="17231"/>
    <cellStyle name="Milliers 2 3 2 2 2 3 3 2 2 3 2" xfId="17232"/>
    <cellStyle name="Milliers 2 3 2 2 2 3 3 2 2 3 2 2" xfId="17233"/>
    <cellStyle name="Milliers 2 3 2 2 2 3 3 2 2 3 3" xfId="17234"/>
    <cellStyle name="Milliers 2 3 2 2 2 3 3 2 2 4" xfId="17235"/>
    <cellStyle name="Milliers 2 3 2 2 2 3 3 2 2 4 2" xfId="17236"/>
    <cellStyle name="Milliers 2 3 2 2 2 3 3 2 2 5" xfId="17237"/>
    <cellStyle name="Milliers 2 3 2 2 2 3 3 2 3" xfId="17238"/>
    <cellStyle name="Milliers 2 3 2 2 2 3 3 2 3 2" xfId="17239"/>
    <cellStyle name="Milliers 2 3 2 2 2 3 3 2 3 2 2" xfId="17240"/>
    <cellStyle name="Milliers 2 3 2 2 2 3 3 2 3 2 2 2" xfId="17241"/>
    <cellStyle name="Milliers 2 3 2 2 2 3 3 2 3 2 3" xfId="17242"/>
    <cellStyle name="Milliers 2 3 2 2 2 3 3 2 3 3" xfId="17243"/>
    <cellStyle name="Milliers 2 3 2 2 2 3 3 2 3 3 2" xfId="17244"/>
    <cellStyle name="Milliers 2 3 2 2 2 3 3 2 3 4" xfId="17245"/>
    <cellStyle name="Milliers 2 3 2 2 2 3 3 2 4" xfId="17246"/>
    <cellStyle name="Milliers 2 3 2 2 2 3 3 2 4 2" xfId="17247"/>
    <cellStyle name="Milliers 2 3 2 2 2 3 3 2 4 2 2" xfId="17248"/>
    <cellStyle name="Milliers 2 3 2 2 2 3 3 2 4 3" xfId="17249"/>
    <cellStyle name="Milliers 2 3 2 2 2 3 3 2 5" xfId="17250"/>
    <cellStyle name="Milliers 2 3 2 2 2 3 3 2 5 2" xfId="17251"/>
    <cellStyle name="Milliers 2 3 2 2 2 3 3 2 6" xfId="17252"/>
    <cellStyle name="Milliers 2 3 2 2 2 3 3 3" xfId="17253"/>
    <cellStyle name="Milliers 2 3 2 2 2 3 3 3 2" xfId="17254"/>
    <cellStyle name="Milliers 2 3 2 2 2 3 3 3 2 2" xfId="17255"/>
    <cellStyle name="Milliers 2 3 2 2 2 3 3 3 2 2 2" xfId="17256"/>
    <cellStyle name="Milliers 2 3 2 2 2 3 3 3 2 2 2 2" xfId="17257"/>
    <cellStyle name="Milliers 2 3 2 2 2 3 3 3 2 2 3" xfId="17258"/>
    <cellStyle name="Milliers 2 3 2 2 2 3 3 3 2 3" xfId="17259"/>
    <cellStyle name="Milliers 2 3 2 2 2 3 3 3 2 3 2" xfId="17260"/>
    <cellStyle name="Milliers 2 3 2 2 2 3 3 3 2 4" xfId="17261"/>
    <cellStyle name="Milliers 2 3 2 2 2 3 3 3 3" xfId="17262"/>
    <cellStyle name="Milliers 2 3 2 2 2 3 3 3 3 2" xfId="17263"/>
    <cellStyle name="Milliers 2 3 2 2 2 3 3 3 3 2 2" xfId="17264"/>
    <cellStyle name="Milliers 2 3 2 2 2 3 3 3 3 3" xfId="17265"/>
    <cellStyle name="Milliers 2 3 2 2 2 3 3 3 4" xfId="17266"/>
    <cellStyle name="Milliers 2 3 2 2 2 3 3 3 4 2" xfId="17267"/>
    <cellStyle name="Milliers 2 3 2 2 2 3 3 3 5" xfId="17268"/>
    <cellStyle name="Milliers 2 3 2 2 2 3 3 4" xfId="17269"/>
    <cellStyle name="Milliers 2 3 2 2 2 3 3 4 2" xfId="17270"/>
    <cellStyle name="Milliers 2 3 2 2 2 3 3 4 2 2" xfId="17271"/>
    <cellStyle name="Milliers 2 3 2 2 2 3 3 4 2 2 2" xfId="17272"/>
    <cellStyle name="Milliers 2 3 2 2 2 3 3 4 2 3" xfId="17273"/>
    <cellStyle name="Milliers 2 3 2 2 2 3 3 4 3" xfId="17274"/>
    <cellStyle name="Milliers 2 3 2 2 2 3 3 4 3 2" xfId="17275"/>
    <cellStyle name="Milliers 2 3 2 2 2 3 3 4 4" xfId="17276"/>
    <cellStyle name="Milliers 2 3 2 2 2 3 3 5" xfId="17277"/>
    <cellStyle name="Milliers 2 3 2 2 2 3 3 5 2" xfId="17278"/>
    <cellStyle name="Milliers 2 3 2 2 2 3 3 5 2 2" xfId="17279"/>
    <cellStyle name="Milliers 2 3 2 2 2 3 3 5 3" xfId="17280"/>
    <cellStyle name="Milliers 2 3 2 2 2 3 3 6" xfId="17281"/>
    <cellStyle name="Milliers 2 3 2 2 2 3 3 6 2" xfId="17282"/>
    <cellStyle name="Milliers 2 3 2 2 2 3 3 7" xfId="17283"/>
    <cellStyle name="Milliers 2 3 2 2 2 3 4" xfId="17284"/>
    <cellStyle name="Milliers 2 3 2 2 2 3 4 2" xfId="17285"/>
    <cellStyle name="Milliers 2 3 2 2 2 3 4 2 2" xfId="17286"/>
    <cellStyle name="Milliers 2 3 2 2 2 3 4 2 2 2" xfId="17287"/>
    <cellStyle name="Milliers 2 3 2 2 2 3 4 2 2 2 2" xfId="17288"/>
    <cellStyle name="Milliers 2 3 2 2 2 3 4 2 2 2 2 2" xfId="17289"/>
    <cellStyle name="Milliers 2 3 2 2 2 3 4 2 2 2 3" xfId="17290"/>
    <cellStyle name="Milliers 2 3 2 2 2 3 4 2 2 3" xfId="17291"/>
    <cellStyle name="Milliers 2 3 2 2 2 3 4 2 2 3 2" xfId="17292"/>
    <cellStyle name="Milliers 2 3 2 2 2 3 4 2 2 4" xfId="17293"/>
    <cellStyle name="Milliers 2 3 2 2 2 3 4 2 3" xfId="17294"/>
    <cellStyle name="Milliers 2 3 2 2 2 3 4 2 3 2" xfId="17295"/>
    <cellStyle name="Milliers 2 3 2 2 2 3 4 2 3 2 2" xfId="17296"/>
    <cellStyle name="Milliers 2 3 2 2 2 3 4 2 3 3" xfId="17297"/>
    <cellStyle name="Milliers 2 3 2 2 2 3 4 2 4" xfId="17298"/>
    <cellStyle name="Milliers 2 3 2 2 2 3 4 2 4 2" xfId="17299"/>
    <cellStyle name="Milliers 2 3 2 2 2 3 4 2 5" xfId="17300"/>
    <cellStyle name="Milliers 2 3 2 2 2 3 4 3" xfId="17301"/>
    <cellStyle name="Milliers 2 3 2 2 2 3 4 3 2" xfId="17302"/>
    <cellStyle name="Milliers 2 3 2 2 2 3 4 3 2 2" xfId="17303"/>
    <cellStyle name="Milliers 2 3 2 2 2 3 4 3 2 2 2" xfId="17304"/>
    <cellStyle name="Milliers 2 3 2 2 2 3 4 3 2 3" xfId="17305"/>
    <cellStyle name="Milliers 2 3 2 2 2 3 4 3 3" xfId="17306"/>
    <cellStyle name="Milliers 2 3 2 2 2 3 4 3 3 2" xfId="17307"/>
    <cellStyle name="Milliers 2 3 2 2 2 3 4 3 4" xfId="17308"/>
    <cellStyle name="Milliers 2 3 2 2 2 3 4 4" xfId="17309"/>
    <cellStyle name="Milliers 2 3 2 2 2 3 4 4 2" xfId="17310"/>
    <cellStyle name="Milliers 2 3 2 2 2 3 4 4 2 2" xfId="17311"/>
    <cellStyle name="Milliers 2 3 2 2 2 3 4 4 3" xfId="17312"/>
    <cellStyle name="Milliers 2 3 2 2 2 3 4 5" xfId="17313"/>
    <cellStyle name="Milliers 2 3 2 2 2 3 4 5 2" xfId="17314"/>
    <cellStyle name="Milliers 2 3 2 2 2 3 4 6" xfId="17315"/>
    <cellStyle name="Milliers 2 3 2 2 2 3 5" xfId="17316"/>
    <cellStyle name="Milliers 2 3 2 2 2 3 5 2" xfId="17317"/>
    <cellStyle name="Milliers 2 3 2 2 2 3 5 2 2" xfId="17318"/>
    <cellStyle name="Milliers 2 3 2 2 2 3 5 2 2 2" xfId="17319"/>
    <cellStyle name="Milliers 2 3 2 2 2 3 5 2 2 2 2" xfId="17320"/>
    <cellStyle name="Milliers 2 3 2 2 2 3 5 2 2 3" xfId="17321"/>
    <cellStyle name="Milliers 2 3 2 2 2 3 5 2 3" xfId="17322"/>
    <cellStyle name="Milliers 2 3 2 2 2 3 5 2 3 2" xfId="17323"/>
    <cellStyle name="Milliers 2 3 2 2 2 3 5 2 4" xfId="17324"/>
    <cellStyle name="Milliers 2 3 2 2 2 3 5 3" xfId="17325"/>
    <cellStyle name="Milliers 2 3 2 2 2 3 5 3 2" xfId="17326"/>
    <cellStyle name="Milliers 2 3 2 2 2 3 5 3 2 2" xfId="17327"/>
    <cellStyle name="Milliers 2 3 2 2 2 3 5 3 3" xfId="17328"/>
    <cellStyle name="Milliers 2 3 2 2 2 3 5 4" xfId="17329"/>
    <cellStyle name="Milliers 2 3 2 2 2 3 5 4 2" xfId="17330"/>
    <cellStyle name="Milliers 2 3 2 2 2 3 5 5" xfId="17331"/>
    <cellStyle name="Milliers 2 3 2 2 2 3 6" xfId="17332"/>
    <cellStyle name="Milliers 2 3 2 2 2 3 6 2" xfId="17333"/>
    <cellStyle name="Milliers 2 3 2 2 2 3 6 2 2" xfId="17334"/>
    <cellStyle name="Milliers 2 3 2 2 2 3 6 2 2 2" xfId="17335"/>
    <cellStyle name="Milliers 2 3 2 2 2 3 6 2 3" xfId="17336"/>
    <cellStyle name="Milliers 2 3 2 2 2 3 6 3" xfId="17337"/>
    <cellStyle name="Milliers 2 3 2 2 2 3 6 3 2" xfId="17338"/>
    <cellStyle name="Milliers 2 3 2 2 2 3 6 4" xfId="17339"/>
    <cellStyle name="Milliers 2 3 2 2 2 3 7" xfId="17340"/>
    <cellStyle name="Milliers 2 3 2 2 2 3 7 2" xfId="17341"/>
    <cellStyle name="Milliers 2 3 2 2 2 3 7 2 2" xfId="17342"/>
    <cellStyle name="Milliers 2 3 2 2 2 3 7 3" xfId="17343"/>
    <cellStyle name="Milliers 2 3 2 2 2 3 8" xfId="17344"/>
    <cellStyle name="Milliers 2 3 2 2 2 3 8 2" xfId="17345"/>
    <cellStyle name="Milliers 2 3 2 2 2 3 9" xfId="17346"/>
    <cellStyle name="Milliers 2 3 2 2 2 4" xfId="17347"/>
    <cellStyle name="Milliers 2 3 2 2 2 4 2" xfId="17348"/>
    <cellStyle name="Milliers 2 3 2 2 2 4 2 2" xfId="17349"/>
    <cellStyle name="Milliers 2 3 2 2 2 4 2 2 2" xfId="17350"/>
    <cellStyle name="Milliers 2 3 2 2 2 4 2 2 2 2" xfId="17351"/>
    <cellStyle name="Milliers 2 3 2 2 2 4 2 2 2 2 2" xfId="17352"/>
    <cellStyle name="Milliers 2 3 2 2 2 4 2 2 2 2 2 2" xfId="17353"/>
    <cellStyle name="Milliers 2 3 2 2 2 4 2 2 2 2 2 2 2" xfId="17354"/>
    <cellStyle name="Milliers 2 3 2 2 2 4 2 2 2 2 2 3" xfId="17355"/>
    <cellStyle name="Milliers 2 3 2 2 2 4 2 2 2 2 3" xfId="17356"/>
    <cellStyle name="Milliers 2 3 2 2 2 4 2 2 2 2 3 2" xfId="17357"/>
    <cellStyle name="Milliers 2 3 2 2 2 4 2 2 2 2 4" xfId="17358"/>
    <cellStyle name="Milliers 2 3 2 2 2 4 2 2 2 3" xfId="17359"/>
    <cellStyle name="Milliers 2 3 2 2 2 4 2 2 2 3 2" xfId="17360"/>
    <cellStyle name="Milliers 2 3 2 2 2 4 2 2 2 3 2 2" xfId="17361"/>
    <cellStyle name="Milliers 2 3 2 2 2 4 2 2 2 3 3" xfId="17362"/>
    <cellStyle name="Milliers 2 3 2 2 2 4 2 2 2 4" xfId="17363"/>
    <cellStyle name="Milliers 2 3 2 2 2 4 2 2 2 4 2" xfId="17364"/>
    <cellStyle name="Milliers 2 3 2 2 2 4 2 2 2 5" xfId="17365"/>
    <cellStyle name="Milliers 2 3 2 2 2 4 2 2 3" xfId="17366"/>
    <cellStyle name="Milliers 2 3 2 2 2 4 2 2 3 2" xfId="17367"/>
    <cellStyle name="Milliers 2 3 2 2 2 4 2 2 3 2 2" xfId="17368"/>
    <cellStyle name="Milliers 2 3 2 2 2 4 2 2 3 2 2 2" xfId="17369"/>
    <cellStyle name="Milliers 2 3 2 2 2 4 2 2 3 2 3" xfId="17370"/>
    <cellStyle name="Milliers 2 3 2 2 2 4 2 2 3 3" xfId="17371"/>
    <cellStyle name="Milliers 2 3 2 2 2 4 2 2 3 3 2" xfId="17372"/>
    <cellStyle name="Milliers 2 3 2 2 2 4 2 2 3 4" xfId="17373"/>
    <cellStyle name="Milliers 2 3 2 2 2 4 2 2 4" xfId="17374"/>
    <cellStyle name="Milliers 2 3 2 2 2 4 2 2 4 2" xfId="17375"/>
    <cellStyle name="Milliers 2 3 2 2 2 4 2 2 4 2 2" xfId="17376"/>
    <cellStyle name="Milliers 2 3 2 2 2 4 2 2 4 3" xfId="17377"/>
    <cellStyle name="Milliers 2 3 2 2 2 4 2 2 5" xfId="17378"/>
    <cellStyle name="Milliers 2 3 2 2 2 4 2 2 5 2" xfId="17379"/>
    <cellStyle name="Milliers 2 3 2 2 2 4 2 2 6" xfId="17380"/>
    <cellStyle name="Milliers 2 3 2 2 2 4 2 3" xfId="17381"/>
    <cellStyle name="Milliers 2 3 2 2 2 4 2 3 2" xfId="17382"/>
    <cellStyle name="Milliers 2 3 2 2 2 4 2 3 2 2" xfId="17383"/>
    <cellStyle name="Milliers 2 3 2 2 2 4 2 3 2 2 2" xfId="17384"/>
    <cellStyle name="Milliers 2 3 2 2 2 4 2 3 2 2 2 2" xfId="17385"/>
    <cellStyle name="Milliers 2 3 2 2 2 4 2 3 2 2 3" xfId="17386"/>
    <cellStyle name="Milliers 2 3 2 2 2 4 2 3 2 3" xfId="17387"/>
    <cellStyle name="Milliers 2 3 2 2 2 4 2 3 2 3 2" xfId="17388"/>
    <cellStyle name="Milliers 2 3 2 2 2 4 2 3 2 4" xfId="17389"/>
    <cellStyle name="Milliers 2 3 2 2 2 4 2 3 3" xfId="17390"/>
    <cellStyle name="Milliers 2 3 2 2 2 4 2 3 3 2" xfId="17391"/>
    <cellStyle name="Milliers 2 3 2 2 2 4 2 3 3 2 2" xfId="17392"/>
    <cellStyle name="Milliers 2 3 2 2 2 4 2 3 3 3" xfId="17393"/>
    <cellStyle name="Milliers 2 3 2 2 2 4 2 3 4" xfId="17394"/>
    <cellStyle name="Milliers 2 3 2 2 2 4 2 3 4 2" xfId="17395"/>
    <cellStyle name="Milliers 2 3 2 2 2 4 2 3 5" xfId="17396"/>
    <cellStyle name="Milliers 2 3 2 2 2 4 2 4" xfId="17397"/>
    <cellStyle name="Milliers 2 3 2 2 2 4 2 4 2" xfId="17398"/>
    <cellStyle name="Milliers 2 3 2 2 2 4 2 4 2 2" xfId="17399"/>
    <cellStyle name="Milliers 2 3 2 2 2 4 2 4 2 2 2" xfId="17400"/>
    <cellStyle name="Milliers 2 3 2 2 2 4 2 4 2 3" xfId="17401"/>
    <cellStyle name="Milliers 2 3 2 2 2 4 2 4 3" xfId="17402"/>
    <cellStyle name="Milliers 2 3 2 2 2 4 2 4 3 2" xfId="17403"/>
    <cellStyle name="Milliers 2 3 2 2 2 4 2 4 4" xfId="17404"/>
    <cellStyle name="Milliers 2 3 2 2 2 4 2 5" xfId="17405"/>
    <cellStyle name="Milliers 2 3 2 2 2 4 2 5 2" xfId="17406"/>
    <cellStyle name="Milliers 2 3 2 2 2 4 2 5 2 2" xfId="17407"/>
    <cellStyle name="Milliers 2 3 2 2 2 4 2 5 3" xfId="17408"/>
    <cellStyle name="Milliers 2 3 2 2 2 4 2 6" xfId="17409"/>
    <cellStyle name="Milliers 2 3 2 2 2 4 2 6 2" xfId="17410"/>
    <cellStyle name="Milliers 2 3 2 2 2 4 2 7" xfId="17411"/>
    <cellStyle name="Milliers 2 3 2 2 2 4 3" xfId="17412"/>
    <cellStyle name="Milliers 2 3 2 2 2 4 3 2" xfId="17413"/>
    <cellStyle name="Milliers 2 3 2 2 2 4 3 2 2" xfId="17414"/>
    <cellStyle name="Milliers 2 3 2 2 2 4 3 2 2 2" xfId="17415"/>
    <cellStyle name="Milliers 2 3 2 2 2 4 3 2 2 2 2" xfId="17416"/>
    <cellStyle name="Milliers 2 3 2 2 2 4 3 2 2 2 2 2" xfId="17417"/>
    <cellStyle name="Milliers 2 3 2 2 2 4 3 2 2 2 3" xfId="17418"/>
    <cellStyle name="Milliers 2 3 2 2 2 4 3 2 2 3" xfId="17419"/>
    <cellStyle name="Milliers 2 3 2 2 2 4 3 2 2 3 2" xfId="17420"/>
    <cellStyle name="Milliers 2 3 2 2 2 4 3 2 2 4" xfId="17421"/>
    <cellStyle name="Milliers 2 3 2 2 2 4 3 2 3" xfId="17422"/>
    <cellStyle name="Milliers 2 3 2 2 2 4 3 2 3 2" xfId="17423"/>
    <cellStyle name="Milliers 2 3 2 2 2 4 3 2 3 2 2" xfId="17424"/>
    <cellStyle name="Milliers 2 3 2 2 2 4 3 2 3 3" xfId="17425"/>
    <cellStyle name="Milliers 2 3 2 2 2 4 3 2 4" xfId="17426"/>
    <cellStyle name="Milliers 2 3 2 2 2 4 3 2 4 2" xfId="17427"/>
    <cellStyle name="Milliers 2 3 2 2 2 4 3 2 5" xfId="17428"/>
    <cellStyle name="Milliers 2 3 2 2 2 4 3 3" xfId="17429"/>
    <cellStyle name="Milliers 2 3 2 2 2 4 3 3 2" xfId="17430"/>
    <cellStyle name="Milliers 2 3 2 2 2 4 3 3 2 2" xfId="17431"/>
    <cellStyle name="Milliers 2 3 2 2 2 4 3 3 2 2 2" xfId="17432"/>
    <cellStyle name="Milliers 2 3 2 2 2 4 3 3 2 3" xfId="17433"/>
    <cellStyle name="Milliers 2 3 2 2 2 4 3 3 3" xfId="17434"/>
    <cellStyle name="Milliers 2 3 2 2 2 4 3 3 3 2" xfId="17435"/>
    <cellStyle name="Milliers 2 3 2 2 2 4 3 3 4" xfId="17436"/>
    <cellStyle name="Milliers 2 3 2 2 2 4 3 4" xfId="17437"/>
    <cellStyle name="Milliers 2 3 2 2 2 4 3 4 2" xfId="17438"/>
    <cellStyle name="Milliers 2 3 2 2 2 4 3 4 2 2" xfId="17439"/>
    <cellStyle name="Milliers 2 3 2 2 2 4 3 4 3" xfId="17440"/>
    <cellStyle name="Milliers 2 3 2 2 2 4 3 5" xfId="17441"/>
    <cellStyle name="Milliers 2 3 2 2 2 4 3 5 2" xfId="17442"/>
    <cellStyle name="Milliers 2 3 2 2 2 4 3 6" xfId="17443"/>
    <cellStyle name="Milliers 2 3 2 2 2 4 4" xfId="17444"/>
    <cellStyle name="Milliers 2 3 2 2 2 4 4 2" xfId="17445"/>
    <cellStyle name="Milliers 2 3 2 2 2 4 4 2 2" xfId="17446"/>
    <cellStyle name="Milliers 2 3 2 2 2 4 4 2 2 2" xfId="17447"/>
    <cellStyle name="Milliers 2 3 2 2 2 4 4 2 2 2 2" xfId="17448"/>
    <cellStyle name="Milliers 2 3 2 2 2 4 4 2 2 3" xfId="17449"/>
    <cellStyle name="Milliers 2 3 2 2 2 4 4 2 3" xfId="17450"/>
    <cellStyle name="Milliers 2 3 2 2 2 4 4 2 3 2" xfId="17451"/>
    <cellStyle name="Milliers 2 3 2 2 2 4 4 2 4" xfId="17452"/>
    <cellStyle name="Milliers 2 3 2 2 2 4 4 3" xfId="17453"/>
    <cellStyle name="Milliers 2 3 2 2 2 4 4 3 2" xfId="17454"/>
    <cellStyle name="Milliers 2 3 2 2 2 4 4 3 2 2" xfId="17455"/>
    <cellStyle name="Milliers 2 3 2 2 2 4 4 3 3" xfId="17456"/>
    <cellStyle name="Milliers 2 3 2 2 2 4 4 4" xfId="17457"/>
    <cellStyle name="Milliers 2 3 2 2 2 4 4 4 2" xfId="17458"/>
    <cellStyle name="Milliers 2 3 2 2 2 4 4 5" xfId="17459"/>
    <cellStyle name="Milliers 2 3 2 2 2 4 5" xfId="17460"/>
    <cellStyle name="Milliers 2 3 2 2 2 4 5 2" xfId="17461"/>
    <cellStyle name="Milliers 2 3 2 2 2 4 5 2 2" xfId="17462"/>
    <cellStyle name="Milliers 2 3 2 2 2 4 5 2 2 2" xfId="17463"/>
    <cellStyle name="Milliers 2 3 2 2 2 4 5 2 3" xfId="17464"/>
    <cellStyle name="Milliers 2 3 2 2 2 4 5 3" xfId="17465"/>
    <cellStyle name="Milliers 2 3 2 2 2 4 5 3 2" xfId="17466"/>
    <cellStyle name="Milliers 2 3 2 2 2 4 5 4" xfId="17467"/>
    <cellStyle name="Milliers 2 3 2 2 2 4 6" xfId="17468"/>
    <cellStyle name="Milliers 2 3 2 2 2 4 6 2" xfId="17469"/>
    <cellStyle name="Milliers 2 3 2 2 2 4 6 2 2" xfId="17470"/>
    <cellStyle name="Milliers 2 3 2 2 2 4 6 3" xfId="17471"/>
    <cellStyle name="Milliers 2 3 2 2 2 4 7" xfId="17472"/>
    <cellStyle name="Milliers 2 3 2 2 2 4 7 2" xfId="17473"/>
    <cellStyle name="Milliers 2 3 2 2 2 4 8" xfId="17474"/>
    <cellStyle name="Milliers 2 3 2 2 2 5" xfId="17475"/>
    <cellStyle name="Milliers 2 3 2 2 2 5 2" xfId="17476"/>
    <cellStyle name="Milliers 2 3 2 2 2 5 2 2" xfId="17477"/>
    <cellStyle name="Milliers 2 3 2 2 2 5 2 2 2" xfId="17478"/>
    <cellStyle name="Milliers 2 3 2 2 2 5 2 2 2 2" xfId="17479"/>
    <cellStyle name="Milliers 2 3 2 2 2 5 2 2 2 2 2" xfId="17480"/>
    <cellStyle name="Milliers 2 3 2 2 2 5 2 2 2 2 2 2" xfId="17481"/>
    <cellStyle name="Milliers 2 3 2 2 2 5 2 2 2 2 3" xfId="17482"/>
    <cellStyle name="Milliers 2 3 2 2 2 5 2 2 2 3" xfId="17483"/>
    <cellStyle name="Milliers 2 3 2 2 2 5 2 2 2 3 2" xfId="17484"/>
    <cellStyle name="Milliers 2 3 2 2 2 5 2 2 2 4" xfId="17485"/>
    <cellStyle name="Milliers 2 3 2 2 2 5 2 2 3" xfId="17486"/>
    <cellStyle name="Milliers 2 3 2 2 2 5 2 2 3 2" xfId="17487"/>
    <cellStyle name="Milliers 2 3 2 2 2 5 2 2 3 2 2" xfId="17488"/>
    <cellStyle name="Milliers 2 3 2 2 2 5 2 2 3 3" xfId="17489"/>
    <cellStyle name="Milliers 2 3 2 2 2 5 2 2 4" xfId="17490"/>
    <cellStyle name="Milliers 2 3 2 2 2 5 2 2 4 2" xfId="17491"/>
    <cellStyle name="Milliers 2 3 2 2 2 5 2 2 5" xfId="17492"/>
    <cellStyle name="Milliers 2 3 2 2 2 5 2 3" xfId="17493"/>
    <cellStyle name="Milliers 2 3 2 2 2 5 2 3 2" xfId="17494"/>
    <cellStyle name="Milliers 2 3 2 2 2 5 2 3 2 2" xfId="17495"/>
    <cellStyle name="Milliers 2 3 2 2 2 5 2 3 2 2 2" xfId="17496"/>
    <cellStyle name="Milliers 2 3 2 2 2 5 2 3 2 3" xfId="17497"/>
    <cellStyle name="Milliers 2 3 2 2 2 5 2 3 3" xfId="17498"/>
    <cellStyle name="Milliers 2 3 2 2 2 5 2 3 3 2" xfId="17499"/>
    <cellStyle name="Milliers 2 3 2 2 2 5 2 3 4" xfId="17500"/>
    <cellStyle name="Milliers 2 3 2 2 2 5 2 4" xfId="17501"/>
    <cellStyle name="Milliers 2 3 2 2 2 5 2 4 2" xfId="17502"/>
    <cellStyle name="Milliers 2 3 2 2 2 5 2 4 2 2" xfId="17503"/>
    <cellStyle name="Milliers 2 3 2 2 2 5 2 4 3" xfId="17504"/>
    <cellStyle name="Milliers 2 3 2 2 2 5 2 5" xfId="17505"/>
    <cellStyle name="Milliers 2 3 2 2 2 5 2 5 2" xfId="17506"/>
    <cellStyle name="Milliers 2 3 2 2 2 5 2 6" xfId="17507"/>
    <cellStyle name="Milliers 2 3 2 2 2 5 3" xfId="17508"/>
    <cellStyle name="Milliers 2 3 2 2 2 5 3 2" xfId="17509"/>
    <cellStyle name="Milliers 2 3 2 2 2 5 3 2 2" xfId="17510"/>
    <cellStyle name="Milliers 2 3 2 2 2 5 3 2 2 2" xfId="17511"/>
    <cellStyle name="Milliers 2 3 2 2 2 5 3 2 2 2 2" xfId="17512"/>
    <cellStyle name="Milliers 2 3 2 2 2 5 3 2 2 3" xfId="17513"/>
    <cellStyle name="Milliers 2 3 2 2 2 5 3 2 3" xfId="17514"/>
    <cellStyle name="Milliers 2 3 2 2 2 5 3 2 3 2" xfId="17515"/>
    <cellStyle name="Milliers 2 3 2 2 2 5 3 2 4" xfId="17516"/>
    <cellStyle name="Milliers 2 3 2 2 2 5 3 3" xfId="17517"/>
    <cellStyle name="Milliers 2 3 2 2 2 5 3 3 2" xfId="17518"/>
    <cellStyle name="Milliers 2 3 2 2 2 5 3 3 2 2" xfId="17519"/>
    <cellStyle name="Milliers 2 3 2 2 2 5 3 3 3" xfId="17520"/>
    <cellStyle name="Milliers 2 3 2 2 2 5 3 4" xfId="17521"/>
    <cellStyle name="Milliers 2 3 2 2 2 5 3 4 2" xfId="17522"/>
    <cellStyle name="Milliers 2 3 2 2 2 5 3 5" xfId="17523"/>
    <cellStyle name="Milliers 2 3 2 2 2 5 4" xfId="17524"/>
    <cellStyle name="Milliers 2 3 2 2 2 5 4 2" xfId="17525"/>
    <cellStyle name="Milliers 2 3 2 2 2 5 4 2 2" xfId="17526"/>
    <cellStyle name="Milliers 2 3 2 2 2 5 4 2 2 2" xfId="17527"/>
    <cellStyle name="Milliers 2 3 2 2 2 5 4 2 3" xfId="17528"/>
    <cellStyle name="Milliers 2 3 2 2 2 5 4 3" xfId="17529"/>
    <cellStyle name="Milliers 2 3 2 2 2 5 4 3 2" xfId="17530"/>
    <cellStyle name="Milliers 2 3 2 2 2 5 4 4" xfId="17531"/>
    <cellStyle name="Milliers 2 3 2 2 2 5 5" xfId="17532"/>
    <cellStyle name="Milliers 2 3 2 2 2 5 5 2" xfId="17533"/>
    <cellStyle name="Milliers 2 3 2 2 2 5 5 2 2" xfId="17534"/>
    <cellStyle name="Milliers 2 3 2 2 2 5 5 3" xfId="17535"/>
    <cellStyle name="Milliers 2 3 2 2 2 5 6" xfId="17536"/>
    <cellStyle name="Milliers 2 3 2 2 2 5 6 2" xfId="17537"/>
    <cellStyle name="Milliers 2 3 2 2 2 5 7" xfId="17538"/>
    <cellStyle name="Milliers 2 3 2 2 2 6" xfId="17539"/>
    <cellStyle name="Milliers 2 3 2 2 2 6 2" xfId="17540"/>
    <cellStyle name="Milliers 2 3 2 2 2 6 2 2" xfId="17541"/>
    <cellStyle name="Milliers 2 3 2 2 2 6 2 2 2" xfId="17542"/>
    <cellStyle name="Milliers 2 3 2 2 2 6 2 2 2 2" xfId="17543"/>
    <cellStyle name="Milliers 2 3 2 2 2 6 2 2 2 2 2" xfId="17544"/>
    <cellStyle name="Milliers 2 3 2 2 2 6 2 2 2 3" xfId="17545"/>
    <cellStyle name="Milliers 2 3 2 2 2 6 2 2 3" xfId="17546"/>
    <cellStyle name="Milliers 2 3 2 2 2 6 2 2 3 2" xfId="17547"/>
    <cellStyle name="Milliers 2 3 2 2 2 6 2 2 4" xfId="17548"/>
    <cellStyle name="Milliers 2 3 2 2 2 6 2 3" xfId="17549"/>
    <cellStyle name="Milliers 2 3 2 2 2 6 2 3 2" xfId="17550"/>
    <cellStyle name="Milliers 2 3 2 2 2 6 2 3 2 2" xfId="17551"/>
    <cellStyle name="Milliers 2 3 2 2 2 6 2 3 3" xfId="17552"/>
    <cellStyle name="Milliers 2 3 2 2 2 6 2 4" xfId="17553"/>
    <cellStyle name="Milliers 2 3 2 2 2 6 2 4 2" xfId="17554"/>
    <cellStyle name="Milliers 2 3 2 2 2 6 2 5" xfId="17555"/>
    <cellStyle name="Milliers 2 3 2 2 2 6 3" xfId="17556"/>
    <cellStyle name="Milliers 2 3 2 2 2 6 3 2" xfId="17557"/>
    <cellStyle name="Milliers 2 3 2 2 2 6 3 2 2" xfId="17558"/>
    <cellStyle name="Milliers 2 3 2 2 2 6 3 2 2 2" xfId="17559"/>
    <cellStyle name="Milliers 2 3 2 2 2 6 3 2 3" xfId="17560"/>
    <cellStyle name="Milliers 2 3 2 2 2 6 3 3" xfId="17561"/>
    <cellStyle name="Milliers 2 3 2 2 2 6 3 3 2" xfId="17562"/>
    <cellStyle name="Milliers 2 3 2 2 2 6 3 4" xfId="17563"/>
    <cellStyle name="Milliers 2 3 2 2 2 6 4" xfId="17564"/>
    <cellStyle name="Milliers 2 3 2 2 2 6 4 2" xfId="17565"/>
    <cellStyle name="Milliers 2 3 2 2 2 6 4 2 2" xfId="17566"/>
    <cellStyle name="Milliers 2 3 2 2 2 6 4 3" xfId="17567"/>
    <cellStyle name="Milliers 2 3 2 2 2 6 5" xfId="17568"/>
    <cellStyle name="Milliers 2 3 2 2 2 6 5 2" xfId="17569"/>
    <cellStyle name="Milliers 2 3 2 2 2 6 6" xfId="17570"/>
    <cellStyle name="Milliers 2 3 2 2 2 7" xfId="17571"/>
    <cellStyle name="Milliers 2 3 2 2 2 7 2" xfId="17572"/>
    <cellStyle name="Milliers 2 3 2 2 2 7 2 2" xfId="17573"/>
    <cellStyle name="Milliers 2 3 2 2 2 7 2 2 2" xfId="17574"/>
    <cellStyle name="Milliers 2 3 2 2 2 7 2 2 2 2" xfId="17575"/>
    <cellStyle name="Milliers 2 3 2 2 2 7 2 2 3" xfId="17576"/>
    <cellStyle name="Milliers 2 3 2 2 2 7 2 3" xfId="17577"/>
    <cellStyle name="Milliers 2 3 2 2 2 7 2 3 2" xfId="17578"/>
    <cellStyle name="Milliers 2 3 2 2 2 7 2 4" xfId="17579"/>
    <cellStyle name="Milliers 2 3 2 2 2 7 3" xfId="17580"/>
    <cellStyle name="Milliers 2 3 2 2 2 7 3 2" xfId="17581"/>
    <cellStyle name="Milliers 2 3 2 2 2 7 3 2 2" xfId="17582"/>
    <cellStyle name="Milliers 2 3 2 2 2 7 3 3" xfId="17583"/>
    <cellStyle name="Milliers 2 3 2 2 2 7 4" xfId="17584"/>
    <cellStyle name="Milliers 2 3 2 2 2 7 4 2" xfId="17585"/>
    <cellStyle name="Milliers 2 3 2 2 2 7 5" xfId="17586"/>
    <cellStyle name="Milliers 2 3 2 2 2 8" xfId="17587"/>
    <cellStyle name="Milliers 2 3 2 2 2 8 2" xfId="17588"/>
    <cellStyle name="Milliers 2 3 2 2 2 8 2 2" xfId="17589"/>
    <cellStyle name="Milliers 2 3 2 2 2 8 2 2 2" xfId="17590"/>
    <cellStyle name="Milliers 2 3 2 2 2 8 2 3" xfId="17591"/>
    <cellStyle name="Milliers 2 3 2 2 2 8 3" xfId="17592"/>
    <cellStyle name="Milliers 2 3 2 2 2 8 3 2" xfId="17593"/>
    <cellStyle name="Milliers 2 3 2 2 2 8 4" xfId="17594"/>
    <cellStyle name="Milliers 2 3 2 2 2 9" xfId="17595"/>
    <cellStyle name="Milliers 2 3 2 2 2 9 2" xfId="17596"/>
    <cellStyle name="Milliers 2 3 2 2 2 9 2 2" xfId="17597"/>
    <cellStyle name="Milliers 2 3 2 2 2 9 3" xfId="17598"/>
    <cellStyle name="Milliers 2 3 2 2 3" xfId="17599"/>
    <cellStyle name="Milliers 2 3 2 2 3 10" xfId="17600"/>
    <cellStyle name="Milliers 2 3 2 2 3 2" xfId="17601"/>
    <cellStyle name="Milliers 2 3 2 2 3 2 2" xfId="17602"/>
    <cellStyle name="Milliers 2 3 2 2 3 2 2 2" xfId="17603"/>
    <cellStyle name="Milliers 2 3 2 2 3 2 2 2 2" xfId="17604"/>
    <cellStyle name="Milliers 2 3 2 2 3 2 2 2 2 2" xfId="17605"/>
    <cellStyle name="Milliers 2 3 2 2 3 2 2 2 2 2 2" xfId="17606"/>
    <cellStyle name="Milliers 2 3 2 2 3 2 2 2 2 2 2 2" xfId="17607"/>
    <cellStyle name="Milliers 2 3 2 2 3 2 2 2 2 2 2 2 2" xfId="17608"/>
    <cellStyle name="Milliers 2 3 2 2 3 2 2 2 2 2 2 2 2 2" xfId="17609"/>
    <cellStyle name="Milliers 2 3 2 2 3 2 2 2 2 2 2 2 3" xfId="17610"/>
    <cellStyle name="Milliers 2 3 2 2 3 2 2 2 2 2 2 3" xfId="17611"/>
    <cellStyle name="Milliers 2 3 2 2 3 2 2 2 2 2 2 3 2" xfId="17612"/>
    <cellStyle name="Milliers 2 3 2 2 3 2 2 2 2 2 2 4" xfId="17613"/>
    <cellStyle name="Milliers 2 3 2 2 3 2 2 2 2 2 3" xfId="17614"/>
    <cellStyle name="Milliers 2 3 2 2 3 2 2 2 2 2 3 2" xfId="17615"/>
    <cellStyle name="Milliers 2 3 2 2 3 2 2 2 2 2 3 2 2" xfId="17616"/>
    <cellStyle name="Milliers 2 3 2 2 3 2 2 2 2 2 3 3" xfId="17617"/>
    <cellStyle name="Milliers 2 3 2 2 3 2 2 2 2 2 4" xfId="17618"/>
    <cellStyle name="Milliers 2 3 2 2 3 2 2 2 2 2 4 2" xfId="17619"/>
    <cellStyle name="Milliers 2 3 2 2 3 2 2 2 2 2 5" xfId="17620"/>
    <cellStyle name="Milliers 2 3 2 2 3 2 2 2 2 3" xfId="17621"/>
    <cellStyle name="Milliers 2 3 2 2 3 2 2 2 2 3 2" xfId="17622"/>
    <cellStyle name="Milliers 2 3 2 2 3 2 2 2 2 3 2 2" xfId="17623"/>
    <cellStyle name="Milliers 2 3 2 2 3 2 2 2 2 3 2 2 2" xfId="17624"/>
    <cellStyle name="Milliers 2 3 2 2 3 2 2 2 2 3 2 3" xfId="17625"/>
    <cellStyle name="Milliers 2 3 2 2 3 2 2 2 2 3 3" xfId="17626"/>
    <cellStyle name="Milliers 2 3 2 2 3 2 2 2 2 3 3 2" xfId="17627"/>
    <cellStyle name="Milliers 2 3 2 2 3 2 2 2 2 3 4" xfId="17628"/>
    <cellStyle name="Milliers 2 3 2 2 3 2 2 2 2 4" xfId="17629"/>
    <cellStyle name="Milliers 2 3 2 2 3 2 2 2 2 4 2" xfId="17630"/>
    <cellStyle name="Milliers 2 3 2 2 3 2 2 2 2 4 2 2" xfId="17631"/>
    <cellStyle name="Milliers 2 3 2 2 3 2 2 2 2 4 3" xfId="17632"/>
    <cellStyle name="Milliers 2 3 2 2 3 2 2 2 2 5" xfId="17633"/>
    <cellStyle name="Milliers 2 3 2 2 3 2 2 2 2 5 2" xfId="17634"/>
    <cellStyle name="Milliers 2 3 2 2 3 2 2 2 2 6" xfId="17635"/>
    <cellStyle name="Milliers 2 3 2 2 3 2 2 2 3" xfId="17636"/>
    <cellStyle name="Milliers 2 3 2 2 3 2 2 2 3 2" xfId="17637"/>
    <cellStyle name="Milliers 2 3 2 2 3 2 2 2 3 2 2" xfId="17638"/>
    <cellStyle name="Milliers 2 3 2 2 3 2 2 2 3 2 2 2" xfId="17639"/>
    <cellStyle name="Milliers 2 3 2 2 3 2 2 2 3 2 2 2 2" xfId="17640"/>
    <cellStyle name="Milliers 2 3 2 2 3 2 2 2 3 2 2 3" xfId="17641"/>
    <cellStyle name="Milliers 2 3 2 2 3 2 2 2 3 2 3" xfId="17642"/>
    <cellStyle name="Milliers 2 3 2 2 3 2 2 2 3 2 3 2" xfId="17643"/>
    <cellStyle name="Milliers 2 3 2 2 3 2 2 2 3 2 4" xfId="17644"/>
    <cellStyle name="Milliers 2 3 2 2 3 2 2 2 3 3" xfId="17645"/>
    <cellStyle name="Milliers 2 3 2 2 3 2 2 2 3 3 2" xfId="17646"/>
    <cellStyle name="Milliers 2 3 2 2 3 2 2 2 3 3 2 2" xfId="17647"/>
    <cellStyle name="Milliers 2 3 2 2 3 2 2 2 3 3 3" xfId="17648"/>
    <cellStyle name="Milliers 2 3 2 2 3 2 2 2 3 4" xfId="17649"/>
    <cellStyle name="Milliers 2 3 2 2 3 2 2 2 3 4 2" xfId="17650"/>
    <cellStyle name="Milliers 2 3 2 2 3 2 2 2 3 5" xfId="17651"/>
    <cellStyle name="Milliers 2 3 2 2 3 2 2 2 4" xfId="17652"/>
    <cellStyle name="Milliers 2 3 2 2 3 2 2 2 4 2" xfId="17653"/>
    <cellStyle name="Milliers 2 3 2 2 3 2 2 2 4 2 2" xfId="17654"/>
    <cellStyle name="Milliers 2 3 2 2 3 2 2 2 4 2 2 2" xfId="17655"/>
    <cellStyle name="Milliers 2 3 2 2 3 2 2 2 4 2 3" xfId="17656"/>
    <cellStyle name="Milliers 2 3 2 2 3 2 2 2 4 3" xfId="17657"/>
    <cellStyle name="Milliers 2 3 2 2 3 2 2 2 4 3 2" xfId="17658"/>
    <cellStyle name="Milliers 2 3 2 2 3 2 2 2 4 4" xfId="17659"/>
    <cellStyle name="Milliers 2 3 2 2 3 2 2 2 5" xfId="17660"/>
    <cellStyle name="Milliers 2 3 2 2 3 2 2 2 5 2" xfId="17661"/>
    <cellStyle name="Milliers 2 3 2 2 3 2 2 2 5 2 2" xfId="17662"/>
    <cellStyle name="Milliers 2 3 2 2 3 2 2 2 5 3" xfId="17663"/>
    <cellStyle name="Milliers 2 3 2 2 3 2 2 2 6" xfId="17664"/>
    <cellStyle name="Milliers 2 3 2 2 3 2 2 2 6 2" xfId="17665"/>
    <cellStyle name="Milliers 2 3 2 2 3 2 2 2 7" xfId="17666"/>
    <cellStyle name="Milliers 2 3 2 2 3 2 2 3" xfId="17667"/>
    <cellStyle name="Milliers 2 3 2 2 3 2 2 3 2" xfId="17668"/>
    <cellStyle name="Milliers 2 3 2 2 3 2 2 3 2 2" xfId="17669"/>
    <cellStyle name="Milliers 2 3 2 2 3 2 2 3 2 2 2" xfId="17670"/>
    <cellStyle name="Milliers 2 3 2 2 3 2 2 3 2 2 2 2" xfId="17671"/>
    <cellStyle name="Milliers 2 3 2 2 3 2 2 3 2 2 2 2 2" xfId="17672"/>
    <cellStyle name="Milliers 2 3 2 2 3 2 2 3 2 2 2 3" xfId="17673"/>
    <cellStyle name="Milliers 2 3 2 2 3 2 2 3 2 2 3" xfId="17674"/>
    <cellStyle name="Milliers 2 3 2 2 3 2 2 3 2 2 3 2" xfId="17675"/>
    <cellStyle name="Milliers 2 3 2 2 3 2 2 3 2 2 4" xfId="17676"/>
    <cellStyle name="Milliers 2 3 2 2 3 2 2 3 2 3" xfId="17677"/>
    <cellStyle name="Milliers 2 3 2 2 3 2 2 3 2 3 2" xfId="17678"/>
    <cellStyle name="Milliers 2 3 2 2 3 2 2 3 2 3 2 2" xfId="17679"/>
    <cellStyle name="Milliers 2 3 2 2 3 2 2 3 2 3 3" xfId="17680"/>
    <cellStyle name="Milliers 2 3 2 2 3 2 2 3 2 4" xfId="17681"/>
    <cellStyle name="Milliers 2 3 2 2 3 2 2 3 2 4 2" xfId="17682"/>
    <cellStyle name="Milliers 2 3 2 2 3 2 2 3 2 5" xfId="17683"/>
    <cellStyle name="Milliers 2 3 2 2 3 2 2 3 3" xfId="17684"/>
    <cellStyle name="Milliers 2 3 2 2 3 2 2 3 3 2" xfId="17685"/>
    <cellStyle name="Milliers 2 3 2 2 3 2 2 3 3 2 2" xfId="17686"/>
    <cellStyle name="Milliers 2 3 2 2 3 2 2 3 3 2 2 2" xfId="17687"/>
    <cellStyle name="Milliers 2 3 2 2 3 2 2 3 3 2 3" xfId="17688"/>
    <cellStyle name="Milliers 2 3 2 2 3 2 2 3 3 3" xfId="17689"/>
    <cellStyle name="Milliers 2 3 2 2 3 2 2 3 3 3 2" xfId="17690"/>
    <cellStyle name="Milliers 2 3 2 2 3 2 2 3 3 4" xfId="17691"/>
    <cellStyle name="Milliers 2 3 2 2 3 2 2 3 4" xfId="17692"/>
    <cellStyle name="Milliers 2 3 2 2 3 2 2 3 4 2" xfId="17693"/>
    <cellStyle name="Milliers 2 3 2 2 3 2 2 3 4 2 2" xfId="17694"/>
    <cellStyle name="Milliers 2 3 2 2 3 2 2 3 4 3" xfId="17695"/>
    <cellStyle name="Milliers 2 3 2 2 3 2 2 3 5" xfId="17696"/>
    <cellStyle name="Milliers 2 3 2 2 3 2 2 3 5 2" xfId="17697"/>
    <cellStyle name="Milliers 2 3 2 2 3 2 2 3 6" xfId="17698"/>
    <cellStyle name="Milliers 2 3 2 2 3 2 2 4" xfId="17699"/>
    <cellStyle name="Milliers 2 3 2 2 3 2 2 4 2" xfId="17700"/>
    <cellStyle name="Milliers 2 3 2 2 3 2 2 4 2 2" xfId="17701"/>
    <cellStyle name="Milliers 2 3 2 2 3 2 2 4 2 2 2" xfId="17702"/>
    <cellStyle name="Milliers 2 3 2 2 3 2 2 4 2 2 2 2" xfId="17703"/>
    <cellStyle name="Milliers 2 3 2 2 3 2 2 4 2 2 3" xfId="17704"/>
    <cellStyle name="Milliers 2 3 2 2 3 2 2 4 2 3" xfId="17705"/>
    <cellStyle name="Milliers 2 3 2 2 3 2 2 4 2 3 2" xfId="17706"/>
    <cellStyle name="Milliers 2 3 2 2 3 2 2 4 2 4" xfId="17707"/>
    <cellStyle name="Milliers 2 3 2 2 3 2 2 4 3" xfId="17708"/>
    <cellStyle name="Milliers 2 3 2 2 3 2 2 4 3 2" xfId="17709"/>
    <cellStyle name="Milliers 2 3 2 2 3 2 2 4 3 2 2" xfId="17710"/>
    <cellStyle name="Milliers 2 3 2 2 3 2 2 4 3 3" xfId="17711"/>
    <cellStyle name="Milliers 2 3 2 2 3 2 2 4 4" xfId="17712"/>
    <cellStyle name="Milliers 2 3 2 2 3 2 2 4 4 2" xfId="17713"/>
    <cellStyle name="Milliers 2 3 2 2 3 2 2 4 5" xfId="17714"/>
    <cellStyle name="Milliers 2 3 2 2 3 2 2 5" xfId="17715"/>
    <cellStyle name="Milliers 2 3 2 2 3 2 2 5 2" xfId="17716"/>
    <cellStyle name="Milliers 2 3 2 2 3 2 2 5 2 2" xfId="17717"/>
    <cellStyle name="Milliers 2 3 2 2 3 2 2 5 2 2 2" xfId="17718"/>
    <cellStyle name="Milliers 2 3 2 2 3 2 2 5 2 3" xfId="17719"/>
    <cellStyle name="Milliers 2 3 2 2 3 2 2 5 3" xfId="17720"/>
    <cellStyle name="Milliers 2 3 2 2 3 2 2 5 3 2" xfId="17721"/>
    <cellStyle name="Milliers 2 3 2 2 3 2 2 5 4" xfId="17722"/>
    <cellStyle name="Milliers 2 3 2 2 3 2 2 6" xfId="17723"/>
    <cellStyle name="Milliers 2 3 2 2 3 2 2 6 2" xfId="17724"/>
    <cellStyle name="Milliers 2 3 2 2 3 2 2 6 2 2" xfId="17725"/>
    <cellStyle name="Milliers 2 3 2 2 3 2 2 6 3" xfId="17726"/>
    <cellStyle name="Milliers 2 3 2 2 3 2 2 7" xfId="17727"/>
    <cellStyle name="Milliers 2 3 2 2 3 2 2 7 2" xfId="17728"/>
    <cellStyle name="Milliers 2 3 2 2 3 2 2 8" xfId="17729"/>
    <cellStyle name="Milliers 2 3 2 2 3 2 3" xfId="17730"/>
    <cellStyle name="Milliers 2 3 2 2 3 2 3 2" xfId="17731"/>
    <cellStyle name="Milliers 2 3 2 2 3 2 3 2 2" xfId="17732"/>
    <cellStyle name="Milliers 2 3 2 2 3 2 3 2 2 2" xfId="17733"/>
    <cellStyle name="Milliers 2 3 2 2 3 2 3 2 2 2 2" xfId="17734"/>
    <cellStyle name="Milliers 2 3 2 2 3 2 3 2 2 2 2 2" xfId="17735"/>
    <cellStyle name="Milliers 2 3 2 2 3 2 3 2 2 2 2 2 2" xfId="17736"/>
    <cellStyle name="Milliers 2 3 2 2 3 2 3 2 2 2 2 3" xfId="17737"/>
    <cellStyle name="Milliers 2 3 2 2 3 2 3 2 2 2 3" xfId="17738"/>
    <cellStyle name="Milliers 2 3 2 2 3 2 3 2 2 2 3 2" xfId="17739"/>
    <cellStyle name="Milliers 2 3 2 2 3 2 3 2 2 2 4" xfId="17740"/>
    <cellStyle name="Milliers 2 3 2 2 3 2 3 2 2 3" xfId="17741"/>
    <cellStyle name="Milliers 2 3 2 2 3 2 3 2 2 3 2" xfId="17742"/>
    <cellStyle name="Milliers 2 3 2 2 3 2 3 2 2 3 2 2" xfId="17743"/>
    <cellStyle name="Milliers 2 3 2 2 3 2 3 2 2 3 3" xfId="17744"/>
    <cellStyle name="Milliers 2 3 2 2 3 2 3 2 2 4" xfId="17745"/>
    <cellStyle name="Milliers 2 3 2 2 3 2 3 2 2 4 2" xfId="17746"/>
    <cellStyle name="Milliers 2 3 2 2 3 2 3 2 2 5" xfId="17747"/>
    <cellStyle name="Milliers 2 3 2 2 3 2 3 2 3" xfId="17748"/>
    <cellStyle name="Milliers 2 3 2 2 3 2 3 2 3 2" xfId="17749"/>
    <cellStyle name="Milliers 2 3 2 2 3 2 3 2 3 2 2" xfId="17750"/>
    <cellStyle name="Milliers 2 3 2 2 3 2 3 2 3 2 2 2" xfId="17751"/>
    <cellStyle name="Milliers 2 3 2 2 3 2 3 2 3 2 3" xfId="17752"/>
    <cellStyle name="Milliers 2 3 2 2 3 2 3 2 3 3" xfId="17753"/>
    <cellStyle name="Milliers 2 3 2 2 3 2 3 2 3 3 2" xfId="17754"/>
    <cellStyle name="Milliers 2 3 2 2 3 2 3 2 3 4" xfId="17755"/>
    <cellStyle name="Milliers 2 3 2 2 3 2 3 2 4" xfId="17756"/>
    <cellStyle name="Milliers 2 3 2 2 3 2 3 2 4 2" xfId="17757"/>
    <cellStyle name="Milliers 2 3 2 2 3 2 3 2 4 2 2" xfId="17758"/>
    <cellStyle name="Milliers 2 3 2 2 3 2 3 2 4 3" xfId="17759"/>
    <cellStyle name="Milliers 2 3 2 2 3 2 3 2 5" xfId="17760"/>
    <cellStyle name="Milliers 2 3 2 2 3 2 3 2 5 2" xfId="17761"/>
    <cellStyle name="Milliers 2 3 2 2 3 2 3 2 6" xfId="17762"/>
    <cellStyle name="Milliers 2 3 2 2 3 2 3 3" xfId="17763"/>
    <cellStyle name="Milliers 2 3 2 2 3 2 3 3 2" xfId="17764"/>
    <cellStyle name="Milliers 2 3 2 2 3 2 3 3 2 2" xfId="17765"/>
    <cellStyle name="Milliers 2 3 2 2 3 2 3 3 2 2 2" xfId="17766"/>
    <cellStyle name="Milliers 2 3 2 2 3 2 3 3 2 2 2 2" xfId="17767"/>
    <cellStyle name="Milliers 2 3 2 2 3 2 3 3 2 2 3" xfId="17768"/>
    <cellStyle name="Milliers 2 3 2 2 3 2 3 3 2 3" xfId="17769"/>
    <cellStyle name="Milliers 2 3 2 2 3 2 3 3 2 3 2" xfId="17770"/>
    <cellStyle name="Milliers 2 3 2 2 3 2 3 3 2 4" xfId="17771"/>
    <cellStyle name="Milliers 2 3 2 2 3 2 3 3 3" xfId="17772"/>
    <cellStyle name="Milliers 2 3 2 2 3 2 3 3 3 2" xfId="17773"/>
    <cellStyle name="Milliers 2 3 2 2 3 2 3 3 3 2 2" xfId="17774"/>
    <cellStyle name="Milliers 2 3 2 2 3 2 3 3 3 3" xfId="17775"/>
    <cellStyle name="Milliers 2 3 2 2 3 2 3 3 4" xfId="17776"/>
    <cellStyle name="Milliers 2 3 2 2 3 2 3 3 4 2" xfId="17777"/>
    <cellStyle name="Milliers 2 3 2 2 3 2 3 3 5" xfId="17778"/>
    <cellStyle name="Milliers 2 3 2 2 3 2 3 4" xfId="17779"/>
    <cellStyle name="Milliers 2 3 2 2 3 2 3 4 2" xfId="17780"/>
    <cellStyle name="Milliers 2 3 2 2 3 2 3 4 2 2" xfId="17781"/>
    <cellStyle name="Milliers 2 3 2 2 3 2 3 4 2 2 2" xfId="17782"/>
    <cellStyle name="Milliers 2 3 2 2 3 2 3 4 2 3" xfId="17783"/>
    <cellStyle name="Milliers 2 3 2 2 3 2 3 4 3" xfId="17784"/>
    <cellStyle name="Milliers 2 3 2 2 3 2 3 4 3 2" xfId="17785"/>
    <cellStyle name="Milliers 2 3 2 2 3 2 3 4 4" xfId="17786"/>
    <cellStyle name="Milliers 2 3 2 2 3 2 3 5" xfId="17787"/>
    <cellStyle name="Milliers 2 3 2 2 3 2 3 5 2" xfId="17788"/>
    <cellStyle name="Milliers 2 3 2 2 3 2 3 5 2 2" xfId="17789"/>
    <cellStyle name="Milliers 2 3 2 2 3 2 3 5 3" xfId="17790"/>
    <cellStyle name="Milliers 2 3 2 2 3 2 3 6" xfId="17791"/>
    <cellStyle name="Milliers 2 3 2 2 3 2 3 6 2" xfId="17792"/>
    <cellStyle name="Milliers 2 3 2 2 3 2 3 7" xfId="17793"/>
    <cellStyle name="Milliers 2 3 2 2 3 2 4" xfId="17794"/>
    <cellStyle name="Milliers 2 3 2 2 3 2 4 2" xfId="17795"/>
    <cellStyle name="Milliers 2 3 2 2 3 2 4 2 2" xfId="17796"/>
    <cellStyle name="Milliers 2 3 2 2 3 2 4 2 2 2" xfId="17797"/>
    <cellStyle name="Milliers 2 3 2 2 3 2 4 2 2 2 2" xfId="17798"/>
    <cellStyle name="Milliers 2 3 2 2 3 2 4 2 2 2 2 2" xfId="17799"/>
    <cellStyle name="Milliers 2 3 2 2 3 2 4 2 2 2 3" xfId="17800"/>
    <cellStyle name="Milliers 2 3 2 2 3 2 4 2 2 3" xfId="17801"/>
    <cellStyle name="Milliers 2 3 2 2 3 2 4 2 2 3 2" xfId="17802"/>
    <cellStyle name="Milliers 2 3 2 2 3 2 4 2 2 4" xfId="17803"/>
    <cellStyle name="Milliers 2 3 2 2 3 2 4 2 3" xfId="17804"/>
    <cellStyle name="Milliers 2 3 2 2 3 2 4 2 3 2" xfId="17805"/>
    <cellStyle name="Milliers 2 3 2 2 3 2 4 2 3 2 2" xfId="17806"/>
    <cellStyle name="Milliers 2 3 2 2 3 2 4 2 3 3" xfId="17807"/>
    <cellStyle name="Milliers 2 3 2 2 3 2 4 2 4" xfId="17808"/>
    <cellStyle name="Milliers 2 3 2 2 3 2 4 2 4 2" xfId="17809"/>
    <cellStyle name="Milliers 2 3 2 2 3 2 4 2 5" xfId="17810"/>
    <cellStyle name="Milliers 2 3 2 2 3 2 4 3" xfId="17811"/>
    <cellStyle name="Milliers 2 3 2 2 3 2 4 3 2" xfId="17812"/>
    <cellStyle name="Milliers 2 3 2 2 3 2 4 3 2 2" xfId="17813"/>
    <cellStyle name="Milliers 2 3 2 2 3 2 4 3 2 2 2" xfId="17814"/>
    <cellStyle name="Milliers 2 3 2 2 3 2 4 3 2 3" xfId="17815"/>
    <cellStyle name="Milliers 2 3 2 2 3 2 4 3 3" xfId="17816"/>
    <cellStyle name="Milliers 2 3 2 2 3 2 4 3 3 2" xfId="17817"/>
    <cellStyle name="Milliers 2 3 2 2 3 2 4 3 4" xfId="17818"/>
    <cellStyle name="Milliers 2 3 2 2 3 2 4 4" xfId="17819"/>
    <cellStyle name="Milliers 2 3 2 2 3 2 4 4 2" xfId="17820"/>
    <cellStyle name="Milliers 2 3 2 2 3 2 4 4 2 2" xfId="17821"/>
    <cellStyle name="Milliers 2 3 2 2 3 2 4 4 3" xfId="17822"/>
    <cellStyle name="Milliers 2 3 2 2 3 2 4 5" xfId="17823"/>
    <cellStyle name="Milliers 2 3 2 2 3 2 4 5 2" xfId="17824"/>
    <cellStyle name="Milliers 2 3 2 2 3 2 4 6" xfId="17825"/>
    <cellStyle name="Milliers 2 3 2 2 3 2 5" xfId="17826"/>
    <cellStyle name="Milliers 2 3 2 2 3 2 5 2" xfId="17827"/>
    <cellStyle name="Milliers 2 3 2 2 3 2 5 2 2" xfId="17828"/>
    <cellStyle name="Milliers 2 3 2 2 3 2 5 2 2 2" xfId="17829"/>
    <cellStyle name="Milliers 2 3 2 2 3 2 5 2 2 2 2" xfId="17830"/>
    <cellStyle name="Milliers 2 3 2 2 3 2 5 2 2 3" xfId="17831"/>
    <cellStyle name="Milliers 2 3 2 2 3 2 5 2 3" xfId="17832"/>
    <cellStyle name="Milliers 2 3 2 2 3 2 5 2 3 2" xfId="17833"/>
    <cellStyle name="Milliers 2 3 2 2 3 2 5 2 4" xfId="17834"/>
    <cellStyle name="Milliers 2 3 2 2 3 2 5 3" xfId="17835"/>
    <cellStyle name="Milliers 2 3 2 2 3 2 5 3 2" xfId="17836"/>
    <cellStyle name="Milliers 2 3 2 2 3 2 5 3 2 2" xfId="17837"/>
    <cellStyle name="Milliers 2 3 2 2 3 2 5 3 3" xfId="17838"/>
    <cellStyle name="Milliers 2 3 2 2 3 2 5 4" xfId="17839"/>
    <cellStyle name="Milliers 2 3 2 2 3 2 5 4 2" xfId="17840"/>
    <cellStyle name="Milliers 2 3 2 2 3 2 5 5" xfId="17841"/>
    <cellStyle name="Milliers 2 3 2 2 3 2 6" xfId="17842"/>
    <cellStyle name="Milliers 2 3 2 2 3 2 6 2" xfId="17843"/>
    <cellStyle name="Milliers 2 3 2 2 3 2 6 2 2" xfId="17844"/>
    <cellStyle name="Milliers 2 3 2 2 3 2 6 2 2 2" xfId="17845"/>
    <cellStyle name="Milliers 2 3 2 2 3 2 6 2 3" xfId="17846"/>
    <cellStyle name="Milliers 2 3 2 2 3 2 6 3" xfId="17847"/>
    <cellStyle name="Milliers 2 3 2 2 3 2 6 3 2" xfId="17848"/>
    <cellStyle name="Milliers 2 3 2 2 3 2 6 4" xfId="17849"/>
    <cellStyle name="Milliers 2 3 2 2 3 2 7" xfId="17850"/>
    <cellStyle name="Milliers 2 3 2 2 3 2 7 2" xfId="17851"/>
    <cellStyle name="Milliers 2 3 2 2 3 2 7 2 2" xfId="17852"/>
    <cellStyle name="Milliers 2 3 2 2 3 2 7 3" xfId="17853"/>
    <cellStyle name="Milliers 2 3 2 2 3 2 8" xfId="17854"/>
    <cellStyle name="Milliers 2 3 2 2 3 2 8 2" xfId="17855"/>
    <cellStyle name="Milliers 2 3 2 2 3 2 9" xfId="17856"/>
    <cellStyle name="Milliers 2 3 2 2 3 3" xfId="17857"/>
    <cellStyle name="Milliers 2 3 2 2 3 3 2" xfId="17858"/>
    <cellStyle name="Milliers 2 3 2 2 3 3 2 2" xfId="17859"/>
    <cellStyle name="Milliers 2 3 2 2 3 3 2 2 2" xfId="17860"/>
    <cellStyle name="Milliers 2 3 2 2 3 3 2 2 2 2" xfId="17861"/>
    <cellStyle name="Milliers 2 3 2 2 3 3 2 2 2 2 2" xfId="17862"/>
    <cellStyle name="Milliers 2 3 2 2 3 3 2 2 2 2 2 2" xfId="17863"/>
    <cellStyle name="Milliers 2 3 2 2 3 3 2 2 2 2 2 2 2" xfId="17864"/>
    <cellStyle name="Milliers 2 3 2 2 3 3 2 2 2 2 2 3" xfId="17865"/>
    <cellStyle name="Milliers 2 3 2 2 3 3 2 2 2 2 3" xfId="17866"/>
    <cellStyle name="Milliers 2 3 2 2 3 3 2 2 2 2 3 2" xfId="17867"/>
    <cellStyle name="Milliers 2 3 2 2 3 3 2 2 2 2 4" xfId="17868"/>
    <cellStyle name="Milliers 2 3 2 2 3 3 2 2 2 3" xfId="17869"/>
    <cellStyle name="Milliers 2 3 2 2 3 3 2 2 2 3 2" xfId="17870"/>
    <cellStyle name="Milliers 2 3 2 2 3 3 2 2 2 3 2 2" xfId="17871"/>
    <cellStyle name="Milliers 2 3 2 2 3 3 2 2 2 3 3" xfId="17872"/>
    <cellStyle name="Milliers 2 3 2 2 3 3 2 2 2 4" xfId="17873"/>
    <cellStyle name="Milliers 2 3 2 2 3 3 2 2 2 4 2" xfId="17874"/>
    <cellStyle name="Milliers 2 3 2 2 3 3 2 2 2 5" xfId="17875"/>
    <cellStyle name="Milliers 2 3 2 2 3 3 2 2 3" xfId="17876"/>
    <cellStyle name="Milliers 2 3 2 2 3 3 2 2 3 2" xfId="17877"/>
    <cellStyle name="Milliers 2 3 2 2 3 3 2 2 3 2 2" xfId="17878"/>
    <cellStyle name="Milliers 2 3 2 2 3 3 2 2 3 2 2 2" xfId="17879"/>
    <cellStyle name="Milliers 2 3 2 2 3 3 2 2 3 2 3" xfId="17880"/>
    <cellStyle name="Milliers 2 3 2 2 3 3 2 2 3 3" xfId="17881"/>
    <cellStyle name="Milliers 2 3 2 2 3 3 2 2 3 3 2" xfId="17882"/>
    <cellStyle name="Milliers 2 3 2 2 3 3 2 2 3 4" xfId="17883"/>
    <cellStyle name="Milliers 2 3 2 2 3 3 2 2 4" xfId="17884"/>
    <cellStyle name="Milliers 2 3 2 2 3 3 2 2 4 2" xfId="17885"/>
    <cellStyle name="Milliers 2 3 2 2 3 3 2 2 4 2 2" xfId="17886"/>
    <cellStyle name="Milliers 2 3 2 2 3 3 2 2 4 3" xfId="17887"/>
    <cellStyle name="Milliers 2 3 2 2 3 3 2 2 5" xfId="17888"/>
    <cellStyle name="Milliers 2 3 2 2 3 3 2 2 5 2" xfId="17889"/>
    <cellStyle name="Milliers 2 3 2 2 3 3 2 2 6" xfId="17890"/>
    <cellStyle name="Milliers 2 3 2 2 3 3 2 3" xfId="17891"/>
    <cellStyle name="Milliers 2 3 2 2 3 3 2 3 2" xfId="17892"/>
    <cellStyle name="Milliers 2 3 2 2 3 3 2 3 2 2" xfId="17893"/>
    <cellStyle name="Milliers 2 3 2 2 3 3 2 3 2 2 2" xfId="17894"/>
    <cellStyle name="Milliers 2 3 2 2 3 3 2 3 2 2 2 2" xfId="17895"/>
    <cellStyle name="Milliers 2 3 2 2 3 3 2 3 2 2 3" xfId="17896"/>
    <cellStyle name="Milliers 2 3 2 2 3 3 2 3 2 3" xfId="17897"/>
    <cellStyle name="Milliers 2 3 2 2 3 3 2 3 2 3 2" xfId="17898"/>
    <cellStyle name="Milliers 2 3 2 2 3 3 2 3 2 4" xfId="17899"/>
    <cellStyle name="Milliers 2 3 2 2 3 3 2 3 3" xfId="17900"/>
    <cellStyle name="Milliers 2 3 2 2 3 3 2 3 3 2" xfId="17901"/>
    <cellStyle name="Milliers 2 3 2 2 3 3 2 3 3 2 2" xfId="17902"/>
    <cellStyle name="Milliers 2 3 2 2 3 3 2 3 3 3" xfId="17903"/>
    <cellStyle name="Milliers 2 3 2 2 3 3 2 3 4" xfId="17904"/>
    <cellStyle name="Milliers 2 3 2 2 3 3 2 3 4 2" xfId="17905"/>
    <cellStyle name="Milliers 2 3 2 2 3 3 2 3 5" xfId="17906"/>
    <cellStyle name="Milliers 2 3 2 2 3 3 2 4" xfId="17907"/>
    <cellStyle name="Milliers 2 3 2 2 3 3 2 4 2" xfId="17908"/>
    <cellStyle name="Milliers 2 3 2 2 3 3 2 4 2 2" xfId="17909"/>
    <cellStyle name="Milliers 2 3 2 2 3 3 2 4 2 2 2" xfId="17910"/>
    <cellStyle name="Milliers 2 3 2 2 3 3 2 4 2 3" xfId="17911"/>
    <cellStyle name="Milliers 2 3 2 2 3 3 2 4 3" xfId="17912"/>
    <cellStyle name="Milliers 2 3 2 2 3 3 2 4 3 2" xfId="17913"/>
    <cellStyle name="Milliers 2 3 2 2 3 3 2 4 4" xfId="17914"/>
    <cellStyle name="Milliers 2 3 2 2 3 3 2 5" xfId="17915"/>
    <cellStyle name="Milliers 2 3 2 2 3 3 2 5 2" xfId="17916"/>
    <cellStyle name="Milliers 2 3 2 2 3 3 2 5 2 2" xfId="17917"/>
    <cellStyle name="Milliers 2 3 2 2 3 3 2 5 3" xfId="17918"/>
    <cellStyle name="Milliers 2 3 2 2 3 3 2 6" xfId="17919"/>
    <cellStyle name="Milliers 2 3 2 2 3 3 2 6 2" xfId="17920"/>
    <cellStyle name="Milliers 2 3 2 2 3 3 2 7" xfId="17921"/>
    <cellStyle name="Milliers 2 3 2 2 3 3 3" xfId="17922"/>
    <cellStyle name="Milliers 2 3 2 2 3 3 3 2" xfId="17923"/>
    <cellStyle name="Milliers 2 3 2 2 3 3 3 2 2" xfId="17924"/>
    <cellStyle name="Milliers 2 3 2 2 3 3 3 2 2 2" xfId="17925"/>
    <cellStyle name="Milliers 2 3 2 2 3 3 3 2 2 2 2" xfId="17926"/>
    <cellStyle name="Milliers 2 3 2 2 3 3 3 2 2 2 2 2" xfId="17927"/>
    <cellStyle name="Milliers 2 3 2 2 3 3 3 2 2 2 3" xfId="17928"/>
    <cellStyle name="Milliers 2 3 2 2 3 3 3 2 2 3" xfId="17929"/>
    <cellStyle name="Milliers 2 3 2 2 3 3 3 2 2 3 2" xfId="17930"/>
    <cellStyle name="Milliers 2 3 2 2 3 3 3 2 2 4" xfId="17931"/>
    <cellStyle name="Milliers 2 3 2 2 3 3 3 2 3" xfId="17932"/>
    <cellStyle name="Milliers 2 3 2 2 3 3 3 2 3 2" xfId="17933"/>
    <cellStyle name="Milliers 2 3 2 2 3 3 3 2 3 2 2" xfId="17934"/>
    <cellStyle name="Milliers 2 3 2 2 3 3 3 2 3 3" xfId="17935"/>
    <cellStyle name="Milliers 2 3 2 2 3 3 3 2 4" xfId="17936"/>
    <cellStyle name="Milliers 2 3 2 2 3 3 3 2 4 2" xfId="17937"/>
    <cellStyle name="Milliers 2 3 2 2 3 3 3 2 5" xfId="17938"/>
    <cellStyle name="Milliers 2 3 2 2 3 3 3 3" xfId="17939"/>
    <cellStyle name="Milliers 2 3 2 2 3 3 3 3 2" xfId="17940"/>
    <cellStyle name="Milliers 2 3 2 2 3 3 3 3 2 2" xfId="17941"/>
    <cellStyle name="Milliers 2 3 2 2 3 3 3 3 2 2 2" xfId="17942"/>
    <cellStyle name="Milliers 2 3 2 2 3 3 3 3 2 3" xfId="17943"/>
    <cellStyle name="Milliers 2 3 2 2 3 3 3 3 3" xfId="17944"/>
    <cellStyle name="Milliers 2 3 2 2 3 3 3 3 3 2" xfId="17945"/>
    <cellStyle name="Milliers 2 3 2 2 3 3 3 3 4" xfId="17946"/>
    <cellStyle name="Milliers 2 3 2 2 3 3 3 4" xfId="17947"/>
    <cellStyle name="Milliers 2 3 2 2 3 3 3 4 2" xfId="17948"/>
    <cellStyle name="Milliers 2 3 2 2 3 3 3 4 2 2" xfId="17949"/>
    <cellStyle name="Milliers 2 3 2 2 3 3 3 4 3" xfId="17950"/>
    <cellStyle name="Milliers 2 3 2 2 3 3 3 5" xfId="17951"/>
    <cellStyle name="Milliers 2 3 2 2 3 3 3 5 2" xfId="17952"/>
    <cellStyle name="Milliers 2 3 2 2 3 3 3 6" xfId="17953"/>
    <cellStyle name="Milliers 2 3 2 2 3 3 4" xfId="17954"/>
    <cellStyle name="Milliers 2 3 2 2 3 3 4 2" xfId="17955"/>
    <cellStyle name="Milliers 2 3 2 2 3 3 4 2 2" xfId="17956"/>
    <cellStyle name="Milliers 2 3 2 2 3 3 4 2 2 2" xfId="17957"/>
    <cellStyle name="Milliers 2 3 2 2 3 3 4 2 2 2 2" xfId="17958"/>
    <cellStyle name="Milliers 2 3 2 2 3 3 4 2 2 3" xfId="17959"/>
    <cellStyle name="Milliers 2 3 2 2 3 3 4 2 3" xfId="17960"/>
    <cellStyle name="Milliers 2 3 2 2 3 3 4 2 3 2" xfId="17961"/>
    <cellStyle name="Milliers 2 3 2 2 3 3 4 2 4" xfId="17962"/>
    <cellStyle name="Milliers 2 3 2 2 3 3 4 3" xfId="17963"/>
    <cellStyle name="Milliers 2 3 2 2 3 3 4 3 2" xfId="17964"/>
    <cellStyle name="Milliers 2 3 2 2 3 3 4 3 2 2" xfId="17965"/>
    <cellStyle name="Milliers 2 3 2 2 3 3 4 3 3" xfId="17966"/>
    <cellStyle name="Milliers 2 3 2 2 3 3 4 4" xfId="17967"/>
    <cellStyle name="Milliers 2 3 2 2 3 3 4 4 2" xfId="17968"/>
    <cellStyle name="Milliers 2 3 2 2 3 3 4 5" xfId="17969"/>
    <cellStyle name="Milliers 2 3 2 2 3 3 5" xfId="17970"/>
    <cellStyle name="Milliers 2 3 2 2 3 3 5 2" xfId="17971"/>
    <cellStyle name="Milliers 2 3 2 2 3 3 5 2 2" xfId="17972"/>
    <cellStyle name="Milliers 2 3 2 2 3 3 5 2 2 2" xfId="17973"/>
    <cellStyle name="Milliers 2 3 2 2 3 3 5 2 3" xfId="17974"/>
    <cellStyle name="Milliers 2 3 2 2 3 3 5 3" xfId="17975"/>
    <cellStyle name="Milliers 2 3 2 2 3 3 5 3 2" xfId="17976"/>
    <cellStyle name="Milliers 2 3 2 2 3 3 5 4" xfId="17977"/>
    <cellStyle name="Milliers 2 3 2 2 3 3 6" xfId="17978"/>
    <cellStyle name="Milliers 2 3 2 2 3 3 6 2" xfId="17979"/>
    <cellStyle name="Milliers 2 3 2 2 3 3 6 2 2" xfId="17980"/>
    <cellStyle name="Milliers 2 3 2 2 3 3 6 3" xfId="17981"/>
    <cellStyle name="Milliers 2 3 2 2 3 3 7" xfId="17982"/>
    <cellStyle name="Milliers 2 3 2 2 3 3 7 2" xfId="17983"/>
    <cellStyle name="Milliers 2 3 2 2 3 3 8" xfId="17984"/>
    <cellStyle name="Milliers 2 3 2 2 3 4" xfId="17985"/>
    <cellStyle name="Milliers 2 3 2 2 3 4 2" xfId="17986"/>
    <cellStyle name="Milliers 2 3 2 2 3 4 2 2" xfId="17987"/>
    <cellStyle name="Milliers 2 3 2 2 3 4 2 2 2" xfId="17988"/>
    <cellStyle name="Milliers 2 3 2 2 3 4 2 2 2 2" xfId="17989"/>
    <cellStyle name="Milliers 2 3 2 2 3 4 2 2 2 2 2" xfId="17990"/>
    <cellStyle name="Milliers 2 3 2 2 3 4 2 2 2 2 2 2" xfId="17991"/>
    <cellStyle name="Milliers 2 3 2 2 3 4 2 2 2 2 3" xfId="17992"/>
    <cellStyle name="Milliers 2 3 2 2 3 4 2 2 2 3" xfId="17993"/>
    <cellStyle name="Milliers 2 3 2 2 3 4 2 2 2 3 2" xfId="17994"/>
    <cellStyle name="Milliers 2 3 2 2 3 4 2 2 2 4" xfId="17995"/>
    <cellStyle name="Milliers 2 3 2 2 3 4 2 2 3" xfId="17996"/>
    <cellStyle name="Milliers 2 3 2 2 3 4 2 2 3 2" xfId="17997"/>
    <cellStyle name="Milliers 2 3 2 2 3 4 2 2 3 2 2" xfId="17998"/>
    <cellStyle name="Milliers 2 3 2 2 3 4 2 2 3 3" xfId="17999"/>
    <cellStyle name="Milliers 2 3 2 2 3 4 2 2 4" xfId="18000"/>
    <cellStyle name="Milliers 2 3 2 2 3 4 2 2 4 2" xfId="18001"/>
    <cellStyle name="Milliers 2 3 2 2 3 4 2 2 5" xfId="18002"/>
    <cellStyle name="Milliers 2 3 2 2 3 4 2 3" xfId="18003"/>
    <cellStyle name="Milliers 2 3 2 2 3 4 2 3 2" xfId="18004"/>
    <cellStyle name="Milliers 2 3 2 2 3 4 2 3 2 2" xfId="18005"/>
    <cellStyle name="Milliers 2 3 2 2 3 4 2 3 2 2 2" xfId="18006"/>
    <cellStyle name="Milliers 2 3 2 2 3 4 2 3 2 3" xfId="18007"/>
    <cellStyle name="Milliers 2 3 2 2 3 4 2 3 3" xfId="18008"/>
    <cellStyle name="Milliers 2 3 2 2 3 4 2 3 3 2" xfId="18009"/>
    <cellStyle name="Milliers 2 3 2 2 3 4 2 3 4" xfId="18010"/>
    <cellStyle name="Milliers 2 3 2 2 3 4 2 4" xfId="18011"/>
    <cellStyle name="Milliers 2 3 2 2 3 4 2 4 2" xfId="18012"/>
    <cellStyle name="Milliers 2 3 2 2 3 4 2 4 2 2" xfId="18013"/>
    <cellStyle name="Milliers 2 3 2 2 3 4 2 4 3" xfId="18014"/>
    <cellStyle name="Milliers 2 3 2 2 3 4 2 5" xfId="18015"/>
    <cellStyle name="Milliers 2 3 2 2 3 4 2 5 2" xfId="18016"/>
    <cellStyle name="Milliers 2 3 2 2 3 4 2 6" xfId="18017"/>
    <cellStyle name="Milliers 2 3 2 2 3 4 3" xfId="18018"/>
    <cellStyle name="Milliers 2 3 2 2 3 4 3 2" xfId="18019"/>
    <cellStyle name="Milliers 2 3 2 2 3 4 3 2 2" xfId="18020"/>
    <cellStyle name="Milliers 2 3 2 2 3 4 3 2 2 2" xfId="18021"/>
    <cellStyle name="Milliers 2 3 2 2 3 4 3 2 2 2 2" xfId="18022"/>
    <cellStyle name="Milliers 2 3 2 2 3 4 3 2 2 3" xfId="18023"/>
    <cellStyle name="Milliers 2 3 2 2 3 4 3 2 3" xfId="18024"/>
    <cellStyle name="Milliers 2 3 2 2 3 4 3 2 3 2" xfId="18025"/>
    <cellStyle name="Milliers 2 3 2 2 3 4 3 2 4" xfId="18026"/>
    <cellStyle name="Milliers 2 3 2 2 3 4 3 3" xfId="18027"/>
    <cellStyle name="Milliers 2 3 2 2 3 4 3 3 2" xfId="18028"/>
    <cellStyle name="Milliers 2 3 2 2 3 4 3 3 2 2" xfId="18029"/>
    <cellStyle name="Milliers 2 3 2 2 3 4 3 3 3" xfId="18030"/>
    <cellStyle name="Milliers 2 3 2 2 3 4 3 4" xfId="18031"/>
    <cellStyle name="Milliers 2 3 2 2 3 4 3 4 2" xfId="18032"/>
    <cellStyle name="Milliers 2 3 2 2 3 4 3 5" xfId="18033"/>
    <cellStyle name="Milliers 2 3 2 2 3 4 4" xfId="18034"/>
    <cellStyle name="Milliers 2 3 2 2 3 4 4 2" xfId="18035"/>
    <cellStyle name="Milliers 2 3 2 2 3 4 4 2 2" xfId="18036"/>
    <cellStyle name="Milliers 2 3 2 2 3 4 4 2 2 2" xfId="18037"/>
    <cellStyle name="Milliers 2 3 2 2 3 4 4 2 3" xfId="18038"/>
    <cellStyle name="Milliers 2 3 2 2 3 4 4 3" xfId="18039"/>
    <cellStyle name="Milliers 2 3 2 2 3 4 4 3 2" xfId="18040"/>
    <cellStyle name="Milliers 2 3 2 2 3 4 4 4" xfId="18041"/>
    <cellStyle name="Milliers 2 3 2 2 3 4 5" xfId="18042"/>
    <cellStyle name="Milliers 2 3 2 2 3 4 5 2" xfId="18043"/>
    <cellStyle name="Milliers 2 3 2 2 3 4 5 2 2" xfId="18044"/>
    <cellStyle name="Milliers 2 3 2 2 3 4 5 3" xfId="18045"/>
    <cellStyle name="Milliers 2 3 2 2 3 4 6" xfId="18046"/>
    <cellStyle name="Milliers 2 3 2 2 3 4 6 2" xfId="18047"/>
    <cellStyle name="Milliers 2 3 2 2 3 4 7" xfId="18048"/>
    <cellStyle name="Milliers 2 3 2 2 3 5" xfId="18049"/>
    <cellStyle name="Milliers 2 3 2 2 3 5 2" xfId="18050"/>
    <cellStyle name="Milliers 2 3 2 2 3 5 2 2" xfId="18051"/>
    <cellStyle name="Milliers 2 3 2 2 3 5 2 2 2" xfId="18052"/>
    <cellStyle name="Milliers 2 3 2 2 3 5 2 2 2 2" xfId="18053"/>
    <cellStyle name="Milliers 2 3 2 2 3 5 2 2 2 2 2" xfId="18054"/>
    <cellStyle name="Milliers 2 3 2 2 3 5 2 2 2 3" xfId="18055"/>
    <cellStyle name="Milliers 2 3 2 2 3 5 2 2 3" xfId="18056"/>
    <cellStyle name="Milliers 2 3 2 2 3 5 2 2 3 2" xfId="18057"/>
    <cellStyle name="Milliers 2 3 2 2 3 5 2 2 4" xfId="18058"/>
    <cellStyle name="Milliers 2 3 2 2 3 5 2 3" xfId="18059"/>
    <cellStyle name="Milliers 2 3 2 2 3 5 2 3 2" xfId="18060"/>
    <cellStyle name="Milliers 2 3 2 2 3 5 2 3 2 2" xfId="18061"/>
    <cellStyle name="Milliers 2 3 2 2 3 5 2 3 3" xfId="18062"/>
    <cellStyle name="Milliers 2 3 2 2 3 5 2 4" xfId="18063"/>
    <cellStyle name="Milliers 2 3 2 2 3 5 2 4 2" xfId="18064"/>
    <cellStyle name="Milliers 2 3 2 2 3 5 2 5" xfId="18065"/>
    <cellStyle name="Milliers 2 3 2 2 3 5 3" xfId="18066"/>
    <cellStyle name="Milliers 2 3 2 2 3 5 3 2" xfId="18067"/>
    <cellStyle name="Milliers 2 3 2 2 3 5 3 2 2" xfId="18068"/>
    <cellStyle name="Milliers 2 3 2 2 3 5 3 2 2 2" xfId="18069"/>
    <cellStyle name="Milliers 2 3 2 2 3 5 3 2 3" xfId="18070"/>
    <cellStyle name="Milliers 2 3 2 2 3 5 3 3" xfId="18071"/>
    <cellStyle name="Milliers 2 3 2 2 3 5 3 3 2" xfId="18072"/>
    <cellStyle name="Milliers 2 3 2 2 3 5 3 4" xfId="18073"/>
    <cellStyle name="Milliers 2 3 2 2 3 5 4" xfId="18074"/>
    <cellStyle name="Milliers 2 3 2 2 3 5 4 2" xfId="18075"/>
    <cellStyle name="Milliers 2 3 2 2 3 5 4 2 2" xfId="18076"/>
    <cellStyle name="Milliers 2 3 2 2 3 5 4 3" xfId="18077"/>
    <cellStyle name="Milliers 2 3 2 2 3 5 5" xfId="18078"/>
    <cellStyle name="Milliers 2 3 2 2 3 5 5 2" xfId="18079"/>
    <cellStyle name="Milliers 2 3 2 2 3 5 6" xfId="18080"/>
    <cellStyle name="Milliers 2 3 2 2 3 6" xfId="18081"/>
    <cellStyle name="Milliers 2 3 2 2 3 6 2" xfId="18082"/>
    <cellStyle name="Milliers 2 3 2 2 3 6 2 2" xfId="18083"/>
    <cellStyle name="Milliers 2 3 2 2 3 6 2 2 2" xfId="18084"/>
    <cellStyle name="Milliers 2 3 2 2 3 6 2 2 2 2" xfId="18085"/>
    <cellStyle name="Milliers 2 3 2 2 3 6 2 2 3" xfId="18086"/>
    <cellStyle name="Milliers 2 3 2 2 3 6 2 3" xfId="18087"/>
    <cellStyle name="Milliers 2 3 2 2 3 6 2 3 2" xfId="18088"/>
    <cellStyle name="Milliers 2 3 2 2 3 6 2 4" xfId="18089"/>
    <cellStyle name="Milliers 2 3 2 2 3 6 3" xfId="18090"/>
    <cellStyle name="Milliers 2 3 2 2 3 6 3 2" xfId="18091"/>
    <cellStyle name="Milliers 2 3 2 2 3 6 3 2 2" xfId="18092"/>
    <cellStyle name="Milliers 2 3 2 2 3 6 3 3" xfId="18093"/>
    <cellStyle name="Milliers 2 3 2 2 3 6 4" xfId="18094"/>
    <cellStyle name="Milliers 2 3 2 2 3 6 4 2" xfId="18095"/>
    <cellStyle name="Milliers 2 3 2 2 3 6 5" xfId="18096"/>
    <cellStyle name="Milliers 2 3 2 2 3 7" xfId="18097"/>
    <cellStyle name="Milliers 2 3 2 2 3 7 2" xfId="18098"/>
    <cellStyle name="Milliers 2 3 2 2 3 7 2 2" xfId="18099"/>
    <cellStyle name="Milliers 2 3 2 2 3 7 2 2 2" xfId="18100"/>
    <cellStyle name="Milliers 2 3 2 2 3 7 2 3" xfId="18101"/>
    <cellStyle name="Milliers 2 3 2 2 3 7 3" xfId="18102"/>
    <cellStyle name="Milliers 2 3 2 2 3 7 3 2" xfId="18103"/>
    <cellStyle name="Milliers 2 3 2 2 3 7 4" xfId="18104"/>
    <cellStyle name="Milliers 2 3 2 2 3 8" xfId="18105"/>
    <cellStyle name="Milliers 2 3 2 2 3 8 2" xfId="18106"/>
    <cellStyle name="Milliers 2 3 2 2 3 8 2 2" xfId="18107"/>
    <cellStyle name="Milliers 2 3 2 2 3 8 3" xfId="18108"/>
    <cellStyle name="Milliers 2 3 2 2 3 9" xfId="18109"/>
    <cellStyle name="Milliers 2 3 2 2 3 9 2" xfId="18110"/>
    <cellStyle name="Milliers 2 3 2 2 4" xfId="18111"/>
    <cellStyle name="Milliers 2 3 2 2 4 2" xfId="18112"/>
    <cellStyle name="Milliers 2 3 2 2 4 2 2" xfId="18113"/>
    <cellStyle name="Milliers 2 3 2 2 4 2 2 2" xfId="18114"/>
    <cellStyle name="Milliers 2 3 2 2 4 2 2 2 2" xfId="18115"/>
    <cellStyle name="Milliers 2 3 2 2 4 2 2 2 2 2" xfId="18116"/>
    <cellStyle name="Milliers 2 3 2 2 4 2 2 2 2 2 2" xfId="18117"/>
    <cellStyle name="Milliers 2 3 2 2 4 2 2 2 2 2 2 2" xfId="18118"/>
    <cellStyle name="Milliers 2 3 2 2 4 2 2 2 2 2 2 2 2" xfId="18119"/>
    <cellStyle name="Milliers 2 3 2 2 4 2 2 2 2 2 2 3" xfId="18120"/>
    <cellStyle name="Milliers 2 3 2 2 4 2 2 2 2 2 3" xfId="18121"/>
    <cellStyle name="Milliers 2 3 2 2 4 2 2 2 2 2 3 2" xfId="18122"/>
    <cellStyle name="Milliers 2 3 2 2 4 2 2 2 2 2 4" xfId="18123"/>
    <cellStyle name="Milliers 2 3 2 2 4 2 2 2 2 3" xfId="18124"/>
    <cellStyle name="Milliers 2 3 2 2 4 2 2 2 2 3 2" xfId="18125"/>
    <cellStyle name="Milliers 2 3 2 2 4 2 2 2 2 3 2 2" xfId="18126"/>
    <cellStyle name="Milliers 2 3 2 2 4 2 2 2 2 3 3" xfId="18127"/>
    <cellStyle name="Milliers 2 3 2 2 4 2 2 2 2 4" xfId="18128"/>
    <cellStyle name="Milliers 2 3 2 2 4 2 2 2 2 4 2" xfId="18129"/>
    <cellStyle name="Milliers 2 3 2 2 4 2 2 2 2 5" xfId="18130"/>
    <cellStyle name="Milliers 2 3 2 2 4 2 2 2 3" xfId="18131"/>
    <cellStyle name="Milliers 2 3 2 2 4 2 2 2 3 2" xfId="18132"/>
    <cellStyle name="Milliers 2 3 2 2 4 2 2 2 3 2 2" xfId="18133"/>
    <cellStyle name="Milliers 2 3 2 2 4 2 2 2 3 2 2 2" xfId="18134"/>
    <cellStyle name="Milliers 2 3 2 2 4 2 2 2 3 2 3" xfId="18135"/>
    <cellStyle name="Milliers 2 3 2 2 4 2 2 2 3 3" xfId="18136"/>
    <cellStyle name="Milliers 2 3 2 2 4 2 2 2 3 3 2" xfId="18137"/>
    <cellStyle name="Milliers 2 3 2 2 4 2 2 2 3 4" xfId="18138"/>
    <cellStyle name="Milliers 2 3 2 2 4 2 2 2 4" xfId="18139"/>
    <cellStyle name="Milliers 2 3 2 2 4 2 2 2 4 2" xfId="18140"/>
    <cellStyle name="Milliers 2 3 2 2 4 2 2 2 4 2 2" xfId="18141"/>
    <cellStyle name="Milliers 2 3 2 2 4 2 2 2 4 3" xfId="18142"/>
    <cellStyle name="Milliers 2 3 2 2 4 2 2 2 5" xfId="18143"/>
    <cellStyle name="Milliers 2 3 2 2 4 2 2 2 5 2" xfId="18144"/>
    <cellStyle name="Milliers 2 3 2 2 4 2 2 2 6" xfId="18145"/>
    <cellStyle name="Milliers 2 3 2 2 4 2 2 3" xfId="18146"/>
    <cellStyle name="Milliers 2 3 2 2 4 2 2 3 2" xfId="18147"/>
    <cellStyle name="Milliers 2 3 2 2 4 2 2 3 2 2" xfId="18148"/>
    <cellStyle name="Milliers 2 3 2 2 4 2 2 3 2 2 2" xfId="18149"/>
    <cellStyle name="Milliers 2 3 2 2 4 2 2 3 2 2 2 2" xfId="18150"/>
    <cellStyle name="Milliers 2 3 2 2 4 2 2 3 2 2 3" xfId="18151"/>
    <cellStyle name="Milliers 2 3 2 2 4 2 2 3 2 3" xfId="18152"/>
    <cellStyle name="Milliers 2 3 2 2 4 2 2 3 2 3 2" xfId="18153"/>
    <cellStyle name="Milliers 2 3 2 2 4 2 2 3 2 4" xfId="18154"/>
    <cellStyle name="Milliers 2 3 2 2 4 2 2 3 3" xfId="18155"/>
    <cellStyle name="Milliers 2 3 2 2 4 2 2 3 3 2" xfId="18156"/>
    <cellStyle name="Milliers 2 3 2 2 4 2 2 3 3 2 2" xfId="18157"/>
    <cellStyle name="Milliers 2 3 2 2 4 2 2 3 3 3" xfId="18158"/>
    <cellStyle name="Milliers 2 3 2 2 4 2 2 3 4" xfId="18159"/>
    <cellStyle name="Milliers 2 3 2 2 4 2 2 3 4 2" xfId="18160"/>
    <cellStyle name="Milliers 2 3 2 2 4 2 2 3 5" xfId="18161"/>
    <cellStyle name="Milliers 2 3 2 2 4 2 2 4" xfId="18162"/>
    <cellStyle name="Milliers 2 3 2 2 4 2 2 4 2" xfId="18163"/>
    <cellStyle name="Milliers 2 3 2 2 4 2 2 4 2 2" xfId="18164"/>
    <cellStyle name="Milliers 2 3 2 2 4 2 2 4 2 2 2" xfId="18165"/>
    <cellStyle name="Milliers 2 3 2 2 4 2 2 4 2 3" xfId="18166"/>
    <cellStyle name="Milliers 2 3 2 2 4 2 2 4 3" xfId="18167"/>
    <cellStyle name="Milliers 2 3 2 2 4 2 2 4 3 2" xfId="18168"/>
    <cellStyle name="Milliers 2 3 2 2 4 2 2 4 4" xfId="18169"/>
    <cellStyle name="Milliers 2 3 2 2 4 2 2 5" xfId="18170"/>
    <cellStyle name="Milliers 2 3 2 2 4 2 2 5 2" xfId="18171"/>
    <cellStyle name="Milliers 2 3 2 2 4 2 2 5 2 2" xfId="18172"/>
    <cellStyle name="Milliers 2 3 2 2 4 2 2 5 3" xfId="18173"/>
    <cellStyle name="Milliers 2 3 2 2 4 2 2 6" xfId="18174"/>
    <cellStyle name="Milliers 2 3 2 2 4 2 2 6 2" xfId="18175"/>
    <cellStyle name="Milliers 2 3 2 2 4 2 2 7" xfId="18176"/>
    <cellStyle name="Milliers 2 3 2 2 4 2 3" xfId="18177"/>
    <cellStyle name="Milliers 2 3 2 2 4 2 3 2" xfId="18178"/>
    <cellStyle name="Milliers 2 3 2 2 4 2 3 2 2" xfId="18179"/>
    <cellStyle name="Milliers 2 3 2 2 4 2 3 2 2 2" xfId="18180"/>
    <cellStyle name="Milliers 2 3 2 2 4 2 3 2 2 2 2" xfId="18181"/>
    <cellStyle name="Milliers 2 3 2 2 4 2 3 2 2 2 2 2" xfId="18182"/>
    <cellStyle name="Milliers 2 3 2 2 4 2 3 2 2 2 3" xfId="18183"/>
    <cellStyle name="Milliers 2 3 2 2 4 2 3 2 2 3" xfId="18184"/>
    <cellStyle name="Milliers 2 3 2 2 4 2 3 2 2 3 2" xfId="18185"/>
    <cellStyle name="Milliers 2 3 2 2 4 2 3 2 2 4" xfId="18186"/>
    <cellStyle name="Milliers 2 3 2 2 4 2 3 2 3" xfId="18187"/>
    <cellStyle name="Milliers 2 3 2 2 4 2 3 2 3 2" xfId="18188"/>
    <cellStyle name="Milliers 2 3 2 2 4 2 3 2 3 2 2" xfId="18189"/>
    <cellStyle name="Milliers 2 3 2 2 4 2 3 2 3 3" xfId="18190"/>
    <cellStyle name="Milliers 2 3 2 2 4 2 3 2 4" xfId="18191"/>
    <cellStyle name="Milliers 2 3 2 2 4 2 3 2 4 2" xfId="18192"/>
    <cellStyle name="Milliers 2 3 2 2 4 2 3 2 5" xfId="18193"/>
    <cellStyle name="Milliers 2 3 2 2 4 2 3 3" xfId="18194"/>
    <cellStyle name="Milliers 2 3 2 2 4 2 3 3 2" xfId="18195"/>
    <cellStyle name="Milliers 2 3 2 2 4 2 3 3 2 2" xfId="18196"/>
    <cellStyle name="Milliers 2 3 2 2 4 2 3 3 2 2 2" xfId="18197"/>
    <cellStyle name="Milliers 2 3 2 2 4 2 3 3 2 3" xfId="18198"/>
    <cellStyle name="Milliers 2 3 2 2 4 2 3 3 3" xfId="18199"/>
    <cellStyle name="Milliers 2 3 2 2 4 2 3 3 3 2" xfId="18200"/>
    <cellStyle name="Milliers 2 3 2 2 4 2 3 3 4" xfId="18201"/>
    <cellStyle name="Milliers 2 3 2 2 4 2 3 4" xfId="18202"/>
    <cellStyle name="Milliers 2 3 2 2 4 2 3 4 2" xfId="18203"/>
    <cellStyle name="Milliers 2 3 2 2 4 2 3 4 2 2" xfId="18204"/>
    <cellStyle name="Milliers 2 3 2 2 4 2 3 4 3" xfId="18205"/>
    <cellStyle name="Milliers 2 3 2 2 4 2 3 5" xfId="18206"/>
    <cellStyle name="Milliers 2 3 2 2 4 2 3 5 2" xfId="18207"/>
    <cellStyle name="Milliers 2 3 2 2 4 2 3 6" xfId="18208"/>
    <cellStyle name="Milliers 2 3 2 2 4 2 4" xfId="18209"/>
    <cellStyle name="Milliers 2 3 2 2 4 2 4 2" xfId="18210"/>
    <cellStyle name="Milliers 2 3 2 2 4 2 4 2 2" xfId="18211"/>
    <cellStyle name="Milliers 2 3 2 2 4 2 4 2 2 2" xfId="18212"/>
    <cellStyle name="Milliers 2 3 2 2 4 2 4 2 2 2 2" xfId="18213"/>
    <cellStyle name="Milliers 2 3 2 2 4 2 4 2 2 3" xfId="18214"/>
    <cellStyle name="Milliers 2 3 2 2 4 2 4 2 3" xfId="18215"/>
    <cellStyle name="Milliers 2 3 2 2 4 2 4 2 3 2" xfId="18216"/>
    <cellStyle name="Milliers 2 3 2 2 4 2 4 2 4" xfId="18217"/>
    <cellStyle name="Milliers 2 3 2 2 4 2 4 3" xfId="18218"/>
    <cellStyle name="Milliers 2 3 2 2 4 2 4 3 2" xfId="18219"/>
    <cellStyle name="Milliers 2 3 2 2 4 2 4 3 2 2" xfId="18220"/>
    <cellStyle name="Milliers 2 3 2 2 4 2 4 3 3" xfId="18221"/>
    <cellStyle name="Milliers 2 3 2 2 4 2 4 4" xfId="18222"/>
    <cellStyle name="Milliers 2 3 2 2 4 2 4 4 2" xfId="18223"/>
    <cellStyle name="Milliers 2 3 2 2 4 2 4 5" xfId="18224"/>
    <cellStyle name="Milliers 2 3 2 2 4 2 5" xfId="18225"/>
    <cellStyle name="Milliers 2 3 2 2 4 2 5 2" xfId="18226"/>
    <cellStyle name="Milliers 2 3 2 2 4 2 5 2 2" xfId="18227"/>
    <cellStyle name="Milliers 2 3 2 2 4 2 5 2 2 2" xfId="18228"/>
    <cellStyle name="Milliers 2 3 2 2 4 2 5 2 3" xfId="18229"/>
    <cellStyle name="Milliers 2 3 2 2 4 2 5 3" xfId="18230"/>
    <cellStyle name="Milliers 2 3 2 2 4 2 5 3 2" xfId="18231"/>
    <cellStyle name="Milliers 2 3 2 2 4 2 5 4" xfId="18232"/>
    <cellStyle name="Milliers 2 3 2 2 4 2 6" xfId="18233"/>
    <cellStyle name="Milliers 2 3 2 2 4 2 6 2" xfId="18234"/>
    <cellStyle name="Milliers 2 3 2 2 4 2 6 2 2" xfId="18235"/>
    <cellStyle name="Milliers 2 3 2 2 4 2 6 3" xfId="18236"/>
    <cellStyle name="Milliers 2 3 2 2 4 2 7" xfId="18237"/>
    <cellStyle name="Milliers 2 3 2 2 4 2 7 2" xfId="18238"/>
    <cellStyle name="Milliers 2 3 2 2 4 2 8" xfId="18239"/>
    <cellStyle name="Milliers 2 3 2 2 4 3" xfId="18240"/>
    <cellStyle name="Milliers 2 3 2 2 4 3 2" xfId="18241"/>
    <cellStyle name="Milliers 2 3 2 2 4 3 2 2" xfId="18242"/>
    <cellStyle name="Milliers 2 3 2 2 4 3 2 2 2" xfId="18243"/>
    <cellStyle name="Milliers 2 3 2 2 4 3 2 2 2 2" xfId="18244"/>
    <cellStyle name="Milliers 2 3 2 2 4 3 2 2 2 2 2" xfId="18245"/>
    <cellStyle name="Milliers 2 3 2 2 4 3 2 2 2 2 2 2" xfId="18246"/>
    <cellStyle name="Milliers 2 3 2 2 4 3 2 2 2 2 3" xfId="18247"/>
    <cellStyle name="Milliers 2 3 2 2 4 3 2 2 2 3" xfId="18248"/>
    <cellStyle name="Milliers 2 3 2 2 4 3 2 2 2 3 2" xfId="18249"/>
    <cellStyle name="Milliers 2 3 2 2 4 3 2 2 2 4" xfId="18250"/>
    <cellStyle name="Milliers 2 3 2 2 4 3 2 2 3" xfId="18251"/>
    <cellStyle name="Milliers 2 3 2 2 4 3 2 2 3 2" xfId="18252"/>
    <cellStyle name="Milliers 2 3 2 2 4 3 2 2 3 2 2" xfId="18253"/>
    <cellStyle name="Milliers 2 3 2 2 4 3 2 2 3 3" xfId="18254"/>
    <cellStyle name="Milliers 2 3 2 2 4 3 2 2 4" xfId="18255"/>
    <cellStyle name="Milliers 2 3 2 2 4 3 2 2 4 2" xfId="18256"/>
    <cellStyle name="Milliers 2 3 2 2 4 3 2 2 5" xfId="18257"/>
    <cellStyle name="Milliers 2 3 2 2 4 3 2 3" xfId="18258"/>
    <cellStyle name="Milliers 2 3 2 2 4 3 2 3 2" xfId="18259"/>
    <cellStyle name="Milliers 2 3 2 2 4 3 2 3 2 2" xfId="18260"/>
    <cellStyle name="Milliers 2 3 2 2 4 3 2 3 2 2 2" xfId="18261"/>
    <cellStyle name="Milliers 2 3 2 2 4 3 2 3 2 3" xfId="18262"/>
    <cellStyle name="Milliers 2 3 2 2 4 3 2 3 3" xfId="18263"/>
    <cellStyle name="Milliers 2 3 2 2 4 3 2 3 3 2" xfId="18264"/>
    <cellStyle name="Milliers 2 3 2 2 4 3 2 3 4" xfId="18265"/>
    <cellStyle name="Milliers 2 3 2 2 4 3 2 4" xfId="18266"/>
    <cellStyle name="Milliers 2 3 2 2 4 3 2 4 2" xfId="18267"/>
    <cellStyle name="Milliers 2 3 2 2 4 3 2 4 2 2" xfId="18268"/>
    <cellStyle name="Milliers 2 3 2 2 4 3 2 4 3" xfId="18269"/>
    <cellStyle name="Milliers 2 3 2 2 4 3 2 5" xfId="18270"/>
    <cellStyle name="Milliers 2 3 2 2 4 3 2 5 2" xfId="18271"/>
    <cellStyle name="Milliers 2 3 2 2 4 3 2 6" xfId="18272"/>
    <cellStyle name="Milliers 2 3 2 2 4 3 3" xfId="18273"/>
    <cellStyle name="Milliers 2 3 2 2 4 3 3 2" xfId="18274"/>
    <cellStyle name="Milliers 2 3 2 2 4 3 3 2 2" xfId="18275"/>
    <cellStyle name="Milliers 2 3 2 2 4 3 3 2 2 2" xfId="18276"/>
    <cellStyle name="Milliers 2 3 2 2 4 3 3 2 2 2 2" xfId="18277"/>
    <cellStyle name="Milliers 2 3 2 2 4 3 3 2 2 3" xfId="18278"/>
    <cellStyle name="Milliers 2 3 2 2 4 3 3 2 3" xfId="18279"/>
    <cellStyle name="Milliers 2 3 2 2 4 3 3 2 3 2" xfId="18280"/>
    <cellStyle name="Milliers 2 3 2 2 4 3 3 2 4" xfId="18281"/>
    <cellStyle name="Milliers 2 3 2 2 4 3 3 3" xfId="18282"/>
    <cellStyle name="Milliers 2 3 2 2 4 3 3 3 2" xfId="18283"/>
    <cellStyle name="Milliers 2 3 2 2 4 3 3 3 2 2" xfId="18284"/>
    <cellStyle name="Milliers 2 3 2 2 4 3 3 3 3" xfId="18285"/>
    <cellStyle name="Milliers 2 3 2 2 4 3 3 4" xfId="18286"/>
    <cellStyle name="Milliers 2 3 2 2 4 3 3 4 2" xfId="18287"/>
    <cellStyle name="Milliers 2 3 2 2 4 3 3 5" xfId="18288"/>
    <cellStyle name="Milliers 2 3 2 2 4 3 4" xfId="18289"/>
    <cellStyle name="Milliers 2 3 2 2 4 3 4 2" xfId="18290"/>
    <cellStyle name="Milliers 2 3 2 2 4 3 4 2 2" xfId="18291"/>
    <cellStyle name="Milliers 2 3 2 2 4 3 4 2 2 2" xfId="18292"/>
    <cellStyle name="Milliers 2 3 2 2 4 3 4 2 3" xfId="18293"/>
    <cellStyle name="Milliers 2 3 2 2 4 3 4 3" xfId="18294"/>
    <cellStyle name="Milliers 2 3 2 2 4 3 4 3 2" xfId="18295"/>
    <cellStyle name="Milliers 2 3 2 2 4 3 4 4" xfId="18296"/>
    <cellStyle name="Milliers 2 3 2 2 4 3 5" xfId="18297"/>
    <cellStyle name="Milliers 2 3 2 2 4 3 5 2" xfId="18298"/>
    <cellStyle name="Milliers 2 3 2 2 4 3 5 2 2" xfId="18299"/>
    <cellStyle name="Milliers 2 3 2 2 4 3 5 3" xfId="18300"/>
    <cellStyle name="Milliers 2 3 2 2 4 3 6" xfId="18301"/>
    <cellStyle name="Milliers 2 3 2 2 4 3 6 2" xfId="18302"/>
    <cellStyle name="Milliers 2 3 2 2 4 3 7" xfId="18303"/>
    <cellStyle name="Milliers 2 3 2 2 4 4" xfId="18304"/>
    <cellStyle name="Milliers 2 3 2 2 4 4 2" xfId="18305"/>
    <cellStyle name="Milliers 2 3 2 2 4 4 2 2" xfId="18306"/>
    <cellStyle name="Milliers 2 3 2 2 4 4 2 2 2" xfId="18307"/>
    <cellStyle name="Milliers 2 3 2 2 4 4 2 2 2 2" xfId="18308"/>
    <cellStyle name="Milliers 2 3 2 2 4 4 2 2 2 2 2" xfId="18309"/>
    <cellStyle name="Milliers 2 3 2 2 4 4 2 2 2 3" xfId="18310"/>
    <cellStyle name="Milliers 2 3 2 2 4 4 2 2 3" xfId="18311"/>
    <cellStyle name="Milliers 2 3 2 2 4 4 2 2 3 2" xfId="18312"/>
    <cellStyle name="Milliers 2 3 2 2 4 4 2 2 4" xfId="18313"/>
    <cellStyle name="Milliers 2 3 2 2 4 4 2 3" xfId="18314"/>
    <cellStyle name="Milliers 2 3 2 2 4 4 2 3 2" xfId="18315"/>
    <cellStyle name="Milliers 2 3 2 2 4 4 2 3 2 2" xfId="18316"/>
    <cellStyle name="Milliers 2 3 2 2 4 4 2 3 3" xfId="18317"/>
    <cellStyle name="Milliers 2 3 2 2 4 4 2 4" xfId="18318"/>
    <cellStyle name="Milliers 2 3 2 2 4 4 2 4 2" xfId="18319"/>
    <cellStyle name="Milliers 2 3 2 2 4 4 2 5" xfId="18320"/>
    <cellStyle name="Milliers 2 3 2 2 4 4 3" xfId="18321"/>
    <cellStyle name="Milliers 2 3 2 2 4 4 3 2" xfId="18322"/>
    <cellStyle name="Milliers 2 3 2 2 4 4 3 2 2" xfId="18323"/>
    <cellStyle name="Milliers 2 3 2 2 4 4 3 2 2 2" xfId="18324"/>
    <cellStyle name="Milliers 2 3 2 2 4 4 3 2 3" xfId="18325"/>
    <cellStyle name="Milliers 2 3 2 2 4 4 3 3" xfId="18326"/>
    <cellStyle name="Milliers 2 3 2 2 4 4 3 3 2" xfId="18327"/>
    <cellStyle name="Milliers 2 3 2 2 4 4 3 4" xfId="18328"/>
    <cellStyle name="Milliers 2 3 2 2 4 4 4" xfId="18329"/>
    <cellStyle name="Milliers 2 3 2 2 4 4 4 2" xfId="18330"/>
    <cellStyle name="Milliers 2 3 2 2 4 4 4 2 2" xfId="18331"/>
    <cellStyle name="Milliers 2 3 2 2 4 4 4 3" xfId="18332"/>
    <cellStyle name="Milliers 2 3 2 2 4 4 5" xfId="18333"/>
    <cellStyle name="Milliers 2 3 2 2 4 4 5 2" xfId="18334"/>
    <cellStyle name="Milliers 2 3 2 2 4 4 6" xfId="18335"/>
    <cellStyle name="Milliers 2 3 2 2 4 5" xfId="18336"/>
    <cellStyle name="Milliers 2 3 2 2 4 5 2" xfId="18337"/>
    <cellStyle name="Milliers 2 3 2 2 4 5 2 2" xfId="18338"/>
    <cellStyle name="Milliers 2 3 2 2 4 5 2 2 2" xfId="18339"/>
    <cellStyle name="Milliers 2 3 2 2 4 5 2 2 2 2" xfId="18340"/>
    <cellStyle name="Milliers 2 3 2 2 4 5 2 2 3" xfId="18341"/>
    <cellStyle name="Milliers 2 3 2 2 4 5 2 3" xfId="18342"/>
    <cellStyle name="Milliers 2 3 2 2 4 5 2 3 2" xfId="18343"/>
    <cellStyle name="Milliers 2 3 2 2 4 5 2 4" xfId="18344"/>
    <cellStyle name="Milliers 2 3 2 2 4 5 3" xfId="18345"/>
    <cellStyle name="Milliers 2 3 2 2 4 5 3 2" xfId="18346"/>
    <cellStyle name="Milliers 2 3 2 2 4 5 3 2 2" xfId="18347"/>
    <cellStyle name="Milliers 2 3 2 2 4 5 3 3" xfId="18348"/>
    <cellStyle name="Milliers 2 3 2 2 4 5 4" xfId="18349"/>
    <cellStyle name="Milliers 2 3 2 2 4 5 4 2" xfId="18350"/>
    <cellStyle name="Milliers 2 3 2 2 4 5 5" xfId="18351"/>
    <cellStyle name="Milliers 2 3 2 2 4 6" xfId="18352"/>
    <cellStyle name="Milliers 2 3 2 2 4 6 2" xfId="18353"/>
    <cellStyle name="Milliers 2 3 2 2 4 6 2 2" xfId="18354"/>
    <cellStyle name="Milliers 2 3 2 2 4 6 2 2 2" xfId="18355"/>
    <cellStyle name="Milliers 2 3 2 2 4 6 2 3" xfId="18356"/>
    <cellStyle name="Milliers 2 3 2 2 4 6 3" xfId="18357"/>
    <cellStyle name="Milliers 2 3 2 2 4 6 3 2" xfId="18358"/>
    <cellStyle name="Milliers 2 3 2 2 4 6 4" xfId="18359"/>
    <cellStyle name="Milliers 2 3 2 2 4 7" xfId="18360"/>
    <cellStyle name="Milliers 2 3 2 2 4 7 2" xfId="18361"/>
    <cellStyle name="Milliers 2 3 2 2 4 7 2 2" xfId="18362"/>
    <cellStyle name="Milliers 2 3 2 2 4 7 3" xfId="18363"/>
    <cellStyle name="Milliers 2 3 2 2 4 8" xfId="18364"/>
    <cellStyle name="Milliers 2 3 2 2 4 8 2" xfId="18365"/>
    <cellStyle name="Milliers 2 3 2 2 4 9" xfId="18366"/>
    <cellStyle name="Milliers 2 3 2 2 5" xfId="18367"/>
    <cellStyle name="Milliers 2 3 2 2 5 2" xfId="18368"/>
    <cellStyle name="Milliers 2 3 2 2 5 2 2" xfId="18369"/>
    <cellStyle name="Milliers 2 3 2 2 5 2 2 2" xfId="18370"/>
    <cellStyle name="Milliers 2 3 2 2 5 2 2 2 2" xfId="18371"/>
    <cellStyle name="Milliers 2 3 2 2 5 2 2 2 2 2" xfId="18372"/>
    <cellStyle name="Milliers 2 3 2 2 5 2 2 2 2 2 2" xfId="18373"/>
    <cellStyle name="Milliers 2 3 2 2 5 2 2 2 2 2 2 2" xfId="18374"/>
    <cellStyle name="Milliers 2 3 2 2 5 2 2 2 2 2 3" xfId="18375"/>
    <cellStyle name="Milliers 2 3 2 2 5 2 2 2 2 3" xfId="18376"/>
    <cellStyle name="Milliers 2 3 2 2 5 2 2 2 2 3 2" xfId="18377"/>
    <cellStyle name="Milliers 2 3 2 2 5 2 2 2 2 4" xfId="18378"/>
    <cellStyle name="Milliers 2 3 2 2 5 2 2 2 3" xfId="18379"/>
    <cellStyle name="Milliers 2 3 2 2 5 2 2 2 3 2" xfId="18380"/>
    <cellStyle name="Milliers 2 3 2 2 5 2 2 2 3 2 2" xfId="18381"/>
    <cellStyle name="Milliers 2 3 2 2 5 2 2 2 3 3" xfId="18382"/>
    <cellStyle name="Milliers 2 3 2 2 5 2 2 2 4" xfId="18383"/>
    <cellStyle name="Milliers 2 3 2 2 5 2 2 2 4 2" xfId="18384"/>
    <cellStyle name="Milliers 2 3 2 2 5 2 2 2 5" xfId="18385"/>
    <cellStyle name="Milliers 2 3 2 2 5 2 2 3" xfId="18386"/>
    <cellStyle name="Milliers 2 3 2 2 5 2 2 3 2" xfId="18387"/>
    <cellStyle name="Milliers 2 3 2 2 5 2 2 3 2 2" xfId="18388"/>
    <cellStyle name="Milliers 2 3 2 2 5 2 2 3 2 2 2" xfId="18389"/>
    <cellStyle name="Milliers 2 3 2 2 5 2 2 3 2 3" xfId="18390"/>
    <cellStyle name="Milliers 2 3 2 2 5 2 2 3 3" xfId="18391"/>
    <cellStyle name="Milliers 2 3 2 2 5 2 2 3 3 2" xfId="18392"/>
    <cellStyle name="Milliers 2 3 2 2 5 2 2 3 4" xfId="18393"/>
    <cellStyle name="Milliers 2 3 2 2 5 2 2 4" xfId="18394"/>
    <cellStyle name="Milliers 2 3 2 2 5 2 2 4 2" xfId="18395"/>
    <cellStyle name="Milliers 2 3 2 2 5 2 2 4 2 2" xfId="18396"/>
    <cellStyle name="Milliers 2 3 2 2 5 2 2 4 3" xfId="18397"/>
    <cellStyle name="Milliers 2 3 2 2 5 2 2 5" xfId="18398"/>
    <cellStyle name="Milliers 2 3 2 2 5 2 2 5 2" xfId="18399"/>
    <cellStyle name="Milliers 2 3 2 2 5 2 2 6" xfId="18400"/>
    <cellStyle name="Milliers 2 3 2 2 5 2 3" xfId="18401"/>
    <cellStyle name="Milliers 2 3 2 2 5 2 3 2" xfId="18402"/>
    <cellStyle name="Milliers 2 3 2 2 5 2 3 2 2" xfId="18403"/>
    <cellStyle name="Milliers 2 3 2 2 5 2 3 2 2 2" xfId="18404"/>
    <cellStyle name="Milliers 2 3 2 2 5 2 3 2 2 2 2" xfId="18405"/>
    <cellStyle name="Milliers 2 3 2 2 5 2 3 2 2 3" xfId="18406"/>
    <cellStyle name="Milliers 2 3 2 2 5 2 3 2 3" xfId="18407"/>
    <cellStyle name="Milliers 2 3 2 2 5 2 3 2 3 2" xfId="18408"/>
    <cellStyle name="Milliers 2 3 2 2 5 2 3 2 4" xfId="18409"/>
    <cellStyle name="Milliers 2 3 2 2 5 2 3 3" xfId="18410"/>
    <cellStyle name="Milliers 2 3 2 2 5 2 3 3 2" xfId="18411"/>
    <cellStyle name="Milliers 2 3 2 2 5 2 3 3 2 2" xfId="18412"/>
    <cellStyle name="Milliers 2 3 2 2 5 2 3 3 3" xfId="18413"/>
    <cellStyle name="Milliers 2 3 2 2 5 2 3 4" xfId="18414"/>
    <cellStyle name="Milliers 2 3 2 2 5 2 3 4 2" xfId="18415"/>
    <cellStyle name="Milliers 2 3 2 2 5 2 3 5" xfId="18416"/>
    <cellStyle name="Milliers 2 3 2 2 5 2 4" xfId="18417"/>
    <cellStyle name="Milliers 2 3 2 2 5 2 4 2" xfId="18418"/>
    <cellStyle name="Milliers 2 3 2 2 5 2 4 2 2" xfId="18419"/>
    <cellStyle name="Milliers 2 3 2 2 5 2 4 2 2 2" xfId="18420"/>
    <cellStyle name="Milliers 2 3 2 2 5 2 4 2 3" xfId="18421"/>
    <cellStyle name="Milliers 2 3 2 2 5 2 4 3" xfId="18422"/>
    <cellStyle name="Milliers 2 3 2 2 5 2 4 3 2" xfId="18423"/>
    <cellStyle name="Milliers 2 3 2 2 5 2 4 4" xfId="18424"/>
    <cellStyle name="Milliers 2 3 2 2 5 2 5" xfId="18425"/>
    <cellStyle name="Milliers 2 3 2 2 5 2 5 2" xfId="18426"/>
    <cellStyle name="Milliers 2 3 2 2 5 2 5 2 2" xfId="18427"/>
    <cellStyle name="Milliers 2 3 2 2 5 2 5 3" xfId="18428"/>
    <cellStyle name="Milliers 2 3 2 2 5 2 6" xfId="18429"/>
    <cellStyle name="Milliers 2 3 2 2 5 2 6 2" xfId="18430"/>
    <cellStyle name="Milliers 2 3 2 2 5 2 7" xfId="18431"/>
    <cellStyle name="Milliers 2 3 2 2 5 3" xfId="18432"/>
    <cellStyle name="Milliers 2 3 2 2 5 3 2" xfId="18433"/>
    <cellStyle name="Milliers 2 3 2 2 5 3 2 2" xfId="18434"/>
    <cellStyle name="Milliers 2 3 2 2 5 3 2 2 2" xfId="18435"/>
    <cellStyle name="Milliers 2 3 2 2 5 3 2 2 2 2" xfId="18436"/>
    <cellStyle name="Milliers 2 3 2 2 5 3 2 2 2 2 2" xfId="18437"/>
    <cellStyle name="Milliers 2 3 2 2 5 3 2 2 2 3" xfId="18438"/>
    <cellStyle name="Milliers 2 3 2 2 5 3 2 2 3" xfId="18439"/>
    <cellStyle name="Milliers 2 3 2 2 5 3 2 2 3 2" xfId="18440"/>
    <cellStyle name="Milliers 2 3 2 2 5 3 2 2 4" xfId="18441"/>
    <cellStyle name="Milliers 2 3 2 2 5 3 2 3" xfId="18442"/>
    <cellStyle name="Milliers 2 3 2 2 5 3 2 3 2" xfId="18443"/>
    <cellStyle name="Milliers 2 3 2 2 5 3 2 3 2 2" xfId="18444"/>
    <cellStyle name="Milliers 2 3 2 2 5 3 2 3 3" xfId="18445"/>
    <cellStyle name="Milliers 2 3 2 2 5 3 2 4" xfId="18446"/>
    <cellStyle name="Milliers 2 3 2 2 5 3 2 4 2" xfId="18447"/>
    <cellStyle name="Milliers 2 3 2 2 5 3 2 5" xfId="18448"/>
    <cellStyle name="Milliers 2 3 2 2 5 3 3" xfId="18449"/>
    <cellStyle name="Milliers 2 3 2 2 5 3 3 2" xfId="18450"/>
    <cellStyle name="Milliers 2 3 2 2 5 3 3 2 2" xfId="18451"/>
    <cellStyle name="Milliers 2 3 2 2 5 3 3 2 2 2" xfId="18452"/>
    <cellStyle name="Milliers 2 3 2 2 5 3 3 2 3" xfId="18453"/>
    <cellStyle name="Milliers 2 3 2 2 5 3 3 3" xfId="18454"/>
    <cellStyle name="Milliers 2 3 2 2 5 3 3 3 2" xfId="18455"/>
    <cellStyle name="Milliers 2 3 2 2 5 3 3 4" xfId="18456"/>
    <cellStyle name="Milliers 2 3 2 2 5 3 4" xfId="18457"/>
    <cellStyle name="Milliers 2 3 2 2 5 3 4 2" xfId="18458"/>
    <cellStyle name="Milliers 2 3 2 2 5 3 4 2 2" xfId="18459"/>
    <cellStyle name="Milliers 2 3 2 2 5 3 4 3" xfId="18460"/>
    <cellStyle name="Milliers 2 3 2 2 5 3 5" xfId="18461"/>
    <cellStyle name="Milliers 2 3 2 2 5 3 5 2" xfId="18462"/>
    <cellStyle name="Milliers 2 3 2 2 5 3 6" xfId="18463"/>
    <cellStyle name="Milliers 2 3 2 2 5 4" xfId="18464"/>
    <cellStyle name="Milliers 2 3 2 2 5 4 2" xfId="18465"/>
    <cellStyle name="Milliers 2 3 2 2 5 4 2 2" xfId="18466"/>
    <cellStyle name="Milliers 2 3 2 2 5 4 2 2 2" xfId="18467"/>
    <cellStyle name="Milliers 2 3 2 2 5 4 2 2 2 2" xfId="18468"/>
    <cellStyle name="Milliers 2 3 2 2 5 4 2 2 3" xfId="18469"/>
    <cellStyle name="Milliers 2 3 2 2 5 4 2 3" xfId="18470"/>
    <cellStyle name="Milliers 2 3 2 2 5 4 2 3 2" xfId="18471"/>
    <cellStyle name="Milliers 2 3 2 2 5 4 2 4" xfId="18472"/>
    <cellStyle name="Milliers 2 3 2 2 5 4 3" xfId="18473"/>
    <cellStyle name="Milliers 2 3 2 2 5 4 3 2" xfId="18474"/>
    <cellStyle name="Milliers 2 3 2 2 5 4 3 2 2" xfId="18475"/>
    <cellStyle name="Milliers 2 3 2 2 5 4 3 3" xfId="18476"/>
    <cellStyle name="Milliers 2 3 2 2 5 4 4" xfId="18477"/>
    <cellStyle name="Milliers 2 3 2 2 5 4 4 2" xfId="18478"/>
    <cellStyle name="Milliers 2 3 2 2 5 4 5" xfId="18479"/>
    <cellStyle name="Milliers 2 3 2 2 5 5" xfId="18480"/>
    <cellStyle name="Milliers 2 3 2 2 5 5 2" xfId="18481"/>
    <cellStyle name="Milliers 2 3 2 2 5 5 2 2" xfId="18482"/>
    <cellStyle name="Milliers 2 3 2 2 5 5 2 2 2" xfId="18483"/>
    <cellStyle name="Milliers 2 3 2 2 5 5 2 3" xfId="18484"/>
    <cellStyle name="Milliers 2 3 2 2 5 5 3" xfId="18485"/>
    <cellStyle name="Milliers 2 3 2 2 5 5 3 2" xfId="18486"/>
    <cellStyle name="Milliers 2 3 2 2 5 5 4" xfId="18487"/>
    <cellStyle name="Milliers 2 3 2 2 5 6" xfId="18488"/>
    <cellStyle name="Milliers 2 3 2 2 5 6 2" xfId="18489"/>
    <cellStyle name="Milliers 2 3 2 2 5 6 2 2" xfId="18490"/>
    <cellStyle name="Milliers 2 3 2 2 5 6 3" xfId="18491"/>
    <cellStyle name="Milliers 2 3 2 2 5 7" xfId="18492"/>
    <cellStyle name="Milliers 2 3 2 2 5 7 2" xfId="18493"/>
    <cellStyle name="Milliers 2 3 2 2 5 8" xfId="18494"/>
    <cellStyle name="Milliers 2 3 2 2 6" xfId="18495"/>
    <cellStyle name="Milliers 2 3 2 2 6 2" xfId="18496"/>
    <cellStyle name="Milliers 2 3 2 2 6 2 2" xfId="18497"/>
    <cellStyle name="Milliers 2 3 2 2 6 2 2 2" xfId="18498"/>
    <cellStyle name="Milliers 2 3 2 2 6 2 2 2 2" xfId="18499"/>
    <cellStyle name="Milliers 2 3 2 2 6 2 2 2 2 2" xfId="18500"/>
    <cellStyle name="Milliers 2 3 2 2 6 2 2 2 2 2 2" xfId="18501"/>
    <cellStyle name="Milliers 2 3 2 2 6 2 2 2 2 3" xfId="18502"/>
    <cellStyle name="Milliers 2 3 2 2 6 2 2 2 3" xfId="18503"/>
    <cellStyle name="Milliers 2 3 2 2 6 2 2 2 3 2" xfId="18504"/>
    <cellStyle name="Milliers 2 3 2 2 6 2 2 2 4" xfId="18505"/>
    <cellStyle name="Milliers 2 3 2 2 6 2 2 3" xfId="18506"/>
    <cellStyle name="Milliers 2 3 2 2 6 2 2 3 2" xfId="18507"/>
    <cellStyle name="Milliers 2 3 2 2 6 2 2 3 2 2" xfId="18508"/>
    <cellStyle name="Milliers 2 3 2 2 6 2 2 3 3" xfId="18509"/>
    <cellStyle name="Milliers 2 3 2 2 6 2 2 4" xfId="18510"/>
    <cellStyle name="Milliers 2 3 2 2 6 2 2 4 2" xfId="18511"/>
    <cellStyle name="Milliers 2 3 2 2 6 2 2 5" xfId="18512"/>
    <cellStyle name="Milliers 2 3 2 2 6 2 3" xfId="18513"/>
    <cellStyle name="Milliers 2 3 2 2 6 2 3 2" xfId="18514"/>
    <cellStyle name="Milliers 2 3 2 2 6 2 3 2 2" xfId="18515"/>
    <cellStyle name="Milliers 2 3 2 2 6 2 3 2 2 2" xfId="18516"/>
    <cellStyle name="Milliers 2 3 2 2 6 2 3 2 3" xfId="18517"/>
    <cellStyle name="Milliers 2 3 2 2 6 2 3 3" xfId="18518"/>
    <cellStyle name="Milliers 2 3 2 2 6 2 3 3 2" xfId="18519"/>
    <cellStyle name="Milliers 2 3 2 2 6 2 3 4" xfId="18520"/>
    <cellStyle name="Milliers 2 3 2 2 6 2 4" xfId="18521"/>
    <cellStyle name="Milliers 2 3 2 2 6 2 4 2" xfId="18522"/>
    <cellStyle name="Milliers 2 3 2 2 6 2 4 2 2" xfId="18523"/>
    <cellStyle name="Milliers 2 3 2 2 6 2 4 3" xfId="18524"/>
    <cellStyle name="Milliers 2 3 2 2 6 2 5" xfId="18525"/>
    <cellStyle name="Milliers 2 3 2 2 6 2 5 2" xfId="18526"/>
    <cellStyle name="Milliers 2 3 2 2 6 2 6" xfId="18527"/>
    <cellStyle name="Milliers 2 3 2 2 6 3" xfId="18528"/>
    <cellStyle name="Milliers 2 3 2 2 6 3 2" xfId="18529"/>
    <cellStyle name="Milliers 2 3 2 2 6 3 2 2" xfId="18530"/>
    <cellStyle name="Milliers 2 3 2 2 6 3 2 2 2" xfId="18531"/>
    <cellStyle name="Milliers 2 3 2 2 6 3 2 2 2 2" xfId="18532"/>
    <cellStyle name="Milliers 2 3 2 2 6 3 2 2 3" xfId="18533"/>
    <cellStyle name="Milliers 2 3 2 2 6 3 2 3" xfId="18534"/>
    <cellStyle name="Milliers 2 3 2 2 6 3 2 3 2" xfId="18535"/>
    <cellStyle name="Milliers 2 3 2 2 6 3 2 4" xfId="18536"/>
    <cellStyle name="Milliers 2 3 2 2 6 3 3" xfId="18537"/>
    <cellStyle name="Milliers 2 3 2 2 6 3 3 2" xfId="18538"/>
    <cellStyle name="Milliers 2 3 2 2 6 3 3 2 2" xfId="18539"/>
    <cellStyle name="Milliers 2 3 2 2 6 3 3 3" xfId="18540"/>
    <cellStyle name="Milliers 2 3 2 2 6 3 4" xfId="18541"/>
    <cellStyle name="Milliers 2 3 2 2 6 3 4 2" xfId="18542"/>
    <cellStyle name="Milliers 2 3 2 2 6 3 5" xfId="18543"/>
    <cellStyle name="Milliers 2 3 2 2 6 4" xfId="18544"/>
    <cellStyle name="Milliers 2 3 2 2 6 4 2" xfId="18545"/>
    <cellStyle name="Milliers 2 3 2 2 6 4 2 2" xfId="18546"/>
    <cellStyle name="Milliers 2 3 2 2 6 4 2 2 2" xfId="18547"/>
    <cellStyle name="Milliers 2 3 2 2 6 4 2 3" xfId="18548"/>
    <cellStyle name="Milliers 2 3 2 2 6 4 3" xfId="18549"/>
    <cellStyle name="Milliers 2 3 2 2 6 4 3 2" xfId="18550"/>
    <cellStyle name="Milliers 2 3 2 2 6 4 4" xfId="18551"/>
    <cellStyle name="Milliers 2 3 2 2 6 5" xfId="18552"/>
    <cellStyle name="Milliers 2 3 2 2 6 5 2" xfId="18553"/>
    <cellStyle name="Milliers 2 3 2 2 6 5 2 2" xfId="18554"/>
    <cellStyle name="Milliers 2 3 2 2 6 5 3" xfId="18555"/>
    <cellStyle name="Milliers 2 3 2 2 6 6" xfId="18556"/>
    <cellStyle name="Milliers 2 3 2 2 6 6 2" xfId="18557"/>
    <cellStyle name="Milliers 2 3 2 2 6 7" xfId="18558"/>
    <cellStyle name="Milliers 2 3 2 2 7" xfId="18559"/>
    <cellStyle name="Milliers 2 3 2 2 7 2" xfId="18560"/>
    <cellStyle name="Milliers 2 3 2 2 7 2 2" xfId="18561"/>
    <cellStyle name="Milliers 2 3 2 2 7 2 2 2" xfId="18562"/>
    <cellStyle name="Milliers 2 3 2 2 7 2 2 2 2" xfId="18563"/>
    <cellStyle name="Milliers 2 3 2 2 7 2 2 2 2 2" xfId="18564"/>
    <cellStyle name="Milliers 2 3 2 2 7 2 2 2 3" xfId="18565"/>
    <cellStyle name="Milliers 2 3 2 2 7 2 2 3" xfId="18566"/>
    <cellStyle name="Milliers 2 3 2 2 7 2 2 3 2" xfId="18567"/>
    <cellStyle name="Milliers 2 3 2 2 7 2 2 4" xfId="18568"/>
    <cellStyle name="Milliers 2 3 2 2 7 2 3" xfId="18569"/>
    <cellStyle name="Milliers 2 3 2 2 7 2 3 2" xfId="18570"/>
    <cellStyle name="Milliers 2 3 2 2 7 2 3 2 2" xfId="18571"/>
    <cellStyle name="Milliers 2 3 2 2 7 2 3 3" xfId="18572"/>
    <cellStyle name="Milliers 2 3 2 2 7 2 4" xfId="18573"/>
    <cellStyle name="Milliers 2 3 2 2 7 2 4 2" xfId="18574"/>
    <cellStyle name="Milliers 2 3 2 2 7 2 5" xfId="18575"/>
    <cellStyle name="Milliers 2 3 2 2 7 3" xfId="18576"/>
    <cellStyle name="Milliers 2 3 2 2 7 3 2" xfId="18577"/>
    <cellStyle name="Milliers 2 3 2 2 7 3 2 2" xfId="18578"/>
    <cellStyle name="Milliers 2 3 2 2 7 3 2 2 2" xfId="18579"/>
    <cellStyle name="Milliers 2 3 2 2 7 3 2 3" xfId="18580"/>
    <cellStyle name="Milliers 2 3 2 2 7 3 3" xfId="18581"/>
    <cellStyle name="Milliers 2 3 2 2 7 3 3 2" xfId="18582"/>
    <cellStyle name="Milliers 2 3 2 2 7 3 4" xfId="18583"/>
    <cellStyle name="Milliers 2 3 2 2 7 4" xfId="18584"/>
    <cellStyle name="Milliers 2 3 2 2 7 4 2" xfId="18585"/>
    <cellStyle name="Milliers 2 3 2 2 7 4 2 2" xfId="18586"/>
    <cellStyle name="Milliers 2 3 2 2 7 4 3" xfId="18587"/>
    <cellStyle name="Milliers 2 3 2 2 7 5" xfId="18588"/>
    <cellStyle name="Milliers 2 3 2 2 7 5 2" xfId="18589"/>
    <cellStyle name="Milliers 2 3 2 2 7 6" xfId="18590"/>
    <cellStyle name="Milliers 2 3 2 2 8" xfId="18591"/>
    <cellStyle name="Milliers 2 3 2 2 8 2" xfId="18592"/>
    <cellStyle name="Milliers 2 3 2 2 8 2 2" xfId="18593"/>
    <cellStyle name="Milliers 2 3 2 2 8 2 2 2" xfId="18594"/>
    <cellStyle name="Milliers 2 3 2 2 8 2 2 2 2" xfId="18595"/>
    <cellStyle name="Milliers 2 3 2 2 8 2 2 3" xfId="18596"/>
    <cellStyle name="Milliers 2 3 2 2 8 2 3" xfId="18597"/>
    <cellStyle name="Milliers 2 3 2 2 8 2 3 2" xfId="18598"/>
    <cellStyle name="Milliers 2 3 2 2 8 2 4" xfId="18599"/>
    <cellStyle name="Milliers 2 3 2 2 8 3" xfId="18600"/>
    <cellStyle name="Milliers 2 3 2 2 8 3 2" xfId="18601"/>
    <cellStyle name="Milliers 2 3 2 2 8 3 2 2" xfId="18602"/>
    <cellStyle name="Milliers 2 3 2 2 8 3 3" xfId="18603"/>
    <cellStyle name="Milliers 2 3 2 2 8 4" xfId="18604"/>
    <cellStyle name="Milliers 2 3 2 2 8 4 2" xfId="18605"/>
    <cellStyle name="Milliers 2 3 2 2 8 5" xfId="18606"/>
    <cellStyle name="Milliers 2 3 2 2 9" xfId="18607"/>
    <cellStyle name="Milliers 2 3 2 2 9 2" xfId="18608"/>
    <cellStyle name="Milliers 2 3 2 2 9 2 2" xfId="18609"/>
    <cellStyle name="Milliers 2 3 2 2 9 2 2 2" xfId="18610"/>
    <cellStyle name="Milliers 2 3 2 2 9 2 3" xfId="18611"/>
    <cellStyle name="Milliers 2 3 2 2 9 3" xfId="18612"/>
    <cellStyle name="Milliers 2 3 2 2 9 3 2" xfId="18613"/>
    <cellStyle name="Milliers 2 3 2 2 9 4" xfId="18614"/>
    <cellStyle name="Milliers 2 3 2 3" xfId="18615"/>
    <cellStyle name="Milliers 2 3 2 3 10" xfId="18616"/>
    <cellStyle name="Milliers 2 3 2 3 10 2" xfId="18617"/>
    <cellStyle name="Milliers 2 3 2 3 11" xfId="18618"/>
    <cellStyle name="Milliers 2 3 2 3 2" xfId="18619"/>
    <cellStyle name="Milliers 2 3 2 3 2 10" xfId="18620"/>
    <cellStyle name="Milliers 2 3 2 3 2 2" xfId="18621"/>
    <cellStyle name="Milliers 2 3 2 3 2 2 2" xfId="18622"/>
    <cellStyle name="Milliers 2 3 2 3 2 2 2 2" xfId="18623"/>
    <cellStyle name="Milliers 2 3 2 3 2 2 2 2 2" xfId="18624"/>
    <cellStyle name="Milliers 2 3 2 3 2 2 2 2 2 2" xfId="18625"/>
    <cellStyle name="Milliers 2 3 2 3 2 2 2 2 2 2 2" xfId="18626"/>
    <cellStyle name="Milliers 2 3 2 3 2 2 2 2 2 2 2 2" xfId="18627"/>
    <cellStyle name="Milliers 2 3 2 3 2 2 2 2 2 2 2 2 2" xfId="18628"/>
    <cellStyle name="Milliers 2 3 2 3 2 2 2 2 2 2 2 2 2 2" xfId="18629"/>
    <cellStyle name="Milliers 2 3 2 3 2 2 2 2 2 2 2 2 3" xfId="18630"/>
    <cellStyle name="Milliers 2 3 2 3 2 2 2 2 2 2 2 3" xfId="18631"/>
    <cellStyle name="Milliers 2 3 2 3 2 2 2 2 2 2 2 3 2" xfId="18632"/>
    <cellStyle name="Milliers 2 3 2 3 2 2 2 2 2 2 2 4" xfId="18633"/>
    <cellStyle name="Milliers 2 3 2 3 2 2 2 2 2 2 3" xfId="18634"/>
    <cellStyle name="Milliers 2 3 2 3 2 2 2 2 2 2 3 2" xfId="18635"/>
    <cellStyle name="Milliers 2 3 2 3 2 2 2 2 2 2 3 2 2" xfId="18636"/>
    <cellStyle name="Milliers 2 3 2 3 2 2 2 2 2 2 3 3" xfId="18637"/>
    <cellStyle name="Milliers 2 3 2 3 2 2 2 2 2 2 4" xfId="18638"/>
    <cellStyle name="Milliers 2 3 2 3 2 2 2 2 2 2 4 2" xfId="18639"/>
    <cellStyle name="Milliers 2 3 2 3 2 2 2 2 2 2 5" xfId="18640"/>
    <cellStyle name="Milliers 2 3 2 3 2 2 2 2 2 3" xfId="18641"/>
    <cellStyle name="Milliers 2 3 2 3 2 2 2 2 2 3 2" xfId="18642"/>
    <cellStyle name="Milliers 2 3 2 3 2 2 2 2 2 3 2 2" xfId="18643"/>
    <cellStyle name="Milliers 2 3 2 3 2 2 2 2 2 3 2 2 2" xfId="18644"/>
    <cellStyle name="Milliers 2 3 2 3 2 2 2 2 2 3 2 3" xfId="18645"/>
    <cellStyle name="Milliers 2 3 2 3 2 2 2 2 2 3 3" xfId="18646"/>
    <cellStyle name="Milliers 2 3 2 3 2 2 2 2 2 3 3 2" xfId="18647"/>
    <cellStyle name="Milliers 2 3 2 3 2 2 2 2 2 3 4" xfId="18648"/>
    <cellStyle name="Milliers 2 3 2 3 2 2 2 2 2 4" xfId="18649"/>
    <cellStyle name="Milliers 2 3 2 3 2 2 2 2 2 4 2" xfId="18650"/>
    <cellStyle name="Milliers 2 3 2 3 2 2 2 2 2 4 2 2" xfId="18651"/>
    <cellStyle name="Milliers 2 3 2 3 2 2 2 2 2 4 3" xfId="18652"/>
    <cellStyle name="Milliers 2 3 2 3 2 2 2 2 2 5" xfId="18653"/>
    <cellStyle name="Milliers 2 3 2 3 2 2 2 2 2 5 2" xfId="18654"/>
    <cellStyle name="Milliers 2 3 2 3 2 2 2 2 2 6" xfId="18655"/>
    <cellStyle name="Milliers 2 3 2 3 2 2 2 2 3" xfId="18656"/>
    <cellStyle name="Milliers 2 3 2 3 2 2 2 2 3 2" xfId="18657"/>
    <cellStyle name="Milliers 2 3 2 3 2 2 2 2 3 2 2" xfId="18658"/>
    <cellStyle name="Milliers 2 3 2 3 2 2 2 2 3 2 2 2" xfId="18659"/>
    <cellStyle name="Milliers 2 3 2 3 2 2 2 2 3 2 2 2 2" xfId="18660"/>
    <cellStyle name="Milliers 2 3 2 3 2 2 2 2 3 2 2 3" xfId="18661"/>
    <cellStyle name="Milliers 2 3 2 3 2 2 2 2 3 2 3" xfId="18662"/>
    <cellStyle name="Milliers 2 3 2 3 2 2 2 2 3 2 3 2" xfId="18663"/>
    <cellStyle name="Milliers 2 3 2 3 2 2 2 2 3 2 4" xfId="18664"/>
    <cellStyle name="Milliers 2 3 2 3 2 2 2 2 3 3" xfId="18665"/>
    <cellStyle name="Milliers 2 3 2 3 2 2 2 2 3 3 2" xfId="18666"/>
    <cellStyle name="Milliers 2 3 2 3 2 2 2 2 3 3 2 2" xfId="18667"/>
    <cellStyle name="Milliers 2 3 2 3 2 2 2 2 3 3 3" xfId="18668"/>
    <cellStyle name="Milliers 2 3 2 3 2 2 2 2 3 4" xfId="18669"/>
    <cellStyle name="Milliers 2 3 2 3 2 2 2 2 3 4 2" xfId="18670"/>
    <cellStyle name="Milliers 2 3 2 3 2 2 2 2 3 5" xfId="18671"/>
    <cellStyle name="Milliers 2 3 2 3 2 2 2 2 4" xfId="18672"/>
    <cellStyle name="Milliers 2 3 2 3 2 2 2 2 4 2" xfId="18673"/>
    <cellStyle name="Milliers 2 3 2 3 2 2 2 2 4 2 2" xfId="18674"/>
    <cellStyle name="Milliers 2 3 2 3 2 2 2 2 4 2 2 2" xfId="18675"/>
    <cellStyle name="Milliers 2 3 2 3 2 2 2 2 4 2 3" xfId="18676"/>
    <cellStyle name="Milliers 2 3 2 3 2 2 2 2 4 3" xfId="18677"/>
    <cellStyle name="Milliers 2 3 2 3 2 2 2 2 4 3 2" xfId="18678"/>
    <cellStyle name="Milliers 2 3 2 3 2 2 2 2 4 4" xfId="18679"/>
    <cellStyle name="Milliers 2 3 2 3 2 2 2 2 5" xfId="18680"/>
    <cellStyle name="Milliers 2 3 2 3 2 2 2 2 5 2" xfId="18681"/>
    <cellStyle name="Milliers 2 3 2 3 2 2 2 2 5 2 2" xfId="18682"/>
    <cellStyle name="Milliers 2 3 2 3 2 2 2 2 5 3" xfId="18683"/>
    <cellStyle name="Milliers 2 3 2 3 2 2 2 2 6" xfId="18684"/>
    <cellStyle name="Milliers 2 3 2 3 2 2 2 2 6 2" xfId="18685"/>
    <cellStyle name="Milliers 2 3 2 3 2 2 2 2 7" xfId="18686"/>
    <cellStyle name="Milliers 2 3 2 3 2 2 2 3" xfId="18687"/>
    <cellStyle name="Milliers 2 3 2 3 2 2 2 3 2" xfId="18688"/>
    <cellStyle name="Milliers 2 3 2 3 2 2 2 3 2 2" xfId="18689"/>
    <cellStyle name="Milliers 2 3 2 3 2 2 2 3 2 2 2" xfId="18690"/>
    <cellStyle name="Milliers 2 3 2 3 2 2 2 3 2 2 2 2" xfId="18691"/>
    <cellStyle name="Milliers 2 3 2 3 2 2 2 3 2 2 2 2 2" xfId="18692"/>
    <cellStyle name="Milliers 2 3 2 3 2 2 2 3 2 2 2 3" xfId="18693"/>
    <cellStyle name="Milliers 2 3 2 3 2 2 2 3 2 2 3" xfId="18694"/>
    <cellStyle name="Milliers 2 3 2 3 2 2 2 3 2 2 3 2" xfId="18695"/>
    <cellStyle name="Milliers 2 3 2 3 2 2 2 3 2 2 4" xfId="18696"/>
    <cellStyle name="Milliers 2 3 2 3 2 2 2 3 2 3" xfId="18697"/>
    <cellStyle name="Milliers 2 3 2 3 2 2 2 3 2 3 2" xfId="18698"/>
    <cellStyle name="Milliers 2 3 2 3 2 2 2 3 2 3 2 2" xfId="18699"/>
    <cellStyle name="Milliers 2 3 2 3 2 2 2 3 2 3 3" xfId="18700"/>
    <cellStyle name="Milliers 2 3 2 3 2 2 2 3 2 4" xfId="18701"/>
    <cellStyle name="Milliers 2 3 2 3 2 2 2 3 2 4 2" xfId="18702"/>
    <cellStyle name="Milliers 2 3 2 3 2 2 2 3 2 5" xfId="18703"/>
    <cellStyle name="Milliers 2 3 2 3 2 2 2 3 3" xfId="18704"/>
    <cellStyle name="Milliers 2 3 2 3 2 2 2 3 3 2" xfId="18705"/>
    <cellStyle name="Milliers 2 3 2 3 2 2 2 3 3 2 2" xfId="18706"/>
    <cellStyle name="Milliers 2 3 2 3 2 2 2 3 3 2 2 2" xfId="18707"/>
    <cellStyle name="Milliers 2 3 2 3 2 2 2 3 3 2 3" xfId="18708"/>
    <cellStyle name="Milliers 2 3 2 3 2 2 2 3 3 3" xfId="18709"/>
    <cellStyle name="Milliers 2 3 2 3 2 2 2 3 3 3 2" xfId="18710"/>
    <cellStyle name="Milliers 2 3 2 3 2 2 2 3 3 4" xfId="18711"/>
    <cellStyle name="Milliers 2 3 2 3 2 2 2 3 4" xfId="18712"/>
    <cellStyle name="Milliers 2 3 2 3 2 2 2 3 4 2" xfId="18713"/>
    <cellStyle name="Milliers 2 3 2 3 2 2 2 3 4 2 2" xfId="18714"/>
    <cellStyle name="Milliers 2 3 2 3 2 2 2 3 4 3" xfId="18715"/>
    <cellStyle name="Milliers 2 3 2 3 2 2 2 3 5" xfId="18716"/>
    <cellStyle name="Milliers 2 3 2 3 2 2 2 3 5 2" xfId="18717"/>
    <cellStyle name="Milliers 2 3 2 3 2 2 2 3 6" xfId="18718"/>
    <cellStyle name="Milliers 2 3 2 3 2 2 2 4" xfId="18719"/>
    <cellStyle name="Milliers 2 3 2 3 2 2 2 4 2" xfId="18720"/>
    <cellStyle name="Milliers 2 3 2 3 2 2 2 4 2 2" xfId="18721"/>
    <cellStyle name="Milliers 2 3 2 3 2 2 2 4 2 2 2" xfId="18722"/>
    <cellStyle name="Milliers 2 3 2 3 2 2 2 4 2 2 2 2" xfId="18723"/>
    <cellStyle name="Milliers 2 3 2 3 2 2 2 4 2 2 3" xfId="18724"/>
    <cellStyle name="Milliers 2 3 2 3 2 2 2 4 2 3" xfId="18725"/>
    <cellStyle name="Milliers 2 3 2 3 2 2 2 4 2 3 2" xfId="18726"/>
    <cellStyle name="Milliers 2 3 2 3 2 2 2 4 2 4" xfId="18727"/>
    <cellStyle name="Milliers 2 3 2 3 2 2 2 4 3" xfId="18728"/>
    <cellStyle name="Milliers 2 3 2 3 2 2 2 4 3 2" xfId="18729"/>
    <cellStyle name="Milliers 2 3 2 3 2 2 2 4 3 2 2" xfId="18730"/>
    <cellStyle name="Milliers 2 3 2 3 2 2 2 4 3 3" xfId="18731"/>
    <cellStyle name="Milliers 2 3 2 3 2 2 2 4 4" xfId="18732"/>
    <cellStyle name="Milliers 2 3 2 3 2 2 2 4 4 2" xfId="18733"/>
    <cellStyle name="Milliers 2 3 2 3 2 2 2 4 5" xfId="18734"/>
    <cellStyle name="Milliers 2 3 2 3 2 2 2 5" xfId="18735"/>
    <cellStyle name="Milliers 2 3 2 3 2 2 2 5 2" xfId="18736"/>
    <cellStyle name="Milliers 2 3 2 3 2 2 2 5 2 2" xfId="18737"/>
    <cellStyle name="Milliers 2 3 2 3 2 2 2 5 2 2 2" xfId="18738"/>
    <cellStyle name="Milliers 2 3 2 3 2 2 2 5 2 3" xfId="18739"/>
    <cellStyle name="Milliers 2 3 2 3 2 2 2 5 3" xfId="18740"/>
    <cellStyle name="Milliers 2 3 2 3 2 2 2 5 3 2" xfId="18741"/>
    <cellStyle name="Milliers 2 3 2 3 2 2 2 5 4" xfId="18742"/>
    <cellStyle name="Milliers 2 3 2 3 2 2 2 6" xfId="18743"/>
    <cellStyle name="Milliers 2 3 2 3 2 2 2 6 2" xfId="18744"/>
    <cellStyle name="Milliers 2 3 2 3 2 2 2 6 2 2" xfId="18745"/>
    <cellStyle name="Milliers 2 3 2 3 2 2 2 6 3" xfId="18746"/>
    <cellStyle name="Milliers 2 3 2 3 2 2 2 7" xfId="18747"/>
    <cellStyle name="Milliers 2 3 2 3 2 2 2 7 2" xfId="18748"/>
    <cellStyle name="Milliers 2 3 2 3 2 2 2 8" xfId="18749"/>
    <cellStyle name="Milliers 2 3 2 3 2 2 3" xfId="18750"/>
    <cellStyle name="Milliers 2 3 2 3 2 2 3 2" xfId="18751"/>
    <cellStyle name="Milliers 2 3 2 3 2 2 3 2 2" xfId="18752"/>
    <cellStyle name="Milliers 2 3 2 3 2 2 3 2 2 2" xfId="18753"/>
    <cellStyle name="Milliers 2 3 2 3 2 2 3 2 2 2 2" xfId="18754"/>
    <cellStyle name="Milliers 2 3 2 3 2 2 3 2 2 2 2 2" xfId="18755"/>
    <cellStyle name="Milliers 2 3 2 3 2 2 3 2 2 2 2 2 2" xfId="18756"/>
    <cellStyle name="Milliers 2 3 2 3 2 2 3 2 2 2 2 3" xfId="18757"/>
    <cellStyle name="Milliers 2 3 2 3 2 2 3 2 2 2 3" xfId="18758"/>
    <cellStyle name="Milliers 2 3 2 3 2 2 3 2 2 2 3 2" xfId="18759"/>
    <cellStyle name="Milliers 2 3 2 3 2 2 3 2 2 2 4" xfId="18760"/>
    <cellStyle name="Milliers 2 3 2 3 2 2 3 2 2 3" xfId="18761"/>
    <cellStyle name="Milliers 2 3 2 3 2 2 3 2 2 3 2" xfId="18762"/>
    <cellStyle name="Milliers 2 3 2 3 2 2 3 2 2 3 2 2" xfId="18763"/>
    <cellStyle name="Milliers 2 3 2 3 2 2 3 2 2 3 3" xfId="18764"/>
    <cellStyle name="Milliers 2 3 2 3 2 2 3 2 2 4" xfId="18765"/>
    <cellStyle name="Milliers 2 3 2 3 2 2 3 2 2 4 2" xfId="18766"/>
    <cellStyle name="Milliers 2 3 2 3 2 2 3 2 2 5" xfId="18767"/>
    <cellStyle name="Milliers 2 3 2 3 2 2 3 2 3" xfId="18768"/>
    <cellStyle name="Milliers 2 3 2 3 2 2 3 2 3 2" xfId="18769"/>
    <cellStyle name="Milliers 2 3 2 3 2 2 3 2 3 2 2" xfId="18770"/>
    <cellStyle name="Milliers 2 3 2 3 2 2 3 2 3 2 2 2" xfId="18771"/>
    <cellStyle name="Milliers 2 3 2 3 2 2 3 2 3 2 3" xfId="18772"/>
    <cellStyle name="Milliers 2 3 2 3 2 2 3 2 3 3" xfId="18773"/>
    <cellStyle name="Milliers 2 3 2 3 2 2 3 2 3 3 2" xfId="18774"/>
    <cellStyle name="Milliers 2 3 2 3 2 2 3 2 3 4" xfId="18775"/>
    <cellStyle name="Milliers 2 3 2 3 2 2 3 2 4" xfId="18776"/>
    <cellStyle name="Milliers 2 3 2 3 2 2 3 2 4 2" xfId="18777"/>
    <cellStyle name="Milliers 2 3 2 3 2 2 3 2 4 2 2" xfId="18778"/>
    <cellStyle name="Milliers 2 3 2 3 2 2 3 2 4 3" xfId="18779"/>
    <cellStyle name="Milliers 2 3 2 3 2 2 3 2 5" xfId="18780"/>
    <cellStyle name="Milliers 2 3 2 3 2 2 3 2 5 2" xfId="18781"/>
    <cellStyle name="Milliers 2 3 2 3 2 2 3 2 6" xfId="18782"/>
    <cellStyle name="Milliers 2 3 2 3 2 2 3 3" xfId="18783"/>
    <cellStyle name="Milliers 2 3 2 3 2 2 3 3 2" xfId="18784"/>
    <cellStyle name="Milliers 2 3 2 3 2 2 3 3 2 2" xfId="18785"/>
    <cellStyle name="Milliers 2 3 2 3 2 2 3 3 2 2 2" xfId="18786"/>
    <cellStyle name="Milliers 2 3 2 3 2 2 3 3 2 2 2 2" xfId="18787"/>
    <cellStyle name="Milliers 2 3 2 3 2 2 3 3 2 2 3" xfId="18788"/>
    <cellStyle name="Milliers 2 3 2 3 2 2 3 3 2 3" xfId="18789"/>
    <cellStyle name="Milliers 2 3 2 3 2 2 3 3 2 3 2" xfId="18790"/>
    <cellStyle name="Milliers 2 3 2 3 2 2 3 3 2 4" xfId="18791"/>
    <cellStyle name="Milliers 2 3 2 3 2 2 3 3 3" xfId="18792"/>
    <cellStyle name="Milliers 2 3 2 3 2 2 3 3 3 2" xfId="18793"/>
    <cellStyle name="Milliers 2 3 2 3 2 2 3 3 3 2 2" xfId="18794"/>
    <cellStyle name="Milliers 2 3 2 3 2 2 3 3 3 3" xfId="18795"/>
    <cellStyle name="Milliers 2 3 2 3 2 2 3 3 4" xfId="18796"/>
    <cellStyle name="Milliers 2 3 2 3 2 2 3 3 4 2" xfId="18797"/>
    <cellStyle name="Milliers 2 3 2 3 2 2 3 3 5" xfId="18798"/>
    <cellStyle name="Milliers 2 3 2 3 2 2 3 4" xfId="18799"/>
    <cellStyle name="Milliers 2 3 2 3 2 2 3 4 2" xfId="18800"/>
    <cellStyle name="Milliers 2 3 2 3 2 2 3 4 2 2" xfId="18801"/>
    <cellStyle name="Milliers 2 3 2 3 2 2 3 4 2 2 2" xfId="18802"/>
    <cellStyle name="Milliers 2 3 2 3 2 2 3 4 2 3" xfId="18803"/>
    <cellStyle name="Milliers 2 3 2 3 2 2 3 4 3" xfId="18804"/>
    <cellStyle name="Milliers 2 3 2 3 2 2 3 4 3 2" xfId="18805"/>
    <cellStyle name="Milliers 2 3 2 3 2 2 3 4 4" xfId="18806"/>
    <cellStyle name="Milliers 2 3 2 3 2 2 3 5" xfId="18807"/>
    <cellStyle name="Milliers 2 3 2 3 2 2 3 5 2" xfId="18808"/>
    <cellStyle name="Milliers 2 3 2 3 2 2 3 5 2 2" xfId="18809"/>
    <cellStyle name="Milliers 2 3 2 3 2 2 3 5 3" xfId="18810"/>
    <cellStyle name="Milliers 2 3 2 3 2 2 3 6" xfId="18811"/>
    <cellStyle name="Milliers 2 3 2 3 2 2 3 6 2" xfId="18812"/>
    <cellStyle name="Milliers 2 3 2 3 2 2 3 7" xfId="18813"/>
    <cellStyle name="Milliers 2 3 2 3 2 2 4" xfId="18814"/>
    <cellStyle name="Milliers 2 3 2 3 2 2 4 2" xfId="18815"/>
    <cellStyle name="Milliers 2 3 2 3 2 2 4 2 2" xfId="18816"/>
    <cellStyle name="Milliers 2 3 2 3 2 2 4 2 2 2" xfId="18817"/>
    <cellStyle name="Milliers 2 3 2 3 2 2 4 2 2 2 2" xfId="18818"/>
    <cellStyle name="Milliers 2 3 2 3 2 2 4 2 2 2 2 2" xfId="18819"/>
    <cellStyle name="Milliers 2 3 2 3 2 2 4 2 2 2 3" xfId="18820"/>
    <cellStyle name="Milliers 2 3 2 3 2 2 4 2 2 3" xfId="18821"/>
    <cellStyle name="Milliers 2 3 2 3 2 2 4 2 2 3 2" xfId="18822"/>
    <cellStyle name="Milliers 2 3 2 3 2 2 4 2 2 4" xfId="18823"/>
    <cellStyle name="Milliers 2 3 2 3 2 2 4 2 3" xfId="18824"/>
    <cellStyle name="Milliers 2 3 2 3 2 2 4 2 3 2" xfId="18825"/>
    <cellStyle name="Milliers 2 3 2 3 2 2 4 2 3 2 2" xfId="18826"/>
    <cellStyle name="Milliers 2 3 2 3 2 2 4 2 3 3" xfId="18827"/>
    <cellStyle name="Milliers 2 3 2 3 2 2 4 2 4" xfId="18828"/>
    <cellStyle name="Milliers 2 3 2 3 2 2 4 2 4 2" xfId="18829"/>
    <cellStyle name="Milliers 2 3 2 3 2 2 4 2 5" xfId="18830"/>
    <cellStyle name="Milliers 2 3 2 3 2 2 4 3" xfId="18831"/>
    <cellStyle name="Milliers 2 3 2 3 2 2 4 3 2" xfId="18832"/>
    <cellStyle name="Milliers 2 3 2 3 2 2 4 3 2 2" xfId="18833"/>
    <cellStyle name="Milliers 2 3 2 3 2 2 4 3 2 2 2" xfId="18834"/>
    <cellStyle name="Milliers 2 3 2 3 2 2 4 3 2 3" xfId="18835"/>
    <cellStyle name="Milliers 2 3 2 3 2 2 4 3 3" xfId="18836"/>
    <cellStyle name="Milliers 2 3 2 3 2 2 4 3 3 2" xfId="18837"/>
    <cellStyle name="Milliers 2 3 2 3 2 2 4 3 4" xfId="18838"/>
    <cellStyle name="Milliers 2 3 2 3 2 2 4 4" xfId="18839"/>
    <cellStyle name="Milliers 2 3 2 3 2 2 4 4 2" xfId="18840"/>
    <cellStyle name="Milliers 2 3 2 3 2 2 4 4 2 2" xfId="18841"/>
    <cellStyle name="Milliers 2 3 2 3 2 2 4 4 3" xfId="18842"/>
    <cellStyle name="Milliers 2 3 2 3 2 2 4 5" xfId="18843"/>
    <cellStyle name="Milliers 2 3 2 3 2 2 4 5 2" xfId="18844"/>
    <cellStyle name="Milliers 2 3 2 3 2 2 4 6" xfId="18845"/>
    <cellStyle name="Milliers 2 3 2 3 2 2 5" xfId="18846"/>
    <cellStyle name="Milliers 2 3 2 3 2 2 5 2" xfId="18847"/>
    <cellStyle name="Milliers 2 3 2 3 2 2 5 2 2" xfId="18848"/>
    <cellStyle name="Milliers 2 3 2 3 2 2 5 2 2 2" xfId="18849"/>
    <cellStyle name="Milliers 2 3 2 3 2 2 5 2 2 2 2" xfId="18850"/>
    <cellStyle name="Milliers 2 3 2 3 2 2 5 2 2 3" xfId="18851"/>
    <cellStyle name="Milliers 2 3 2 3 2 2 5 2 3" xfId="18852"/>
    <cellStyle name="Milliers 2 3 2 3 2 2 5 2 3 2" xfId="18853"/>
    <cellStyle name="Milliers 2 3 2 3 2 2 5 2 4" xfId="18854"/>
    <cellStyle name="Milliers 2 3 2 3 2 2 5 3" xfId="18855"/>
    <cellStyle name="Milliers 2 3 2 3 2 2 5 3 2" xfId="18856"/>
    <cellStyle name="Milliers 2 3 2 3 2 2 5 3 2 2" xfId="18857"/>
    <cellStyle name="Milliers 2 3 2 3 2 2 5 3 3" xfId="18858"/>
    <cellStyle name="Milliers 2 3 2 3 2 2 5 4" xfId="18859"/>
    <cellStyle name="Milliers 2 3 2 3 2 2 5 4 2" xfId="18860"/>
    <cellStyle name="Milliers 2 3 2 3 2 2 5 5" xfId="18861"/>
    <cellStyle name="Milliers 2 3 2 3 2 2 6" xfId="18862"/>
    <cellStyle name="Milliers 2 3 2 3 2 2 6 2" xfId="18863"/>
    <cellStyle name="Milliers 2 3 2 3 2 2 6 2 2" xfId="18864"/>
    <cellStyle name="Milliers 2 3 2 3 2 2 6 2 2 2" xfId="18865"/>
    <cellStyle name="Milliers 2 3 2 3 2 2 6 2 3" xfId="18866"/>
    <cellStyle name="Milliers 2 3 2 3 2 2 6 3" xfId="18867"/>
    <cellStyle name="Milliers 2 3 2 3 2 2 6 3 2" xfId="18868"/>
    <cellStyle name="Milliers 2 3 2 3 2 2 6 4" xfId="18869"/>
    <cellStyle name="Milliers 2 3 2 3 2 2 7" xfId="18870"/>
    <cellStyle name="Milliers 2 3 2 3 2 2 7 2" xfId="18871"/>
    <cellStyle name="Milliers 2 3 2 3 2 2 7 2 2" xfId="18872"/>
    <cellStyle name="Milliers 2 3 2 3 2 2 7 3" xfId="18873"/>
    <cellStyle name="Milliers 2 3 2 3 2 2 8" xfId="18874"/>
    <cellStyle name="Milliers 2 3 2 3 2 2 8 2" xfId="18875"/>
    <cellStyle name="Milliers 2 3 2 3 2 2 9" xfId="18876"/>
    <cellStyle name="Milliers 2 3 2 3 2 3" xfId="18877"/>
    <cellStyle name="Milliers 2 3 2 3 2 3 2" xfId="18878"/>
    <cellStyle name="Milliers 2 3 2 3 2 3 2 2" xfId="18879"/>
    <cellStyle name="Milliers 2 3 2 3 2 3 2 2 2" xfId="18880"/>
    <cellStyle name="Milliers 2 3 2 3 2 3 2 2 2 2" xfId="18881"/>
    <cellStyle name="Milliers 2 3 2 3 2 3 2 2 2 2 2" xfId="18882"/>
    <cellStyle name="Milliers 2 3 2 3 2 3 2 2 2 2 2 2" xfId="18883"/>
    <cellStyle name="Milliers 2 3 2 3 2 3 2 2 2 2 2 2 2" xfId="18884"/>
    <cellStyle name="Milliers 2 3 2 3 2 3 2 2 2 2 2 3" xfId="18885"/>
    <cellStyle name="Milliers 2 3 2 3 2 3 2 2 2 2 3" xfId="18886"/>
    <cellStyle name="Milliers 2 3 2 3 2 3 2 2 2 2 3 2" xfId="18887"/>
    <cellStyle name="Milliers 2 3 2 3 2 3 2 2 2 2 4" xfId="18888"/>
    <cellStyle name="Milliers 2 3 2 3 2 3 2 2 2 3" xfId="18889"/>
    <cellStyle name="Milliers 2 3 2 3 2 3 2 2 2 3 2" xfId="18890"/>
    <cellStyle name="Milliers 2 3 2 3 2 3 2 2 2 3 2 2" xfId="18891"/>
    <cellStyle name="Milliers 2 3 2 3 2 3 2 2 2 3 3" xfId="18892"/>
    <cellStyle name="Milliers 2 3 2 3 2 3 2 2 2 4" xfId="18893"/>
    <cellStyle name="Milliers 2 3 2 3 2 3 2 2 2 4 2" xfId="18894"/>
    <cellStyle name="Milliers 2 3 2 3 2 3 2 2 2 5" xfId="18895"/>
    <cellStyle name="Milliers 2 3 2 3 2 3 2 2 3" xfId="18896"/>
    <cellStyle name="Milliers 2 3 2 3 2 3 2 2 3 2" xfId="18897"/>
    <cellStyle name="Milliers 2 3 2 3 2 3 2 2 3 2 2" xfId="18898"/>
    <cellStyle name="Milliers 2 3 2 3 2 3 2 2 3 2 2 2" xfId="18899"/>
    <cellStyle name="Milliers 2 3 2 3 2 3 2 2 3 2 3" xfId="18900"/>
    <cellStyle name="Milliers 2 3 2 3 2 3 2 2 3 3" xfId="18901"/>
    <cellStyle name="Milliers 2 3 2 3 2 3 2 2 3 3 2" xfId="18902"/>
    <cellStyle name="Milliers 2 3 2 3 2 3 2 2 3 4" xfId="18903"/>
    <cellStyle name="Milliers 2 3 2 3 2 3 2 2 4" xfId="18904"/>
    <cellStyle name="Milliers 2 3 2 3 2 3 2 2 4 2" xfId="18905"/>
    <cellStyle name="Milliers 2 3 2 3 2 3 2 2 4 2 2" xfId="18906"/>
    <cellStyle name="Milliers 2 3 2 3 2 3 2 2 4 3" xfId="18907"/>
    <cellStyle name="Milliers 2 3 2 3 2 3 2 2 5" xfId="18908"/>
    <cellStyle name="Milliers 2 3 2 3 2 3 2 2 5 2" xfId="18909"/>
    <cellStyle name="Milliers 2 3 2 3 2 3 2 2 6" xfId="18910"/>
    <cellStyle name="Milliers 2 3 2 3 2 3 2 3" xfId="18911"/>
    <cellStyle name="Milliers 2 3 2 3 2 3 2 3 2" xfId="18912"/>
    <cellStyle name="Milliers 2 3 2 3 2 3 2 3 2 2" xfId="18913"/>
    <cellStyle name="Milliers 2 3 2 3 2 3 2 3 2 2 2" xfId="18914"/>
    <cellStyle name="Milliers 2 3 2 3 2 3 2 3 2 2 2 2" xfId="18915"/>
    <cellStyle name="Milliers 2 3 2 3 2 3 2 3 2 2 3" xfId="18916"/>
    <cellStyle name="Milliers 2 3 2 3 2 3 2 3 2 3" xfId="18917"/>
    <cellStyle name="Milliers 2 3 2 3 2 3 2 3 2 3 2" xfId="18918"/>
    <cellStyle name="Milliers 2 3 2 3 2 3 2 3 2 4" xfId="18919"/>
    <cellStyle name="Milliers 2 3 2 3 2 3 2 3 3" xfId="18920"/>
    <cellStyle name="Milliers 2 3 2 3 2 3 2 3 3 2" xfId="18921"/>
    <cellStyle name="Milliers 2 3 2 3 2 3 2 3 3 2 2" xfId="18922"/>
    <cellStyle name="Milliers 2 3 2 3 2 3 2 3 3 3" xfId="18923"/>
    <cellStyle name="Milliers 2 3 2 3 2 3 2 3 4" xfId="18924"/>
    <cellStyle name="Milliers 2 3 2 3 2 3 2 3 4 2" xfId="18925"/>
    <cellStyle name="Milliers 2 3 2 3 2 3 2 3 5" xfId="18926"/>
    <cellStyle name="Milliers 2 3 2 3 2 3 2 4" xfId="18927"/>
    <cellStyle name="Milliers 2 3 2 3 2 3 2 4 2" xfId="18928"/>
    <cellStyle name="Milliers 2 3 2 3 2 3 2 4 2 2" xfId="18929"/>
    <cellStyle name="Milliers 2 3 2 3 2 3 2 4 2 2 2" xfId="18930"/>
    <cellStyle name="Milliers 2 3 2 3 2 3 2 4 2 3" xfId="18931"/>
    <cellStyle name="Milliers 2 3 2 3 2 3 2 4 3" xfId="18932"/>
    <cellStyle name="Milliers 2 3 2 3 2 3 2 4 3 2" xfId="18933"/>
    <cellStyle name="Milliers 2 3 2 3 2 3 2 4 4" xfId="18934"/>
    <cellStyle name="Milliers 2 3 2 3 2 3 2 5" xfId="18935"/>
    <cellStyle name="Milliers 2 3 2 3 2 3 2 5 2" xfId="18936"/>
    <cellStyle name="Milliers 2 3 2 3 2 3 2 5 2 2" xfId="18937"/>
    <cellStyle name="Milliers 2 3 2 3 2 3 2 5 3" xfId="18938"/>
    <cellStyle name="Milliers 2 3 2 3 2 3 2 6" xfId="18939"/>
    <cellStyle name="Milliers 2 3 2 3 2 3 2 6 2" xfId="18940"/>
    <cellStyle name="Milliers 2 3 2 3 2 3 2 7" xfId="18941"/>
    <cellStyle name="Milliers 2 3 2 3 2 3 3" xfId="18942"/>
    <cellStyle name="Milliers 2 3 2 3 2 3 3 2" xfId="18943"/>
    <cellStyle name="Milliers 2 3 2 3 2 3 3 2 2" xfId="18944"/>
    <cellStyle name="Milliers 2 3 2 3 2 3 3 2 2 2" xfId="18945"/>
    <cellStyle name="Milliers 2 3 2 3 2 3 3 2 2 2 2" xfId="18946"/>
    <cellStyle name="Milliers 2 3 2 3 2 3 3 2 2 2 2 2" xfId="18947"/>
    <cellStyle name="Milliers 2 3 2 3 2 3 3 2 2 2 3" xfId="18948"/>
    <cellStyle name="Milliers 2 3 2 3 2 3 3 2 2 3" xfId="18949"/>
    <cellStyle name="Milliers 2 3 2 3 2 3 3 2 2 3 2" xfId="18950"/>
    <cellStyle name="Milliers 2 3 2 3 2 3 3 2 2 4" xfId="18951"/>
    <cellStyle name="Milliers 2 3 2 3 2 3 3 2 3" xfId="18952"/>
    <cellStyle name="Milliers 2 3 2 3 2 3 3 2 3 2" xfId="18953"/>
    <cellStyle name="Milliers 2 3 2 3 2 3 3 2 3 2 2" xfId="18954"/>
    <cellStyle name="Milliers 2 3 2 3 2 3 3 2 3 3" xfId="18955"/>
    <cellStyle name="Milliers 2 3 2 3 2 3 3 2 4" xfId="18956"/>
    <cellStyle name="Milliers 2 3 2 3 2 3 3 2 4 2" xfId="18957"/>
    <cellStyle name="Milliers 2 3 2 3 2 3 3 2 5" xfId="18958"/>
    <cellStyle name="Milliers 2 3 2 3 2 3 3 3" xfId="18959"/>
    <cellStyle name="Milliers 2 3 2 3 2 3 3 3 2" xfId="18960"/>
    <cellStyle name="Milliers 2 3 2 3 2 3 3 3 2 2" xfId="18961"/>
    <cellStyle name="Milliers 2 3 2 3 2 3 3 3 2 2 2" xfId="18962"/>
    <cellStyle name="Milliers 2 3 2 3 2 3 3 3 2 3" xfId="18963"/>
    <cellStyle name="Milliers 2 3 2 3 2 3 3 3 3" xfId="18964"/>
    <cellStyle name="Milliers 2 3 2 3 2 3 3 3 3 2" xfId="18965"/>
    <cellStyle name="Milliers 2 3 2 3 2 3 3 3 4" xfId="18966"/>
    <cellStyle name="Milliers 2 3 2 3 2 3 3 4" xfId="18967"/>
    <cellStyle name="Milliers 2 3 2 3 2 3 3 4 2" xfId="18968"/>
    <cellStyle name="Milliers 2 3 2 3 2 3 3 4 2 2" xfId="18969"/>
    <cellStyle name="Milliers 2 3 2 3 2 3 3 4 3" xfId="18970"/>
    <cellStyle name="Milliers 2 3 2 3 2 3 3 5" xfId="18971"/>
    <cellStyle name="Milliers 2 3 2 3 2 3 3 5 2" xfId="18972"/>
    <cellStyle name="Milliers 2 3 2 3 2 3 3 6" xfId="18973"/>
    <cellStyle name="Milliers 2 3 2 3 2 3 4" xfId="18974"/>
    <cellStyle name="Milliers 2 3 2 3 2 3 4 2" xfId="18975"/>
    <cellStyle name="Milliers 2 3 2 3 2 3 4 2 2" xfId="18976"/>
    <cellStyle name="Milliers 2 3 2 3 2 3 4 2 2 2" xfId="18977"/>
    <cellStyle name="Milliers 2 3 2 3 2 3 4 2 2 2 2" xfId="18978"/>
    <cellStyle name="Milliers 2 3 2 3 2 3 4 2 2 3" xfId="18979"/>
    <cellStyle name="Milliers 2 3 2 3 2 3 4 2 3" xfId="18980"/>
    <cellStyle name="Milliers 2 3 2 3 2 3 4 2 3 2" xfId="18981"/>
    <cellStyle name="Milliers 2 3 2 3 2 3 4 2 4" xfId="18982"/>
    <cellStyle name="Milliers 2 3 2 3 2 3 4 3" xfId="18983"/>
    <cellStyle name="Milliers 2 3 2 3 2 3 4 3 2" xfId="18984"/>
    <cellStyle name="Milliers 2 3 2 3 2 3 4 3 2 2" xfId="18985"/>
    <cellStyle name="Milliers 2 3 2 3 2 3 4 3 3" xfId="18986"/>
    <cellStyle name="Milliers 2 3 2 3 2 3 4 4" xfId="18987"/>
    <cellStyle name="Milliers 2 3 2 3 2 3 4 4 2" xfId="18988"/>
    <cellStyle name="Milliers 2 3 2 3 2 3 4 5" xfId="18989"/>
    <cellStyle name="Milliers 2 3 2 3 2 3 5" xfId="18990"/>
    <cellStyle name="Milliers 2 3 2 3 2 3 5 2" xfId="18991"/>
    <cellStyle name="Milliers 2 3 2 3 2 3 5 2 2" xfId="18992"/>
    <cellStyle name="Milliers 2 3 2 3 2 3 5 2 2 2" xfId="18993"/>
    <cellStyle name="Milliers 2 3 2 3 2 3 5 2 3" xfId="18994"/>
    <cellStyle name="Milliers 2 3 2 3 2 3 5 3" xfId="18995"/>
    <cellStyle name="Milliers 2 3 2 3 2 3 5 3 2" xfId="18996"/>
    <cellStyle name="Milliers 2 3 2 3 2 3 5 4" xfId="18997"/>
    <cellStyle name="Milliers 2 3 2 3 2 3 6" xfId="18998"/>
    <cellStyle name="Milliers 2 3 2 3 2 3 6 2" xfId="18999"/>
    <cellStyle name="Milliers 2 3 2 3 2 3 6 2 2" xfId="19000"/>
    <cellStyle name="Milliers 2 3 2 3 2 3 6 3" xfId="19001"/>
    <cellStyle name="Milliers 2 3 2 3 2 3 7" xfId="19002"/>
    <cellStyle name="Milliers 2 3 2 3 2 3 7 2" xfId="19003"/>
    <cellStyle name="Milliers 2 3 2 3 2 3 8" xfId="19004"/>
    <cellStyle name="Milliers 2 3 2 3 2 4" xfId="19005"/>
    <cellStyle name="Milliers 2 3 2 3 2 4 2" xfId="19006"/>
    <cellStyle name="Milliers 2 3 2 3 2 4 2 2" xfId="19007"/>
    <cellStyle name="Milliers 2 3 2 3 2 4 2 2 2" xfId="19008"/>
    <cellStyle name="Milliers 2 3 2 3 2 4 2 2 2 2" xfId="19009"/>
    <cellStyle name="Milliers 2 3 2 3 2 4 2 2 2 2 2" xfId="19010"/>
    <cellStyle name="Milliers 2 3 2 3 2 4 2 2 2 2 2 2" xfId="19011"/>
    <cellStyle name="Milliers 2 3 2 3 2 4 2 2 2 2 3" xfId="19012"/>
    <cellStyle name="Milliers 2 3 2 3 2 4 2 2 2 3" xfId="19013"/>
    <cellStyle name="Milliers 2 3 2 3 2 4 2 2 2 3 2" xfId="19014"/>
    <cellStyle name="Milliers 2 3 2 3 2 4 2 2 2 4" xfId="19015"/>
    <cellStyle name="Milliers 2 3 2 3 2 4 2 2 3" xfId="19016"/>
    <cellStyle name="Milliers 2 3 2 3 2 4 2 2 3 2" xfId="19017"/>
    <cellStyle name="Milliers 2 3 2 3 2 4 2 2 3 2 2" xfId="19018"/>
    <cellStyle name="Milliers 2 3 2 3 2 4 2 2 3 3" xfId="19019"/>
    <cellStyle name="Milliers 2 3 2 3 2 4 2 2 4" xfId="19020"/>
    <cellStyle name="Milliers 2 3 2 3 2 4 2 2 4 2" xfId="19021"/>
    <cellStyle name="Milliers 2 3 2 3 2 4 2 2 5" xfId="19022"/>
    <cellStyle name="Milliers 2 3 2 3 2 4 2 3" xfId="19023"/>
    <cellStyle name="Milliers 2 3 2 3 2 4 2 3 2" xfId="19024"/>
    <cellStyle name="Milliers 2 3 2 3 2 4 2 3 2 2" xfId="19025"/>
    <cellStyle name="Milliers 2 3 2 3 2 4 2 3 2 2 2" xfId="19026"/>
    <cellStyle name="Milliers 2 3 2 3 2 4 2 3 2 3" xfId="19027"/>
    <cellStyle name="Milliers 2 3 2 3 2 4 2 3 3" xfId="19028"/>
    <cellStyle name="Milliers 2 3 2 3 2 4 2 3 3 2" xfId="19029"/>
    <cellStyle name="Milliers 2 3 2 3 2 4 2 3 4" xfId="19030"/>
    <cellStyle name="Milliers 2 3 2 3 2 4 2 4" xfId="19031"/>
    <cellStyle name="Milliers 2 3 2 3 2 4 2 4 2" xfId="19032"/>
    <cellStyle name="Milliers 2 3 2 3 2 4 2 4 2 2" xfId="19033"/>
    <cellStyle name="Milliers 2 3 2 3 2 4 2 4 3" xfId="19034"/>
    <cellStyle name="Milliers 2 3 2 3 2 4 2 5" xfId="19035"/>
    <cellStyle name="Milliers 2 3 2 3 2 4 2 5 2" xfId="19036"/>
    <cellStyle name="Milliers 2 3 2 3 2 4 2 6" xfId="19037"/>
    <cellStyle name="Milliers 2 3 2 3 2 4 3" xfId="19038"/>
    <cellStyle name="Milliers 2 3 2 3 2 4 3 2" xfId="19039"/>
    <cellStyle name="Milliers 2 3 2 3 2 4 3 2 2" xfId="19040"/>
    <cellStyle name="Milliers 2 3 2 3 2 4 3 2 2 2" xfId="19041"/>
    <cellStyle name="Milliers 2 3 2 3 2 4 3 2 2 2 2" xfId="19042"/>
    <cellStyle name="Milliers 2 3 2 3 2 4 3 2 2 3" xfId="19043"/>
    <cellStyle name="Milliers 2 3 2 3 2 4 3 2 3" xfId="19044"/>
    <cellStyle name="Milliers 2 3 2 3 2 4 3 2 3 2" xfId="19045"/>
    <cellStyle name="Milliers 2 3 2 3 2 4 3 2 4" xfId="19046"/>
    <cellStyle name="Milliers 2 3 2 3 2 4 3 3" xfId="19047"/>
    <cellStyle name="Milliers 2 3 2 3 2 4 3 3 2" xfId="19048"/>
    <cellStyle name="Milliers 2 3 2 3 2 4 3 3 2 2" xfId="19049"/>
    <cellStyle name="Milliers 2 3 2 3 2 4 3 3 3" xfId="19050"/>
    <cellStyle name="Milliers 2 3 2 3 2 4 3 4" xfId="19051"/>
    <cellStyle name="Milliers 2 3 2 3 2 4 3 4 2" xfId="19052"/>
    <cellStyle name="Milliers 2 3 2 3 2 4 3 5" xfId="19053"/>
    <cellStyle name="Milliers 2 3 2 3 2 4 4" xfId="19054"/>
    <cellStyle name="Milliers 2 3 2 3 2 4 4 2" xfId="19055"/>
    <cellStyle name="Milliers 2 3 2 3 2 4 4 2 2" xfId="19056"/>
    <cellStyle name="Milliers 2 3 2 3 2 4 4 2 2 2" xfId="19057"/>
    <cellStyle name="Milliers 2 3 2 3 2 4 4 2 3" xfId="19058"/>
    <cellStyle name="Milliers 2 3 2 3 2 4 4 3" xfId="19059"/>
    <cellStyle name="Milliers 2 3 2 3 2 4 4 3 2" xfId="19060"/>
    <cellStyle name="Milliers 2 3 2 3 2 4 4 4" xfId="19061"/>
    <cellStyle name="Milliers 2 3 2 3 2 4 5" xfId="19062"/>
    <cellStyle name="Milliers 2 3 2 3 2 4 5 2" xfId="19063"/>
    <cellStyle name="Milliers 2 3 2 3 2 4 5 2 2" xfId="19064"/>
    <cellStyle name="Milliers 2 3 2 3 2 4 5 3" xfId="19065"/>
    <cellStyle name="Milliers 2 3 2 3 2 4 6" xfId="19066"/>
    <cellStyle name="Milliers 2 3 2 3 2 4 6 2" xfId="19067"/>
    <cellStyle name="Milliers 2 3 2 3 2 4 7" xfId="19068"/>
    <cellStyle name="Milliers 2 3 2 3 2 5" xfId="19069"/>
    <cellStyle name="Milliers 2 3 2 3 2 5 2" xfId="19070"/>
    <cellStyle name="Milliers 2 3 2 3 2 5 2 2" xfId="19071"/>
    <cellStyle name="Milliers 2 3 2 3 2 5 2 2 2" xfId="19072"/>
    <cellStyle name="Milliers 2 3 2 3 2 5 2 2 2 2" xfId="19073"/>
    <cellStyle name="Milliers 2 3 2 3 2 5 2 2 2 2 2" xfId="19074"/>
    <cellStyle name="Milliers 2 3 2 3 2 5 2 2 2 3" xfId="19075"/>
    <cellStyle name="Milliers 2 3 2 3 2 5 2 2 3" xfId="19076"/>
    <cellStyle name="Milliers 2 3 2 3 2 5 2 2 3 2" xfId="19077"/>
    <cellStyle name="Milliers 2 3 2 3 2 5 2 2 4" xfId="19078"/>
    <cellStyle name="Milliers 2 3 2 3 2 5 2 3" xfId="19079"/>
    <cellStyle name="Milliers 2 3 2 3 2 5 2 3 2" xfId="19080"/>
    <cellStyle name="Milliers 2 3 2 3 2 5 2 3 2 2" xfId="19081"/>
    <cellStyle name="Milliers 2 3 2 3 2 5 2 3 3" xfId="19082"/>
    <cellStyle name="Milliers 2 3 2 3 2 5 2 4" xfId="19083"/>
    <cellStyle name="Milliers 2 3 2 3 2 5 2 4 2" xfId="19084"/>
    <cellStyle name="Milliers 2 3 2 3 2 5 2 5" xfId="19085"/>
    <cellStyle name="Milliers 2 3 2 3 2 5 3" xfId="19086"/>
    <cellStyle name="Milliers 2 3 2 3 2 5 3 2" xfId="19087"/>
    <cellStyle name="Milliers 2 3 2 3 2 5 3 2 2" xfId="19088"/>
    <cellStyle name="Milliers 2 3 2 3 2 5 3 2 2 2" xfId="19089"/>
    <cellStyle name="Milliers 2 3 2 3 2 5 3 2 3" xfId="19090"/>
    <cellStyle name="Milliers 2 3 2 3 2 5 3 3" xfId="19091"/>
    <cellStyle name="Milliers 2 3 2 3 2 5 3 3 2" xfId="19092"/>
    <cellStyle name="Milliers 2 3 2 3 2 5 3 4" xfId="19093"/>
    <cellStyle name="Milliers 2 3 2 3 2 5 4" xfId="19094"/>
    <cellStyle name="Milliers 2 3 2 3 2 5 4 2" xfId="19095"/>
    <cellStyle name="Milliers 2 3 2 3 2 5 4 2 2" xfId="19096"/>
    <cellStyle name="Milliers 2 3 2 3 2 5 4 3" xfId="19097"/>
    <cellStyle name="Milliers 2 3 2 3 2 5 5" xfId="19098"/>
    <cellStyle name="Milliers 2 3 2 3 2 5 5 2" xfId="19099"/>
    <cellStyle name="Milliers 2 3 2 3 2 5 6" xfId="19100"/>
    <cellStyle name="Milliers 2 3 2 3 2 6" xfId="19101"/>
    <cellStyle name="Milliers 2 3 2 3 2 6 2" xfId="19102"/>
    <cellStyle name="Milliers 2 3 2 3 2 6 2 2" xfId="19103"/>
    <cellStyle name="Milliers 2 3 2 3 2 6 2 2 2" xfId="19104"/>
    <cellStyle name="Milliers 2 3 2 3 2 6 2 2 2 2" xfId="19105"/>
    <cellStyle name="Milliers 2 3 2 3 2 6 2 2 3" xfId="19106"/>
    <cellStyle name="Milliers 2 3 2 3 2 6 2 3" xfId="19107"/>
    <cellStyle name="Milliers 2 3 2 3 2 6 2 3 2" xfId="19108"/>
    <cellStyle name="Milliers 2 3 2 3 2 6 2 4" xfId="19109"/>
    <cellStyle name="Milliers 2 3 2 3 2 6 3" xfId="19110"/>
    <cellStyle name="Milliers 2 3 2 3 2 6 3 2" xfId="19111"/>
    <cellStyle name="Milliers 2 3 2 3 2 6 3 2 2" xfId="19112"/>
    <cellStyle name="Milliers 2 3 2 3 2 6 3 3" xfId="19113"/>
    <cellStyle name="Milliers 2 3 2 3 2 6 4" xfId="19114"/>
    <cellStyle name="Milliers 2 3 2 3 2 6 4 2" xfId="19115"/>
    <cellStyle name="Milliers 2 3 2 3 2 6 5" xfId="19116"/>
    <cellStyle name="Milliers 2 3 2 3 2 7" xfId="19117"/>
    <cellStyle name="Milliers 2 3 2 3 2 7 2" xfId="19118"/>
    <cellStyle name="Milliers 2 3 2 3 2 7 2 2" xfId="19119"/>
    <cellStyle name="Milliers 2 3 2 3 2 7 2 2 2" xfId="19120"/>
    <cellStyle name="Milliers 2 3 2 3 2 7 2 3" xfId="19121"/>
    <cellStyle name="Milliers 2 3 2 3 2 7 3" xfId="19122"/>
    <cellStyle name="Milliers 2 3 2 3 2 7 3 2" xfId="19123"/>
    <cellStyle name="Milliers 2 3 2 3 2 7 4" xfId="19124"/>
    <cellStyle name="Milliers 2 3 2 3 2 8" xfId="19125"/>
    <cellStyle name="Milliers 2 3 2 3 2 8 2" xfId="19126"/>
    <cellStyle name="Milliers 2 3 2 3 2 8 2 2" xfId="19127"/>
    <cellStyle name="Milliers 2 3 2 3 2 8 3" xfId="19128"/>
    <cellStyle name="Milliers 2 3 2 3 2 9" xfId="19129"/>
    <cellStyle name="Milliers 2 3 2 3 2 9 2" xfId="19130"/>
    <cellStyle name="Milliers 2 3 2 3 3" xfId="19131"/>
    <cellStyle name="Milliers 2 3 2 3 3 2" xfId="19132"/>
    <cellStyle name="Milliers 2 3 2 3 3 2 2" xfId="19133"/>
    <cellStyle name="Milliers 2 3 2 3 3 2 2 2" xfId="19134"/>
    <cellStyle name="Milliers 2 3 2 3 3 2 2 2 2" xfId="19135"/>
    <cellStyle name="Milliers 2 3 2 3 3 2 2 2 2 2" xfId="19136"/>
    <cellStyle name="Milliers 2 3 2 3 3 2 2 2 2 2 2" xfId="19137"/>
    <cellStyle name="Milliers 2 3 2 3 3 2 2 2 2 2 2 2" xfId="19138"/>
    <cellStyle name="Milliers 2 3 2 3 3 2 2 2 2 2 2 2 2" xfId="19139"/>
    <cellStyle name="Milliers 2 3 2 3 3 2 2 2 2 2 2 3" xfId="19140"/>
    <cellStyle name="Milliers 2 3 2 3 3 2 2 2 2 2 3" xfId="19141"/>
    <cellStyle name="Milliers 2 3 2 3 3 2 2 2 2 2 3 2" xfId="19142"/>
    <cellStyle name="Milliers 2 3 2 3 3 2 2 2 2 2 4" xfId="19143"/>
    <cellStyle name="Milliers 2 3 2 3 3 2 2 2 2 3" xfId="19144"/>
    <cellStyle name="Milliers 2 3 2 3 3 2 2 2 2 3 2" xfId="19145"/>
    <cellStyle name="Milliers 2 3 2 3 3 2 2 2 2 3 2 2" xfId="19146"/>
    <cellStyle name="Milliers 2 3 2 3 3 2 2 2 2 3 3" xfId="19147"/>
    <cellStyle name="Milliers 2 3 2 3 3 2 2 2 2 4" xfId="19148"/>
    <cellStyle name="Milliers 2 3 2 3 3 2 2 2 2 4 2" xfId="19149"/>
    <cellStyle name="Milliers 2 3 2 3 3 2 2 2 2 5" xfId="19150"/>
    <cellStyle name="Milliers 2 3 2 3 3 2 2 2 3" xfId="19151"/>
    <cellStyle name="Milliers 2 3 2 3 3 2 2 2 3 2" xfId="19152"/>
    <cellStyle name="Milliers 2 3 2 3 3 2 2 2 3 2 2" xfId="19153"/>
    <cellStyle name="Milliers 2 3 2 3 3 2 2 2 3 2 2 2" xfId="19154"/>
    <cellStyle name="Milliers 2 3 2 3 3 2 2 2 3 2 3" xfId="19155"/>
    <cellStyle name="Milliers 2 3 2 3 3 2 2 2 3 3" xfId="19156"/>
    <cellStyle name="Milliers 2 3 2 3 3 2 2 2 3 3 2" xfId="19157"/>
    <cellStyle name="Milliers 2 3 2 3 3 2 2 2 3 4" xfId="19158"/>
    <cellStyle name="Milliers 2 3 2 3 3 2 2 2 4" xfId="19159"/>
    <cellStyle name="Milliers 2 3 2 3 3 2 2 2 4 2" xfId="19160"/>
    <cellStyle name="Milliers 2 3 2 3 3 2 2 2 4 2 2" xfId="19161"/>
    <cellStyle name="Milliers 2 3 2 3 3 2 2 2 4 3" xfId="19162"/>
    <cellStyle name="Milliers 2 3 2 3 3 2 2 2 5" xfId="19163"/>
    <cellStyle name="Milliers 2 3 2 3 3 2 2 2 5 2" xfId="19164"/>
    <cellStyle name="Milliers 2 3 2 3 3 2 2 2 6" xfId="19165"/>
    <cellStyle name="Milliers 2 3 2 3 3 2 2 3" xfId="19166"/>
    <cellStyle name="Milliers 2 3 2 3 3 2 2 3 2" xfId="19167"/>
    <cellStyle name="Milliers 2 3 2 3 3 2 2 3 2 2" xfId="19168"/>
    <cellStyle name="Milliers 2 3 2 3 3 2 2 3 2 2 2" xfId="19169"/>
    <cellStyle name="Milliers 2 3 2 3 3 2 2 3 2 2 2 2" xfId="19170"/>
    <cellStyle name="Milliers 2 3 2 3 3 2 2 3 2 2 3" xfId="19171"/>
    <cellStyle name="Milliers 2 3 2 3 3 2 2 3 2 3" xfId="19172"/>
    <cellStyle name="Milliers 2 3 2 3 3 2 2 3 2 3 2" xfId="19173"/>
    <cellStyle name="Milliers 2 3 2 3 3 2 2 3 2 4" xfId="19174"/>
    <cellStyle name="Milliers 2 3 2 3 3 2 2 3 3" xfId="19175"/>
    <cellStyle name="Milliers 2 3 2 3 3 2 2 3 3 2" xfId="19176"/>
    <cellStyle name="Milliers 2 3 2 3 3 2 2 3 3 2 2" xfId="19177"/>
    <cellStyle name="Milliers 2 3 2 3 3 2 2 3 3 3" xfId="19178"/>
    <cellStyle name="Milliers 2 3 2 3 3 2 2 3 4" xfId="19179"/>
    <cellStyle name="Milliers 2 3 2 3 3 2 2 3 4 2" xfId="19180"/>
    <cellStyle name="Milliers 2 3 2 3 3 2 2 3 5" xfId="19181"/>
    <cellStyle name="Milliers 2 3 2 3 3 2 2 4" xfId="19182"/>
    <cellStyle name="Milliers 2 3 2 3 3 2 2 4 2" xfId="19183"/>
    <cellStyle name="Milliers 2 3 2 3 3 2 2 4 2 2" xfId="19184"/>
    <cellStyle name="Milliers 2 3 2 3 3 2 2 4 2 2 2" xfId="19185"/>
    <cellStyle name="Milliers 2 3 2 3 3 2 2 4 2 3" xfId="19186"/>
    <cellStyle name="Milliers 2 3 2 3 3 2 2 4 3" xfId="19187"/>
    <cellStyle name="Milliers 2 3 2 3 3 2 2 4 3 2" xfId="19188"/>
    <cellStyle name="Milliers 2 3 2 3 3 2 2 4 4" xfId="19189"/>
    <cellStyle name="Milliers 2 3 2 3 3 2 2 5" xfId="19190"/>
    <cellStyle name="Milliers 2 3 2 3 3 2 2 5 2" xfId="19191"/>
    <cellStyle name="Milliers 2 3 2 3 3 2 2 5 2 2" xfId="19192"/>
    <cellStyle name="Milliers 2 3 2 3 3 2 2 5 3" xfId="19193"/>
    <cellStyle name="Milliers 2 3 2 3 3 2 2 6" xfId="19194"/>
    <cellStyle name="Milliers 2 3 2 3 3 2 2 6 2" xfId="19195"/>
    <cellStyle name="Milliers 2 3 2 3 3 2 2 7" xfId="19196"/>
    <cellStyle name="Milliers 2 3 2 3 3 2 3" xfId="19197"/>
    <cellStyle name="Milliers 2 3 2 3 3 2 3 2" xfId="19198"/>
    <cellStyle name="Milliers 2 3 2 3 3 2 3 2 2" xfId="19199"/>
    <cellStyle name="Milliers 2 3 2 3 3 2 3 2 2 2" xfId="19200"/>
    <cellStyle name="Milliers 2 3 2 3 3 2 3 2 2 2 2" xfId="19201"/>
    <cellStyle name="Milliers 2 3 2 3 3 2 3 2 2 2 2 2" xfId="19202"/>
    <cellStyle name="Milliers 2 3 2 3 3 2 3 2 2 2 3" xfId="19203"/>
    <cellStyle name="Milliers 2 3 2 3 3 2 3 2 2 3" xfId="19204"/>
    <cellStyle name="Milliers 2 3 2 3 3 2 3 2 2 3 2" xfId="19205"/>
    <cellStyle name="Milliers 2 3 2 3 3 2 3 2 2 4" xfId="19206"/>
    <cellStyle name="Milliers 2 3 2 3 3 2 3 2 3" xfId="19207"/>
    <cellStyle name="Milliers 2 3 2 3 3 2 3 2 3 2" xfId="19208"/>
    <cellStyle name="Milliers 2 3 2 3 3 2 3 2 3 2 2" xfId="19209"/>
    <cellStyle name="Milliers 2 3 2 3 3 2 3 2 3 3" xfId="19210"/>
    <cellStyle name="Milliers 2 3 2 3 3 2 3 2 4" xfId="19211"/>
    <cellStyle name="Milliers 2 3 2 3 3 2 3 2 4 2" xfId="19212"/>
    <cellStyle name="Milliers 2 3 2 3 3 2 3 2 5" xfId="19213"/>
    <cellStyle name="Milliers 2 3 2 3 3 2 3 3" xfId="19214"/>
    <cellStyle name="Milliers 2 3 2 3 3 2 3 3 2" xfId="19215"/>
    <cellStyle name="Milliers 2 3 2 3 3 2 3 3 2 2" xfId="19216"/>
    <cellStyle name="Milliers 2 3 2 3 3 2 3 3 2 2 2" xfId="19217"/>
    <cellStyle name="Milliers 2 3 2 3 3 2 3 3 2 3" xfId="19218"/>
    <cellStyle name="Milliers 2 3 2 3 3 2 3 3 3" xfId="19219"/>
    <cellStyle name="Milliers 2 3 2 3 3 2 3 3 3 2" xfId="19220"/>
    <cellStyle name="Milliers 2 3 2 3 3 2 3 3 4" xfId="19221"/>
    <cellStyle name="Milliers 2 3 2 3 3 2 3 4" xfId="19222"/>
    <cellStyle name="Milliers 2 3 2 3 3 2 3 4 2" xfId="19223"/>
    <cellStyle name="Milliers 2 3 2 3 3 2 3 4 2 2" xfId="19224"/>
    <cellStyle name="Milliers 2 3 2 3 3 2 3 4 3" xfId="19225"/>
    <cellStyle name="Milliers 2 3 2 3 3 2 3 5" xfId="19226"/>
    <cellStyle name="Milliers 2 3 2 3 3 2 3 5 2" xfId="19227"/>
    <cellStyle name="Milliers 2 3 2 3 3 2 3 6" xfId="19228"/>
    <cellStyle name="Milliers 2 3 2 3 3 2 4" xfId="19229"/>
    <cellStyle name="Milliers 2 3 2 3 3 2 4 2" xfId="19230"/>
    <cellStyle name="Milliers 2 3 2 3 3 2 4 2 2" xfId="19231"/>
    <cellStyle name="Milliers 2 3 2 3 3 2 4 2 2 2" xfId="19232"/>
    <cellStyle name="Milliers 2 3 2 3 3 2 4 2 2 2 2" xfId="19233"/>
    <cellStyle name="Milliers 2 3 2 3 3 2 4 2 2 3" xfId="19234"/>
    <cellStyle name="Milliers 2 3 2 3 3 2 4 2 3" xfId="19235"/>
    <cellStyle name="Milliers 2 3 2 3 3 2 4 2 3 2" xfId="19236"/>
    <cellStyle name="Milliers 2 3 2 3 3 2 4 2 4" xfId="19237"/>
    <cellStyle name="Milliers 2 3 2 3 3 2 4 3" xfId="19238"/>
    <cellStyle name="Milliers 2 3 2 3 3 2 4 3 2" xfId="19239"/>
    <cellStyle name="Milliers 2 3 2 3 3 2 4 3 2 2" xfId="19240"/>
    <cellStyle name="Milliers 2 3 2 3 3 2 4 3 3" xfId="19241"/>
    <cellStyle name="Milliers 2 3 2 3 3 2 4 4" xfId="19242"/>
    <cellStyle name="Milliers 2 3 2 3 3 2 4 4 2" xfId="19243"/>
    <cellStyle name="Milliers 2 3 2 3 3 2 4 5" xfId="19244"/>
    <cellStyle name="Milliers 2 3 2 3 3 2 5" xfId="19245"/>
    <cellStyle name="Milliers 2 3 2 3 3 2 5 2" xfId="19246"/>
    <cellStyle name="Milliers 2 3 2 3 3 2 5 2 2" xfId="19247"/>
    <cellStyle name="Milliers 2 3 2 3 3 2 5 2 2 2" xfId="19248"/>
    <cellStyle name="Milliers 2 3 2 3 3 2 5 2 3" xfId="19249"/>
    <cellStyle name="Milliers 2 3 2 3 3 2 5 3" xfId="19250"/>
    <cellStyle name="Milliers 2 3 2 3 3 2 5 3 2" xfId="19251"/>
    <cellStyle name="Milliers 2 3 2 3 3 2 5 4" xfId="19252"/>
    <cellStyle name="Milliers 2 3 2 3 3 2 6" xfId="19253"/>
    <cellStyle name="Milliers 2 3 2 3 3 2 6 2" xfId="19254"/>
    <cellStyle name="Milliers 2 3 2 3 3 2 6 2 2" xfId="19255"/>
    <cellStyle name="Milliers 2 3 2 3 3 2 6 3" xfId="19256"/>
    <cellStyle name="Milliers 2 3 2 3 3 2 7" xfId="19257"/>
    <cellStyle name="Milliers 2 3 2 3 3 2 7 2" xfId="19258"/>
    <cellStyle name="Milliers 2 3 2 3 3 2 8" xfId="19259"/>
    <cellStyle name="Milliers 2 3 2 3 3 3" xfId="19260"/>
    <cellStyle name="Milliers 2 3 2 3 3 3 2" xfId="19261"/>
    <cellStyle name="Milliers 2 3 2 3 3 3 2 2" xfId="19262"/>
    <cellStyle name="Milliers 2 3 2 3 3 3 2 2 2" xfId="19263"/>
    <cellStyle name="Milliers 2 3 2 3 3 3 2 2 2 2" xfId="19264"/>
    <cellStyle name="Milliers 2 3 2 3 3 3 2 2 2 2 2" xfId="19265"/>
    <cellStyle name="Milliers 2 3 2 3 3 3 2 2 2 2 2 2" xfId="19266"/>
    <cellStyle name="Milliers 2 3 2 3 3 3 2 2 2 2 3" xfId="19267"/>
    <cellStyle name="Milliers 2 3 2 3 3 3 2 2 2 3" xfId="19268"/>
    <cellStyle name="Milliers 2 3 2 3 3 3 2 2 2 3 2" xfId="19269"/>
    <cellStyle name="Milliers 2 3 2 3 3 3 2 2 2 4" xfId="19270"/>
    <cellStyle name="Milliers 2 3 2 3 3 3 2 2 3" xfId="19271"/>
    <cellStyle name="Milliers 2 3 2 3 3 3 2 2 3 2" xfId="19272"/>
    <cellStyle name="Milliers 2 3 2 3 3 3 2 2 3 2 2" xfId="19273"/>
    <cellStyle name="Milliers 2 3 2 3 3 3 2 2 3 3" xfId="19274"/>
    <cellStyle name="Milliers 2 3 2 3 3 3 2 2 4" xfId="19275"/>
    <cellStyle name="Milliers 2 3 2 3 3 3 2 2 4 2" xfId="19276"/>
    <cellStyle name="Milliers 2 3 2 3 3 3 2 2 5" xfId="19277"/>
    <cellStyle name="Milliers 2 3 2 3 3 3 2 3" xfId="19278"/>
    <cellStyle name="Milliers 2 3 2 3 3 3 2 3 2" xfId="19279"/>
    <cellStyle name="Milliers 2 3 2 3 3 3 2 3 2 2" xfId="19280"/>
    <cellStyle name="Milliers 2 3 2 3 3 3 2 3 2 2 2" xfId="19281"/>
    <cellStyle name="Milliers 2 3 2 3 3 3 2 3 2 3" xfId="19282"/>
    <cellStyle name="Milliers 2 3 2 3 3 3 2 3 3" xfId="19283"/>
    <cellStyle name="Milliers 2 3 2 3 3 3 2 3 3 2" xfId="19284"/>
    <cellStyle name="Milliers 2 3 2 3 3 3 2 3 4" xfId="19285"/>
    <cellStyle name="Milliers 2 3 2 3 3 3 2 4" xfId="19286"/>
    <cellStyle name="Milliers 2 3 2 3 3 3 2 4 2" xfId="19287"/>
    <cellStyle name="Milliers 2 3 2 3 3 3 2 4 2 2" xfId="19288"/>
    <cellStyle name="Milliers 2 3 2 3 3 3 2 4 3" xfId="19289"/>
    <cellStyle name="Milliers 2 3 2 3 3 3 2 5" xfId="19290"/>
    <cellStyle name="Milliers 2 3 2 3 3 3 2 5 2" xfId="19291"/>
    <cellStyle name="Milliers 2 3 2 3 3 3 2 6" xfId="19292"/>
    <cellStyle name="Milliers 2 3 2 3 3 3 3" xfId="19293"/>
    <cellStyle name="Milliers 2 3 2 3 3 3 3 2" xfId="19294"/>
    <cellStyle name="Milliers 2 3 2 3 3 3 3 2 2" xfId="19295"/>
    <cellStyle name="Milliers 2 3 2 3 3 3 3 2 2 2" xfId="19296"/>
    <cellStyle name="Milliers 2 3 2 3 3 3 3 2 2 2 2" xfId="19297"/>
    <cellStyle name="Milliers 2 3 2 3 3 3 3 2 2 3" xfId="19298"/>
    <cellStyle name="Milliers 2 3 2 3 3 3 3 2 3" xfId="19299"/>
    <cellStyle name="Milliers 2 3 2 3 3 3 3 2 3 2" xfId="19300"/>
    <cellStyle name="Milliers 2 3 2 3 3 3 3 2 4" xfId="19301"/>
    <cellStyle name="Milliers 2 3 2 3 3 3 3 3" xfId="19302"/>
    <cellStyle name="Milliers 2 3 2 3 3 3 3 3 2" xfId="19303"/>
    <cellStyle name="Milliers 2 3 2 3 3 3 3 3 2 2" xfId="19304"/>
    <cellStyle name="Milliers 2 3 2 3 3 3 3 3 3" xfId="19305"/>
    <cellStyle name="Milliers 2 3 2 3 3 3 3 4" xfId="19306"/>
    <cellStyle name="Milliers 2 3 2 3 3 3 3 4 2" xfId="19307"/>
    <cellStyle name="Milliers 2 3 2 3 3 3 3 5" xfId="19308"/>
    <cellStyle name="Milliers 2 3 2 3 3 3 4" xfId="19309"/>
    <cellStyle name="Milliers 2 3 2 3 3 3 4 2" xfId="19310"/>
    <cellStyle name="Milliers 2 3 2 3 3 3 4 2 2" xfId="19311"/>
    <cellStyle name="Milliers 2 3 2 3 3 3 4 2 2 2" xfId="19312"/>
    <cellStyle name="Milliers 2 3 2 3 3 3 4 2 3" xfId="19313"/>
    <cellStyle name="Milliers 2 3 2 3 3 3 4 3" xfId="19314"/>
    <cellStyle name="Milliers 2 3 2 3 3 3 4 3 2" xfId="19315"/>
    <cellStyle name="Milliers 2 3 2 3 3 3 4 4" xfId="19316"/>
    <cellStyle name="Milliers 2 3 2 3 3 3 5" xfId="19317"/>
    <cellStyle name="Milliers 2 3 2 3 3 3 5 2" xfId="19318"/>
    <cellStyle name="Milliers 2 3 2 3 3 3 5 2 2" xfId="19319"/>
    <cellStyle name="Milliers 2 3 2 3 3 3 5 3" xfId="19320"/>
    <cellStyle name="Milliers 2 3 2 3 3 3 6" xfId="19321"/>
    <cellStyle name="Milliers 2 3 2 3 3 3 6 2" xfId="19322"/>
    <cellStyle name="Milliers 2 3 2 3 3 3 7" xfId="19323"/>
    <cellStyle name="Milliers 2 3 2 3 3 4" xfId="19324"/>
    <cellStyle name="Milliers 2 3 2 3 3 4 2" xfId="19325"/>
    <cellStyle name="Milliers 2 3 2 3 3 4 2 2" xfId="19326"/>
    <cellStyle name="Milliers 2 3 2 3 3 4 2 2 2" xfId="19327"/>
    <cellStyle name="Milliers 2 3 2 3 3 4 2 2 2 2" xfId="19328"/>
    <cellStyle name="Milliers 2 3 2 3 3 4 2 2 2 2 2" xfId="19329"/>
    <cellStyle name="Milliers 2 3 2 3 3 4 2 2 2 3" xfId="19330"/>
    <cellStyle name="Milliers 2 3 2 3 3 4 2 2 3" xfId="19331"/>
    <cellStyle name="Milliers 2 3 2 3 3 4 2 2 3 2" xfId="19332"/>
    <cellStyle name="Milliers 2 3 2 3 3 4 2 2 4" xfId="19333"/>
    <cellStyle name="Milliers 2 3 2 3 3 4 2 3" xfId="19334"/>
    <cellStyle name="Milliers 2 3 2 3 3 4 2 3 2" xfId="19335"/>
    <cellStyle name="Milliers 2 3 2 3 3 4 2 3 2 2" xfId="19336"/>
    <cellStyle name="Milliers 2 3 2 3 3 4 2 3 3" xfId="19337"/>
    <cellStyle name="Milliers 2 3 2 3 3 4 2 4" xfId="19338"/>
    <cellStyle name="Milliers 2 3 2 3 3 4 2 4 2" xfId="19339"/>
    <cellStyle name="Milliers 2 3 2 3 3 4 2 5" xfId="19340"/>
    <cellStyle name="Milliers 2 3 2 3 3 4 3" xfId="19341"/>
    <cellStyle name="Milliers 2 3 2 3 3 4 3 2" xfId="19342"/>
    <cellStyle name="Milliers 2 3 2 3 3 4 3 2 2" xfId="19343"/>
    <cellStyle name="Milliers 2 3 2 3 3 4 3 2 2 2" xfId="19344"/>
    <cellStyle name="Milliers 2 3 2 3 3 4 3 2 3" xfId="19345"/>
    <cellStyle name="Milliers 2 3 2 3 3 4 3 3" xfId="19346"/>
    <cellStyle name="Milliers 2 3 2 3 3 4 3 3 2" xfId="19347"/>
    <cellStyle name="Milliers 2 3 2 3 3 4 3 4" xfId="19348"/>
    <cellStyle name="Milliers 2 3 2 3 3 4 4" xfId="19349"/>
    <cellStyle name="Milliers 2 3 2 3 3 4 4 2" xfId="19350"/>
    <cellStyle name="Milliers 2 3 2 3 3 4 4 2 2" xfId="19351"/>
    <cellStyle name="Milliers 2 3 2 3 3 4 4 3" xfId="19352"/>
    <cellStyle name="Milliers 2 3 2 3 3 4 5" xfId="19353"/>
    <cellStyle name="Milliers 2 3 2 3 3 4 5 2" xfId="19354"/>
    <cellStyle name="Milliers 2 3 2 3 3 4 6" xfId="19355"/>
    <cellStyle name="Milliers 2 3 2 3 3 5" xfId="19356"/>
    <cellStyle name="Milliers 2 3 2 3 3 5 2" xfId="19357"/>
    <cellStyle name="Milliers 2 3 2 3 3 5 2 2" xfId="19358"/>
    <cellStyle name="Milliers 2 3 2 3 3 5 2 2 2" xfId="19359"/>
    <cellStyle name="Milliers 2 3 2 3 3 5 2 2 2 2" xfId="19360"/>
    <cellStyle name="Milliers 2 3 2 3 3 5 2 2 3" xfId="19361"/>
    <cellStyle name="Milliers 2 3 2 3 3 5 2 3" xfId="19362"/>
    <cellStyle name="Milliers 2 3 2 3 3 5 2 3 2" xfId="19363"/>
    <cellStyle name="Milliers 2 3 2 3 3 5 2 4" xfId="19364"/>
    <cellStyle name="Milliers 2 3 2 3 3 5 3" xfId="19365"/>
    <cellStyle name="Milliers 2 3 2 3 3 5 3 2" xfId="19366"/>
    <cellStyle name="Milliers 2 3 2 3 3 5 3 2 2" xfId="19367"/>
    <cellStyle name="Milliers 2 3 2 3 3 5 3 3" xfId="19368"/>
    <cellStyle name="Milliers 2 3 2 3 3 5 4" xfId="19369"/>
    <cellStyle name="Milliers 2 3 2 3 3 5 4 2" xfId="19370"/>
    <cellStyle name="Milliers 2 3 2 3 3 5 5" xfId="19371"/>
    <cellStyle name="Milliers 2 3 2 3 3 6" xfId="19372"/>
    <cellStyle name="Milliers 2 3 2 3 3 6 2" xfId="19373"/>
    <cellStyle name="Milliers 2 3 2 3 3 6 2 2" xfId="19374"/>
    <cellStyle name="Milliers 2 3 2 3 3 6 2 2 2" xfId="19375"/>
    <cellStyle name="Milliers 2 3 2 3 3 6 2 3" xfId="19376"/>
    <cellStyle name="Milliers 2 3 2 3 3 6 3" xfId="19377"/>
    <cellStyle name="Milliers 2 3 2 3 3 6 3 2" xfId="19378"/>
    <cellStyle name="Milliers 2 3 2 3 3 6 4" xfId="19379"/>
    <cellStyle name="Milliers 2 3 2 3 3 7" xfId="19380"/>
    <cellStyle name="Milliers 2 3 2 3 3 7 2" xfId="19381"/>
    <cellStyle name="Milliers 2 3 2 3 3 7 2 2" xfId="19382"/>
    <cellStyle name="Milliers 2 3 2 3 3 7 3" xfId="19383"/>
    <cellStyle name="Milliers 2 3 2 3 3 8" xfId="19384"/>
    <cellStyle name="Milliers 2 3 2 3 3 8 2" xfId="19385"/>
    <cellStyle name="Milliers 2 3 2 3 3 9" xfId="19386"/>
    <cellStyle name="Milliers 2 3 2 3 4" xfId="19387"/>
    <cellStyle name="Milliers 2 3 2 3 4 2" xfId="19388"/>
    <cellStyle name="Milliers 2 3 2 3 4 2 2" xfId="19389"/>
    <cellStyle name="Milliers 2 3 2 3 4 2 2 2" xfId="19390"/>
    <cellStyle name="Milliers 2 3 2 3 4 2 2 2 2" xfId="19391"/>
    <cellStyle name="Milliers 2 3 2 3 4 2 2 2 2 2" xfId="19392"/>
    <cellStyle name="Milliers 2 3 2 3 4 2 2 2 2 2 2" xfId="19393"/>
    <cellStyle name="Milliers 2 3 2 3 4 2 2 2 2 2 2 2" xfId="19394"/>
    <cellStyle name="Milliers 2 3 2 3 4 2 2 2 2 2 3" xfId="19395"/>
    <cellStyle name="Milliers 2 3 2 3 4 2 2 2 2 3" xfId="19396"/>
    <cellStyle name="Milliers 2 3 2 3 4 2 2 2 2 3 2" xfId="19397"/>
    <cellStyle name="Milliers 2 3 2 3 4 2 2 2 2 4" xfId="19398"/>
    <cellStyle name="Milliers 2 3 2 3 4 2 2 2 3" xfId="19399"/>
    <cellStyle name="Milliers 2 3 2 3 4 2 2 2 3 2" xfId="19400"/>
    <cellStyle name="Milliers 2 3 2 3 4 2 2 2 3 2 2" xfId="19401"/>
    <cellStyle name="Milliers 2 3 2 3 4 2 2 2 3 3" xfId="19402"/>
    <cellStyle name="Milliers 2 3 2 3 4 2 2 2 4" xfId="19403"/>
    <cellStyle name="Milliers 2 3 2 3 4 2 2 2 4 2" xfId="19404"/>
    <cellStyle name="Milliers 2 3 2 3 4 2 2 2 5" xfId="19405"/>
    <cellStyle name="Milliers 2 3 2 3 4 2 2 3" xfId="19406"/>
    <cellStyle name="Milliers 2 3 2 3 4 2 2 3 2" xfId="19407"/>
    <cellStyle name="Milliers 2 3 2 3 4 2 2 3 2 2" xfId="19408"/>
    <cellStyle name="Milliers 2 3 2 3 4 2 2 3 2 2 2" xfId="19409"/>
    <cellStyle name="Milliers 2 3 2 3 4 2 2 3 2 3" xfId="19410"/>
    <cellStyle name="Milliers 2 3 2 3 4 2 2 3 3" xfId="19411"/>
    <cellStyle name="Milliers 2 3 2 3 4 2 2 3 3 2" xfId="19412"/>
    <cellStyle name="Milliers 2 3 2 3 4 2 2 3 4" xfId="19413"/>
    <cellStyle name="Milliers 2 3 2 3 4 2 2 4" xfId="19414"/>
    <cellStyle name="Milliers 2 3 2 3 4 2 2 4 2" xfId="19415"/>
    <cellStyle name="Milliers 2 3 2 3 4 2 2 4 2 2" xfId="19416"/>
    <cellStyle name="Milliers 2 3 2 3 4 2 2 4 3" xfId="19417"/>
    <cellStyle name="Milliers 2 3 2 3 4 2 2 5" xfId="19418"/>
    <cellStyle name="Milliers 2 3 2 3 4 2 2 5 2" xfId="19419"/>
    <cellStyle name="Milliers 2 3 2 3 4 2 2 6" xfId="19420"/>
    <cellStyle name="Milliers 2 3 2 3 4 2 3" xfId="19421"/>
    <cellStyle name="Milliers 2 3 2 3 4 2 3 2" xfId="19422"/>
    <cellStyle name="Milliers 2 3 2 3 4 2 3 2 2" xfId="19423"/>
    <cellStyle name="Milliers 2 3 2 3 4 2 3 2 2 2" xfId="19424"/>
    <cellStyle name="Milliers 2 3 2 3 4 2 3 2 2 2 2" xfId="19425"/>
    <cellStyle name="Milliers 2 3 2 3 4 2 3 2 2 3" xfId="19426"/>
    <cellStyle name="Milliers 2 3 2 3 4 2 3 2 3" xfId="19427"/>
    <cellStyle name="Milliers 2 3 2 3 4 2 3 2 3 2" xfId="19428"/>
    <cellStyle name="Milliers 2 3 2 3 4 2 3 2 4" xfId="19429"/>
    <cellStyle name="Milliers 2 3 2 3 4 2 3 3" xfId="19430"/>
    <cellStyle name="Milliers 2 3 2 3 4 2 3 3 2" xfId="19431"/>
    <cellStyle name="Milliers 2 3 2 3 4 2 3 3 2 2" xfId="19432"/>
    <cellStyle name="Milliers 2 3 2 3 4 2 3 3 3" xfId="19433"/>
    <cellStyle name="Milliers 2 3 2 3 4 2 3 4" xfId="19434"/>
    <cellStyle name="Milliers 2 3 2 3 4 2 3 4 2" xfId="19435"/>
    <cellStyle name="Milliers 2 3 2 3 4 2 3 5" xfId="19436"/>
    <cellStyle name="Milliers 2 3 2 3 4 2 4" xfId="19437"/>
    <cellStyle name="Milliers 2 3 2 3 4 2 4 2" xfId="19438"/>
    <cellStyle name="Milliers 2 3 2 3 4 2 4 2 2" xfId="19439"/>
    <cellStyle name="Milliers 2 3 2 3 4 2 4 2 2 2" xfId="19440"/>
    <cellStyle name="Milliers 2 3 2 3 4 2 4 2 3" xfId="19441"/>
    <cellStyle name="Milliers 2 3 2 3 4 2 4 3" xfId="19442"/>
    <cellStyle name="Milliers 2 3 2 3 4 2 4 3 2" xfId="19443"/>
    <cellStyle name="Milliers 2 3 2 3 4 2 4 4" xfId="19444"/>
    <cellStyle name="Milliers 2 3 2 3 4 2 5" xfId="19445"/>
    <cellStyle name="Milliers 2 3 2 3 4 2 5 2" xfId="19446"/>
    <cellStyle name="Milliers 2 3 2 3 4 2 5 2 2" xfId="19447"/>
    <cellStyle name="Milliers 2 3 2 3 4 2 5 3" xfId="19448"/>
    <cellStyle name="Milliers 2 3 2 3 4 2 6" xfId="19449"/>
    <cellStyle name="Milliers 2 3 2 3 4 2 6 2" xfId="19450"/>
    <cellStyle name="Milliers 2 3 2 3 4 2 7" xfId="19451"/>
    <cellStyle name="Milliers 2 3 2 3 4 3" xfId="19452"/>
    <cellStyle name="Milliers 2 3 2 3 4 3 2" xfId="19453"/>
    <cellStyle name="Milliers 2 3 2 3 4 3 2 2" xfId="19454"/>
    <cellStyle name="Milliers 2 3 2 3 4 3 2 2 2" xfId="19455"/>
    <cellStyle name="Milliers 2 3 2 3 4 3 2 2 2 2" xfId="19456"/>
    <cellStyle name="Milliers 2 3 2 3 4 3 2 2 2 2 2" xfId="19457"/>
    <cellStyle name="Milliers 2 3 2 3 4 3 2 2 2 3" xfId="19458"/>
    <cellStyle name="Milliers 2 3 2 3 4 3 2 2 3" xfId="19459"/>
    <cellStyle name="Milliers 2 3 2 3 4 3 2 2 3 2" xfId="19460"/>
    <cellStyle name="Milliers 2 3 2 3 4 3 2 2 4" xfId="19461"/>
    <cellStyle name="Milliers 2 3 2 3 4 3 2 3" xfId="19462"/>
    <cellStyle name="Milliers 2 3 2 3 4 3 2 3 2" xfId="19463"/>
    <cellStyle name="Milliers 2 3 2 3 4 3 2 3 2 2" xfId="19464"/>
    <cellStyle name="Milliers 2 3 2 3 4 3 2 3 3" xfId="19465"/>
    <cellStyle name="Milliers 2 3 2 3 4 3 2 4" xfId="19466"/>
    <cellStyle name="Milliers 2 3 2 3 4 3 2 4 2" xfId="19467"/>
    <cellStyle name="Milliers 2 3 2 3 4 3 2 5" xfId="19468"/>
    <cellStyle name="Milliers 2 3 2 3 4 3 3" xfId="19469"/>
    <cellStyle name="Milliers 2 3 2 3 4 3 3 2" xfId="19470"/>
    <cellStyle name="Milliers 2 3 2 3 4 3 3 2 2" xfId="19471"/>
    <cellStyle name="Milliers 2 3 2 3 4 3 3 2 2 2" xfId="19472"/>
    <cellStyle name="Milliers 2 3 2 3 4 3 3 2 3" xfId="19473"/>
    <cellStyle name="Milliers 2 3 2 3 4 3 3 3" xfId="19474"/>
    <cellStyle name="Milliers 2 3 2 3 4 3 3 3 2" xfId="19475"/>
    <cellStyle name="Milliers 2 3 2 3 4 3 3 4" xfId="19476"/>
    <cellStyle name="Milliers 2 3 2 3 4 3 4" xfId="19477"/>
    <cellStyle name="Milliers 2 3 2 3 4 3 4 2" xfId="19478"/>
    <cellStyle name="Milliers 2 3 2 3 4 3 4 2 2" xfId="19479"/>
    <cellStyle name="Milliers 2 3 2 3 4 3 4 3" xfId="19480"/>
    <cellStyle name="Milliers 2 3 2 3 4 3 5" xfId="19481"/>
    <cellStyle name="Milliers 2 3 2 3 4 3 5 2" xfId="19482"/>
    <cellStyle name="Milliers 2 3 2 3 4 3 6" xfId="19483"/>
    <cellStyle name="Milliers 2 3 2 3 4 4" xfId="19484"/>
    <cellStyle name="Milliers 2 3 2 3 4 4 2" xfId="19485"/>
    <cellStyle name="Milliers 2 3 2 3 4 4 2 2" xfId="19486"/>
    <cellStyle name="Milliers 2 3 2 3 4 4 2 2 2" xfId="19487"/>
    <cellStyle name="Milliers 2 3 2 3 4 4 2 2 2 2" xfId="19488"/>
    <cellStyle name="Milliers 2 3 2 3 4 4 2 2 3" xfId="19489"/>
    <cellStyle name="Milliers 2 3 2 3 4 4 2 3" xfId="19490"/>
    <cellStyle name="Milliers 2 3 2 3 4 4 2 3 2" xfId="19491"/>
    <cellStyle name="Milliers 2 3 2 3 4 4 2 4" xfId="19492"/>
    <cellStyle name="Milliers 2 3 2 3 4 4 3" xfId="19493"/>
    <cellStyle name="Milliers 2 3 2 3 4 4 3 2" xfId="19494"/>
    <cellStyle name="Milliers 2 3 2 3 4 4 3 2 2" xfId="19495"/>
    <cellStyle name="Milliers 2 3 2 3 4 4 3 3" xfId="19496"/>
    <cellStyle name="Milliers 2 3 2 3 4 4 4" xfId="19497"/>
    <cellStyle name="Milliers 2 3 2 3 4 4 4 2" xfId="19498"/>
    <cellStyle name="Milliers 2 3 2 3 4 4 5" xfId="19499"/>
    <cellStyle name="Milliers 2 3 2 3 4 5" xfId="19500"/>
    <cellStyle name="Milliers 2 3 2 3 4 5 2" xfId="19501"/>
    <cellStyle name="Milliers 2 3 2 3 4 5 2 2" xfId="19502"/>
    <cellStyle name="Milliers 2 3 2 3 4 5 2 2 2" xfId="19503"/>
    <cellStyle name="Milliers 2 3 2 3 4 5 2 3" xfId="19504"/>
    <cellStyle name="Milliers 2 3 2 3 4 5 3" xfId="19505"/>
    <cellStyle name="Milliers 2 3 2 3 4 5 3 2" xfId="19506"/>
    <cellStyle name="Milliers 2 3 2 3 4 5 4" xfId="19507"/>
    <cellStyle name="Milliers 2 3 2 3 4 6" xfId="19508"/>
    <cellStyle name="Milliers 2 3 2 3 4 6 2" xfId="19509"/>
    <cellStyle name="Milliers 2 3 2 3 4 6 2 2" xfId="19510"/>
    <cellStyle name="Milliers 2 3 2 3 4 6 3" xfId="19511"/>
    <cellStyle name="Milliers 2 3 2 3 4 7" xfId="19512"/>
    <cellStyle name="Milliers 2 3 2 3 4 7 2" xfId="19513"/>
    <cellStyle name="Milliers 2 3 2 3 4 8" xfId="19514"/>
    <cellStyle name="Milliers 2 3 2 3 5" xfId="19515"/>
    <cellStyle name="Milliers 2 3 2 3 5 2" xfId="19516"/>
    <cellStyle name="Milliers 2 3 2 3 5 2 2" xfId="19517"/>
    <cellStyle name="Milliers 2 3 2 3 5 2 2 2" xfId="19518"/>
    <cellStyle name="Milliers 2 3 2 3 5 2 2 2 2" xfId="19519"/>
    <cellStyle name="Milliers 2 3 2 3 5 2 2 2 2 2" xfId="19520"/>
    <cellStyle name="Milliers 2 3 2 3 5 2 2 2 2 2 2" xfId="19521"/>
    <cellStyle name="Milliers 2 3 2 3 5 2 2 2 2 3" xfId="19522"/>
    <cellStyle name="Milliers 2 3 2 3 5 2 2 2 3" xfId="19523"/>
    <cellStyle name="Milliers 2 3 2 3 5 2 2 2 3 2" xfId="19524"/>
    <cellStyle name="Milliers 2 3 2 3 5 2 2 2 4" xfId="19525"/>
    <cellStyle name="Milliers 2 3 2 3 5 2 2 3" xfId="19526"/>
    <cellStyle name="Milliers 2 3 2 3 5 2 2 3 2" xfId="19527"/>
    <cellStyle name="Milliers 2 3 2 3 5 2 2 3 2 2" xfId="19528"/>
    <cellStyle name="Milliers 2 3 2 3 5 2 2 3 3" xfId="19529"/>
    <cellStyle name="Milliers 2 3 2 3 5 2 2 4" xfId="19530"/>
    <cellStyle name="Milliers 2 3 2 3 5 2 2 4 2" xfId="19531"/>
    <cellStyle name="Milliers 2 3 2 3 5 2 2 5" xfId="19532"/>
    <cellStyle name="Milliers 2 3 2 3 5 2 3" xfId="19533"/>
    <cellStyle name="Milliers 2 3 2 3 5 2 3 2" xfId="19534"/>
    <cellStyle name="Milliers 2 3 2 3 5 2 3 2 2" xfId="19535"/>
    <cellStyle name="Milliers 2 3 2 3 5 2 3 2 2 2" xfId="19536"/>
    <cellStyle name="Milliers 2 3 2 3 5 2 3 2 3" xfId="19537"/>
    <cellStyle name="Milliers 2 3 2 3 5 2 3 3" xfId="19538"/>
    <cellStyle name="Milliers 2 3 2 3 5 2 3 3 2" xfId="19539"/>
    <cellStyle name="Milliers 2 3 2 3 5 2 3 4" xfId="19540"/>
    <cellStyle name="Milliers 2 3 2 3 5 2 4" xfId="19541"/>
    <cellStyle name="Milliers 2 3 2 3 5 2 4 2" xfId="19542"/>
    <cellStyle name="Milliers 2 3 2 3 5 2 4 2 2" xfId="19543"/>
    <cellStyle name="Milliers 2 3 2 3 5 2 4 3" xfId="19544"/>
    <cellStyle name="Milliers 2 3 2 3 5 2 5" xfId="19545"/>
    <cellStyle name="Milliers 2 3 2 3 5 2 5 2" xfId="19546"/>
    <cellStyle name="Milliers 2 3 2 3 5 2 6" xfId="19547"/>
    <cellStyle name="Milliers 2 3 2 3 5 3" xfId="19548"/>
    <cellStyle name="Milliers 2 3 2 3 5 3 2" xfId="19549"/>
    <cellStyle name="Milliers 2 3 2 3 5 3 2 2" xfId="19550"/>
    <cellStyle name="Milliers 2 3 2 3 5 3 2 2 2" xfId="19551"/>
    <cellStyle name="Milliers 2 3 2 3 5 3 2 2 2 2" xfId="19552"/>
    <cellStyle name="Milliers 2 3 2 3 5 3 2 2 3" xfId="19553"/>
    <cellStyle name="Milliers 2 3 2 3 5 3 2 3" xfId="19554"/>
    <cellStyle name="Milliers 2 3 2 3 5 3 2 3 2" xfId="19555"/>
    <cellStyle name="Milliers 2 3 2 3 5 3 2 4" xfId="19556"/>
    <cellStyle name="Milliers 2 3 2 3 5 3 3" xfId="19557"/>
    <cellStyle name="Milliers 2 3 2 3 5 3 3 2" xfId="19558"/>
    <cellStyle name="Milliers 2 3 2 3 5 3 3 2 2" xfId="19559"/>
    <cellStyle name="Milliers 2 3 2 3 5 3 3 3" xfId="19560"/>
    <cellStyle name="Milliers 2 3 2 3 5 3 4" xfId="19561"/>
    <cellStyle name="Milliers 2 3 2 3 5 3 4 2" xfId="19562"/>
    <cellStyle name="Milliers 2 3 2 3 5 3 5" xfId="19563"/>
    <cellStyle name="Milliers 2 3 2 3 5 4" xfId="19564"/>
    <cellStyle name="Milliers 2 3 2 3 5 4 2" xfId="19565"/>
    <cellStyle name="Milliers 2 3 2 3 5 4 2 2" xfId="19566"/>
    <cellStyle name="Milliers 2 3 2 3 5 4 2 2 2" xfId="19567"/>
    <cellStyle name="Milliers 2 3 2 3 5 4 2 3" xfId="19568"/>
    <cellStyle name="Milliers 2 3 2 3 5 4 3" xfId="19569"/>
    <cellStyle name="Milliers 2 3 2 3 5 4 3 2" xfId="19570"/>
    <cellStyle name="Milliers 2 3 2 3 5 4 4" xfId="19571"/>
    <cellStyle name="Milliers 2 3 2 3 5 5" xfId="19572"/>
    <cellStyle name="Milliers 2 3 2 3 5 5 2" xfId="19573"/>
    <cellStyle name="Milliers 2 3 2 3 5 5 2 2" xfId="19574"/>
    <cellStyle name="Milliers 2 3 2 3 5 5 3" xfId="19575"/>
    <cellStyle name="Milliers 2 3 2 3 5 6" xfId="19576"/>
    <cellStyle name="Milliers 2 3 2 3 5 6 2" xfId="19577"/>
    <cellStyle name="Milliers 2 3 2 3 5 7" xfId="19578"/>
    <cellStyle name="Milliers 2 3 2 3 6" xfId="19579"/>
    <cellStyle name="Milliers 2 3 2 3 6 2" xfId="19580"/>
    <cellStyle name="Milliers 2 3 2 3 6 2 2" xfId="19581"/>
    <cellStyle name="Milliers 2 3 2 3 6 2 2 2" xfId="19582"/>
    <cellStyle name="Milliers 2 3 2 3 6 2 2 2 2" xfId="19583"/>
    <cellStyle name="Milliers 2 3 2 3 6 2 2 2 2 2" xfId="19584"/>
    <cellStyle name="Milliers 2 3 2 3 6 2 2 2 3" xfId="19585"/>
    <cellStyle name="Milliers 2 3 2 3 6 2 2 3" xfId="19586"/>
    <cellStyle name="Milliers 2 3 2 3 6 2 2 3 2" xfId="19587"/>
    <cellStyle name="Milliers 2 3 2 3 6 2 2 4" xfId="19588"/>
    <cellStyle name="Milliers 2 3 2 3 6 2 3" xfId="19589"/>
    <cellStyle name="Milliers 2 3 2 3 6 2 3 2" xfId="19590"/>
    <cellStyle name="Milliers 2 3 2 3 6 2 3 2 2" xfId="19591"/>
    <cellStyle name="Milliers 2 3 2 3 6 2 3 3" xfId="19592"/>
    <cellStyle name="Milliers 2 3 2 3 6 2 4" xfId="19593"/>
    <cellStyle name="Milliers 2 3 2 3 6 2 4 2" xfId="19594"/>
    <cellStyle name="Milliers 2 3 2 3 6 2 5" xfId="19595"/>
    <cellStyle name="Milliers 2 3 2 3 6 3" xfId="19596"/>
    <cellStyle name="Milliers 2 3 2 3 6 3 2" xfId="19597"/>
    <cellStyle name="Milliers 2 3 2 3 6 3 2 2" xfId="19598"/>
    <cellStyle name="Milliers 2 3 2 3 6 3 2 2 2" xfId="19599"/>
    <cellStyle name="Milliers 2 3 2 3 6 3 2 3" xfId="19600"/>
    <cellStyle name="Milliers 2 3 2 3 6 3 3" xfId="19601"/>
    <cellStyle name="Milliers 2 3 2 3 6 3 3 2" xfId="19602"/>
    <cellStyle name="Milliers 2 3 2 3 6 3 4" xfId="19603"/>
    <cellStyle name="Milliers 2 3 2 3 6 4" xfId="19604"/>
    <cellStyle name="Milliers 2 3 2 3 6 4 2" xfId="19605"/>
    <cellStyle name="Milliers 2 3 2 3 6 4 2 2" xfId="19606"/>
    <cellStyle name="Milliers 2 3 2 3 6 4 3" xfId="19607"/>
    <cellStyle name="Milliers 2 3 2 3 6 5" xfId="19608"/>
    <cellStyle name="Milliers 2 3 2 3 6 5 2" xfId="19609"/>
    <cellStyle name="Milliers 2 3 2 3 6 6" xfId="19610"/>
    <cellStyle name="Milliers 2 3 2 3 7" xfId="19611"/>
    <cellStyle name="Milliers 2 3 2 3 7 2" xfId="19612"/>
    <cellStyle name="Milliers 2 3 2 3 7 2 2" xfId="19613"/>
    <cellStyle name="Milliers 2 3 2 3 7 2 2 2" xfId="19614"/>
    <cellStyle name="Milliers 2 3 2 3 7 2 2 2 2" xfId="19615"/>
    <cellStyle name="Milliers 2 3 2 3 7 2 2 3" xfId="19616"/>
    <cellStyle name="Milliers 2 3 2 3 7 2 3" xfId="19617"/>
    <cellStyle name="Milliers 2 3 2 3 7 2 3 2" xfId="19618"/>
    <cellStyle name="Milliers 2 3 2 3 7 2 4" xfId="19619"/>
    <cellStyle name="Milliers 2 3 2 3 7 3" xfId="19620"/>
    <cellStyle name="Milliers 2 3 2 3 7 3 2" xfId="19621"/>
    <cellStyle name="Milliers 2 3 2 3 7 3 2 2" xfId="19622"/>
    <cellStyle name="Milliers 2 3 2 3 7 3 3" xfId="19623"/>
    <cellStyle name="Milliers 2 3 2 3 7 4" xfId="19624"/>
    <cellStyle name="Milliers 2 3 2 3 7 4 2" xfId="19625"/>
    <cellStyle name="Milliers 2 3 2 3 7 5" xfId="19626"/>
    <cellStyle name="Milliers 2 3 2 3 8" xfId="19627"/>
    <cellStyle name="Milliers 2 3 2 3 8 2" xfId="19628"/>
    <cellStyle name="Milliers 2 3 2 3 8 2 2" xfId="19629"/>
    <cellStyle name="Milliers 2 3 2 3 8 2 2 2" xfId="19630"/>
    <cellStyle name="Milliers 2 3 2 3 8 2 3" xfId="19631"/>
    <cellStyle name="Milliers 2 3 2 3 8 3" xfId="19632"/>
    <cellStyle name="Milliers 2 3 2 3 8 3 2" xfId="19633"/>
    <cellStyle name="Milliers 2 3 2 3 8 4" xfId="19634"/>
    <cellStyle name="Milliers 2 3 2 3 9" xfId="19635"/>
    <cellStyle name="Milliers 2 3 2 3 9 2" xfId="19636"/>
    <cellStyle name="Milliers 2 3 2 3 9 2 2" xfId="19637"/>
    <cellStyle name="Milliers 2 3 2 3 9 3" xfId="19638"/>
    <cellStyle name="Milliers 2 3 2 4" xfId="19639"/>
    <cellStyle name="Milliers 2 3 2 4 10" xfId="19640"/>
    <cellStyle name="Milliers 2 3 2 4 2" xfId="19641"/>
    <cellStyle name="Milliers 2 3 2 4 2 2" xfId="19642"/>
    <cellStyle name="Milliers 2 3 2 4 2 2 2" xfId="19643"/>
    <cellStyle name="Milliers 2 3 2 4 2 2 2 2" xfId="19644"/>
    <cellStyle name="Milliers 2 3 2 4 2 2 2 2 2" xfId="19645"/>
    <cellStyle name="Milliers 2 3 2 4 2 2 2 2 2 2" xfId="19646"/>
    <cellStyle name="Milliers 2 3 2 4 2 2 2 2 2 2 2" xfId="19647"/>
    <cellStyle name="Milliers 2 3 2 4 2 2 2 2 2 2 2 2" xfId="19648"/>
    <cellStyle name="Milliers 2 3 2 4 2 2 2 2 2 2 2 2 2" xfId="19649"/>
    <cellStyle name="Milliers 2 3 2 4 2 2 2 2 2 2 2 3" xfId="19650"/>
    <cellStyle name="Milliers 2 3 2 4 2 2 2 2 2 2 3" xfId="19651"/>
    <cellStyle name="Milliers 2 3 2 4 2 2 2 2 2 2 3 2" xfId="19652"/>
    <cellStyle name="Milliers 2 3 2 4 2 2 2 2 2 2 4" xfId="19653"/>
    <cellStyle name="Milliers 2 3 2 4 2 2 2 2 2 3" xfId="19654"/>
    <cellStyle name="Milliers 2 3 2 4 2 2 2 2 2 3 2" xfId="19655"/>
    <cellStyle name="Milliers 2 3 2 4 2 2 2 2 2 3 2 2" xfId="19656"/>
    <cellStyle name="Milliers 2 3 2 4 2 2 2 2 2 3 3" xfId="19657"/>
    <cellStyle name="Milliers 2 3 2 4 2 2 2 2 2 4" xfId="19658"/>
    <cellStyle name="Milliers 2 3 2 4 2 2 2 2 2 4 2" xfId="19659"/>
    <cellStyle name="Milliers 2 3 2 4 2 2 2 2 2 5" xfId="19660"/>
    <cellStyle name="Milliers 2 3 2 4 2 2 2 2 3" xfId="19661"/>
    <cellStyle name="Milliers 2 3 2 4 2 2 2 2 3 2" xfId="19662"/>
    <cellStyle name="Milliers 2 3 2 4 2 2 2 2 3 2 2" xfId="19663"/>
    <cellStyle name="Milliers 2 3 2 4 2 2 2 2 3 2 2 2" xfId="19664"/>
    <cellStyle name="Milliers 2 3 2 4 2 2 2 2 3 2 3" xfId="19665"/>
    <cellStyle name="Milliers 2 3 2 4 2 2 2 2 3 3" xfId="19666"/>
    <cellStyle name="Milliers 2 3 2 4 2 2 2 2 3 3 2" xfId="19667"/>
    <cellStyle name="Milliers 2 3 2 4 2 2 2 2 3 4" xfId="19668"/>
    <cellStyle name="Milliers 2 3 2 4 2 2 2 2 4" xfId="19669"/>
    <cellStyle name="Milliers 2 3 2 4 2 2 2 2 4 2" xfId="19670"/>
    <cellStyle name="Milliers 2 3 2 4 2 2 2 2 4 2 2" xfId="19671"/>
    <cellStyle name="Milliers 2 3 2 4 2 2 2 2 4 3" xfId="19672"/>
    <cellStyle name="Milliers 2 3 2 4 2 2 2 2 5" xfId="19673"/>
    <cellStyle name="Milliers 2 3 2 4 2 2 2 2 5 2" xfId="19674"/>
    <cellStyle name="Milliers 2 3 2 4 2 2 2 2 6" xfId="19675"/>
    <cellStyle name="Milliers 2 3 2 4 2 2 2 3" xfId="19676"/>
    <cellStyle name="Milliers 2 3 2 4 2 2 2 3 2" xfId="19677"/>
    <cellStyle name="Milliers 2 3 2 4 2 2 2 3 2 2" xfId="19678"/>
    <cellStyle name="Milliers 2 3 2 4 2 2 2 3 2 2 2" xfId="19679"/>
    <cellStyle name="Milliers 2 3 2 4 2 2 2 3 2 2 2 2" xfId="19680"/>
    <cellStyle name="Milliers 2 3 2 4 2 2 2 3 2 2 3" xfId="19681"/>
    <cellStyle name="Milliers 2 3 2 4 2 2 2 3 2 3" xfId="19682"/>
    <cellStyle name="Milliers 2 3 2 4 2 2 2 3 2 3 2" xfId="19683"/>
    <cellStyle name="Milliers 2 3 2 4 2 2 2 3 2 4" xfId="19684"/>
    <cellStyle name="Milliers 2 3 2 4 2 2 2 3 3" xfId="19685"/>
    <cellStyle name="Milliers 2 3 2 4 2 2 2 3 3 2" xfId="19686"/>
    <cellStyle name="Milliers 2 3 2 4 2 2 2 3 3 2 2" xfId="19687"/>
    <cellStyle name="Milliers 2 3 2 4 2 2 2 3 3 3" xfId="19688"/>
    <cellStyle name="Milliers 2 3 2 4 2 2 2 3 4" xfId="19689"/>
    <cellStyle name="Milliers 2 3 2 4 2 2 2 3 4 2" xfId="19690"/>
    <cellStyle name="Milliers 2 3 2 4 2 2 2 3 5" xfId="19691"/>
    <cellStyle name="Milliers 2 3 2 4 2 2 2 4" xfId="19692"/>
    <cellStyle name="Milliers 2 3 2 4 2 2 2 4 2" xfId="19693"/>
    <cellStyle name="Milliers 2 3 2 4 2 2 2 4 2 2" xfId="19694"/>
    <cellStyle name="Milliers 2 3 2 4 2 2 2 4 2 2 2" xfId="19695"/>
    <cellStyle name="Milliers 2 3 2 4 2 2 2 4 2 3" xfId="19696"/>
    <cellStyle name="Milliers 2 3 2 4 2 2 2 4 3" xfId="19697"/>
    <cellStyle name="Milliers 2 3 2 4 2 2 2 4 3 2" xfId="19698"/>
    <cellStyle name="Milliers 2 3 2 4 2 2 2 4 4" xfId="19699"/>
    <cellStyle name="Milliers 2 3 2 4 2 2 2 5" xfId="19700"/>
    <cellStyle name="Milliers 2 3 2 4 2 2 2 5 2" xfId="19701"/>
    <cellStyle name="Milliers 2 3 2 4 2 2 2 5 2 2" xfId="19702"/>
    <cellStyle name="Milliers 2 3 2 4 2 2 2 5 3" xfId="19703"/>
    <cellStyle name="Milliers 2 3 2 4 2 2 2 6" xfId="19704"/>
    <cellStyle name="Milliers 2 3 2 4 2 2 2 6 2" xfId="19705"/>
    <cellStyle name="Milliers 2 3 2 4 2 2 2 7" xfId="19706"/>
    <cellStyle name="Milliers 2 3 2 4 2 2 3" xfId="19707"/>
    <cellStyle name="Milliers 2 3 2 4 2 2 3 2" xfId="19708"/>
    <cellStyle name="Milliers 2 3 2 4 2 2 3 2 2" xfId="19709"/>
    <cellStyle name="Milliers 2 3 2 4 2 2 3 2 2 2" xfId="19710"/>
    <cellStyle name="Milliers 2 3 2 4 2 2 3 2 2 2 2" xfId="19711"/>
    <cellStyle name="Milliers 2 3 2 4 2 2 3 2 2 2 2 2" xfId="19712"/>
    <cellStyle name="Milliers 2 3 2 4 2 2 3 2 2 2 3" xfId="19713"/>
    <cellStyle name="Milliers 2 3 2 4 2 2 3 2 2 3" xfId="19714"/>
    <cellStyle name="Milliers 2 3 2 4 2 2 3 2 2 3 2" xfId="19715"/>
    <cellStyle name="Milliers 2 3 2 4 2 2 3 2 2 4" xfId="19716"/>
    <cellStyle name="Milliers 2 3 2 4 2 2 3 2 3" xfId="19717"/>
    <cellStyle name="Milliers 2 3 2 4 2 2 3 2 3 2" xfId="19718"/>
    <cellStyle name="Milliers 2 3 2 4 2 2 3 2 3 2 2" xfId="19719"/>
    <cellStyle name="Milliers 2 3 2 4 2 2 3 2 3 3" xfId="19720"/>
    <cellStyle name="Milliers 2 3 2 4 2 2 3 2 4" xfId="19721"/>
    <cellStyle name="Milliers 2 3 2 4 2 2 3 2 4 2" xfId="19722"/>
    <cellStyle name="Milliers 2 3 2 4 2 2 3 2 5" xfId="19723"/>
    <cellStyle name="Milliers 2 3 2 4 2 2 3 3" xfId="19724"/>
    <cellStyle name="Milliers 2 3 2 4 2 2 3 3 2" xfId="19725"/>
    <cellStyle name="Milliers 2 3 2 4 2 2 3 3 2 2" xfId="19726"/>
    <cellStyle name="Milliers 2 3 2 4 2 2 3 3 2 2 2" xfId="19727"/>
    <cellStyle name="Milliers 2 3 2 4 2 2 3 3 2 3" xfId="19728"/>
    <cellStyle name="Milliers 2 3 2 4 2 2 3 3 3" xfId="19729"/>
    <cellStyle name="Milliers 2 3 2 4 2 2 3 3 3 2" xfId="19730"/>
    <cellStyle name="Milliers 2 3 2 4 2 2 3 3 4" xfId="19731"/>
    <cellStyle name="Milliers 2 3 2 4 2 2 3 4" xfId="19732"/>
    <cellStyle name="Milliers 2 3 2 4 2 2 3 4 2" xfId="19733"/>
    <cellStyle name="Milliers 2 3 2 4 2 2 3 4 2 2" xfId="19734"/>
    <cellStyle name="Milliers 2 3 2 4 2 2 3 4 3" xfId="19735"/>
    <cellStyle name="Milliers 2 3 2 4 2 2 3 5" xfId="19736"/>
    <cellStyle name="Milliers 2 3 2 4 2 2 3 5 2" xfId="19737"/>
    <cellStyle name="Milliers 2 3 2 4 2 2 3 6" xfId="19738"/>
    <cellStyle name="Milliers 2 3 2 4 2 2 4" xfId="19739"/>
    <cellStyle name="Milliers 2 3 2 4 2 2 4 2" xfId="19740"/>
    <cellStyle name="Milliers 2 3 2 4 2 2 4 2 2" xfId="19741"/>
    <cellStyle name="Milliers 2 3 2 4 2 2 4 2 2 2" xfId="19742"/>
    <cellStyle name="Milliers 2 3 2 4 2 2 4 2 2 2 2" xfId="19743"/>
    <cellStyle name="Milliers 2 3 2 4 2 2 4 2 2 3" xfId="19744"/>
    <cellStyle name="Milliers 2 3 2 4 2 2 4 2 3" xfId="19745"/>
    <cellStyle name="Milliers 2 3 2 4 2 2 4 2 3 2" xfId="19746"/>
    <cellStyle name="Milliers 2 3 2 4 2 2 4 2 4" xfId="19747"/>
    <cellStyle name="Milliers 2 3 2 4 2 2 4 3" xfId="19748"/>
    <cellStyle name="Milliers 2 3 2 4 2 2 4 3 2" xfId="19749"/>
    <cellStyle name="Milliers 2 3 2 4 2 2 4 3 2 2" xfId="19750"/>
    <cellStyle name="Milliers 2 3 2 4 2 2 4 3 3" xfId="19751"/>
    <cellStyle name="Milliers 2 3 2 4 2 2 4 4" xfId="19752"/>
    <cellStyle name="Milliers 2 3 2 4 2 2 4 4 2" xfId="19753"/>
    <cellStyle name="Milliers 2 3 2 4 2 2 4 5" xfId="19754"/>
    <cellStyle name="Milliers 2 3 2 4 2 2 5" xfId="19755"/>
    <cellStyle name="Milliers 2 3 2 4 2 2 5 2" xfId="19756"/>
    <cellStyle name="Milliers 2 3 2 4 2 2 5 2 2" xfId="19757"/>
    <cellStyle name="Milliers 2 3 2 4 2 2 5 2 2 2" xfId="19758"/>
    <cellStyle name="Milliers 2 3 2 4 2 2 5 2 3" xfId="19759"/>
    <cellStyle name="Milliers 2 3 2 4 2 2 5 3" xfId="19760"/>
    <cellStyle name="Milliers 2 3 2 4 2 2 5 3 2" xfId="19761"/>
    <cellStyle name="Milliers 2 3 2 4 2 2 5 4" xfId="19762"/>
    <cellStyle name="Milliers 2 3 2 4 2 2 6" xfId="19763"/>
    <cellStyle name="Milliers 2 3 2 4 2 2 6 2" xfId="19764"/>
    <cellStyle name="Milliers 2 3 2 4 2 2 6 2 2" xfId="19765"/>
    <cellStyle name="Milliers 2 3 2 4 2 2 6 3" xfId="19766"/>
    <cellStyle name="Milliers 2 3 2 4 2 2 7" xfId="19767"/>
    <cellStyle name="Milliers 2 3 2 4 2 2 7 2" xfId="19768"/>
    <cellStyle name="Milliers 2 3 2 4 2 2 8" xfId="19769"/>
    <cellStyle name="Milliers 2 3 2 4 2 3" xfId="19770"/>
    <cellStyle name="Milliers 2 3 2 4 2 3 2" xfId="19771"/>
    <cellStyle name="Milliers 2 3 2 4 2 3 2 2" xfId="19772"/>
    <cellStyle name="Milliers 2 3 2 4 2 3 2 2 2" xfId="19773"/>
    <cellStyle name="Milliers 2 3 2 4 2 3 2 2 2 2" xfId="19774"/>
    <cellStyle name="Milliers 2 3 2 4 2 3 2 2 2 2 2" xfId="19775"/>
    <cellStyle name="Milliers 2 3 2 4 2 3 2 2 2 2 2 2" xfId="19776"/>
    <cellStyle name="Milliers 2 3 2 4 2 3 2 2 2 2 3" xfId="19777"/>
    <cellStyle name="Milliers 2 3 2 4 2 3 2 2 2 3" xfId="19778"/>
    <cellStyle name="Milliers 2 3 2 4 2 3 2 2 2 3 2" xfId="19779"/>
    <cellStyle name="Milliers 2 3 2 4 2 3 2 2 2 4" xfId="19780"/>
    <cellStyle name="Milliers 2 3 2 4 2 3 2 2 3" xfId="19781"/>
    <cellStyle name="Milliers 2 3 2 4 2 3 2 2 3 2" xfId="19782"/>
    <cellStyle name="Milliers 2 3 2 4 2 3 2 2 3 2 2" xfId="19783"/>
    <cellStyle name="Milliers 2 3 2 4 2 3 2 2 3 3" xfId="19784"/>
    <cellStyle name="Milliers 2 3 2 4 2 3 2 2 4" xfId="19785"/>
    <cellStyle name="Milliers 2 3 2 4 2 3 2 2 4 2" xfId="19786"/>
    <cellStyle name="Milliers 2 3 2 4 2 3 2 2 5" xfId="19787"/>
    <cellStyle name="Milliers 2 3 2 4 2 3 2 3" xfId="19788"/>
    <cellStyle name="Milliers 2 3 2 4 2 3 2 3 2" xfId="19789"/>
    <cellStyle name="Milliers 2 3 2 4 2 3 2 3 2 2" xfId="19790"/>
    <cellStyle name="Milliers 2 3 2 4 2 3 2 3 2 2 2" xfId="19791"/>
    <cellStyle name="Milliers 2 3 2 4 2 3 2 3 2 3" xfId="19792"/>
    <cellStyle name="Milliers 2 3 2 4 2 3 2 3 3" xfId="19793"/>
    <cellStyle name="Milliers 2 3 2 4 2 3 2 3 3 2" xfId="19794"/>
    <cellStyle name="Milliers 2 3 2 4 2 3 2 3 4" xfId="19795"/>
    <cellStyle name="Milliers 2 3 2 4 2 3 2 4" xfId="19796"/>
    <cellStyle name="Milliers 2 3 2 4 2 3 2 4 2" xfId="19797"/>
    <cellStyle name="Milliers 2 3 2 4 2 3 2 4 2 2" xfId="19798"/>
    <cellStyle name="Milliers 2 3 2 4 2 3 2 4 3" xfId="19799"/>
    <cellStyle name="Milliers 2 3 2 4 2 3 2 5" xfId="19800"/>
    <cellStyle name="Milliers 2 3 2 4 2 3 2 5 2" xfId="19801"/>
    <cellStyle name="Milliers 2 3 2 4 2 3 2 6" xfId="19802"/>
    <cellStyle name="Milliers 2 3 2 4 2 3 3" xfId="19803"/>
    <cellStyle name="Milliers 2 3 2 4 2 3 3 2" xfId="19804"/>
    <cellStyle name="Milliers 2 3 2 4 2 3 3 2 2" xfId="19805"/>
    <cellStyle name="Milliers 2 3 2 4 2 3 3 2 2 2" xfId="19806"/>
    <cellStyle name="Milliers 2 3 2 4 2 3 3 2 2 2 2" xfId="19807"/>
    <cellStyle name="Milliers 2 3 2 4 2 3 3 2 2 3" xfId="19808"/>
    <cellStyle name="Milliers 2 3 2 4 2 3 3 2 3" xfId="19809"/>
    <cellStyle name="Milliers 2 3 2 4 2 3 3 2 3 2" xfId="19810"/>
    <cellStyle name="Milliers 2 3 2 4 2 3 3 2 4" xfId="19811"/>
    <cellStyle name="Milliers 2 3 2 4 2 3 3 3" xfId="19812"/>
    <cellStyle name="Milliers 2 3 2 4 2 3 3 3 2" xfId="19813"/>
    <cellStyle name="Milliers 2 3 2 4 2 3 3 3 2 2" xfId="19814"/>
    <cellStyle name="Milliers 2 3 2 4 2 3 3 3 3" xfId="19815"/>
    <cellStyle name="Milliers 2 3 2 4 2 3 3 4" xfId="19816"/>
    <cellStyle name="Milliers 2 3 2 4 2 3 3 4 2" xfId="19817"/>
    <cellStyle name="Milliers 2 3 2 4 2 3 3 5" xfId="19818"/>
    <cellStyle name="Milliers 2 3 2 4 2 3 4" xfId="19819"/>
    <cellStyle name="Milliers 2 3 2 4 2 3 4 2" xfId="19820"/>
    <cellStyle name="Milliers 2 3 2 4 2 3 4 2 2" xfId="19821"/>
    <cellStyle name="Milliers 2 3 2 4 2 3 4 2 2 2" xfId="19822"/>
    <cellStyle name="Milliers 2 3 2 4 2 3 4 2 3" xfId="19823"/>
    <cellStyle name="Milliers 2 3 2 4 2 3 4 3" xfId="19824"/>
    <cellStyle name="Milliers 2 3 2 4 2 3 4 3 2" xfId="19825"/>
    <cellStyle name="Milliers 2 3 2 4 2 3 4 4" xfId="19826"/>
    <cellStyle name="Milliers 2 3 2 4 2 3 5" xfId="19827"/>
    <cellStyle name="Milliers 2 3 2 4 2 3 5 2" xfId="19828"/>
    <cellStyle name="Milliers 2 3 2 4 2 3 5 2 2" xfId="19829"/>
    <cellStyle name="Milliers 2 3 2 4 2 3 5 3" xfId="19830"/>
    <cellStyle name="Milliers 2 3 2 4 2 3 6" xfId="19831"/>
    <cellStyle name="Milliers 2 3 2 4 2 3 6 2" xfId="19832"/>
    <cellStyle name="Milliers 2 3 2 4 2 3 7" xfId="19833"/>
    <cellStyle name="Milliers 2 3 2 4 2 4" xfId="19834"/>
    <cellStyle name="Milliers 2 3 2 4 2 4 2" xfId="19835"/>
    <cellStyle name="Milliers 2 3 2 4 2 4 2 2" xfId="19836"/>
    <cellStyle name="Milliers 2 3 2 4 2 4 2 2 2" xfId="19837"/>
    <cellStyle name="Milliers 2 3 2 4 2 4 2 2 2 2" xfId="19838"/>
    <cellStyle name="Milliers 2 3 2 4 2 4 2 2 2 2 2" xfId="19839"/>
    <cellStyle name="Milliers 2 3 2 4 2 4 2 2 2 3" xfId="19840"/>
    <cellStyle name="Milliers 2 3 2 4 2 4 2 2 3" xfId="19841"/>
    <cellStyle name="Milliers 2 3 2 4 2 4 2 2 3 2" xfId="19842"/>
    <cellStyle name="Milliers 2 3 2 4 2 4 2 2 4" xfId="19843"/>
    <cellStyle name="Milliers 2 3 2 4 2 4 2 3" xfId="19844"/>
    <cellStyle name="Milliers 2 3 2 4 2 4 2 3 2" xfId="19845"/>
    <cellStyle name="Milliers 2 3 2 4 2 4 2 3 2 2" xfId="19846"/>
    <cellStyle name="Milliers 2 3 2 4 2 4 2 3 3" xfId="19847"/>
    <cellStyle name="Milliers 2 3 2 4 2 4 2 4" xfId="19848"/>
    <cellStyle name="Milliers 2 3 2 4 2 4 2 4 2" xfId="19849"/>
    <cellStyle name="Milliers 2 3 2 4 2 4 2 5" xfId="19850"/>
    <cellStyle name="Milliers 2 3 2 4 2 4 3" xfId="19851"/>
    <cellStyle name="Milliers 2 3 2 4 2 4 3 2" xfId="19852"/>
    <cellStyle name="Milliers 2 3 2 4 2 4 3 2 2" xfId="19853"/>
    <cellStyle name="Milliers 2 3 2 4 2 4 3 2 2 2" xfId="19854"/>
    <cellStyle name="Milliers 2 3 2 4 2 4 3 2 3" xfId="19855"/>
    <cellStyle name="Milliers 2 3 2 4 2 4 3 3" xfId="19856"/>
    <cellStyle name="Milliers 2 3 2 4 2 4 3 3 2" xfId="19857"/>
    <cellStyle name="Milliers 2 3 2 4 2 4 3 4" xfId="19858"/>
    <cellStyle name="Milliers 2 3 2 4 2 4 4" xfId="19859"/>
    <cellStyle name="Milliers 2 3 2 4 2 4 4 2" xfId="19860"/>
    <cellStyle name="Milliers 2 3 2 4 2 4 4 2 2" xfId="19861"/>
    <cellStyle name="Milliers 2 3 2 4 2 4 4 3" xfId="19862"/>
    <cellStyle name="Milliers 2 3 2 4 2 4 5" xfId="19863"/>
    <cellStyle name="Milliers 2 3 2 4 2 4 5 2" xfId="19864"/>
    <cellStyle name="Milliers 2 3 2 4 2 4 6" xfId="19865"/>
    <cellStyle name="Milliers 2 3 2 4 2 5" xfId="19866"/>
    <cellStyle name="Milliers 2 3 2 4 2 5 2" xfId="19867"/>
    <cellStyle name="Milliers 2 3 2 4 2 5 2 2" xfId="19868"/>
    <cellStyle name="Milliers 2 3 2 4 2 5 2 2 2" xfId="19869"/>
    <cellStyle name="Milliers 2 3 2 4 2 5 2 2 2 2" xfId="19870"/>
    <cellStyle name="Milliers 2 3 2 4 2 5 2 2 3" xfId="19871"/>
    <cellStyle name="Milliers 2 3 2 4 2 5 2 3" xfId="19872"/>
    <cellStyle name="Milliers 2 3 2 4 2 5 2 3 2" xfId="19873"/>
    <cellStyle name="Milliers 2 3 2 4 2 5 2 4" xfId="19874"/>
    <cellStyle name="Milliers 2 3 2 4 2 5 3" xfId="19875"/>
    <cellStyle name="Milliers 2 3 2 4 2 5 3 2" xfId="19876"/>
    <cellStyle name="Milliers 2 3 2 4 2 5 3 2 2" xfId="19877"/>
    <cellStyle name="Milliers 2 3 2 4 2 5 3 3" xfId="19878"/>
    <cellStyle name="Milliers 2 3 2 4 2 5 4" xfId="19879"/>
    <cellStyle name="Milliers 2 3 2 4 2 5 4 2" xfId="19880"/>
    <cellStyle name="Milliers 2 3 2 4 2 5 5" xfId="19881"/>
    <cellStyle name="Milliers 2 3 2 4 2 6" xfId="19882"/>
    <cellStyle name="Milliers 2 3 2 4 2 6 2" xfId="19883"/>
    <cellStyle name="Milliers 2 3 2 4 2 6 2 2" xfId="19884"/>
    <cellStyle name="Milliers 2 3 2 4 2 6 2 2 2" xfId="19885"/>
    <cellStyle name="Milliers 2 3 2 4 2 6 2 3" xfId="19886"/>
    <cellStyle name="Milliers 2 3 2 4 2 6 3" xfId="19887"/>
    <cellStyle name="Milliers 2 3 2 4 2 6 3 2" xfId="19888"/>
    <cellStyle name="Milliers 2 3 2 4 2 6 4" xfId="19889"/>
    <cellStyle name="Milliers 2 3 2 4 2 7" xfId="19890"/>
    <cellStyle name="Milliers 2 3 2 4 2 7 2" xfId="19891"/>
    <cellStyle name="Milliers 2 3 2 4 2 7 2 2" xfId="19892"/>
    <cellStyle name="Milliers 2 3 2 4 2 7 3" xfId="19893"/>
    <cellStyle name="Milliers 2 3 2 4 2 8" xfId="19894"/>
    <cellStyle name="Milliers 2 3 2 4 2 8 2" xfId="19895"/>
    <cellStyle name="Milliers 2 3 2 4 2 9" xfId="19896"/>
    <cellStyle name="Milliers 2 3 2 4 3" xfId="19897"/>
    <cellStyle name="Milliers 2 3 2 4 3 2" xfId="19898"/>
    <cellStyle name="Milliers 2 3 2 4 3 2 2" xfId="19899"/>
    <cellStyle name="Milliers 2 3 2 4 3 2 2 2" xfId="19900"/>
    <cellStyle name="Milliers 2 3 2 4 3 2 2 2 2" xfId="19901"/>
    <cellStyle name="Milliers 2 3 2 4 3 2 2 2 2 2" xfId="19902"/>
    <cellStyle name="Milliers 2 3 2 4 3 2 2 2 2 2 2" xfId="19903"/>
    <cellStyle name="Milliers 2 3 2 4 3 2 2 2 2 2 2 2" xfId="19904"/>
    <cellStyle name="Milliers 2 3 2 4 3 2 2 2 2 2 3" xfId="19905"/>
    <cellStyle name="Milliers 2 3 2 4 3 2 2 2 2 3" xfId="19906"/>
    <cellStyle name="Milliers 2 3 2 4 3 2 2 2 2 3 2" xfId="19907"/>
    <cellStyle name="Milliers 2 3 2 4 3 2 2 2 2 4" xfId="19908"/>
    <cellStyle name="Milliers 2 3 2 4 3 2 2 2 3" xfId="19909"/>
    <cellStyle name="Milliers 2 3 2 4 3 2 2 2 3 2" xfId="19910"/>
    <cellStyle name="Milliers 2 3 2 4 3 2 2 2 3 2 2" xfId="19911"/>
    <cellStyle name="Milliers 2 3 2 4 3 2 2 2 3 3" xfId="19912"/>
    <cellStyle name="Milliers 2 3 2 4 3 2 2 2 4" xfId="19913"/>
    <cellStyle name="Milliers 2 3 2 4 3 2 2 2 4 2" xfId="19914"/>
    <cellStyle name="Milliers 2 3 2 4 3 2 2 2 5" xfId="19915"/>
    <cellStyle name="Milliers 2 3 2 4 3 2 2 3" xfId="19916"/>
    <cellStyle name="Milliers 2 3 2 4 3 2 2 3 2" xfId="19917"/>
    <cellStyle name="Milliers 2 3 2 4 3 2 2 3 2 2" xfId="19918"/>
    <cellStyle name="Milliers 2 3 2 4 3 2 2 3 2 2 2" xfId="19919"/>
    <cellStyle name="Milliers 2 3 2 4 3 2 2 3 2 3" xfId="19920"/>
    <cellStyle name="Milliers 2 3 2 4 3 2 2 3 3" xfId="19921"/>
    <cellStyle name="Milliers 2 3 2 4 3 2 2 3 3 2" xfId="19922"/>
    <cellStyle name="Milliers 2 3 2 4 3 2 2 3 4" xfId="19923"/>
    <cellStyle name="Milliers 2 3 2 4 3 2 2 4" xfId="19924"/>
    <cellStyle name="Milliers 2 3 2 4 3 2 2 4 2" xfId="19925"/>
    <cellStyle name="Milliers 2 3 2 4 3 2 2 4 2 2" xfId="19926"/>
    <cellStyle name="Milliers 2 3 2 4 3 2 2 4 3" xfId="19927"/>
    <cellStyle name="Milliers 2 3 2 4 3 2 2 5" xfId="19928"/>
    <cellStyle name="Milliers 2 3 2 4 3 2 2 5 2" xfId="19929"/>
    <cellStyle name="Milliers 2 3 2 4 3 2 2 6" xfId="19930"/>
    <cellStyle name="Milliers 2 3 2 4 3 2 3" xfId="19931"/>
    <cellStyle name="Milliers 2 3 2 4 3 2 3 2" xfId="19932"/>
    <cellStyle name="Milliers 2 3 2 4 3 2 3 2 2" xfId="19933"/>
    <cellStyle name="Milliers 2 3 2 4 3 2 3 2 2 2" xfId="19934"/>
    <cellStyle name="Milliers 2 3 2 4 3 2 3 2 2 2 2" xfId="19935"/>
    <cellStyle name="Milliers 2 3 2 4 3 2 3 2 2 3" xfId="19936"/>
    <cellStyle name="Milliers 2 3 2 4 3 2 3 2 3" xfId="19937"/>
    <cellStyle name="Milliers 2 3 2 4 3 2 3 2 3 2" xfId="19938"/>
    <cellStyle name="Milliers 2 3 2 4 3 2 3 2 4" xfId="19939"/>
    <cellStyle name="Milliers 2 3 2 4 3 2 3 3" xfId="19940"/>
    <cellStyle name="Milliers 2 3 2 4 3 2 3 3 2" xfId="19941"/>
    <cellStyle name="Milliers 2 3 2 4 3 2 3 3 2 2" xfId="19942"/>
    <cellStyle name="Milliers 2 3 2 4 3 2 3 3 3" xfId="19943"/>
    <cellStyle name="Milliers 2 3 2 4 3 2 3 4" xfId="19944"/>
    <cellStyle name="Milliers 2 3 2 4 3 2 3 4 2" xfId="19945"/>
    <cellStyle name="Milliers 2 3 2 4 3 2 3 5" xfId="19946"/>
    <cellStyle name="Milliers 2 3 2 4 3 2 4" xfId="19947"/>
    <cellStyle name="Milliers 2 3 2 4 3 2 4 2" xfId="19948"/>
    <cellStyle name="Milliers 2 3 2 4 3 2 4 2 2" xfId="19949"/>
    <cellStyle name="Milliers 2 3 2 4 3 2 4 2 2 2" xfId="19950"/>
    <cellStyle name="Milliers 2 3 2 4 3 2 4 2 3" xfId="19951"/>
    <cellStyle name="Milliers 2 3 2 4 3 2 4 3" xfId="19952"/>
    <cellStyle name="Milliers 2 3 2 4 3 2 4 3 2" xfId="19953"/>
    <cellStyle name="Milliers 2 3 2 4 3 2 4 4" xfId="19954"/>
    <cellStyle name="Milliers 2 3 2 4 3 2 5" xfId="19955"/>
    <cellStyle name="Milliers 2 3 2 4 3 2 5 2" xfId="19956"/>
    <cellStyle name="Milliers 2 3 2 4 3 2 5 2 2" xfId="19957"/>
    <cellStyle name="Milliers 2 3 2 4 3 2 5 3" xfId="19958"/>
    <cellStyle name="Milliers 2 3 2 4 3 2 6" xfId="19959"/>
    <cellStyle name="Milliers 2 3 2 4 3 2 6 2" xfId="19960"/>
    <cellStyle name="Milliers 2 3 2 4 3 2 7" xfId="19961"/>
    <cellStyle name="Milliers 2 3 2 4 3 3" xfId="19962"/>
    <cellStyle name="Milliers 2 3 2 4 3 3 2" xfId="19963"/>
    <cellStyle name="Milliers 2 3 2 4 3 3 2 2" xfId="19964"/>
    <cellStyle name="Milliers 2 3 2 4 3 3 2 2 2" xfId="19965"/>
    <cellStyle name="Milliers 2 3 2 4 3 3 2 2 2 2" xfId="19966"/>
    <cellStyle name="Milliers 2 3 2 4 3 3 2 2 2 2 2" xfId="19967"/>
    <cellStyle name="Milliers 2 3 2 4 3 3 2 2 2 3" xfId="19968"/>
    <cellStyle name="Milliers 2 3 2 4 3 3 2 2 3" xfId="19969"/>
    <cellStyle name="Milliers 2 3 2 4 3 3 2 2 3 2" xfId="19970"/>
    <cellStyle name="Milliers 2 3 2 4 3 3 2 2 4" xfId="19971"/>
    <cellStyle name="Milliers 2 3 2 4 3 3 2 3" xfId="19972"/>
    <cellStyle name="Milliers 2 3 2 4 3 3 2 3 2" xfId="19973"/>
    <cellStyle name="Milliers 2 3 2 4 3 3 2 3 2 2" xfId="19974"/>
    <cellStyle name="Milliers 2 3 2 4 3 3 2 3 3" xfId="19975"/>
    <cellStyle name="Milliers 2 3 2 4 3 3 2 4" xfId="19976"/>
    <cellStyle name="Milliers 2 3 2 4 3 3 2 4 2" xfId="19977"/>
    <cellStyle name="Milliers 2 3 2 4 3 3 2 5" xfId="19978"/>
    <cellStyle name="Milliers 2 3 2 4 3 3 3" xfId="19979"/>
    <cellStyle name="Milliers 2 3 2 4 3 3 3 2" xfId="19980"/>
    <cellStyle name="Milliers 2 3 2 4 3 3 3 2 2" xfId="19981"/>
    <cellStyle name="Milliers 2 3 2 4 3 3 3 2 2 2" xfId="19982"/>
    <cellStyle name="Milliers 2 3 2 4 3 3 3 2 3" xfId="19983"/>
    <cellStyle name="Milliers 2 3 2 4 3 3 3 3" xfId="19984"/>
    <cellStyle name="Milliers 2 3 2 4 3 3 3 3 2" xfId="19985"/>
    <cellStyle name="Milliers 2 3 2 4 3 3 3 4" xfId="19986"/>
    <cellStyle name="Milliers 2 3 2 4 3 3 4" xfId="19987"/>
    <cellStyle name="Milliers 2 3 2 4 3 3 4 2" xfId="19988"/>
    <cellStyle name="Milliers 2 3 2 4 3 3 4 2 2" xfId="19989"/>
    <cellStyle name="Milliers 2 3 2 4 3 3 4 3" xfId="19990"/>
    <cellStyle name="Milliers 2 3 2 4 3 3 5" xfId="19991"/>
    <cellStyle name="Milliers 2 3 2 4 3 3 5 2" xfId="19992"/>
    <cellStyle name="Milliers 2 3 2 4 3 3 6" xfId="19993"/>
    <cellStyle name="Milliers 2 3 2 4 3 4" xfId="19994"/>
    <cellStyle name="Milliers 2 3 2 4 3 4 2" xfId="19995"/>
    <cellStyle name="Milliers 2 3 2 4 3 4 2 2" xfId="19996"/>
    <cellStyle name="Milliers 2 3 2 4 3 4 2 2 2" xfId="19997"/>
    <cellStyle name="Milliers 2 3 2 4 3 4 2 2 2 2" xfId="19998"/>
    <cellStyle name="Milliers 2 3 2 4 3 4 2 2 3" xfId="19999"/>
    <cellStyle name="Milliers 2 3 2 4 3 4 2 3" xfId="20000"/>
    <cellStyle name="Milliers 2 3 2 4 3 4 2 3 2" xfId="20001"/>
    <cellStyle name="Milliers 2 3 2 4 3 4 2 4" xfId="20002"/>
    <cellStyle name="Milliers 2 3 2 4 3 4 3" xfId="20003"/>
    <cellStyle name="Milliers 2 3 2 4 3 4 3 2" xfId="20004"/>
    <cellStyle name="Milliers 2 3 2 4 3 4 3 2 2" xfId="20005"/>
    <cellStyle name="Milliers 2 3 2 4 3 4 3 3" xfId="20006"/>
    <cellStyle name="Milliers 2 3 2 4 3 4 4" xfId="20007"/>
    <cellStyle name="Milliers 2 3 2 4 3 4 4 2" xfId="20008"/>
    <cellStyle name="Milliers 2 3 2 4 3 4 5" xfId="20009"/>
    <cellStyle name="Milliers 2 3 2 4 3 5" xfId="20010"/>
    <cellStyle name="Milliers 2 3 2 4 3 5 2" xfId="20011"/>
    <cellStyle name="Milliers 2 3 2 4 3 5 2 2" xfId="20012"/>
    <cellStyle name="Milliers 2 3 2 4 3 5 2 2 2" xfId="20013"/>
    <cellStyle name="Milliers 2 3 2 4 3 5 2 3" xfId="20014"/>
    <cellStyle name="Milliers 2 3 2 4 3 5 3" xfId="20015"/>
    <cellStyle name="Milliers 2 3 2 4 3 5 3 2" xfId="20016"/>
    <cellStyle name="Milliers 2 3 2 4 3 5 4" xfId="20017"/>
    <cellStyle name="Milliers 2 3 2 4 3 6" xfId="20018"/>
    <cellStyle name="Milliers 2 3 2 4 3 6 2" xfId="20019"/>
    <cellStyle name="Milliers 2 3 2 4 3 6 2 2" xfId="20020"/>
    <cellStyle name="Milliers 2 3 2 4 3 6 3" xfId="20021"/>
    <cellStyle name="Milliers 2 3 2 4 3 7" xfId="20022"/>
    <cellStyle name="Milliers 2 3 2 4 3 7 2" xfId="20023"/>
    <cellStyle name="Milliers 2 3 2 4 3 8" xfId="20024"/>
    <cellStyle name="Milliers 2 3 2 4 4" xfId="20025"/>
    <cellStyle name="Milliers 2 3 2 4 4 2" xfId="20026"/>
    <cellStyle name="Milliers 2 3 2 4 4 2 2" xfId="20027"/>
    <cellStyle name="Milliers 2 3 2 4 4 2 2 2" xfId="20028"/>
    <cellStyle name="Milliers 2 3 2 4 4 2 2 2 2" xfId="20029"/>
    <cellStyle name="Milliers 2 3 2 4 4 2 2 2 2 2" xfId="20030"/>
    <cellStyle name="Milliers 2 3 2 4 4 2 2 2 2 2 2" xfId="20031"/>
    <cellStyle name="Milliers 2 3 2 4 4 2 2 2 2 3" xfId="20032"/>
    <cellStyle name="Milliers 2 3 2 4 4 2 2 2 3" xfId="20033"/>
    <cellStyle name="Milliers 2 3 2 4 4 2 2 2 3 2" xfId="20034"/>
    <cellStyle name="Milliers 2 3 2 4 4 2 2 2 4" xfId="20035"/>
    <cellStyle name="Milliers 2 3 2 4 4 2 2 3" xfId="20036"/>
    <cellStyle name="Milliers 2 3 2 4 4 2 2 3 2" xfId="20037"/>
    <cellStyle name="Milliers 2 3 2 4 4 2 2 3 2 2" xfId="20038"/>
    <cellStyle name="Milliers 2 3 2 4 4 2 2 3 3" xfId="20039"/>
    <cellStyle name="Milliers 2 3 2 4 4 2 2 4" xfId="20040"/>
    <cellStyle name="Milliers 2 3 2 4 4 2 2 4 2" xfId="20041"/>
    <cellStyle name="Milliers 2 3 2 4 4 2 2 5" xfId="20042"/>
    <cellStyle name="Milliers 2 3 2 4 4 2 3" xfId="20043"/>
    <cellStyle name="Milliers 2 3 2 4 4 2 3 2" xfId="20044"/>
    <cellStyle name="Milliers 2 3 2 4 4 2 3 2 2" xfId="20045"/>
    <cellStyle name="Milliers 2 3 2 4 4 2 3 2 2 2" xfId="20046"/>
    <cellStyle name="Milliers 2 3 2 4 4 2 3 2 3" xfId="20047"/>
    <cellStyle name="Milliers 2 3 2 4 4 2 3 3" xfId="20048"/>
    <cellStyle name="Milliers 2 3 2 4 4 2 3 3 2" xfId="20049"/>
    <cellStyle name="Milliers 2 3 2 4 4 2 3 4" xfId="20050"/>
    <cellStyle name="Milliers 2 3 2 4 4 2 4" xfId="20051"/>
    <cellStyle name="Milliers 2 3 2 4 4 2 4 2" xfId="20052"/>
    <cellStyle name="Milliers 2 3 2 4 4 2 4 2 2" xfId="20053"/>
    <cellStyle name="Milliers 2 3 2 4 4 2 4 3" xfId="20054"/>
    <cellStyle name="Milliers 2 3 2 4 4 2 5" xfId="20055"/>
    <cellStyle name="Milliers 2 3 2 4 4 2 5 2" xfId="20056"/>
    <cellStyle name="Milliers 2 3 2 4 4 2 6" xfId="20057"/>
    <cellStyle name="Milliers 2 3 2 4 4 3" xfId="20058"/>
    <cellStyle name="Milliers 2 3 2 4 4 3 2" xfId="20059"/>
    <cellStyle name="Milliers 2 3 2 4 4 3 2 2" xfId="20060"/>
    <cellStyle name="Milliers 2 3 2 4 4 3 2 2 2" xfId="20061"/>
    <cellStyle name="Milliers 2 3 2 4 4 3 2 2 2 2" xfId="20062"/>
    <cellStyle name="Milliers 2 3 2 4 4 3 2 2 3" xfId="20063"/>
    <cellStyle name="Milliers 2 3 2 4 4 3 2 3" xfId="20064"/>
    <cellStyle name="Milliers 2 3 2 4 4 3 2 3 2" xfId="20065"/>
    <cellStyle name="Milliers 2 3 2 4 4 3 2 4" xfId="20066"/>
    <cellStyle name="Milliers 2 3 2 4 4 3 3" xfId="20067"/>
    <cellStyle name="Milliers 2 3 2 4 4 3 3 2" xfId="20068"/>
    <cellStyle name="Milliers 2 3 2 4 4 3 3 2 2" xfId="20069"/>
    <cellStyle name="Milliers 2 3 2 4 4 3 3 3" xfId="20070"/>
    <cellStyle name="Milliers 2 3 2 4 4 3 4" xfId="20071"/>
    <cellStyle name="Milliers 2 3 2 4 4 3 4 2" xfId="20072"/>
    <cellStyle name="Milliers 2 3 2 4 4 3 5" xfId="20073"/>
    <cellStyle name="Milliers 2 3 2 4 4 4" xfId="20074"/>
    <cellStyle name="Milliers 2 3 2 4 4 4 2" xfId="20075"/>
    <cellStyle name="Milliers 2 3 2 4 4 4 2 2" xfId="20076"/>
    <cellStyle name="Milliers 2 3 2 4 4 4 2 2 2" xfId="20077"/>
    <cellStyle name="Milliers 2 3 2 4 4 4 2 3" xfId="20078"/>
    <cellStyle name="Milliers 2 3 2 4 4 4 3" xfId="20079"/>
    <cellStyle name="Milliers 2 3 2 4 4 4 3 2" xfId="20080"/>
    <cellStyle name="Milliers 2 3 2 4 4 4 4" xfId="20081"/>
    <cellStyle name="Milliers 2 3 2 4 4 5" xfId="20082"/>
    <cellStyle name="Milliers 2 3 2 4 4 5 2" xfId="20083"/>
    <cellStyle name="Milliers 2 3 2 4 4 5 2 2" xfId="20084"/>
    <cellStyle name="Milliers 2 3 2 4 4 5 3" xfId="20085"/>
    <cellStyle name="Milliers 2 3 2 4 4 6" xfId="20086"/>
    <cellStyle name="Milliers 2 3 2 4 4 6 2" xfId="20087"/>
    <cellStyle name="Milliers 2 3 2 4 4 7" xfId="20088"/>
    <cellStyle name="Milliers 2 3 2 4 5" xfId="20089"/>
    <cellStyle name="Milliers 2 3 2 4 5 2" xfId="20090"/>
    <cellStyle name="Milliers 2 3 2 4 5 2 2" xfId="20091"/>
    <cellStyle name="Milliers 2 3 2 4 5 2 2 2" xfId="20092"/>
    <cellStyle name="Milliers 2 3 2 4 5 2 2 2 2" xfId="20093"/>
    <cellStyle name="Milliers 2 3 2 4 5 2 2 2 2 2" xfId="20094"/>
    <cellStyle name="Milliers 2 3 2 4 5 2 2 2 3" xfId="20095"/>
    <cellStyle name="Milliers 2 3 2 4 5 2 2 3" xfId="20096"/>
    <cellStyle name="Milliers 2 3 2 4 5 2 2 3 2" xfId="20097"/>
    <cellStyle name="Milliers 2 3 2 4 5 2 2 4" xfId="20098"/>
    <cellStyle name="Milliers 2 3 2 4 5 2 3" xfId="20099"/>
    <cellStyle name="Milliers 2 3 2 4 5 2 3 2" xfId="20100"/>
    <cellStyle name="Milliers 2 3 2 4 5 2 3 2 2" xfId="20101"/>
    <cellStyle name="Milliers 2 3 2 4 5 2 3 3" xfId="20102"/>
    <cellStyle name="Milliers 2 3 2 4 5 2 4" xfId="20103"/>
    <cellStyle name="Milliers 2 3 2 4 5 2 4 2" xfId="20104"/>
    <cellStyle name="Milliers 2 3 2 4 5 2 5" xfId="20105"/>
    <cellStyle name="Milliers 2 3 2 4 5 3" xfId="20106"/>
    <cellStyle name="Milliers 2 3 2 4 5 3 2" xfId="20107"/>
    <cellStyle name="Milliers 2 3 2 4 5 3 2 2" xfId="20108"/>
    <cellStyle name="Milliers 2 3 2 4 5 3 2 2 2" xfId="20109"/>
    <cellStyle name="Milliers 2 3 2 4 5 3 2 3" xfId="20110"/>
    <cellStyle name="Milliers 2 3 2 4 5 3 3" xfId="20111"/>
    <cellStyle name="Milliers 2 3 2 4 5 3 3 2" xfId="20112"/>
    <cellStyle name="Milliers 2 3 2 4 5 3 4" xfId="20113"/>
    <cellStyle name="Milliers 2 3 2 4 5 4" xfId="20114"/>
    <cellStyle name="Milliers 2 3 2 4 5 4 2" xfId="20115"/>
    <cellStyle name="Milliers 2 3 2 4 5 4 2 2" xfId="20116"/>
    <cellStyle name="Milliers 2 3 2 4 5 4 3" xfId="20117"/>
    <cellStyle name="Milliers 2 3 2 4 5 5" xfId="20118"/>
    <cellStyle name="Milliers 2 3 2 4 5 5 2" xfId="20119"/>
    <cellStyle name="Milliers 2 3 2 4 5 6" xfId="20120"/>
    <cellStyle name="Milliers 2 3 2 4 6" xfId="20121"/>
    <cellStyle name="Milliers 2 3 2 4 6 2" xfId="20122"/>
    <cellStyle name="Milliers 2 3 2 4 6 2 2" xfId="20123"/>
    <cellStyle name="Milliers 2 3 2 4 6 2 2 2" xfId="20124"/>
    <cellStyle name="Milliers 2 3 2 4 6 2 2 2 2" xfId="20125"/>
    <cellStyle name="Milliers 2 3 2 4 6 2 2 3" xfId="20126"/>
    <cellStyle name="Milliers 2 3 2 4 6 2 3" xfId="20127"/>
    <cellStyle name="Milliers 2 3 2 4 6 2 3 2" xfId="20128"/>
    <cellStyle name="Milliers 2 3 2 4 6 2 4" xfId="20129"/>
    <cellStyle name="Milliers 2 3 2 4 6 3" xfId="20130"/>
    <cellStyle name="Milliers 2 3 2 4 6 3 2" xfId="20131"/>
    <cellStyle name="Milliers 2 3 2 4 6 3 2 2" xfId="20132"/>
    <cellStyle name="Milliers 2 3 2 4 6 3 3" xfId="20133"/>
    <cellStyle name="Milliers 2 3 2 4 6 4" xfId="20134"/>
    <cellStyle name="Milliers 2 3 2 4 6 4 2" xfId="20135"/>
    <cellStyle name="Milliers 2 3 2 4 6 5" xfId="20136"/>
    <cellStyle name="Milliers 2 3 2 4 7" xfId="20137"/>
    <cellStyle name="Milliers 2 3 2 4 7 2" xfId="20138"/>
    <cellStyle name="Milliers 2 3 2 4 7 2 2" xfId="20139"/>
    <cellStyle name="Milliers 2 3 2 4 7 2 2 2" xfId="20140"/>
    <cellStyle name="Milliers 2 3 2 4 7 2 3" xfId="20141"/>
    <cellStyle name="Milliers 2 3 2 4 7 3" xfId="20142"/>
    <cellStyle name="Milliers 2 3 2 4 7 3 2" xfId="20143"/>
    <cellStyle name="Milliers 2 3 2 4 7 4" xfId="20144"/>
    <cellStyle name="Milliers 2 3 2 4 8" xfId="20145"/>
    <cellStyle name="Milliers 2 3 2 4 8 2" xfId="20146"/>
    <cellStyle name="Milliers 2 3 2 4 8 2 2" xfId="20147"/>
    <cellStyle name="Milliers 2 3 2 4 8 3" xfId="20148"/>
    <cellStyle name="Milliers 2 3 2 4 9" xfId="20149"/>
    <cellStyle name="Milliers 2 3 2 4 9 2" xfId="20150"/>
    <cellStyle name="Milliers 2 3 2 5" xfId="20151"/>
    <cellStyle name="Milliers 2 3 2 5 2" xfId="20152"/>
    <cellStyle name="Milliers 2 3 2 5 2 2" xfId="20153"/>
    <cellStyle name="Milliers 2 3 2 5 2 2 2" xfId="20154"/>
    <cellStyle name="Milliers 2 3 2 5 2 2 2 2" xfId="20155"/>
    <cellStyle name="Milliers 2 3 2 5 2 2 2 2 2" xfId="20156"/>
    <cellStyle name="Milliers 2 3 2 5 2 2 2 2 2 2" xfId="20157"/>
    <cellStyle name="Milliers 2 3 2 5 2 2 2 2 2 2 2" xfId="20158"/>
    <cellStyle name="Milliers 2 3 2 5 2 2 2 2 2 2 2 2" xfId="20159"/>
    <cellStyle name="Milliers 2 3 2 5 2 2 2 2 2 2 3" xfId="20160"/>
    <cellStyle name="Milliers 2 3 2 5 2 2 2 2 2 3" xfId="20161"/>
    <cellStyle name="Milliers 2 3 2 5 2 2 2 2 2 3 2" xfId="20162"/>
    <cellStyle name="Milliers 2 3 2 5 2 2 2 2 2 4" xfId="20163"/>
    <cellStyle name="Milliers 2 3 2 5 2 2 2 2 3" xfId="20164"/>
    <cellStyle name="Milliers 2 3 2 5 2 2 2 2 3 2" xfId="20165"/>
    <cellStyle name="Milliers 2 3 2 5 2 2 2 2 3 2 2" xfId="20166"/>
    <cellStyle name="Milliers 2 3 2 5 2 2 2 2 3 3" xfId="20167"/>
    <cellStyle name="Milliers 2 3 2 5 2 2 2 2 4" xfId="20168"/>
    <cellStyle name="Milliers 2 3 2 5 2 2 2 2 4 2" xfId="20169"/>
    <cellStyle name="Milliers 2 3 2 5 2 2 2 2 5" xfId="20170"/>
    <cellStyle name="Milliers 2 3 2 5 2 2 2 3" xfId="20171"/>
    <cellStyle name="Milliers 2 3 2 5 2 2 2 3 2" xfId="20172"/>
    <cellStyle name="Milliers 2 3 2 5 2 2 2 3 2 2" xfId="20173"/>
    <cellStyle name="Milliers 2 3 2 5 2 2 2 3 2 2 2" xfId="20174"/>
    <cellStyle name="Milliers 2 3 2 5 2 2 2 3 2 3" xfId="20175"/>
    <cellStyle name="Milliers 2 3 2 5 2 2 2 3 3" xfId="20176"/>
    <cellStyle name="Milliers 2 3 2 5 2 2 2 3 3 2" xfId="20177"/>
    <cellStyle name="Milliers 2 3 2 5 2 2 2 3 4" xfId="20178"/>
    <cellStyle name="Milliers 2 3 2 5 2 2 2 4" xfId="20179"/>
    <cellStyle name="Milliers 2 3 2 5 2 2 2 4 2" xfId="20180"/>
    <cellStyle name="Milliers 2 3 2 5 2 2 2 4 2 2" xfId="20181"/>
    <cellStyle name="Milliers 2 3 2 5 2 2 2 4 3" xfId="20182"/>
    <cellStyle name="Milliers 2 3 2 5 2 2 2 5" xfId="20183"/>
    <cellStyle name="Milliers 2 3 2 5 2 2 2 5 2" xfId="20184"/>
    <cellStyle name="Milliers 2 3 2 5 2 2 2 6" xfId="20185"/>
    <cellStyle name="Milliers 2 3 2 5 2 2 3" xfId="20186"/>
    <cellStyle name="Milliers 2 3 2 5 2 2 3 2" xfId="20187"/>
    <cellStyle name="Milliers 2 3 2 5 2 2 3 2 2" xfId="20188"/>
    <cellStyle name="Milliers 2 3 2 5 2 2 3 2 2 2" xfId="20189"/>
    <cellStyle name="Milliers 2 3 2 5 2 2 3 2 2 2 2" xfId="20190"/>
    <cellStyle name="Milliers 2 3 2 5 2 2 3 2 2 3" xfId="20191"/>
    <cellStyle name="Milliers 2 3 2 5 2 2 3 2 3" xfId="20192"/>
    <cellStyle name="Milliers 2 3 2 5 2 2 3 2 3 2" xfId="20193"/>
    <cellStyle name="Milliers 2 3 2 5 2 2 3 2 4" xfId="20194"/>
    <cellStyle name="Milliers 2 3 2 5 2 2 3 3" xfId="20195"/>
    <cellStyle name="Milliers 2 3 2 5 2 2 3 3 2" xfId="20196"/>
    <cellStyle name="Milliers 2 3 2 5 2 2 3 3 2 2" xfId="20197"/>
    <cellStyle name="Milliers 2 3 2 5 2 2 3 3 3" xfId="20198"/>
    <cellStyle name="Milliers 2 3 2 5 2 2 3 4" xfId="20199"/>
    <cellStyle name="Milliers 2 3 2 5 2 2 3 4 2" xfId="20200"/>
    <cellStyle name="Milliers 2 3 2 5 2 2 3 5" xfId="20201"/>
    <cellStyle name="Milliers 2 3 2 5 2 2 4" xfId="20202"/>
    <cellStyle name="Milliers 2 3 2 5 2 2 4 2" xfId="20203"/>
    <cellStyle name="Milliers 2 3 2 5 2 2 4 2 2" xfId="20204"/>
    <cellStyle name="Milliers 2 3 2 5 2 2 4 2 2 2" xfId="20205"/>
    <cellStyle name="Milliers 2 3 2 5 2 2 4 2 3" xfId="20206"/>
    <cellStyle name="Milliers 2 3 2 5 2 2 4 3" xfId="20207"/>
    <cellStyle name="Milliers 2 3 2 5 2 2 4 3 2" xfId="20208"/>
    <cellStyle name="Milliers 2 3 2 5 2 2 4 4" xfId="20209"/>
    <cellStyle name="Milliers 2 3 2 5 2 2 5" xfId="20210"/>
    <cellStyle name="Milliers 2 3 2 5 2 2 5 2" xfId="20211"/>
    <cellStyle name="Milliers 2 3 2 5 2 2 5 2 2" xfId="20212"/>
    <cellStyle name="Milliers 2 3 2 5 2 2 5 3" xfId="20213"/>
    <cellStyle name="Milliers 2 3 2 5 2 2 6" xfId="20214"/>
    <cellStyle name="Milliers 2 3 2 5 2 2 6 2" xfId="20215"/>
    <cellStyle name="Milliers 2 3 2 5 2 2 7" xfId="20216"/>
    <cellStyle name="Milliers 2 3 2 5 2 3" xfId="20217"/>
    <cellStyle name="Milliers 2 3 2 5 2 3 2" xfId="20218"/>
    <cellStyle name="Milliers 2 3 2 5 2 3 2 2" xfId="20219"/>
    <cellStyle name="Milliers 2 3 2 5 2 3 2 2 2" xfId="20220"/>
    <cellStyle name="Milliers 2 3 2 5 2 3 2 2 2 2" xfId="20221"/>
    <cellStyle name="Milliers 2 3 2 5 2 3 2 2 2 2 2" xfId="20222"/>
    <cellStyle name="Milliers 2 3 2 5 2 3 2 2 2 3" xfId="20223"/>
    <cellStyle name="Milliers 2 3 2 5 2 3 2 2 3" xfId="20224"/>
    <cellStyle name="Milliers 2 3 2 5 2 3 2 2 3 2" xfId="20225"/>
    <cellStyle name="Milliers 2 3 2 5 2 3 2 2 4" xfId="20226"/>
    <cellStyle name="Milliers 2 3 2 5 2 3 2 3" xfId="20227"/>
    <cellStyle name="Milliers 2 3 2 5 2 3 2 3 2" xfId="20228"/>
    <cellStyle name="Milliers 2 3 2 5 2 3 2 3 2 2" xfId="20229"/>
    <cellStyle name="Milliers 2 3 2 5 2 3 2 3 3" xfId="20230"/>
    <cellStyle name="Milliers 2 3 2 5 2 3 2 4" xfId="20231"/>
    <cellStyle name="Milliers 2 3 2 5 2 3 2 4 2" xfId="20232"/>
    <cellStyle name="Milliers 2 3 2 5 2 3 2 5" xfId="20233"/>
    <cellStyle name="Milliers 2 3 2 5 2 3 3" xfId="20234"/>
    <cellStyle name="Milliers 2 3 2 5 2 3 3 2" xfId="20235"/>
    <cellStyle name="Milliers 2 3 2 5 2 3 3 2 2" xfId="20236"/>
    <cellStyle name="Milliers 2 3 2 5 2 3 3 2 2 2" xfId="20237"/>
    <cellStyle name="Milliers 2 3 2 5 2 3 3 2 3" xfId="20238"/>
    <cellStyle name="Milliers 2 3 2 5 2 3 3 3" xfId="20239"/>
    <cellStyle name="Milliers 2 3 2 5 2 3 3 3 2" xfId="20240"/>
    <cellStyle name="Milliers 2 3 2 5 2 3 3 4" xfId="20241"/>
    <cellStyle name="Milliers 2 3 2 5 2 3 4" xfId="20242"/>
    <cellStyle name="Milliers 2 3 2 5 2 3 4 2" xfId="20243"/>
    <cellStyle name="Milliers 2 3 2 5 2 3 4 2 2" xfId="20244"/>
    <cellStyle name="Milliers 2 3 2 5 2 3 4 3" xfId="20245"/>
    <cellStyle name="Milliers 2 3 2 5 2 3 5" xfId="20246"/>
    <cellStyle name="Milliers 2 3 2 5 2 3 5 2" xfId="20247"/>
    <cellStyle name="Milliers 2 3 2 5 2 3 6" xfId="20248"/>
    <cellStyle name="Milliers 2 3 2 5 2 4" xfId="20249"/>
    <cellStyle name="Milliers 2 3 2 5 2 4 2" xfId="20250"/>
    <cellStyle name="Milliers 2 3 2 5 2 4 2 2" xfId="20251"/>
    <cellStyle name="Milliers 2 3 2 5 2 4 2 2 2" xfId="20252"/>
    <cellStyle name="Milliers 2 3 2 5 2 4 2 2 2 2" xfId="20253"/>
    <cellStyle name="Milliers 2 3 2 5 2 4 2 2 3" xfId="20254"/>
    <cellStyle name="Milliers 2 3 2 5 2 4 2 3" xfId="20255"/>
    <cellStyle name="Milliers 2 3 2 5 2 4 2 3 2" xfId="20256"/>
    <cellStyle name="Milliers 2 3 2 5 2 4 2 4" xfId="20257"/>
    <cellStyle name="Milliers 2 3 2 5 2 4 3" xfId="20258"/>
    <cellStyle name="Milliers 2 3 2 5 2 4 3 2" xfId="20259"/>
    <cellStyle name="Milliers 2 3 2 5 2 4 3 2 2" xfId="20260"/>
    <cellStyle name="Milliers 2 3 2 5 2 4 3 3" xfId="20261"/>
    <cellStyle name="Milliers 2 3 2 5 2 4 4" xfId="20262"/>
    <cellStyle name="Milliers 2 3 2 5 2 4 4 2" xfId="20263"/>
    <cellStyle name="Milliers 2 3 2 5 2 4 5" xfId="20264"/>
    <cellStyle name="Milliers 2 3 2 5 2 5" xfId="20265"/>
    <cellStyle name="Milliers 2 3 2 5 2 5 2" xfId="20266"/>
    <cellStyle name="Milliers 2 3 2 5 2 5 2 2" xfId="20267"/>
    <cellStyle name="Milliers 2 3 2 5 2 5 2 2 2" xfId="20268"/>
    <cellStyle name="Milliers 2 3 2 5 2 5 2 3" xfId="20269"/>
    <cellStyle name="Milliers 2 3 2 5 2 5 3" xfId="20270"/>
    <cellStyle name="Milliers 2 3 2 5 2 5 3 2" xfId="20271"/>
    <cellStyle name="Milliers 2 3 2 5 2 5 4" xfId="20272"/>
    <cellStyle name="Milliers 2 3 2 5 2 6" xfId="20273"/>
    <cellStyle name="Milliers 2 3 2 5 2 6 2" xfId="20274"/>
    <cellStyle name="Milliers 2 3 2 5 2 6 2 2" xfId="20275"/>
    <cellStyle name="Milliers 2 3 2 5 2 6 3" xfId="20276"/>
    <cellStyle name="Milliers 2 3 2 5 2 7" xfId="20277"/>
    <cellStyle name="Milliers 2 3 2 5 2 7 2" xfId="20278"/>
    <cellStyle name="Milliers 2 3 2 5 2 8" xfId="20279"/>
    <cellStyle name="Milliers 2 3 2 5 3" xfId="20280"/>
    <cellStyle name="Milliers 2 3 2 5 3 2" xfId="20281"/>
    <cellStyle name="Milliers 2 3 2 5 3 2 2" xfId="20282"/>
    <cellStyle name="Milliers 2 3 2 5 3 2 2 2" xfId="20283"/>
    <cellStyle name="Milliers 2 3 2 5 3 2 2 2 2" xfId="20284"/>
    <cellStyle name="Milliers 2 3 2 5 3 2 2 2 2 2" xfId="20285"/>
    <cellStyle name="Milliers 2 3 2 5 3 2 2 2 2 2 2" xfId="20286"/>
    <cellStyle name="Milliers 2 3 2 5 3 2 2 2 2 3" xfId="20287"/>
    <cellStyle name="Milliers 2 3 2 5 3 2 2 2 3" xfId="20288"/>
    <cellStyle name="Milliers 2 3 2 5 3 2 2 2 3 2" xfId="20289"/>
    <cellStyle name="Milliers 2 3 2 5 3 2 2 2 4" xfId="20290"/>
    <cellStyle name="Milliers 2 3 2 5 3 2 2 3" xfId="20291"/>
    <cellStyle name="Milliers 2 3 2 5 3 2 2 3 2" xfId="20292"/>
    <cellStyle name="Milliers 2 3 2 5 3 2 2 3 2 2" xfId="20293"/>
    <cellStyle name="Milliers 2 3 2 5 3 2 2 3 3" xfId="20294"/>
    <cellStyle name="Milliers 2 3 2 5 3 2 2 4" xfId="20295"/>
    <cellStyle name="Milliers 2 3 2 5 3 2 2 4 2" xfId="20296"/>
    <cellStyle name="Milliers 2 3 2 5 3 2 2 5" xfId="20297"/>
    <cellStyle name="Milliers 2 3 2 5 3 2 3" xfId="20298"/>
    <cellStyle name="Milliers 2 3 2 5 3 2 3 2" xfId="20299"/>
    <cellStyle name="Milliers 2 3 2 5 3 2 3 2 2" xfId="20300"/>
    <cellStyle name="Milliers 2 3 2 5 3 2 3 2 2 2" xfId="20301"/>
    <cellStyle name="Milliers 2 3 2 5 3 2 3 2 3" xfId="20302"/>
    <cellStyle name="Milliers 2 3 2 5 3 2 3 3" xfId="20303"/>
    <cellStyle name="Milliers 2 3 2 5 3 2 3 3 2" xfId="20304"/>
    <cellStyle name="Milliers 2 3 2 5 3 2 3 4" xfId="20305"/>
    <cellStyle name="Milliers 2 3 2 5 3 2 4" xfId="20306"/>
    <cellStyle name="Milliers 2 3 2 5 3 2 4 2" xfId="20307"/>
    <cellStyle name="Milliers 2 3 2 5 3 2 4 2 2" xfId="20308"/>
    <cellStyle name="Milliers 2 3 2 5 3 2 4 3" xfId="20309"/>
    <cellStyle name="Milliers 2 3 2 5 3 2 5" xfId="20310"/>
    <cellStyle name="Milliers 2 3 2 5 3 2 5 2" xfId="20311"/>
    <cellStyle name="Milliers 2 3 2 5 3 2 6" xfId="20312"/>
    <cellStyle name="Milliers 2 3 2 5 3 3" xfId="20313"/>
    <cellStyle name="Milliers 2 3 2 5 3 3 2" xfId="20314"/>
    <cellStyle name="Milliers 2 3 2 5 3 3 2 2" xfId="20315"/>
    <cellStyle name="Milliers 2 3 2 5 3 3 2 2 2" xfId="20316"/>
    <cellStyle name="Milliers 2 3 2 5 3 3 2 2 2 2" xfId="20317"/>
    <cellStyle name="Milliers 2 3 2 5 3 3 2 2 3" xfId="20318"/>
    <cellStyle name="Milliers 2 3 2 5 3 3 2 3" xfId="20319"/>
    <cellStyle name="Milliers 2 3 2 5 3 3 2 3 2" xfId="20320"/>
    <cellStyle name="Milliers 2 3 2 5 3 3 2 4" xfId="20321"/>
    <cellStyle name="Milliers 2 3 2 5 3 3 3" xfId="20322"/>
    <cellStyle name="Milliers 2 3 2 5 3 3 3 2" xfId="20323"/>
    <cellStyle name="Milliers 2 3 2 5 3 3 3 2 2" xfId="20324"/>
    <cellStyle name="Milliers 2 3 2 5 3 3 3 3" xfId="20325"/>
    <cellStyle name="Milliers 2 3 2 5 3 3 4" xfId="20326"/>
    <cellStyle name="Milliers 2 3 2 5 3 3 4 2" xfId="20327"/>
    <cellStyle name="Milliers 2 3 2 5 3 3 5" xfId="20328"/>
    <cellStyle name="Milliers 2 3 2 5 3 4" xfId="20329"/>
    <cellStyle name="Milliers 2 3 2 5 3 4 2" xfId="20330"/>
    <cellStyle name="Milliers 2 3 2 5 3 4 2 2" xfId="20331"/>
    <cellStyle name="Milliers 2 3 2 5 3 4 2 2 2" xfId="20332"/>
    <cellStyle name="Milliers 2 3 2 5 3 4 2 3" xfId="20333"/>
    <cellStyle name="Milliers 2 3 2 5 3 4 3" xfId="20334"/>
    <cellStyle name="Milliers 2 3 2 5 3 4 3 2" xfId="20335"/>
    <cellStyle name="Milliers 2 3 2 5 3 4 4" xfId="20336"/>
    <cellStyle name="Milliers 2 3 2 5 3 5" xfId="20337"/>
    <cellStyle name="Milliers 2 3 2 5 3 5 2" xfId="20338"/>
    <cellStyle name="Milliers 2 3 2 5 3 5 2 2" xfId="20339"/>
    <cellStyle name="Milliers 2 3 2 5 3 5 3" xfId="20340"/>
    <cellStyle name="Milliers 2 3 2 5 3 6" xfId="20341"/>
    <cellStyle name="Milliers 2 3 2 5 3 6 2" xfId="20342"/>
    <cellStyle name="Milliers 2 3 2 5 3 7" xfId="20343"/>
    <cellStyle name="Milliers 2 3 2 5 4" xfId="20344"/>
    <cellStyle name="Milliers 2 3 2 5 4 2" xfId="20345"/>
    <cellStyle name="Milliers 2 3 2 5 4 2 2" xfId="20346"/>
    <cellStyle name="Milliers 2 3 2 5 4 2 2 2" xfId="20347"/>
    <cellStyle name="Milliers 2 3 2 5 4 2 2 2 2" xfId="20348"/>
    <cellStyle name="Milliers 2 3 2 5 4 2 2 2 2 2" xfId="20349"/>
    <cellStyle name="Milliers 2 3 2 5 4 2 2 2 3" xfId="20350"/>
    <cellStyle name="Milliers 2 3 2 5 4 2 2 3" xfId="20351"/>
    <cellStyle name="Milliers 2 3 2 5 4 2 2 3 2" xfId="20352"/>
    <cellStyle name="Milliers 2 3 2 5 4 2 2 4" xfId="20353"/>
    <cellStyle name="Milliers 2 3 2 5 4 2 3" xfId="20354"/>
    <cellStyle name="Milliers 2 3 2 5 4 2 3 2" xfId="20355"/>
    <cellStyle name="Milliers 2 3 2 5 4 2 3 2 2" xfId="20356"/>
    <cellStyle name="Milliers 2 3 2 5 4 2 3 3" xfId="20357"/>
    <cellStyle name="Milliers 2 3 2 5 4 2 4" xfId="20358"/>
    <cellStyle name="Milliers 2 3 2 5 4 2 4 2" xfId="20359"/>
    <cellStyle name="Milliers 2 3 2 5 4 2 5" xfId="20360"/>
    <cellStyle name="Milliers 2 3 2 5 4 3" xfId="20361"/>
    <cellStyle name="Milliers 2 3 2 5 4 3 2" xfId="20362"/>
    <cellStyle name="Milliers 2 3 2 5 4 3 2 2" xfId="20363"/>
    <cellStyle name="Milliers 2 3 2 5 4 3 2 2 2" xfId="20364"/>
    <cellStyle name="Milliers 2 3 2 5 4 3 2 3" xfId="20365"/>
    <cellStyle name="Milliers 2 3 2 5 4 3 3" xfId="20366"/>
    <cellStyle name="Milliers 2 3 2 5 4 3 3 2" xfId="20367"/>
    <cellStyle name="Milliers 2 3 2 5 4 3 4" xfId="20368"/>
    <cellStyle name="Milliers 2 3 2 5 4 4" xfId="20369"/>
    <cellStyle name="Milliers 2 3 2 5 4 4 2" xfId="20370"/>
    <cellStyle name="Milliers 2 3 2 5 4 4 2 2" xfId="20371"/>
    <cellStyle name="Milliers 2 3 2 5 4 4 3" xfId="20372"/>
    <cellStyle name="Milliers 2 3 2 5 4 5" xfId="20373"/>
    <cellStyle name="Milliers 2 3 2 5 4 5 2" xfId="20374"/>
    <cellStyle name="Milliers 2 3 2 5 4 6" xfId="20375"/>
    <cellStyle name="Milliers 2 3 2 5 5" xfId="20376"/>
    <cellStyle name="Milliers 2 3 2 5 5 2" xfId="20377"/>
    <cellStyle name="Milliers 2 3 2 5 5 2 2" xfId="20378"/>
    <cellStyle name="Milliers 2 3 2 5 5 2 2 2" xfId="20379"/>
    <cellStyle name="Milliers 2 3 2 5 5 2 2 2 2" xfId="20380"/>
    <cellStyle name="Milliers 2 3 2 5 5 2 2 3" xfId="20381"/>
    <cellStyle name="Milliers 2 3 2 5 5 2 3" xfId="20382"/>
    <cellStyle name="Milliers 2 3 2 5 5 2 3 2" xfId="20383"/>
    <cellStyle name="Milliers 2 3 2 5 5 2 4" xfId="20384"/>
    <cellStyle name="Milliers 2 3 2 5 5 3" xfId="20385"/>
    <cellStyle name="Milliers 2 3 2 5 5 3 2" xfId="20386"/>
    <cellStyle name="Milliers 2 3 2 5 5 3 2 2" xfId="20387"/>
    <cellStyle name="Milliers 2 3 2 5 5 3 3" xfId="20388"/>
    <cellStyle name="Milliers 2 3 2 5 5 4" xfId="20389"/>
    <cellStyle name="Milliers 2 3 2 5 5 4 2" xfId="20390"/>
    <cellStyle name="Milliers 2 3 2 5 5 5" xfId="20391"/>
    <cellStyle name="Milliers 2 3 2 5 6" xfId="20392"/>
    <cellStyle name="Milliers 2 3 2 5 6 2" xfId="20393"/>
    <cellStyle name="Milliers 2 3 2 5 6 2 2" xfId="20394"/>
    <cellStyle name="Milliers 2 3 2 5 6 2 2 2" xfId="20395"/>
    <cellStyle name="Milliers 2 3 2 5 6 2 3" xfId="20396"/>
    <cellStyle name="Milliers 2 3 2 5 6 3" xfId="20397"/>
    <cellStyle name="Milliers 2 3 2 5 6 3 2" xfId="20398"/>
    <cellStyle name="Milliers 2 3 2 5 6 4" xfId="20399"/>
    <cellStyle name="Milliers 2 3 2 5 7" xfId="20400"/>
    <cellStyle name="Milliers 2 3 2 5 7 2" xfId="20401"/>
    <cellStyle name="Milliers 2 3 2 5 7 2 2" xfId="20402"/>
    <cellStyle name="Milliers 2 3 2 5 7 3" xfId="20403"/>
    <cellStyle name="Milliers 2 3 2 5 8" xfId="20404"/>
    <cellStyle name="Milliers 2 3 2 5 8 2" xfId="20405"/>
    <cellStyle name="Milliers 2 3 2 5 9" xfId="20406"/>
    <cellStyle name="Milliers 2 3 2 6" xfId="20407"/>
    <cellStyle name="Milliers 2 3 2 6 2" xfId="20408"/>
    <cellStyle name="Milliers 2 3 2 6 2 2" xfId="20409"/>
    <cellStyle name="Milliers 2 3 2 6 2 2 2" xfId="20410"/>
    <cellStyle name="Milliers 2 3 2 6 2 2 2 2" xfId="20411"/>
    <cellStyle name="Milliers 2 3 2 6 2 2 2 2 2" xfId="20412"/>
    <cellStyle name="Milliers 2 3 2 6 2 2 2 2 2 2" xfId="20413"/>
    <cellStyle name="Milliers 2 3 2 6 2 2 2 2 2 2 2" xfId="20414"/>
    <cellStyle name="Milliers 2 3 2 6 2 2 2 2 2 3" xfId="20415"/>
    <cellStyle name="Milliers 2 3 2 6 2 2 2 2 3" xfId="20416"/>
    <cellStyle name="Milliers 2 3 2 6 2 2 2 2 3 2" xfId="20417"/>
    <cellStyle name="Milliers 2 3 2 6 2 2 2 2 4" xfId="20418"/>
    <cellStyle name="Milliers 2 3 2 6 2 2 2 3" xfId="20419"/>
    <cellStyle name="Milliers 2 3 2 6 2 2 2 3 2" xfId="20420"/>
    <cellStyle name="Milliers 2 3 2 6 2 2 2 3 2 2" xfId="20421"/>
    <cellStyle name="Milliers 2 3 2 6 2 2 2 3 3" xfId="20422"/>
    <cellStyle name="Milliers 2 3 2 6 2 2 2 4" xfId="20423"/>
    <cellStyle name="Milliers 2 3 2 6 2 2 2 4 2" xfId="20424"/>
    <cellStyle name="Milliers 2 3 2 6 2 2 2 5" xfId="20425"/>
    <cellStyle name="Milliers 2 3 2 6 2 2 3" xfId="20426"/>
    <cellStyle name="Milliers 2 3 2 6 2 2 3 2" xfId="20427"/>
    <cellStyle name="Milliers 2 3 2 6 2 2 3 2 2" xfId="20428"/>
    <cellStyle name="Milliers 2 3 2 6 2 2 3 2 2 2" xfId="20429"/>
    <cellStyle name="Milliers 2 3 2 6 2 2 3 2 3" xfId="20430"/>
    <cellStyle name="Milliers 2 3 2 6 2 2 3 3" xfId="20431"/>
    <cellStyle name="Milliers 2 3 2 6 2 2 3 3 2" xfId="20432"/>
    <cellStyle name="Milliers 2 3 2 6 2 2 3 4" xfId="20433"/>
    <cellStyle name="Milliers 2 3 2 6 2 2 4" xfId="20434"/>
    <cellStyle name="Milliers 2 3 2 6 2 2 4 2" xfId="20435"/>
    <cellStyle name="Milliers 2 3 2 6 2 2 4 2 2" xfId="20436"/>
    <cellStyle name="Milliers 2 3 2 6 2 2 4 3" xfId="20437"/>
    <cellStyle name="Milliers 2 3 2 6 2 2 5" xfId="20438"/>
    <cellStyle name="Milliers 2 3 2 6 2 2 5 2" xfId="20439"/>
    <cellStyle name="Milliers 2 3 2 6 2 2 6" xfId="20440"/>
    <cellStyle name="Milliers 2 3 2 6 2 3" xfId="20441"/>
    <cellStyle name="Milliers 2 3 2 6 2 3 2" xfId="20442"/>
    <cellStyle name="Milliers 2 3 2 6 2 3 2 2" xfId="20443"/>
    <cellStyle name="Milliers 2 3 2 6 2 3 2 2 2" xfId="20444"/>
    <cellStyle name="Milliers 2 3 2 6 2 3 2 2 2 2" xfId="20445"/>
    <cellStyle name="Milliers 2 3 2 6 2 3 2 2 3" xfId="20446"/>
    <cellStyle name="Milliers 2 3 2 6 2 3 2 3" xfId="20447"/>
    <cellStyle name="Milliers 2 3 2 6 2 3 2 3 2" xfId="20448"/>
    <cellStyle name="Milliers 2 3 2 6 2 3 2 4" xfId="20449"/>
    <cellStyle name="Milliers 2 3 2 6 2 3 3" xfId="20450"/>
    <cellStyle name="Milliers 2 3 2 6 2 3 3 2" xfId="20451"/>
    <cellStyle name="Milliers 2 3 2 6 2 3 3 2 2" xfId="20452"/>
    <cellStyle name="Milliers 2 3 2 6 2 3 3 3" xfId="20453"/>
    <cellStyle name="Milliers 2 3 2 6 2 3 4" xfId="20454"/>
    <cellStyle name="Milliers 2 3 2 6 2 3 4 2" xfId="20455"/>
    <cellStyle name="Milliers 2 3 2 6 2 3 5" xfId="20456"/>
    <cellStyle name="Milliers 2 3 2 6 2 4" xfId="20457"/>
    <cellStyle name="Milliers 2 3 2 6 2 4 2" xfId="20458"/>
    <cellStyle name="Milliers 2 3 2 6 2 4 2 2" xfId="20459"/>
    <cellStyle name="Milliers 2 3 2 6 2 4 2 2 2" xfId="20460"/>
    <cellStyle name="Milliers 2 3 2 6 2 4 2 3" xfId="20461"/>
    <cellStyle name="Milliers 2 3 2 6 2 4 3" xfId="20462"/>
    <cellStyle name="Milliers 2 3 2 6 2 4 3 2" xfId="20463"/>
    <cellStyle name="Milliers 2 3 2 6 2 4 4" xfId="20464"/>
    <cellStyle name="Milliers 2 3 2 6 2 5" xfId="20465"/>
    <cellStyle name="Milliers 2 3 2 6 2 5 2" xfId="20466"/>
    <cellStyle name="Milliers 2 3 2 6 2 5 2 2" xfId="20467"/>
    <cellStyle name="Milliers 2 3 2 6 2 5 3" xfId="20468"/>
    <cellStyle name="Milliers 2 3 2 6 2 6" xfId="20469"/>
    <cellStyle name="Milliers 2 3 2 6 2 6 2" xfId="20470"/>
    <cellStyle name="Milliers 2 3 2 6 2 7" xfId="20471"/>
    <cellStyle name="Milliers 2 3 2 6 3" xfId="20472"/>
    <cellStyle name="Milliers 2 3 2 6 3 2" xfId="20473"/>
    <cellStyle name="Milliers 2 3 2 6 3 2 2" xfId="20474"/>
    <cellStyle name="Milliers 2 3 2 6 3 2 2 2" xfId="20475"/>
    <cellStyle name="Milliers 2 3 2 6 3 2 2 2 2" xfId="20476"/>
    <cellStyle name="Milliers 2 3 2 6 3 2 2 2 2 2" xfId="20477"/>
    <cellStyle name="Milliers 2 3 2 6 3 2 2 2 3" xfId="20478"/>
    <cellStyle name="Milliers 2 3 2 6 3 2 2 3" xfId="20479"/>
    <cellStyle name="Milliers 2 3 2 6 3 2 2 3 2" xfId="20480"/>
    <cellStyle name="Milliers 2 3 2 6 3 2 2 4" xfId="20481"/>
    <cellStyle name="Milliers 2 3 2 6 3 2 3" xfId="20482"/>
    <cellStyle name="Milliers 2 3 2 6 3 2 3 2" xfId="20483"/>
    <cellStyle name="Milliers 2 3 2 6 3 2 3 2 2" xfId="20484"/>
    <cellStyle name="Milliers 2 3 2 6 3 2 3 3" xfId="20485"/>
    <cellStyle name="Milliers 2 3 2 6 3 2 4" xfId="20486"/>
    <cellStyle name="Milliers 2 3 2 6 3 2 4 2" xfId="20487"/>
    <cellStyle name="Milliers 2 3 2 6 3 2 5" xfId="20488"/>
    <cellStyle name="Milliers 2 3 2 6 3 3" xfId="20489"/>
    <cellStyle name="Milliers 2 3 2 6 3 3 2" xfId="20490"/>
    <cellStyle name="Milliers 2 3 2 6 3 3 2 2" xfId="20491"/>
    <cellStyle name="Milliers 2 3 2 6 3 3 2 2 2" xfId="20492"/>
    <cellStyle name="Milliers 2 3 2 6 3 3 2 3" xfId="20493"/>
    <cellStyle name="Milliers 2 3 2 6 3 3 3" xfId="20494"/>
    <cellStyle name="Milliers 2 3 2 6 3 3 3 2" xfId="20495"/>
    <cellStyle name="Milliers 2 3 2 6 3 3 4" xfId="20496"/>
    <cellStyle name="Milliers 2 3 2 6 3 4" xfId="20497"/>
    <cellStyle name="Milliers 2 3 2 6 3 4 2" xfId="20498"/>
    <cellStyle name="Milliers 2 3 2 6 3 4 2 2" xfId="20499"/>
    <cellStyle name="Milliers 2 3 2 6 3 4 3" xfId="20500"/>
    <cellStyle name="Milliers 2 3 2 6 3 5" xfId="20501"/>
    <cellStyle name="Milliers 2 3 2 6 3 5 2" xfId="20502"/>
    <cellStyle name="Milliers 2 3 2 6 3 6" xfId="20503"/>
    <cellStyle name="Milliers 2 3 2 6 4" xfId="20504"/>
    <cellStyle name="Milliers 2 3 2 6 4 2" xfId="20505"/>
    <cellStyle name="Milliers 2 3 2 6 4 2 2" xfId="20506"/>
    <cellStyle name="Milliers 2 3 2 6 4 2 2 2" xfId="20507"/>
    <cellStyle name="Milliers 2 3 2 6 4 2 2 2 2" xfId="20508"/>
    <cellStyle name="Milliers 2 3 2 6 4 2 2 3" xfId="20509"/>
    <cellStyle name="Milliers 2 3 2 6 4 2 3" xfId="20510"/>
    <cellStyle name="Milliers 2 3 2 6 4 2 3 2" xfId="20511"/>
    <cellStyle name="Milliers 2 3 2 6 4 2 4" xfId="20512"/>
    <cellStyle name="Milliers 2 3 2 6 4 3" xfId="20513"/>
    <cellStyle name="Milliers 2 3 2 6 4 3 2" xfId="20514"/>
    <cellStyle name="Milliers 2 3 2 6 4 3 2 2" xfId="20515"/>
    <cellStyle name="Milliers 2 3 2 6 4 3 3" xfId="20516"/>
    <cellStyle name="Milliers 2 3 2 6 4 4" xfId="20517"/>
    <cellStyle name="Milliers 2 3 2 6 4 4 2" xfId="20518"/>
    <cellStyle name="Milliers 2 3 2 6 4 5" xfId="20519"/>
    <cellStyle name="Milliers 2 3 2 6 5" xfId="20520"/>
    <cellStyle name="Milliers 2 3 2 6 5 2" xfId="20521"/>
    <cellStyle name="Milliers 2 3 2 6 5 2 2" xfId="20522"/>
    <cellStyle name="Milliers 2 3 2 6 5 2 2 2" xfId="20523"/>
    <cellStyle name="Milliers 2 3 2 6 5 2 3" xfId="20524"/>
    <cellStyle name="Milliers 2 3 2 6 5 3" xfId="20525"/>
    <cellStyle name="Milliers 2 3 2 6 5 3 2" xfId="20526"/>
    <cellStyle name="Milliers 2 3 2 6 5 4" xfId="20527"/>
    <cellStyle name="Milliers 2 3 2 6 6" xfId="20528"/>
    <cellStyle name="Milliers 2 3 2 6 6 2" xfId="20529"/>
    <cellStyle name="Milliers 2 3 2 6 6 2 2" xfId="20530"/>
    <cellStyle name="Milliers 2 3 2 6 6 3" xfId="20531"/>
    <cellStyle name="Milliers 2 3 2 6 7" xfId="20532"/>
    <cellStyle name="Milliers 2 3 2 6 7 2" xfId="20533"/>
    <cellStyle name="Milliers 2 3 2 6 8" xfId="20534"/>
    <cellStyle name="Milliers 2 3 2 7" xfId="20535"/>
    <cellStyle name="Milliers 2 3 2 7 2" xfId="20536"/>
    <cellStyle name="Milliers 2 3 2 7 2 2" xfId="20537"/>
    <cellStyle name="Milliers 2 3 2 7 2 2 2" xfId="20538"/>
    <cellStyle name="Milliers 2 3 2 7 2 2 2 2" xfId="20539"/>
    <cellStyle name="Milliers 2 3 2 7 2 2 2 2 2" xfId="20540"/>
    <cellStyle name="Milliers 2 3 2 7 2 2 2 2 2 2" xfId="20541"/>
    <cellStyle name="Milliers 2 3 2 7 2 2 2 2 3" xfId="20542"/>
    <cellStyle name="Milliers 2 3 2 7 2 2 2 3" xfId="20543"/>
    <cellStyle name="Milliers 2 3 2 7 2 2 2 3 2" xfId="20544"/>
    <cellStyle name="Milliers 2 3 2 7 2 2 2 4" xfId="20545"/>
    <cellStyle name="Milliers 2 3 2 7 2 2 3" xfId="20546"/>
    <cellStyle name="Milliers 2 3 2 7 2 2 3 2" xfId="20547"/>
    <cellStyle name="Milliers 2 3 2 7 2 2 3 2 2" xfId="20548"/>
    <cellStyle name="Milliers 2 3 2 7 2 2 3 3" xfId="20549"/>
    <cellStyle name="Milliers 2 3 2 7 2 2 4" xfId="20550"/>
    <cellStyle name="Milliers 2 3 2 7 2 2 4 2" xfId="20551"/>
    <cellStyle name="Milliers 2 3 2 7 2 2 5" xfId="20552"/>
    <cellStyle name="Milliers 2 3 2 7 2 3" xfId="20553"/>
    <cellStyle name="Milliers 2 3 2 7 2 3 2" xfId="20554"/>
    <cellStyle name="Milliers 2 3 2 7 2 3 2 2" xfId="20555"/>
    <cellStyle name="Milliers 2 3 2 7 2 3 2 2 2" xfId="20556"/>
    <cellStyle name="Milliers 2 3 2 7 2 3 2 3" xfId="20557"/>
    <cellStyle name="Milliers 2 3 2 7 2 3 3" xfId="20558"/>
    <cellStyle name="Milliers 2 3 2 7 2 3 3 2" xfId="20559"/>
    <cellStyle name="Milliers 2 3 2 7 2 3 4" xfId="20560"/>
    <cellStyle name="Milliers 2 3 2 7 2 4" xfId="20561"/>
    <cellStyle name="Milliers 2 3 2 7 2 4 2" xfId="20562"/>
    <cellStyle name="Milliers 2 3 2 7 2 4 2 2" xfId="20563"/>
    <cellStyle name="Milliers 2 3 2 7 2 4 3" xfId="20564"/>
    <cellStyle name="Milliers 2 3 2 7 2 5" xfId="20565"/>
    <cellStyle name="Milliers 2 3 2 7 2 5 2" xfId="20566"/>
    <cellStyle name="Milliers 2 3 2 7 2 6" xfId="20567"/>
    <cellStyle name="Milliers 2 3 2 7 3" xfId="20568"/>
    <cellStyle name="Milliers 2 3 2 7 3 2" xfId="20569"/>
    <cellStyle name="Milliers 2 3 2 7 3 2 2" xfId="20570"/>
    <cellStyle name="Milliers 2 3 2 7 3 2 2 2" xfId="20571"/>
    <cellStyle name="Milliers 2 3 2 7 3 2 2 2 2" xfId="20572"/>
    <cellStyle name="Milliers 2 3 2 7 3 2 2 3" xfId="20573"/>
    <cellStyle name="Milliers 2 3 2 7 3 2 3" xfId="20574"/>
    <cellStyle name="Milliers 2 3 2 7 3 2 3 2" xfId="20575"/>
    <cellStyle name="Milliers 2 3 2 7 3 2 4" xfId="20576"/>
    <cellStyle name="Milliers 2 3 2 7 3 3" xfId="20577"/>
    <cellStyle name="Milliers 2 3 2 7 3 3 2" xfId="20578"/>
    <cellStyle name="Milliers 2 3 2 7 3 3 2 2" xfId="20579"/>
    <cellStyle name="Milliers 2 3 2 7 3 3 3" xfId="20580"/>
    <cellStyle name="Milliers 2 3 2 7 3 4" xfId="20581"/>
    <cellStyle name="Milliers 2 3 2 7 3 4 2" xfId="20582"/>
    <cellStyle name="Milliers 2 3 2 7 3 5" xfId="20583"/>
    <cellStyle name="Milliers 2 3 2 7 4" xfId="20584"/>
    <cellStyle name="Milliers 2 3 2 7 4 2" xfId="20585"/>
    <cellStyle name="Milliers 2 3 2 7 4 2 2" xfId="20586"/>
    <cellStyle name="Milliers 2 3 2 7 4 2 2 2" xfId="20587"/>
    <cellStyle name="Milliers 2 3 2 7 4 2 3" xfId="20588"/>
    <cellStyle name="Milliers 2 3 2 7 4 3" xfId="20589"/>
    <cellStyle name="Milliers 2 3 2 7 4 3 2" xfId="20590"/>
    <cellStyle name="Milliers 2 3 2 7 4 4" xfId="20591"/>
    <cellStyle name="Milliers 2 3 2 7 5" xfId="20592"/>
    <cellStyle name="Milliers 2 3 2 7 5 2" xfId="20593"/>
    <cellStyle name="Milliers 2 3 2 7 5 2 2" xfId="20594"/>
    <cellStyle name="Milliers 2 3 2 7 5 3" xfId="20595"/>
    <cellStyle name="Milliers 2 3 2 7 6" xfId="20596"/>
    <cellStyle name="Milliers 2 3 2 7 6 2" xfId="20597"/>
    <cellStyle name="Milliers 2 3 2 7 7" xfId="20598"/>
    <cellStyle name="Milliers 2 3 2 8" xfId="20599"/>
    <cellStyle name="Milliers 2 3 2 8 2" xfId="20600"/>
    <cellStyle name="Milliers 2 3 2 8 2 2" xfId="20601"/>
    <cellStyle name="Milliers 2 3 2 8 2 2 2" xfId="20602"/>
    <cellStyle name="Milliers 2 3 2 8 2 2 2 2" xfId="20603"/>
    <cellStyle name="Milliers 2 3 2 8 2 2 2 2 2" xfId="20604"/>
    <cellStyle name="Milliers 2 3 2 8 2 2 2 3" xfId="20605"/>
    <cellStyle name="Milliers 2 3 2 8 2 2 3" xfId="20606"/>
    <cellStyle name="Milliers 2 3 2 8 2 2 3 2" xfId="20607"/>
    <cellStyle name="Milliers 2 3 2 8 2 2 4" xfId="20608"/>
    <cellStyle name="Milliers 2 3 2 8 2 3" xfId="20609"/>
    <cellStyle name="Milliers 2 3 2 8 2 3 2" xfId="20610"/>
    <cellStyle name="Milliers 2 3 2 8 2 3 2 2" xfId="20611"/>
    <cellStyle name="Milliers 2 3 2 8 2 3 3" xfId="20612"/>
    <cellStyle name="Milliers 2 3 2 8 2 4" xfId="20613"/>
    <cellStyle name="Milliers 2 3 2 8 2 4 2" xfId="20614"/>
    <cellStyle name="Milliers 2 3 2 8 2 5" xfId="20615"/>
    <cellStyle name="Milliers 2 3 2 8 3" xfId="20616"/>
    <cellStyle name="Milliers 2 3 2 8 3 2" xfId="20617"/>
    <cellStyle name="Milliers 2 3 2 8 3 2 2" xfId="20618"/>
    <cellStyle name="Milliers 2 3 2 8 3 2 2 2" xfId="20619"/>
    <cellStyle name="Milliers 2 3 2 8 3 2 3" xfId="20620"/>
    <cellStyle name="Milliers 2 3 2 8 3 3" xfId="20621"/>
    <cellStyle name="Milliers 2 3 2 8 3 3 2" xfId="20622"/>
    <cellStyle name="Milliers 2 3 2 8 3 4" xfId="20623"/>
    <cellStyle name="Milliers 2 3 2 8 4" xfId="20624"/>
    <cellStyle name="Milliers 2 3 2 8 4 2" xfId="20625"/>
    <cellStyle name="Milliers 2 3 2 8 4 2 2" xfId="20626"/>
    <cellStyle name="Milliers 2 3 2 8 4 3" xfId="20627"/>
    <cellStyle name="Milliers 2 3 2 8 5" xfId="20628"/>
    <cellStyle name="Milliers 2 3 2 8 5 2" xfId="20629"/>
    <cellStyle name="Milliers 2 3 2 8 6" xfId="20630"/>
    <cellStyle name="Milliers 2 3 2 9" xfId="20631"/>
    <cellStyle name="Milliers 2 3 2 9 2" xfId="20632"/>
    <cellStyle name="Milliers 2 3 2 9 2 2" xfId="20633"/>
    <cellStyle name="Milliers 2 3 2 9 2 2 2" xfId="20634"/>
    <cellStyle name="Milliers 2 3 2 9 2 2 2 2" xfId="20635"/>
    <cellStyle name="Milliers 2 3 2 9 2 2 3" xfId="20636"/>
    <cellStyle name="Milliers 2 3 2 9 2 3" xfId="20637"/>
    <cellStyle name="Milliers 2 3 2 9 2 3 2" xfId="20638"/>
    <cellStyle name="Milliers 2 3 2 9 2 4" xfId="20639"/>
    <cellStyle name="Milliers 2 3 2 9 3" xfId="20640"/>
    <cellStyle name="Milliers 2 3 2 9 3 2" xfId="20641"/>
    <cellStyle name="Milliers 2 3 2 9 3 2 2" xfId="20642"/>
    <cellStyle name="Milliers 2 3 2 9 3 3" xfId="20643"/>
    <cellStyle name="Milliers 2 3 2 9 4" xfId="20644"/>
    <cellStyle name="Milliers 2 3 2 9 4 2" xfId="20645"/>
    <cellStyle name="Milliers 2 3 2 9 5" xfId="20646"/>
    <cellStyle name="Milliers 2 3 3" xfId="20647"/>
    <cellStyle name="Milliers 2 3 3 10" xfId="20648"/>
    <cellStyle name="Milliers 2 3 3 10 2" xfId="20649"/>
    <cellStyle name="Milliers 2 3 3 10 2 2" xfId="20650"/>
    <cellStyle name="Milliers 2 3 3 10 3" xfId="20651"/>
    <cellStyle name="Milliers 2 3 3 11" xfId="20652"/>
    <cellStyle name="Milliers 2 3 3 11 2" xfId="20653"/>
    <cellStyle name="Milliers 2 3 3 12" xfId="20654"/>
    <cellStyle name="Milliers 2 3 3 2" xfId="20655"/>
    <cellStyle name="Milliers 2 3 3 2 10" xfId="20656"/>
    <cellStyle name="Milliers 2 3 3 2 10 2" xfId="20657"/>
    <cellStyle name="Milliers 2 3 3 2 11" xfId="20658"/>
    <cellStyle name="Milliers 2 3 3 2 2" xfId="20659"/>
    <cellStyle name="Milliers 2 3 3 2 2 10" xfId="20660"/>
    <cellStyle name="Milliers 2 3 3 2 2 2" xfId="20661"/>
    <cellStyle name="Milliers 2 3 3 2 2 2 2" xfId="20662"/>
    <cellStyle name="Milliers 2 3 3 2 2 2 2 2" xfId="20663"/>
    <cellStyle name="Milliers 2 3 3 2 2 2 2 2 2" xfId="20664"/>
    <cellStyle name="Milliers 2 3 3 2 2 2 2 2 2 2" xfId="20665"/>
    <cellStyle name="Milliers 2 3 3 2 2 2 2 2 2 2 2" xfId="20666"/>
    <cellStyle name="Milliers 2 3 3 2 2 2 2 2 2 2 2 2" xfId="20667"/>
    <cellStyle name="Milliers 2 3 3 2 2 2 2 2 2 2 2 2 2" xfId="20668"/>
    <cellStyle name="Milliers 2 3 3 2 2 2 2 2 2 2 2 2 2 2" xfId="20669"/>
    <cellStyle name="Milliers 2 3 3 2 2 2 2 2 2 2 2 2 3" xfId="20670"/>
    <cellStyle name="Milliers 2 3 3 2 2 2 2 2 2 2 2 3" xfId="20671"/>
    <cellStyle name="Milliers 2 3 3 2 2 2 2 2 2 2 2 3 2" xfId="20672"/>
    <cellStyle name="Milliers 2 3 3 2 2 2 2 2 2 2 2 4" xfId="20673"/>
    <cellStyle name="Milliers 2 3 3 2 2 2 2 2 2 2 3" xfId="20674"/>
    <cellStyle name="Milliers 2 3 3 2 2 2 2 2 2 2 3 2" xfId="20675"/>
    <cellStyle name="Milliers 2 3 3 2 2 2 2 2 2 2 3 2 2" xfId="20676"/>
    <cellStyle name="Milliers 2 3 3 2 2 2 2 2 2 2 3 3" xfId="20677"/>
    <cellStyle name="Milliers 2 3 3 2 2 2 2 2 2 2 4" xfId="20678"/>
    <cellStyle name="Milliers 2 3 3 2 2 2 2 2 2 2 4 2" xfId="20679"/>
    <cellStyle name="Milliers 2 3 3 2 2 2 2 2 2 2 5" xfId="20680"/>
    <cellStyle name="Milliers 2 3 3 2 2 2 2 2 2 3" xfId="20681"/>
    <cellStyle name="Milliers 2 3 3 2 2 2 2 2 2 3 2" xfId="20682"/>
    <cellStyle name="Milliers 2 3 3 2 2 2 2 2 2 3 2 2" xfId="20683"/>
    <cellStyle name="Milliers 2 3 3 2 2 2 2 2 2 3 2 2 2" xfId="20684"/>
    <cellStyle name="Milliers 2 3 3 2 2 2 2 2 2 3 2 3" xfId="20685"/>
    <cellStyle name="Milliers 2 3 3 2 2 2 2 2 2 3 3" xfId="20686"/>
    <cellStyle name="Milliers 2 3 3 2 2 2 2 2 2 3 3 2" xfId="20687"/>
    <cellStyle name="Milliers 2 3 3 2 2 2 2 2 2 3 4" xfId="20688"/>
    <cellStyle name="Milliers 2 3 3 2 2 2 2 2 2 4" xfId="20689"/>
    <cellStyle name="Milliers 2 3 3 2 2 2 2 2 2 4 2" xfId="20690"/>
    <cellStyle name="Milliers 2 3 3 2 2 2 2 2 2 4 2 2" xfId="20691"/>
    <cellStyle name="Milliers 2 3 3 2 2 2 2 2 2 4 3" xfId="20692"/>
    <cellStyle name="Milliers 2 3 3 2 2 2 2 2 2 5" xfId="20693"/>
    <cellStyle name="Milliers 2 3 3 2 2 2 2 2 2 5 2" xfId="20694"/>
    <cellStyle name="Milliers 2 3 3 2 2 2 2 2 2 6" xfId="20695"/>
    <cellStyle name="Milliers 2 3 3 2 2 2 2 2 3" xfId="20696"/>
    <cellStyle name="Milliers 2 3 3 2 2 2 2 2 3 2" xfId="20697"/>
    <cellStyle name="Milliers 2 3 3 2 2 2 2 2 3 2 2" xfId="20698"/>
    <cellStyle name="Milliers 2 3 3 2 2 2 2 2 3 2 2 2" xfId="20699"/>
    <cellStyle name="Milliers 2 3 3 2 2 2 2 2 3 2 2 2 2" xfId="20700"/>
    <cellStyle name="Milliers 2 3 3 2 2 2 2 2 3 2 2 3" xfId="20701"/>
    <cellStyle name="Milliers 2 3 3 2 2 2 2 2 3 2 3" xfId="20702"/>
    <cellStyle name="Milliers 2 3 3 2 2 2 2 2 3 2 3 2" xfId="20703"/>
    <cellStyle name="Milliers 2 3 3 2 2 2 2 2 3 2 4" xfId="20704"/>
    <cellStyle name="Milliers 2 3 3 2 2 2 2 2 3 3" xfId="20705"/>
    <cellStyle name="Milliers 2 3 3 2 2 2 2 2 3 3 2" xfId="20706"/>
    <cellStyle name="Milliers 2 3 3 2 2 2 2 2 3 3 2 2" xfId="20707"/>
    <cellStyle name="Milliers 2 3 3 2 2 2 2 2 3 3 3" xfId="20708"/>
    <cellStyle name="Milliers 2 3 3 2 2 2 2 2 3 4" xfId="20709"/>
    <cellStyle name="Milliers 2 3 3 2 2 2 2 2 3 4 2" xfId="20710"/>
    <cellStyle name="Milliers 2 3 3 2 2 2 2 2 3 5" xfId="20711"/>
    <cellStyle name="Milliers 2 3 3 2 2 2 2 2 4" xfId="20712"/>
    <cellStyle name="Milliers 2 3 3 2 2 2 2 2 4 2" xfId="20713"/>
    <cellStyle name="Milliers 2 3 3 2 2 2 2 2 4 2 2" xfId="20714"/>
    <cellStyle name="Milliers 2 3 3 2 2 2 2 2 4 2 2 2" xfId="20715"/>
    <cellStyle name="Milliers 2 3 3 2 2 2 2 2 4 2 3" xfId="20716"/>
    <cellStyle name="Milliers 2 3 3 2 2 2 2 2 4 3" xfId="20717"/>
    <cellStyle name="Milliers 2 3 3 2 2 2 2 2 4 3 2" xfId="20718"/>
    <cellStyle name="Milliers 2 3 3 2 2 2 2 2 4 4" xfId="20719"/>
    <cellStyle name="Milliers 2 3 3 2 2 2 2 2 5" xfId="20720"/>
    <cellStyle name="Milliers 2 3 3 2 2 2 2 2 5 2" xfId="20721"/>
    <cellStyle name="Milliers 2 3 3 2 2 2 2 2 5 2 2" xfId="20722"/>
    <cellStyle name="Milliers 2 3 3 2 2 2 2 2 5 3" xfId="20723"/>
    <cellStyle name="Milliers 2 3 3 2 2 2 2 2 6" xfId="20724"/>
    <cellStyle name="Milliers 2 3 3 2 2 2 2 2 6 2" xfId="20725"/>
    <cellStyle name="Milliers 2 3 3 2 2 2 2 2 7" xfId="20726"/>
    <cellStyle name="Milliers 2 3 3 2 2 2 2 3" xfId="20727"/>
    <cellStyle name="Milliers 2 3 3 2 2 2 2 3 2" xfId="20728"/>
    <cellStyle name="Milliers 2 3 3 2 2 2 2 3 2 2" xfId="20729"/>
    <cellStyle name="Milliers 2 3 3 2 2 2 2 3 2 2 2" xfId="20730"/>
    <cellStyle name="Milliers 2 3 3 2 2 2 2 3 2 2 2 2" xfId="20731"/>
    <cellStyle name="Milliers 2 3 3 2 2 2 2 3 2 2 2 2 2" xfId="20732"/>
    <cellStyle name="Milliers 2 3 3 2 2 2 2 3 2 2 2 3" xfId="20733"/>
    <cellStyle name="Milliers 2 3 3 2 2 2 2 3 2 2 3" xfId="20734"/>
    <cellStyle name="Milliers 2 3 3 2 2 2 2 3 2 2 3 2" xfId="20735"/>
    <cellStyle name="Milliers 2 3 3 2 2 2 2 3 2 2 4" xfId="20736"/>
    <cellStyle name="Milliers 2 3 3 2 2 2 2 3 2 3" xfId="20737"/>
    <cellStyle name="Milliers 2 3 3 2 2 2 2 3 2 3 2" xfId="20738"/>
    <cellStyle name="Milliers 2 3 3 2 2 2 2 3 2 3 2 2" xfId="20739"/>
    <cellStyle name="Milliers 2 3 3 2 2 2 2 3 2 3 3" xfId="20740"/>
    <cellStyle name="Milliers 2 3 3 2 2 2 2 3 2 4" xfId="20741"/>
    <cellStyle name="Milliers 2 3 3 2 2 2 2 3 2 4 2" xfId="20742"/>
    <cellStyle name="Milliers 2 3 3 2 2 2 2 3 2 5" xfId="20743"/>
    <cellStyle name="Milliers 2 3 3 2 2 2 2 3 3" xfId="20744"/>
    <cellStyle name="Milliers 2 3 3 2 2 2 2 3 3 2" xfId="20745"/>
    <cellStyle name="Milliers 2 3 3 2 2 2 2 3 3 2 2" xfId="20746"/>
    <cellStyle name="Milliers 2 3 3 2 2 2 2 3 3 2 2 2" xfId="20747"/>
    <cellStyle name="Milliers 2 3 3 2 2 2 2 3 3 2 3" xfId="20748"/>
    <cellStyle name="Milliers 2 3 3 2 2 2 2 3 3 3" xfId="20749"/>
    <cellStyle name="Milliers 2 3 3 2 2 2 2 3 3 3 2" xfId="20750"/>
    <cellStyle name="Milliers 2 3 3 2 2 2 2 3 3 4" xfId="20751"/>
    <cellStyle name="Milliers 2 3 3 2 2 2 2 3 4" xfId="20752"/>
    <cellStyle name="Milliers 2 3 3 2 2 2 2 3 4 2" xfId="20753"/>
    <cellStyle name="Milliers 2 3 3 2 2 2 2 3 4 2 2" xfId="20754"/>
    <cellStyle name="Milliers 2 3 3 2 2 2 2 3 4 3" xfId="20755"/>
    <cellStyle name="Milliers 2 3 3 2 2 2 2 3 5" xfId="20756"/>
    <cellStyle name="Milliers 2 3 3 2 2 2 2 3 5 2" xfId="20757"/>
    <cellStyle name="Milliers 2 3 3 2 2 2 2 3 6" xfId="20758"/>
    <cellStyle name="Milliers 2 3 3 2 2 2 2 4" xfId="20759"/>
    <cellStyle name="Milliers 2 3 3 2 2 2 2 4 2" xfId="20760"/>
    <cellStyle name="Milliers 2 3 3 2 2 2 2 4 2 2" xfId="20761"/>
    <cellStyle name="Milliers 2 3 3 2 2 2 2 4 2 2 2" xfId="20762"/>
    <cellStyle name="Milliers 2 3 3 2 2 2 2 4 2 2 2 2" xfId="20763"/>
    <cellStyle name="Milliers 2 3 3 2 2 2 2 4 2 2 3" xfId="20764"/>
    <cellStyle name="Milliers 2 3 3 2 2 2 2 4 2 3" xfId="20765"/>
    <cellStyle name="Milliers 2 3 3 2 2 2 2 4 2 3 2" xfId="20766"/>
    <cellStyle name="Milliers 2 3 3 2 2 2 2 4 2 4" xfId="20767"/>
    <cellStyle name="Milliers 2 3 3 2 2 2 2 4 3" xfId="20768"/>
    <cellStyle name="Milliers 2 3 3 2 2 2 2 4 3 2" xfId="20769"/>
    <cellStyle name="Milliers 2 3 3 2 2 2 2 4 3 2 2" xfId="20770"/>
    <cellStyle name="Milliers 2 3 3 2 2 2 2 4 3 3" xfId="20771"/>
    <cellStyle name="Milliers 2 3 3 2 2 2 2 4 4" xfId="20772"/>
    <cellStyle name="Milliers 2 3 3 2 2 2 2 4 4 2" xfId="20773"/>
    <cellStyle name="Milliers 2 3 3 2 2 2 2 4 5" xfId="20774"/>
    <cellStyle name="Milliers 2 3 3 2 2 2 2 5" xfId="20775"/>
    <cellStyle name="Milliers 2 3 3 2 2 2 2 5 2" xfId="20776"/>
    <cellStyle name="Milliers 2 3 3 2 2 2 2 5 2 2" xfId="20777"/>
    <cellStyle name="Milliers 2 3 3 2 2 2 2 5 2 2 2" xfId="20778"/>
    <cellStyle name="Milliers 2 3 3 2 2 2 2 5 2 3" xfId="20779"/>
    <cellStyle name="Milliers 2 3 3 2 2 2 2 5 3" xfId="20780"/>
    <cellStyle name="Milliers 2 3 3 2 2 2 2 5 3 2" xfId="20781"/>
    <cellStyle name="Milliers 2 3 3 2 2 2 2 5 4" xfId="20782"/>
    <cellStyle name="Milliers 2 3 3 2 2 2 2 6" xfId="20783"/>
    <cellStyle name="Milliers 2 3 3 2 2 2 2 6 2" xfId="20784"/>
    <cellStyle name="Milliers 2 3 3 2 2 2 2 6 2 2" xfId="20785"/>
    <cellStyle name="Milliers 2 3 3 2 2 2 2 6 3" xfId="20786"/>
    <cellStyle name="Milliers 2 3 3 2 2 2 2 7" xfId="20787"/>
    <cellStyle name="Milliers 2 3 3 2 2 2 2 7 2" xfId="20788"/>
    <cellStyle name="Milliers 2 3 3 2 2 2 2 8" xfId="20789"/>
    <cellStyle name="Milliers 2 3 3 2 2 2 3" xfId="20790"/>
    <cellStyle name="Milliers 2 3 3 2 2 2 3 2" xfId="20791"/>
    <cellStyle name="Milliers 2 3 3 2 2 2 3 2 2" xfId="20792"/>
    <cellStyle name="Milliers 2 3 3 2 2 2 3 2 2 2" xfId="20793"/>
    <cellStyle name="Milliers 2 3 3 2 2 2 3 2 2 2 2" xfId="20794"/>
    <cellStyle name="Milliers 2 3 3 2 2 2 3 2 2 2 2 2" xfId="20795"/>
    <cellStyle name="Milliers 2 3 3 2 2 2 3 2 2 2 2 2 2" xfId="20796"/>
    <cellStyle name="Milliers 2 3 3 2 2 2 3 2 2 2 2 3" xfId="20797"/>
    <cellStyle name="Milliers 2 3 3 2 2 2 3 2 2 2 3" xfId="20798"/>
    <cellStyle name="Milliers 2 3 3 2 2 2 3 2 2 2 3 2" xfId="20799"/>
    <cellStyle name="Milliers 2 3 3 2 2 2 3 2 2 2 4" xfId="20800"/>
    <cellStyle name="Milliers 2 3 3 2 2 2 3 2 2 3" xfId="20801"/>
    <cellStyle name="Milliers 2 3 3 2 2 2 3 2 2 3 2" xfId="20802"/>
    <cellStyle name="Milliers 2 3 3 2 2 2 3 2 2 3 2 2" xfId="20803"/>
    <cellStyle name="Milliers 2 3 3 2 2 2 3 2 2 3 3" xfId="20804"/>
    <cellStyle name="Milliers 2 3 3 2 2 2 3 2 2 4" xfId="20805"/>
    <cellStyle name="Milliers 2 3 3 2 2 2 3 2 2 4 2" xfId="20806"/>
    <cellStyle name="Milliers 2 3 3 2 2 2 3 2 2 5" xfId="20807"/>
    <cellStyle name="Milliers 2 3 3 2 2 2 3 2 3" xfId="20808"/>
    <cellStyle name="Milliers 2 3 3 2 2 2 3 2 3 2" xfId="20809"/>
    <cellStyle name="Milliers 2 3 3 2 2 2 3 2 3 2 2" xfId="20810"/>
    <cellStyle name="Milliers 2 3 3 2 2 2 3 2 3 2 2 2" xfId="20811"/>
    <cellStyle name="Milliers 2 3 3 2 2 2 3 2 3 2 3" xfId="20812"/>
    <cellStyle name="Milliers 2 3 3 2 2 2 3 2 3 3" xfId="20813"/>
    <cellStyle name="Milliers 2 3 3 2 2 2 3 2 3 3 2" xfId="20814"/>
    <cellStyle name="Milliers 2 3 3 2 2 2 3 2 3 4" xfId="20815"/>
    <cellStyle name="Milliers 2 3 3 2 2 2 3 2 4" xfId="20816"/>
    <cellStyle name="Milliers 2 3 3 2 2 2 3 2 4 2" xfId="20817"/>
    <cellStyle name="Milliers 2 3 3 2 2 2 3 2 4 2 2" xfId="20818"/>
    <cellStyle name="Milliers 2 3 3 2 2 2 3 2 4 3" xfId="20819"/>
    <cellStyle name="Milliers 2 3 3 2 2 2 3 2 5" xfId="20820"/>
    <cellStyle name="Milliers 2 3 3 2 2 2 3 2 5 2" xfId="20821"/>
    <cellStyle name="Milliers 2 3 3 2 2 2 3 2 6" xfId="20822"/>
    <cellStyle name="Milliers 2 3 3 2 2 2 3 3" xfId="20823"/>
    <cellStyle name="Milliers 2 3 3 2 2 2 3 3 2" xfId="20824"/>
    <cellStyle name="Milliers 2 3 3 2 2 2 3 3 2 2" xfId="20825"/>
    <cellStyle name="Milliers 2 3 3 2 2 2 3 3 2 2 2" xfId="20826"/>
    <cellStyle name="Milliers 2 3 3 2 2 2 3 3 2 2 2 2" xfId="20827"/>
    <cellStyle name="Milliers 2 3 3 2 2 2 3 3 2 2 3" xfId="20828"/>
    <cellStyle name="Milliers 2 3 3 2 2 2 3 3 2 3" xfId="20829"/>
    <cellStyle name="Milliers 2 3 3 2 2 2 3 3 2 3 2" xfId="20830"/>
    <cellStyle name="Milliers 2 3 3 2 2 2 3 3 2 4" xfId="20831"/>
    <cellStyle name="Milliers 2 3 3 2 2 2 3 3 3" xfId="20832"/>
    <cellStyle name="Milliers 2 3 3 2 2 2 3 3 3 2" xfId="20833"/>
    <cellStyle name="Milliers 2 3 3 2 2 2 3 3 3 2 2" xfId="20834"/>
    <cellStyle name="Milliers 2 3 3 2 2 2 3 3 3 3" xfId="20835"/>
    <cellStyle name="Milliers 2 3 3 2 2 2 3 3 4" xfId="20836"/>
    <cellStyle name="Milliers 2 3 3 2 2 2 3 3 4 2" xfId="20837"/>
    <cellStyle name="Milliers 2 3 3 2 2 2 3 3 5" xfId="20838"/>
    <cellStyle name="Milliers 2 3 3 2 2 2 3 4" xfId="20839"/>
    <cellStyle name="Milliers 2 3 3 2 2 2 3 4 2" xfId="20840"/>
    <cellStyle name="Milliers 2 3 3 2 2 2 3 4 2 2" xfId="20841"/>
    <cellStyle name="Milliers 2 3 3 2 2 2 3 4 2 2 2" xfId="20842"/>
    <cellStyle name="Milliers 2 3 3 2 2 2 3 4 2 3" xfId="20843"/>
    <cellStyle name="Milliers 2 3 3 2 2 2 3 4 3" xfId="20844"/>
    <cellStyle name="Milliers 2 3 3 2 2 2 3 4 3 2" xfId="20845"/>
    <cellStyle name="Milliers 2 3 3 2 2 2 3 4 4" xfId="20846"/>
    <cellStyle name="Milliers 2 3 3 2 2 2 3 5" xfId="20847"/>
    <cellStyle name="Milliers 2 3 3 2 2 2 3 5 2" xfId="20848"/>
    <cellStyle name="Milliers 2 3 3 2 2 2 3 5 2 2" xfId="20849"/>
    <cellStyle name="Milliers 2 3 3 2 2 2 3 5 3" xfId="20850"/>
    <cellStyle name="Milliers 2 3 3 2 2 2 3 6" xfId="20851"/>
    <cellStyle name="Milliers 2 3 3 2 2 2 3 6 2" xfId="20852"/>
    <cellStyle name="Milliers 2 3 3 2 2 2 3 7" xfId="20853"/>
    <cellStyle name="Milliers 2 3 3 2 2 2 4" xfId="20854"/>
    <cellStyle name="Milliers 2 3 3 2 2 2 4 2" xfId="20855"/>
    <cellStyle name="Milliers 2 3 3 2 2 2 4 2 2" xfId="20856"/>
    <cellStyle name="Milliers 2 3 3 2 2 2 4 2 2 2" xfId="20857"/>
    <cellStyle name="Milliers 2 3 3 2 2 2 4 2 2 2 2" xfId="20858"/>
    <cellStyle name="Milliers 2 3 3 2 2 2 4 2 2 2 2 2" xfId="20859"/>
    <cellStyle name="Milliers 2 3 3 2 2 2 4 2 2 2 3" xfId="20860"/>
    <cellStyle name="Milliers 2 3 3 2 2 2 4 2 2 3" xfId="20861"/>
    <cellStyle name="Milliers 2 3 3 2 2 2 4 2 2 3 2" xfId="20862"/>
    <cellStyle name="Milliers 2 3 3 2 2 2 4 2 2 4" xfId="20863"/>
    <cellStyle name="Milliers 2 3 3 2 2 2 4 2 3" xfId="20864"/>
    <cellStyle name="Milliers 2 3 3 2 2 2 4 2 3 2" xfId="20865"/>
    <cellStyle name="Milliers 2 3 3 2 2 2 4 2 3 2 2" xfId="20866"/>
    <cellStyle name="Milliers 2 3 3 2 2 2 4 2 3 3" xfId="20867"/>
    <cellStyle name="Milliers 2 3 3 2 2 2 4 2 4" xfId="20868"/>
    <cellStyle name="Milliers 2 3 3 2 2 2 4 2 4 2" xfId="20869"/>
    <cellStyle name="Milliers 2 3 3 2 2 2 4 2 5" xfId="20870"/>
    <cellStyle name="Milliers 2 3 3 2 2 2 4 3" xfId="20871"/>
    <cellStyle name="Milliers 2 3 3 2 2 2 4 3 2" xfId="20872"/>
    <cellStyle name="Milliers 2 3 3 2 2 2 4 3 2 2" xfId="20873"/>
    <cellStyle name="Milliers 2 3 3 2 2 2 4 3 2 2 2" xfId="20874"/>
    <cellStyle name="Milliers 2 3 3 2 2 2 4 3 2 3" xfId="20875"/>
    <cellStyle name="Milliers 2 3 3 2 2 2 4 3 3" xfId="20876"/>
    <cellStyle name="Milliers 2 3 3 2 2 2 4 3 3 2" xfId="20877"/>
    <cellStyle name="Milliers 2 3 3 2 2 2 4 3 4" xfId="20878"/>
    <cellStyle name="Milliers 2 3 3 2 2 2 4 4" xfId="20879"/>
    <cellStyle name="Milliers 2 3 3 2 2 2 4 4 2" xfId="20880"/>
    <cellStyle name="Milliers 2 3 3 2 2 2 4 4 2 2" xfId="20881"/>
    <cellStyle name="Milliers 2 3 3 2 2 2 4 4 3" xfId="20882"/>
    <cellStyle name="Milliers 2 3 3 2 2 2 4 5" xfId="20883"/>
    <cellStyle name="Milliers 2 3 3 2 2 2 4 5 2" xfId="20884"/>
    <cellStyle name="Milliers 2 3 3 2 2 2 4 6" xfId="20885"/>
    <cellStyle name="Milliers 2 3 3 2 2 2 5" xfId="20886"/>
    <cellStyle name="Milliers 2 3 3 2 2 2 5 2" xfId="20887"/>
    <cellStyle name="Milliers 2 3 3 2 2 2 5 2 2" xfId="20888"/>
    <cellStyle name="Milliers 2 3 3 2 2 2 5 2 2 2" xfId="20889"/>
    <cellStyle name="Milliers 2 3 3 2 2 2 5 2 2 2 2" xfId="20890"/>
    <cellStyle name="Milliers 2 3 3 2 2 2 5 2 2 3" xfId="20891"/>
    <cellStyle name="Milliers 2 3 3 2 2 2 5 2 3" xfId="20892"/>
    <cellStyle name="Milliers 2 3 3 2 2 2 5 2 3 2" xfId="20893"/>
    <cellStyle name="Milliers 2 3 3 2 2 2 5 2 4" xfId="20894"/>
    <cellStyle name="Milliers 2 3 3 2 2 2 5 3" xfId="20895"/>
    <cellStyle name="Milliers 2 3 3 2 2 2 5 3 2" xfId="20896"/>
    <cellStyle name="Milliers 2 3 3 2 2 2 5 3 2 2" xfId="20897"/>
    <cellStyle name="Milliers 2 3 3 2 2 2 5 3 3" xfId="20898"/>
    <cellStyle name="Milliers 2 3 3 2 2 2 5 4" xfId="20899"/>
    <cellStyle name="Milliers 2 3 3 2 2 2 5 4 2" xfId="20900"/>
    <cellStyle name="Milliers 2 3 3 2 2 2 5 5" xfId="20901"/>
    <cellStyle name="Milliers 2 3 3 2 2 2 6" xfId="20902"/>
    <cellStyle name="Milliers 2 3 3 2 2 2 6 2" xfId="20903"/>
    <cellStyle name="Milliers 2 3 3 2 2 2 6 2 2" xfId="20904"/>
    <cellStyle name="Milliers 2 3 3 2 2 2 6 2 2 2" xfId="20905"/>
    <cellStyle name="Milliers 2 3 3 2 2 2 6 2 3" xfId="20906"/>
    <cellStyle name="Milliers 2 3 3 2 2 2 6 3" xfId="20907"/>
    <cellStyle name="Milliers 2 3 3 2 2 2 6 3 2" xfId="20908"/>
    <cellStyle name="Milliers 2 3 3 2 2 2 6 4" xfId="20909"/>
    <cellStyle name="Milliers 2 3 3 2 2 2 7" xfId="20910"/>
    <cellStyle name="Milliers 2 3 3 2 2 2 7 2" xfId="20911"/>
    <cellStyle name="Milliers 2 3 3 2 2 2 7 2 2" xfId="20912"/>
    <cellStyle name="Milliers 2 3 3 2 2 2 7 3" xfId="20913"/>
    <cellStyle name="Milliers 2 3 3 2 2 2 8" xfId="20914"/>
    <cellStyle name="Milliers 2 3 3 2 2 2 8 2" xfId="20915"/>
    <cellStyle name="Milliers 2 3 3 2 2 2 9" xfId="20916"/>
    <cellStyle name="Milliers 2 3 3 2 2 3" xfId="20917"/>
    <cellStyle name="Milliers 2 3 3 2 2 3 2" xfId="20918"/>
    <cellStyle name="Milliers 2 3 3 2 2 3 2 2" xfId="20919"/>
    <cellStyle name="Milliers 2 3 3 2 2 3 2 2 2" xfId="20920"/>
    <cellStyle name="Milliers 2 3 3 2 2 3 2 2 2 2" xfId="20921"/>
    <cellStyle name="Milliers 2 3 3 2 2 3 2 2 2 2 2" xfId="20922"/>
    <cellStyle name="Milliers 2 3 3 2 2 3 2 2 2 2 2 2" xfId="20923"/>
    <cellStyle name="Milliers 2 3 3 2 2 3 2 2 2 2 2 2 2" xfId="20924"/>
    <cellStyle name="Milliers 2 3 3 2 2 3 2 2 2 2 2 3" xfId="20925"/>
    <cellStyle name="Milliers 2 3 3 2 2 3 2 2 2 2 3" xfId="20926"/>
    <cellStyle name="Milliers 2 3 3 2 2 3 2 2 2 2 3 2" xfId="20927"/>
    <cellStyle name="Milliers 2 3 3 2 2 3 2 2 2 2 4" xfId="20928"/>
    <cellStyle name="Milliers 2 3 3 2 2 3 2 2 2 3" xfId="20929"/>
    <cellStyle name="Milliers 2 3 3 2 2 3 2 2 2 3 2" xfId="20930"/>
    <cellStyle name="Milliers 2 3 3 2 2 3 2 2 2 3 2 2" xfId="20931"/>
    <cellStyle name="Milliers 2 3 3 2 2 3 2 2 2 3 3" xfId="20932"/>
    <cellStyle name="Milliers 2 3 3 2 2 3 2 2 2 4" xfId="20933"/>
    <cellStyle name="Milliers 2 3 3 2 2 3 2 2 2 4 2" xfId="20934"/>
    <cellStyle name="Milliers 2 3 3 2 2 3 2 2 2 5" xfId="20935"/>
    <cellStyle name="Milliers 2 3 3 2 2 3 2 2 3" xfId="20936"/>
    <cellStyle name="Milliers 2 3 3 2 2 3 2 2 3 2" xfId="20937"/>
    <cellStyle name="Milliers 2 3 3 2 2 3 2 2 3 2 2" xfId="20938"/>
    <cellStyle name="Milliers 2 3 3 2 2 3 2 2 3 2 2 2" xfId="20939"/>
    <cellStyle name="Milliers 2 3 3 2 2 3 2 2 3 2 3" xfId="20940"/>
    <cellStyle name="Milliers 2 3 3 2 2 3 2 2 3 3" xfId="20941"/>
    <cellStyle name="Milliers 2 3 3 2 2 3 2 2 3 3 2" xfId="20942"/>
    <cellStyle name="Milliers 2 3 3 2 2 3 2 2 3 4" xfId="20943"/>
    <cellStyle name="Milliers 2 3 3 2 2 3 2 2 4" xfId="20944"/>
    <cellStyle name="Milliers 2 3 3 2 2 3 2 2 4 2" xfId="20945"/>
    <cellStyle name="Milliers 2 3 3 2 2 3 2 2 4 2 2" xfId="20946"/>
    <cellStyle name="Milliers 2 3 3 2 2 3 2 2 4 3" xfId="20947"/>
    <cellStyle name="Milliers 2 3 3 2 2 3 2 2 5" xfId="20948"/>
    <cellStyle name="Milliers 2 3 3 2 2 3 2 2 5 2" xfId="20949"/>
    <cellStyle name="Milliers 2 3 3 2 2 3 2 2 6" xfId="20950"/>
    <cellStyle name="Milliers 2 3 3 2 2 3 2 3" xfId="20951"/>
    <cellStyle name="Milliers 2 3 3 2 2 3 2 3 2" xfId="20952"/>
    <cellStyle name="Milliers 2 3 3 2 2 3 2 3 2 2" xfId="20953"/>
    <cellStyle name="Milliers 2 3 3 2 2 3 2 3 2 2 2" xfId="20954"/>
    <cellStyle name="Milliers 2 3 3 2 2 3 2 3 2 2 2 2" xfId="20955"/>
    <cellStyle name="Milliers 2 3 3 2 2 3 2 3 2 2 3" xfId="20956"/>
    <cellStyle name="Milliers 2 3 3 2 2 3 2 3 2 3" xfId="20957"/>
    <cellStyle name="Milliers 2 3 3 2 2 3 2 3 2 3 2" xfId="20958"/>
    <cellStyle name="Milliers 2 3 3 2 2 3 2 3 2 4" xfId="20959"/>
    <cellStyle name="Milliers 2 3 3 2 2 3 2 3 3" xfId="20960"/>
    <cellStyle name="Milliers 2 3 3 2 2 3 2 3 3 2" xfId="20961"/>
    <cellStyle name="Milliers 2 3 3 2 2 3 2 3 3 2 2" xfId="20962"/>
    <cellStyle name="Milliers 2 3 3 2 2 3 2 3 3 3" xfId="20963"/>
    <cellStyle name="Milliers 2 3 3 2 2 3 2 3 4" xfId="20964"/>
    <cellStyle name="Milliers 2 3 3 2 2 3 2 3 4 2" xfId="20965"/>
    <cellStyle name="Milliers 2 3 3 2 2 3 2 3 5" xfId="20966"/>
    <cellStyle name="Milliers 2 3 3 2 2 3 2 4" xfId="20967"/>
    <cellStyle name="Milliers 2 3 3 2 2 3 2 4 2" xfId="20968"/>
    <cellStyle name="Milliers 2 3 3 2 2 3 2 4 2 2" xfId="20969"/>
    <cellStyle name="Milliers 2 3 3 2 2 3 2 4 2 2 2" xfId="20970"/>
    <cellStyle name="Milliers 2 3 3 2 2 3 2 4 2 3" xfId="20971"/>
    <cellStyle name="Milliers 2 3 3 2 2 3 2 4 3" xfId="20972"/>
    <cellStyle name="Milliers 2 3 3 2 2 3 2 4 3 2" xfId="20973"/>
    <cellStyle name="Milliers 2 3 3 2 2 3 2 4 4" xfId="20974"/>
    <cellStyle name="Milliers 2 3 3 2 2 3 2 5" xfId="20975"/>
    <cellStyle name="Milliers 2 3 3 2 2 3 2 5 2" xfId="20976"/>
    <cellStyle name="Milliers 2 3 3 2 2 3 2 5 2 2" xfId="20977"/>
    <cellStyle name="Milliers 2 3 3 2 2 3 2 5 3" xfId="20978"/>
    <cellStyle name="Milliers 2 3 3 2 2 3 2 6" xfId="20979"/>
    <cellStyle name="Milliers 2 3 3 2 2 3 2 6 2" xfId="20980"/>
    <cellStyle name="Milliers 2 3 3 2 2 3 2 7" xfId="20981"/>
    <cellStyle name="Milliers 2 3 3 2 2 3 3" xfId="20982"/>
    <cellStyle name="Milliers 2 3 3 2 2 3 3 2" xfId="20983"/>
    <cellStyle name="Milliers 2 3 3 2 2 3 3 2 2" xfId="20984"/>
    <cellStyle name="Milliers 2 3 3 2 2 3 3 2 2 2" xfId="20985"/>
    <cellStyle name="Milliers 2 3 3 2 2 3 3 2 2 2 2" xfId="20986"/>
    <cellStyle name="Milliers 2 3 3 2 2 3 3 2 2 2 2 2" xfId="20987"/>
    <cellStyle name="Milliers 2 3 3 2 2 3 3 2 2 2 3" xfId="20988"/>
    <cellStyle name="Milliers 2 3 3 2 2 3 3 2 2 3" xfId="20989"/>
    <cellStyle name="Milliers 2 3 3 2 2 3 3 2 2 3 2" xfId="20990"/>
    <cellStyle name="Milliers 2 3 3 2 2 3 3 2 2 4" xfId="20991"/>
    <cellStyle name="Milliers 2 3 3 2 2 3 3 2 3" xfId="20992"/>
    <cellStyle name="Milliers 2 3 3 2 2 3 3 2 3 2" xfId="20993"/>
    <cellStyle name="Milliers 2 3 3 2 2 3 3 2 3 2 2" xfId="20994"/>
    <cellStyle name="Milliers 2 3 3 2 2 3 3 2 3 3" xfId="20995"/>
    <cellStyle name="Milliers 2 3 3 2 2 3 3 2 4" xfId="20996"/>
    <cellStyle name="Milliers 2 3 3 2 2 3 3 2 4 2" xfId="20997"/>
    <cellStyle name="Milliers 2 3 3 2 2 3 3 2 5" xfId="20998"/>
    <cellStyle name="Milliers 2 3 3 2 2 3 3 3" xfId="20999"/>
    <cellStyle name="Milliers 2 3 3 2 2 3 3 3 2" xfId="21000"/>
    <cellStyle name="Milliers 2 3 3 2 2 3 3 3 2 2" xfId="21001"/>
    <cellStyle name="Milliers 2 3 3 2 2 3 3 3 2 2 2" xfId="21002"/>
    <cellStyle name="Milliers 2 3 3 2 2 3 3 3 2 3" xfId="21003"/>
    <cellStyle name="Milliers 2 3 3 2 2 3 3 3 3" xfId="21004"/>
    <cellStyle name="Milliers 2 3 3 2 2 3 3 3 3 2" xfId="21005"/>
    <cellStyle name="Milliers 2 3 3 2 2 3 3 3 4" xfId="21006"/>
    <cellStyle name="Milliers 2 3 3 2 2 3 3 4" xfId="21007"/>
    <cellStyle name="Milliers 2 3 3 2 2 3 3 4 2" xfId="21008"/>
    <cellStyle name="Milliers 2 3 3 2 2 3 3 4 2 2" xfId="21009"/>
    <cellStyle name="Milliers 2 3 3 2 2 3 3 4 3" xfId="21010"/>
    <cellStyle name="Milliers 2 3 3 2 2 3 3 5" xfId="21011"/>
    <cellStyle name="Milliers 2 3 3 2 2 3 3 5 2" xfId="21012"/>
    <cellStyle name="Milliers 2 3 3 2 2 3 3 6" xfId="21013"/>
    <cellStyle name="Milliers 2 3 3 2 2 3 4" xfId="21014"/>
    <cellStyle name="Milliers 2 3 3 2 2 3 4 2" xfId="21015"/>
    <cellStyle name="Milliers 2 3 3 2 2 3 4 2 2" xfId="21016"/>
    <cellStyle name="Milliers 2 3 3 2 2 3 4 2 2 2" xfId="21017"/>
    <cellStyle name="Milliers 2 3 3 2 2 3 4 2 2 2 2" xfId="21018"/>
    <cellStyle name="Milliers 2 3 3 2 2 3 4 2 2 3" xfId="21019"/>
    <cellStyle name="Milliers 2 3 3 2 2 3 4 2 3" xfId="21020"/>
    <cellStyle name="Milliers 2 3 3 2 2 3 4 2 3 2" xfId="21021"/>
    <cellStyle name="Milliers 2 3 3 2 2 3 4 2 4" xfId="21022"/>
    <cellStyle name="Milliers 2 3 3 2 2 3 4 3" xfId="21023"/>
    <cellStyle name="Milliers 2 3 3 2 2 3 4 3 2" xfId="21024"/>
    <cellStyle name="Milliers 2 3 3 2 2 3 4 3 2 2" xfId="21025"/>
    <cellStyle name="Milliers 2 3 3 2 2 3 4 3 3" xfId="21026"/>
    <cellStyle name="Milliers 2 3 3 2 2 3 4 4" xfId="21027"/>
    <cellStyle name="Milliers 2 3 3 2 2 3 4 4 2" xfId="21028"/>
    <cellStyle name="Milliers 2 3 3 2 2 3 4 5" xfId="21029"/>
    <cellStyle name="Milliers 2 3 3 2 2 3 5" xfId="21030"/>
    <cellStyle name="Milliers 2 3 3 2 2 3 5 2" xfId="21031"/>
    <cellStyle name="Milliers 2 3 3 2 2 3 5 2 2" xfId="21032"/>
    <cellStyle name="Milliers 2 3 3 2 2 3 5 2 2 2" xfId="21033"/>
    <cellStyle name="Milliers 2 3 3 2 2 3 5 2 3" xfId="21034"/>
    <cellStyle name="Milliers 2 3 3 2 2 3 5 3" xfId="21035"/>
    <cellStyle name="Milliers 2 3 3 2 2 3 5 3 2" xfId="21036"/>
    <cellStyle name="Milliers 2 3 3 2 2 3 5 4" xfId="21037"/>
    <cellStyle name="Milliers 2 3 3 2 2 3 6" xfId="21038"/>
    <cellStyle name="Milliers 2 3 3 2 2 3 6 2" xfId="21039"/>
    <cellStyle name="Milliers 2 3 3 2 2 3 6 2 2" xfId="21040"/>
    <cellStyle name="Milliers 2 3 3 2 2 3 6 3" xfId="21041"/>
    <cellStyle name="Milliers 2 3 3 2 2 3 7" xfId="21042"/>
    <cellStyle name="Milliers 2 3 3 2 2 3 7 2" xfId="21043"/>
    <cellStyle name="Milliers 2 3 3 2 2 3 8" xfId="21044"/>
    <cellStyle name="Milliers 2 3 3 2 2 4" xfId="21045"/>
    <cellStyle name="Milliers 2 3 3 2 2 4 2" xfId="21046"/>
    <cellStyle name="Milliers 2 3 3 2 2 4 2 2" xfId="21047"/>
    <cellStyle name="Milliers 2 3 3 2 2 4 2 2 2" xfId="21048"/>
    <cellStyle name="Milliers 2 3 3 2 2 4 2 2 2 2" xfId="21049"/>
    <cellStyle name="Milliers 2 3 3 2 2 4 2 2 2 2 2" xfId="21050"/>
    <cellStyle name="Milliers 2 3 3 2 2 4 2 2 2 2 2 2" xfId="21051"/>
    <cellStyle name="Milliers 2 3 3 2 2 4 2 2 2 2 3" xfId="21052"/>
    <cellStyle name="Milliers 2 3 3 2 2 4 2 2 2 3" xfId="21053"/>
    <cellStyle name="Milliers 2 3 3 2 2 4 2 2 2 3 2" xfId="21054"/>
    <cellStyle name="Milliers 2 3 3 2 2 4 2 2 2 4" xfId="21055"/>
    <cellStyle name="Milliers 2 3 3 2 2 4 2 2 3" xfId="21056"/>
    <cellStyle name="Milliers 2 3 3 2 2 4 2 2 3 2" xfId="21057"/>
    <cellStyle name="Milliers 2 3 3 2 2 4 2 2 3 2 2" xfId="21058"/>
    <cellStyle name="Milliers 2 3 3 2 2 4 2 2 3 3" xfId="21059"/>
    <cellStyle name="Milliers 2 3 3 2 2 4 2 2 4" xfId="21060"/>
    <cellStyle name="Milliers 2 3 3 2 2 4 2 2 4 2" xfId="21061"/>
    <cellStyle name="Milliers 2 3 3 2 2 4 2 2 5" xfId="21062"/>
    <cellStyle name="Milliers 2 3 3 2 2 4 2 3" xfId="21063"/>
    <cellStyle name="Milliers 2 3 3 2 2 4 2 3 2" xfId="21064"/>
    <cellStyle name="Milliers 2 3 3 2 2 4 2 3 2 2" xfId="21065"/>
    <cellStyle name="Milliers 2 3 3 2 2 4 2 3 2 2 2" xfId="21066"/>
    <cellStyle name="Milliers 2 3 3 2 2 4 2 3 2 3" xfId="21067"/>
    <cellStyle name="Milliers 2 3 3 2 2 4 2 3 3" xfId="21068"/>
    <cellStyle name="Milliers 2 3 3 2 2 4 2 3 3 2" xfId="21069"/>
    <cellStyle name="Milliers 2 3 3 2 2 4 2 3 4" xfId="21070"/>
    <cellStyle name="Milliers 2 3 3 2 2 4 2 4" xfId="21071"/>
    <cellStyle name="Milliers 2 3 3 2 2 4 2 4 2" xfId="21072"/>
    <cellStyle name="Milliers 2 3 3 2 2 4 2 4 2 2" xfId="21073"/>
    <cellStyle name="Milliers 2 3 3 2 2 4 2 4 3" xfId="21074"/>
    <cellStyle name="Milliers 2 3 3 2 2 4 2 5" xfId="21075"/>
    <cellStyle name="Milliers 2 3 3 2 2 4 2 5 2" xfId="21076"/>
    <cellStyle name="Milliers 2 3 3 2 2 4 2 6" xfId="21077"/>
    <cellStyle name="Milliers 2 3 3 2 2 4 3" xfId="21078"/>
    <cellStyle name="Milliers 2 3 3 2 2 4 3 2" xfId="21079"/>
    <cellStyle name="Milliers 2 3 3 2 2 4 3 2 2" xfId="21080"/>
    <cellStyle name="Milliers 2 3 3 2 2 4 3 2 2 2" xfId="21081"/>
    <cellStyle name="Milliers 2 3 3 2 2 4 3 2 2 2 2" xfId="21082"/>
    <cellStyle name="Milliers 2 3 3 2 2 4 3 2 2 3" xfId="21083"/>
    <cellStyle name="Milliers 2 3 3 2 2 4 3 2 3" xfId="21084"/>
    <cellStyle name="Milliers 2 3 3 2 2 4 3 2 3 2" xfId="21085"/>
    <cellStyle name="Milliers 2 3 3 2 2 4 3 2 4" xfId="21086"/>
    <cellStyle name="Milliers 2 3 3 2 2 4 3 3" xfId="21087"/>
    <cellStyle name="Milliers 2 3 3 2 2 4 3 3 2" xfId="21088"/>
    <cellStyle name="Milliers 2 3 3 2 2 4 3 3 2 2" xfId="21089"/>
    <cellStyle name="Milliers 2 3 3 2 2 4 3 3 3" xfId="21090"/>
    <cellStyle name="Milliers 2 3 3 2 2 4 3 4" xfId="21091"/>
    <cellStyle name="Milliers 2 3 3 2 2 4 3 4 2" xfId="21092"/>
    <cellStyle name="Milliers 2 3 3 2 2 4 3 5" xfId="21093"/>
    <cellStyle name="Milliers 2 3 3 2 2 4 4" xfId="21094"/>
    <cellStyle name="Milliers 2 3 3 2 2 4 4 2" xfId="21095"/>
    <cellStyle name="Milliers 2 3 3 2 2 4 4 2 2" xfId="21096"/>
    <cellStyle name="Milliers 2 3 3 2 2 4 4 2 2 2" xfId="21097"/>
    <cellStyle name="Milliers 2 3 3 2 2 4 4 2 3" xfId="21098"/>
    <cellStyle name="Milliers 2 3 3 2 2 4 4 3" xfId="21099"/>
    <cellStyle name="Milliers 2 3 3 2 2 4 4 3 2" xfId="21100"/>
    <cellStyle name="Milliers 2 3 3 2 2 4 4 4" xfId="21101"/>
    <cellStyle name="Milliers 2 3 3 2 2 4 5" xfId="21102"/>
    <cellStyle name="Milliers 2 3 3 2 2 4 5 2" xfId="21103"/>
    <cellStyle name="Milliers 2 3 3 2 2 4 5 2 2" xfId="21104"/>
    <cellStyle name="Milliers 2 3 3 2 2 4 5 3" xfId="21105"/>
    <cellStyle name="Milliers 2 3 3 2 2 4 6" xfId="21106"/>
    <cellStyle name="Milliers 2 3 3 2 2 4 6 2" xfId="21107"/>
    <cellStyle name="Milliers 2 3 3 2 2 4 7" xfId="21108"/>
    <cellStyle name="Milliers 2 3 3 2 2 5" xfId="21109"/>
    <cellStyle name="Milliers 2 3 3 2 2 5 2" xfId="21110"/>
    <cellStyle name="Milliers 2 3 3 2 2 5 2 2" xfId="21111"/>
    <cellStyle name="Milliers 2 3 3 2 2 5 2 2 2" xfId="21112"/>
    <cellStyle name="Milliers 2 3 3 2 2 5 2 2 2 2" xfId="21113"/>
    <cellStyle name="Milliers 2 3 3 2 2 5 2 2 2 2 2" xfId="21114"/>
    <cellStyle name="Milliers 2 3 3 2 2 5 2 2 2 3" xfId="21115"/>
    <cellStyle name="Milliers 2 3 3 2 2 5 2 2 3" xfId="21116"/>
    <cellStyle name="Milliers 2 3 3 2 2 5 2 2 3 2" xfId="21117"/>
    <cellStyle name="Milliers 2 3 3 2 2 5 2 2 4" xfId="21118"/>
    <cellStyle name="Milliers 2 3 3 2 2 5 2 3" xfId="21119"/>
    <cellStyle name="Milliers 2 3 3 2 2 5 2 3 2" xfId="21120"/>
    <cellStyle name="Milliers 2 3 3 2 2 5 2 3 2 2" xfId="21121"/>
    <cellStyle name="Milliers 2 3 3 2 2 5 2 3 3" xfId="21122"/>
    <cellStyle name="Milliers 2 3 3 2 2 5 2 4" xfId="21123"/>
    <cellStyle name="Milliers 2 3 3 2 2 5 2 4 2" xfId="21124"/>
    <cellStyle name="Milliers 2 3 3 2 2 5 2 5" xfId="21125"/>
    <cellStyle name="Milliers 2 3 3 2 2 5 3" xfId="21126"/>
    <cellStyle name="Milliers 2 3 3 2 2 5 3 2" xfId="21127"/>
    <cellStyle name="Milliers 2 3 3 2 2 5 3 2 2" xfId="21128"/>
    <cellStyle name="Milliers 2 3 3 2 2 5 3 2 2 2" xfId="21129"/>
    <cellStyle name="Milliers 2 3 3 2 2 5 3 2 3" xfId="21130"/>
    <cellStyle name="Milliers 2 3 3 2 2 5 3 3" xfId="21131"/>
    <cellStyle name="Milliers 2 3 3 2 2 5 3 3 2" xfId="21132"/>
    <cellStyle name="Milliers 2 3 3 2 2 5 3 4" xfId="21133"/>
    <cellStyle name="Milliers 2 3 3 2 2 5 4" xfId="21134"/>
    <cellStyle name="Milliers 2 3 3 2 2 5 4 2" xfId="21135"/>
    <cellStyle name="Milliers 2 3 3 2 2 5 4 2 2" xfId="21136"/>
    <cellStyle name="Milliers 2 3 3 2 2 5 4 3" xfId="21137"/>
    <cellStyle name="Milliers 2 3 3 2 2 5 5" xfId="21138"/>
    <cellStyle name="Milliers 2 3 3 2 2 5 5 2" xfId="21139"/>
    <cellStyle name="Milliers 2 3 3 2 2 5 6" xfId="21140"/>
    <cellStyle name="Milliers 2 3 3 2 2 6" xfId="21141"/>
    <cellStyle name="Milliers 2 3 3 2 2 6 2" xfId="21142"/>
    <cellStyle name="Milliers 2 3 3 2 2 6 2 2" xfId="21143"/>
    <cellStyle name="Milliers 2 3 3 2 2 6 2 2 2" xfId="21144"/>
    <cellStyle name="Milliers 2 3 3 2 2 6 2 2 2 2" xfId="21145"/>
    <cellStyle name="Milliers 2 3 3 2 2 6 2 2 3" xfId="21146"/>
    <cellStyle name="Milliers 2 3 3 2 2 6 2 3" xfId="21147"/>
    <cellStyle name="Milliers 2 3 3 2 2 6 2 3 2" xfId="21148"/>
    <cellStyle name="Milliers 2 3 3 2 2 6 2 4" xfId="21149"/>
    <cellStyle name="Milliers 2 3 3 2 2 6 3" xfId="21150"/>
    <cellStyle name="Milliers 2 3 3 2 2 6 3 2" xfId="21151"/>
    <cellStyle name="Milliers 2 3 3 2 2 6 3 2 2" xfId="21152"/>
    <cellStyle name="Milliers 2 3 3 2 2 6 3 3" xfId="21153"/>
    <cellStyle name="Milliers 2 3 3 2 2 6 4" xfId="21154"/>
    <cellStyle name="Milliers 2 3 3 2 2 6 4 2" xfId="21155"/>
    <cellStyle name="Milliers 2 3 3 2 2 6 5" xfId="21156"/>
    <cellStyle name="Milliers 2 3 3 2 2 7" xfId="21157"/>
    <cellStyle name="Milliers 2 3 3 2 2 7 2" xfId="21158"/>
    <cellStyle name="Milliers 2 3 3 2 2 7 2 2" xfId="21159"/>
    <cellStyle name="Milliers 2 3 3 2 2 7 2 2 2" xfId="21160"/>
    <cellStyle name="Milliers 2 3 3 2 2 7 2 3" xfId="21161"/>
    <cellStyle name="Milliers 2 3 3 2 2 7 3" xfId="21162"/>
    <cellStyle name="Milliers 2 3 3 2 2 7 3 2" xfId="21163"/>
    <cellStyle name="Milliers 2 3 3 2 2 7 4" xfId="21164"/>
    <cellStyle name="Milliers 2 3 3 2 2 8" xfId="21165"/>
    <cellStyle name="Milliers 2 3 3 2 2 8 2" xfId="21166"/>
    <cellStyle name="Milliers 2 3 3 2 2 8 2 2" xfId="21167"/>
    <cellStyle name="Milliers 2 3 3 2 2 8 3" xfId="21168"/>
    <cellStyle name="Milliers 2 3 3 2 2 9" xfId="21169"/>
    <cellStyle name="Milliers 2 3 3 2 2 9 2" xfId="21170"/>
    <cellStyle name="Milliers 2 3 3 2 3" xfId="21171"/>
    <cellStyle name="Milliers 2 3 3 2 3 2" xfId="21172"/>
    <cellStyle name="Milliers 2 3 3 2 3 2 2" xfId="21173"/>
    <cellStyle name="Milliers 2 3 3 2 3 2 2 2" xfId="21174"/>
    <cellStyle name="Milliers 2 3 3 2 3 2 2 2 2" xfId="21175"/>
    <cellStyle name="Milliers 2 3 3 2 3 2 2 2 2 2" xfId="21176"/>
    <cellStyle name="Milliers 2 3 3 2 3 2 2 2 2 2 2" xfId="21177"/>
    <cellStyle name="Milliers 2 3 3 2 3 2 2 2 2 2 2 2" xfId="21178"/>
    <cellStyle name="Milliers 2 3 3 2 3 2 2 2 2 2 2 2 2" xfId="21179"/>
    <cellStyle name="Milliers 2 3 3 2 3 2 2 2 2 2 2 3" xfId="21180"/>
    <cellStyle name="Milliers 2 3 3 2 3 2 2 2 2 2 3" xfId="21181"/>
    <cellStyle name="Milliers 2 3 3 2 3 2 2 2 2 2 3 2" xfId="21182"/>
    <cellStyle name="Milliers 2 3 3 2 3 2 2 2 2 2 4" xfId="21183"/>
    <cellStyle name="Milliers 2 3 3 2 3 2 2 2 2 3" xfId="21184"/>
    <cellStyle name="Milliers 2 3 3 2 3 2 2 2 2 3 2" xfId="21185"/>
    <cellStyle name="Milliers 2 3 3 2 3 2 2 2 2 3 2 2" xfId="21186"/>
    <cellStyle name="Milliers 2 3 3 2 3 2 2 2 2 3 3" xfId="21187"/>
    <cellStyle name="Milliers 2 3 3 2 3 2 2 2 2 4" xfId="21188"/>
    <cellStyle name="Milliers 2 3 3 2 3 2 2 2 2 4 2" xfId="21189"/>
    <cellStyle name="Milliers 2 3 3 2 3 2 2 2 2 5" xfId="21190"/>
    <cellStyle name="Milliers 2 3 3 2 3 2 2 2 3" xfId="21191"/>
    <cellStyle name="Milliers 2 3 3 2 3 2 2 2 3 2" xfId="21192"/>
    <cellStyle name="Milliers 2 3 3 2 3 2 2 2 3 2 2" xfId="21193"/>
    <cellStyle name="Milliers 2 3 3 2 3 2 2 2 3 2 2 2" xfId="21194"/>
    <cellStyle name="Milliers 2 3 3 2 3 2 2 2 3 2 3" xfId="21195"/>
    <cellStyle name="Milliers 2 3 3 2 3 2 2 2 3 3" xfId="21196"/>
    <cellStyle name="Milliers 2 3 3 2 3 2 2 2 3 3 2" xfId="21197"/>
    <cellStyle name="Milliers 2 3 3 2 3 2 2 2 3 4" xfId="21198"/>
    <cellStyle name="Milliers 2 3 3 2 3 2 2 2 4" xfId="21199"/>
    <cellStyle name="Milliers 2 3 3 2 3 2 2 2 4 2" xfId="21200"/>
    <cellStyle name="Milliers 2 3 3 2 3 2 2 2 4 2 2" xfId="21201"/>
    <cellStyle name="Milliers 2 3 3 2 3 2 2 2 4 3" xfId="21202"/>
    <cellStyle name="Milliers 2 3 3 2 3 2 2 2 5" xfId="21203"/>
    <cellStyle name="Milliers 2 3 3 2 3 2 2 2 5 2" xfId="21204"/>
    <cellStyle name="Milliers 2 3 3 2 3 2 2 2 6" xfId="21205"/>
    <cellStyle name="Milliers 2 3 3 2 3 2 2 3" xfId="21206"/>
    <cellStyle name="Milliers 2 3 3 2 3 2 2 3 2" xfId="21207"/>
    <cellStyle name="Milliers 2 3 3 2 3 2 2 3 2 2" xfId="21208"/>
    <cellStyle name="Milliers 2 3 3 2 3 2 2 3 2 2 2" xfId="21209"/>
    <cellStyle name="Milliers 2 3 3 2 3 2 2 3 2 2 2 2" xfId="21210"/>
    <cellStyle name="Milliers 2 3 3 2 3 2 2 3 2 2 3" xfId="21211"/>
    <cellStyle name="Milliers 2 3 3 2 3 2 2 3 2 3" xfId="21212"/>
    <cellStyle name="Milliers 2 3 3 2 3 2 2 3 2 3 2" xfId="21213"/>
    <cellStyle name="Milliers 2 3 3 2 3 2 2 3 2 4" xfId="21214"/>
    <cellStyle name="Milliers 2 3 3 2 3 2 2 3 3" xfId="21215"/>
    <cellStyle name="Milliers 2 3 3 2 3 2 2 3 3 2" xfId="21216"/>
    <cellStyle name="Milliers 2 3 3 2 3 2 2 3 3 2 2" xfId="21217"/>
    <cellStyle name="Milliers 2 3 3 2 3 2 2 3 3 3" xfId="21218"/>
    <cellStyle name="Milliers 2 3 3 2 3 2 2 3 4" xfId="21219"/>
    <cellStyle name="Milliers 2 3 3 2 3 2 2 3 4 2" xfId="21220"/>
    <cellStyle name="Milliers 2 3 3 2 3 2 2 3 5" xfId="21221"/>
    <cellStyle name="Milliers 2 3 3 2 3 2 2 4" xfId="21222"/>
    <cellStyle name="Milliers 2 3 3 2 3 2 2 4 2" xfId="21223"/>
    <cellStyle name="Milliers 2 3 3 2 3 2 2 4 2 2" xfId="21224"/>
    <cellStyle name="Milliers 2 3 3 2 3 2 2 4 2 2 2" xfId="21225"/>
    <cellStyle name="Milliers 2 3 3 2 3 2 2 4 2 3" xfId="21226"/>
    <cellStyle name="Milliers 2 3 3 2 3 2 2 4 3" xfId="21227"/>
    <cellStyle name="Milliers 2 3 3 2 3 2 2 4 3 2" xfId="21228"/>
    <cellStyle name="Milliers 2 3 3 2 3 2 2 4 4" xfId="21229"/>
    <cellStyle name="Milliers 2 3 3 2 3 2 2 5" xfId="21230"/>
    <cellStyle name="Milliers 2 3 3 2 3 2 2 5 2" xfId="21231"/>
    <cellStyle name="Milliers 2 3 3 2 3 2 2 5 2 2" xfId="21232"/>
    <cellStyle name="Milliers 2 3 3 2 3 2 2 5 3" xfId="21233"/>
    <cellStyle name="Milliers 2 3 3 2 3 2 2 6" xfId="21234"/>
    <cellStyle name="Milliers 2 3 3 2 3 2 2 6 2" xfId="21235"/>
    <cellStyle name="Milliers 2 3 3 2 3 2 2 7" xfId="21236"/>
    <cellStyle name="Milliers 2 3 3 2 3 2 3" xfId="21237"/>
    <cellStyle name="Milliers 2 3 3 2 3 2 3 2" xfId="21238"/>
    <cellStyle name="Milliers 2 3 3 2 3 2 3 2 2" xfId="21239"/>
    <cellStyle name="Milliers 2 3 3 2 3 2 3 2 2 2" xfId="21240"/>
    <cellStyle name="Milliers 2 3 3 2 3 2 3 2 2 2 2" xfId="21241"/>
    <cellStyle name="Milliers 2 3 3 2 3 2 3 2 2 2 2 2" xfId="21242"/>
    <cellStyle name="Milliers 2 3 3 2 3 2 3 2 2 2 3" xfId="21243"/>
    <cellStyle name="Milliers 2 3 3 2 3 2 3 2 2 3" xfId="21244"/>
    <cellStyle name="Milliers 2 3 3 2 3 2 3 2 2 3 2" xfId="21245"/>
    <cellStyle name="Milliers 2 3 3 2 3 2 3 2 2 4" xfId="21246"/>
    <cellStyle name="Milliers 2 3 3 2 3 2 3 2 3" xfId="21247"/>
    <cellStyle name="Milliers 2 3 3 2 3 2 3 2 3 2" xfId="21248"/>
    <cellStyle name="Milliers 2 3 3 2 3 2 3 2 3 2 2" xfId="21249"/>
    <cellStyle name="Milliers 2 3 3 2 3 2 3 2 3 3" xfId="21250"/>
    <cellStyle name="Milliers 2 3 3 2 3 2 3 2 4" xfId="21251"/>
    <cellStyle name="Milliers 2 3 3 2 3 2 3 2 4 2" xfId="21252"/>
    <cellStyle name="Milliers 2 3 3 2 3 2 3 2 5" xfId="21253"/>
    <cellStyle name="Milliers 2 3 3 2 3 2 3 3" xfId="21254"/>
    <cellStyle name="Milliers 2 3 3 2 3 2 3 3 2" xfId="21255"/>
    <cellStyle name="Milliers 2 3 3 2 3 2 3 3 2 2" xfId="21256"/>
    <cellStyle name="Milliers 2 3 3 2 3 2 3 3 2 2 2" xfId="21257"/>
    <cellStyle name="Milliers 2 3 3 2 3 2 3 3 2 3" xfId="21258"/>
    <cellStyle name="Milliers 2 3 3 2 3 2 3 3 3" xfId="21259"/>
    <cellStyle name="Milliers 2 3 3 2 3 2 3 3 3 2" xfId="21260"/>
    <cellStyle name="Milliers 2 3 3 2 3 2 3 3 4" xfId="21261"/>
    <cellStyle name="Milliers 2 3 3 2 3 2 3 4" xfId="21262"/>
    <cellStyle name="Milliers 2 3 3 2 3 2 3 4 2" xfId="21263"/>
    <cellStyle name="Milliers 2 3 3 2 3 2 3 4 2 2" xfId="21264"/>
    <cellStyle name="Milliers 2 3 3 2 3 2 3 4 3" xfId="21265"/>
    <cellStyle name="Milliers 2 3 3 2 3 2 3 5" xfId="21266"/>
    <cellStyle name="Milliers 2 3 3 2 3 2 3 5 2" xfId="21267"/>
    <cellStyle name="Milliers 2 3 3 2 3 2 3 6" xfId="21268"/>
    <cellStyle name="Milliers 2 3 3 2 3 2 4" xfId="21269"/>
    <cellStyle name="Milliers 2 3 3 2 3 2 4 2" xfId="21270"/>
    <cellStyle name="Milliers 2 3 3 2 3 2 4 2 2" xfId="21271"/>
    <cellStyle name="Milliers 2 3 3 2 3 2 4 2 2 2" xfId="21272"/>
    <cellStyle name="Milliers 2 3 3 2 3 2 4 2 2 2 2" xfId="21273"/>
    <cellStyle name="Milliers 2 3 3 2 3 2 4 2 2 3" xfId="21274"/>
    <cellStyle name="Milliers 2 3 3 2 3 2 4 2 3" xfId="21275"/>
    <cellStyle name="Milliers 2 3 3 2 3 2 4 2 3 2" xfId="21276"/>
    <cellStyle name="Milliers 2 3 3 2 3 2 4 2 4" xfId="21277"/>
    <cellStyle name="Milliers 2 3 3 2 3 2 4 3" xfId="21278"/>
    <cellStyle name="Milliers 2 3 3 2 3 2 4 3 2" xfId="21279"/>
    <cellStyle name="Milliers 2 3 3 2 3 2 4 3 2 2" xfId="21280"/>
    <cellStyle name="Milliers 2 3 3 2 3 2 4 3 3" xfId="21281"/>
    <cellStyle name="Milliers 2 3 3 2 3 2 4 4" xfId="21282"/>
    <cellStyle name="Milliers 2 3 3 2 3 2 4 4 2" xfId="21283"/>
    <cellStyle name="Milliers 2 3 3 2 3 2 4 5" xfId="21284"/>
    <cellStyle name="Milliers 2 3 3 2 3 2 5" xfId="21285"/>
    <cellStyle name="Milliers 2 3 3 2 3 2 5 2" xfId="21286"/>
    <cellStyle name="Milliers 2 3 3 2 3 2 5 2 2" xfId="21287"/>
    <cellStyle name="Milliers 2 3 3 2 3 2 5 2 2 2" xfId="21288"/>
    <cellStyle name="Milliers 2 3 3 2 3 2 5 2 3" xfId="21289"/>
    <cellStyle name="Milliers 2 3 3 2 3 2 5 3" xfId="21290"/>
    <cellStyle name="Milliers 2 3 3 2 3 2 5 3 2" xfId="21291"/>
    <cellStyle name="Milliers 2 3 3 2 3 2 5 4" xfId="21292"/>
    <cellStyle name="Milliers 2 3 3 2 3 2 6" xfId="21293"/>
    <cellStyle name="Milliers 2 3 3 2 3 2 6 2" xfId="21294"/>
    <cellStyle name="Milliers 2 3 3 2 3 2 6 2 2" xfId="21295"/>
    <cellStyle name="Milliers 2 3 3 2 3 2 6 3" xfId="21296"/>
    <cellStyle name="Milliers 2 3 3 2 3 2 7" xfId="21297"/>
    <cellStyle name="Milliers 2 3 3 2 3 2 7 2" xfId="21298"/>
    <cellStyle name="Milliers 2 3 3 2 3 2 8" xfId="21299"/>
    <cellStyle name="Milliers 2 3 3 2 3 3" xfId="21300"/>
    <cellStyle name="Milliers 2 3 3 2 3 3 2" xfId="21301"/>
    <cellStyle name="Milliers 2 3 3 2 3 3 2 2" xfId="21302"/>
    <cellStyle name="Milliers 2 3 3 2 3 3 2 2 2" xfId="21303"/>
    <cellStyle name="Milliers 2 3 3 2 3 3 2 2 2 2" xfId="21304"/>
    <cellStyle name="Milliers 2 3 3 2 3 3 2 2 2 2 2" xfId="21305"/>
    <cellStyle name="Milliers 2 3 3 2 3 3 2 2 2 2 2 2" xfId="21306"/>
    <cellStyle name="Milliers 2 3 3 2 3 3 2 2 2 2 3" xfId="21307"/>
    <cellStyle name="Milliers 2 3 3 2 3 3 2 2 2 3" xfId="21308"/>
    <cellStyle name="Milliers 2 3 3 2 3 3 2 2 2 3 2" xfId="21309"/>
    <cellStyle name="Milliers 2 3 3 2 3 3 2 2 2 4" xfId="21310"/>
    <cellStyle name="Milliers 2 3 3 2 3 3 2 2 3" xfId="21311"/>
    <cellStyle name="Milliers 2 3 3 2 3 3 2 2 3 2" xfId="21312"/>
    <cellStyle name="Milliers 2 3 3 2 3 3 2 2 3 2 2" xfId="21313"/>
    <cellStyle name="Milliers 2 3 3 2 3 3 2 2 3 3" xfId="21314"/>
    <cellStyle name="Milliers 2 3 3 2 3 3 2 2 4" xfId="21315"/>
    <cellStyle name="Milliers 2 3 3 2 3 3 2 2 4 2" xfId="21316"/>
    <cellStyle name="Milliers 2 3 3 2 3 3 2 2 5" xfId="21317"/>
    <cellStyle name="Milliers 2 3 3 2 3 3 2 3" xfId="21318"/>
    <cellStyle name="Milliers 2 3 3 2 3 3 2 3 2" xfId="21319"/>
    <cellStyle name="Milliers 2 3 3 2 3 3 2 3 2 2" xfId="21320"/>
    <cellStyle name="Milliers 2 3 3 2 3 3 2 3 2 2 2" xfId="21321"/>
    <cellStyle name="Milliers 2 3 3 2 3 3 2 3 2 3" xfId="21322"/>
    <cellStyle name="Milliers 2 3 3 2 3 3 2 3 3" xfId="21323"/>
    <cellStyle name="Milliers 2 3 3 2 3 3 2 3 3 2" xfId="21324"/>
    <cellStyle name="Milliers 2 3 3 2 3 3 2 3 4" xfId="21325"/>
    <cellStyle name="Milliers 2 3 3 2 3 3 2 4" xfId="21326"/>
    <cellStyle name="Milliers 2 3 3 2 3 3 2 4 2" xfId="21327"/>
    <cellStyle name="Milliers 2 3 3 2 3 3 2 4 2 2" xfId="21328"/>
    <cellStyle name="Milliers 2 3 3 2 3 3 2 4 3" xfId="21329"/>
    <cellStyle name="Milliers 2 3 3 2 3 3 2 5" xfId="21330"/>
    <cellStyle name="Milliers 2 3 3 2 3 3 2 5 2" xfId="21331"/>
    <cellStyle name="Milliers 2 3 3 2 3 3 2 6" xfId="21332"/>
    <cellStyle name="Milliers 2 3 3 2 3 3 3" xfId="21333"/>
    <cellStyle name="Milliers 2 3 3 2 3 3 3 2" xfId="21334"/>
    <cellStyle name="Milliers 2 3 3 2 3 3 3 2 2" xfId="21335"/>
    <cellStyle name="Milliers 2 3 3 2 3 3 3 2 2 2" xfId="21336"/>
    <cellStyle name="Milliers 2 3 3 2 3 3 3 2 2 2 2" xfId="21337"/>
    <cellStyle name="Milliers 2 3 3 2 3 3 3 2 2 3" xfId="21338"/>
    <cellStyle name="Milliers 2 3 3 2 3 3 3 2 3" xfId="21339"/>
    <cellStyle name="Milliers 2 3 3 2 3 3 3 2 3 2" xfId="21340"/>
    <cellStyle name="Milliers 2 3 3 2 3 3 3 2 4" xfId="21341"/>
    <cellStyle name="Milliers 2 3 3 2 3 3 3 3" xfId="21342"/>
    <cellStyle name="Milliers 2 3 3 2 3 3 3 3 2" xfId="21343"/>
    <cellStyle name="Milliers 2 3 3 2 3 3 3 3 2 2" xfId="21344"/>
    <cellStyle name="Milliers 2 3 3 2 3 3 3 3 3" xfId="21345"/>
    <cellStyle name="Milliers 2 3 3 2 3 3 3 4" xfId="21346"/>
    <cellStyle name="Milliers 2 3 3 2 3 3 3 4 2" xfId="21347"/>
    <cellStyle name="Milliers 2 3 3 2 3 3 3 5" xfId="21348"/>
    <cellStyle name="Milliers 2 3 3 2 3 3 4" xfId="21349"/>
    <cellStyle name="Milliers 2 3 3 2 3 3 4 2" xfId="21350"/>
    <cellStyle name="Milliers 2 3 3 2 3 3 4 2 2" xfId="21351"/>
    <cellStyle name="Milliers 2 3 3 2 3 3 4 2 2 2" xfId="21352"/>
    <cellStyle name="Milliers 2 3 3 2 3 3 4 2 3" xfId="21353"/>
    <cellStyle name="Milliers 2 3 3 2 3 3 4 3" xfId="21354"/>
    <cellStyle name="Milliers 2 3 3 2 3 3 4 3 2" xfId="21355"/>
    <cellStyle name="Milliers 2 3 3 2 3 3 4 4" xfId="21356"/>
    <cellStyle name="Milliers 2 3 3 2 3 3 5" xfId="21357"/>
    <cellStyle name="Milliers 2 3 3 2 3 3 5 2" xfId="21358"/>
    <cellStyle name="Milliers 2 3 3 2 3 3 5 2 2" xfId="21359"/>
    <cellStyle name="Milliers 2 3 3 2 3 3 5 3" xfId="21360"/>
    <cellStyle name="Milliers 2 3 3 2 3 3 6" xfId="21361"/>
    <cellStyle name="Milliers 2 3 3 2 3 3 6 2" xfId="21362"/>
    <cellStyle name="Milliers 2 3 3 2 3 3 7" xfId="21363"/>
    <cellStyle name="Milliers 2 3 3 2 3 4" xfId="21364"/>
    <cellStyle name="Milliers 2 3 3 2 3 4 2" xfId="21365"/>
    <cellStyle name="Milliers 2 3 3 2 3 4 2 2" xfId="21366"/>
    <cellStyle name="Milliers 2 3 3 2 3 4 2 2 2" xfId="21367"/>
    <cellStyle name="Milliers 2 3 3 2 3 4 2 2 2 2" xfId="21368"/>
    <cellStyle name="Milliers 2 3 3 2 3 4 2 2 2 2 2" xfId="21369"/>
    <cellStyle name="Milliers 2 3 3 2 3 4 2 2 2 3" xfId="21370"/>
    <cellStyle name="Milliers 2 3 3 2 3 4 2 2 3" xfId="21371"/>
    <cellStyle name="Milliers 2 3 3 2 3 4 2 2 3 2" xfId="21372"/>
    <cellStyle name="Milliers 2 3 3 2 3 4 2 2 4" xfId="21373"/>
    <cellStyle name="Milliers 2 3 3 2 3 4 2 3" xfId="21374"/>
    <cellStyle name="Milliers 2 3 3 2 3 4 2 3 2" xfId="21375"/>
    <cellStyle name="Milliers 2 3 3 2 3 4 2 3 2 2" xfId="21376"/>
    <cellStyle name="Milliers 2 3 3 2 3 4 2 3 3" xfId="21377"/>
    <cellStyle name="Milliers 2 3 3 2 3 4 2 4" xfId="21378"/>
    <cellStyle name="Milliers 2 3 3 2 3 4 2 4 2" xfId="21379"/>
    <cellStyle name="Milliers 2 3 3 2 3 4 2 5" xfId="21380"/>
    <cellStyle name="Milliers 2 3 3 2 3 4 3" xfId="21381"/>
    <cellStyle name="Milliers 2 3 3 2 3 4 3 2" xfId="21382"/>
    <cellStyle name="Milliers 2 3 3 2 3 4 3 2 2" xfId="21383"/>
    <cellStyle name="Milliers 2 3 3 2 3 4 3 2 2 2" xfId="21384"/>
    <cellStyle name="Milliers 2 3 3 2 3 4 3 2 3" xfId="21385"/>
    <cellStyle name="Milliers 2 3 3 2 3 4 3 3" xfId="21386"/>
    <cellStyle name="Milliers 2 3 3 2 3 4 3 3 2" xfId="21387"/>
    <cellStyle name="Milliers 2 3 3 2 3 4 3 4" xfId="21388"/>
    <cellStyle name="Milliers 2 3 3 2 3 4 4" xfId="21389"/>
    <cellStyle name="Milliers 2 3 3 2 3 4 4 2" xfId="21390"/>
    <cellStyle name="Milliers 2 3 3 2 3 4 4 2 2" xfId="21391"/>
    <cellStyle name="Milliers 2 3 3 2 3 4 4 3" xfId="21392"/>
    <cellStyle name="Milliers 2 3 3 2 3 4 5" xfId="21393"/>
    <cellStyle name="Milliers 2 3 3 2 3 4 5 2" xfId="21394"/>
    <cellStyle name="Milliers 2 3 3 2 3 4 6" xfId="21395"/>
    <cellStyle name="Milliers 2 3 3 2 3 5" xfId="21396"/>
    <cellStyle name="Milliers 2 3 3 2 3 5 2" xfId="21397"/>
    <cellStyle name="Milliers 2 3 3 2 3 5 2 2" xfId="21398"/>
    <cellStyle name="Milliers 2 3 3 2 3 5 2 2 2" xfId="21399"/>
    <cellStyle name="Milliers 2 3 3 2 3 5 2 2 2 2" xfId="21400"/>
    <cellStyle name="Milliers 2 3 3 2 3 5 2 2 3" xfId="21401"/>
    <cellStyle name="Milliers 2 3 3 2 3 5 2 3" xfId="21402"/>
    <cellStyle name="Milliers 2 3 3 2 3 5 2 3 2" xfId="21403"/>
    <cellStyle name="Milliers 2 3 3 2 3 5 2 4" xfId="21404"/>
    <cellStyle name="Milliers 2 3 3 2 3 5 3" xfId="21405"/>
    <cellStyle name="Milliers 2 3 3 2 3 5 3 2" xfId="21406"/>
    <cellStyle name="Milliers 2 3 3 2 3 5 3 2 2" xfId="21407"/>
    <cellStyle name="Milliers 2 3 3 2 3 5 3 3" xfId="21408"/>
    <cellStyle name="Milliers 2 3 3 2 3 5 4" xfId="21409"/>
    <cellStyle name="Milliers 2 3 3 2 3 5 4 2" xfId="21410"/>
    <cellStyle name="Milliers 2 3 3 2 3 5 5" xfId="21411"/>
    <cellStyle name="Milliers 2 3 3 2 3 6" xfId="21412"/>
    <cellStyle name="Milliers 2 3 3 2 3 6 2" xfId="21413"/>
    <cellStyle name="Milliers 2 3 3 2 3 6 2 2" xfId="21414"/>
    <cellStyle name="Milliers 2 3 3 2 3 6 2 2 2" xfId="21415"/>
    <cellStyle name="Milliers 2 3 3 2 3 6 2 3" xfId="21416"/>
    <cellStyle name="Milliers 2 3 3 2 3 6 3" xfId="21417"/>
    <cellStyle name="Milliers 2 3 3 2 3 6 3 2" xfId="21418"/>
    <cellStyle name="Milliers 2 3 3 2 3 6 4" xfId="21419"/>
    <cellStyle name="Milliers 2 3 3 2 3 7" xfId="21420"/>
    <cellStyle name="Milliers 2 3 3 2 3 7 2" xfId="21421"/>
    <cellStyle name="Milliers 2 3 3 2 3 7 2 2" xfId="21422"/>
    <cellStyle name="Milliers 2 3 3 2 3 7 3" xfId="21423"/>
    <cellStyle name="Milliers 2 3 3 2 3 8" xfId="21424"/>
    <cellStyle name="Milliers 2 3 3 2 3 8 2" xfId="21425"/>
    <cellStyle name="Milliers 2 3 3 2 3 9" xfId="21426"/>
    <cellStyle name="Milliers 2 3 3 2 4" xfId="21427"/>
    <cellStyle name="Milliers 2 3 3 2 4 2" xfId="21428"/>
    <cellStyle name="Milliers 2 3 3 2 4 2 2" xfId="21429"/>
    <cellStyle name="Milliers 2 3 3 2 4 2 2 2" xfId="21430"/>
    <cellStyle name="Milliers 2 3 3 2 4 2 2 2 2" xfId="21431"/>
    <cellStyle name="Milliers 2 3 3 2 4 2 2 2 2 2" xfId="21432"/>
    <cellStyle name="Milliers 2 3 3 2 4 2 2 2 2 2 2" xfId="21433"/>
    <cellStyle name="Milliers 2 3 3 2 4 2 2 2 2 2 2 2" xfId="21434"/>
    <cellStyle name="Milliers 2 3 3 2 4 2 2 2 2 2 3" xfId="21435"/>
    <cellStyle name="Milliers 2 3 3 2 4 2 2 2 2 3" xfId="21436"/>
    <cellStyle name="Milliers 2 3 3 2 4 2 2 2 2 3 2" xfId="21437"/>
    <cellStyle name="Milliers 2 3 3 2 4 2 2 2 2 4" xfId="21438"/>
    <cellStyle name="Milliers 2 3 3 2 4 2 2 2 3" xfId="21439"/>
    <cellStyle name="Milliers 2 3 3 2 4 2 2 2 3 2" xfId="21440"/>
    <cellStyle name="Milliers 2 3 3 2 4 2 2 2 3 2 2" xfId="21441"/>
    <cellStyle name="Milliers 2 3 3 2 4 2 2 2 3 3" xfId="21442"/>
    <cellStyle name="Milliers 2 3 3 2 4 2 2 2 4" xfId="21443"/>
    <cellStyle name="Milliers 2 3 3 2 4 2 2 2 4 2" xfId="21444"/>
    <cellStyle name="Milliers 2 3 3 2 4 2 2 2 5" xfId="21445"/>
    <cellStyle name="Milliers 2 3 3 2 4 2 2 3" xfId="21446"/>
    <cellStyle name="Milliers 2 3 3 2 4 2 2 3 2" xfId="21447"/>
    <cellStyle name="Milliers 2 3 3 2 4 2 2 3 2 2" xfId="21448"/>
    <cellStyle name="Milliers 2 3 3 2 4 2 2 3 2 2 2" xfId="21449"/>
    <cellStyle name="Milliers 2 3 3 2 4 2 2 3 2 3" xfId="21450"/>
    <cellStyle name="Milliers 2 3 3 2 4 2 2 3 3" xfId="21451"/>
    <cellStyle name="Milliers 2 3 3 2 4 2 2 3 3 2" xfId="21452"/>
    <cellStyle name="Milliers 2 3 3 2 4 2 2 3 4" xfId="21453"/>
    <cellStyle name="Milliers 2 3 3 2 4 2 2 4" xfId="21454"/>
    <cellStyle name="Milliers 2 3 3 2 4 2 2 4 2" xfId="21455"/>
    <cellStyle name="Milliers 2 3 3 2 4 2 2 4 2 2" xfId="21456"/>
    <cellStyle name="Milliers 2 3 3 2 4 2 2 4 3" xfId="21457"/>
    <cellStyle name="Milliers 2 3 3 2 4 2 2 5" xfId="21458"/>
    <cellStyle name="Milliers 2 3 3 2 4 2 2 5 2" xfId="21459"/>
    <cellStyle name="Milliers 2 3 3 2 4 2 2 6" xfId="21460"/>
    <cellStyle name="Milliers 2 3 3 2 4 2 3" xfId="21461"/>
    <cellStyle name="Milliers 2 3 3 2 4 2 3 2" xfId="21462"/>
    <cellStyle name="Milliers 2 3 3 2 4 2 3 2 2" xfId="21463"/>
    <cellStyle name="Milliers 2 3 3 2 4 2 3 2 2 2" xfId="21464"/>
    <cellStyle name="Milliers 2 3 3 2 4 2 3 2 2 2 2" xfId="21465"/>
    <cellStyle name="Milliers 2 3 3 2 4 2 3 2 2 3" xfId="21466"/>
    <cellStyle name="Milliers 2 3 3 2 4 2 3 2 3" xfId="21467"/>
    <cellStyle name="Milliers 2 3 3 2 4 2 3 2 3 2" xfId="21468"/>
    <cellStyle name="Milliers 2 3 3 2 4 2 3 2 4" xfId="21469"/>
    <cellStyle name="Milliers 2 3 3 2 4 2 3 3" xfId="21470"/>
    <cellStyle name="Milliers 2 3 3 2 4 2 3 3 2" xfId="21471"/>
    <cellStyle name="Milliers 2 3 3 2 4 2 3 3 2 2" xfId="21472"/>
    <cellStyle name="Milliers 2 3 3 2 4 2 3 3 3" xfId="21473"/>
    <cellStyle name="Milliers 2 3 3 2 4 2 3 4" xfId="21474"/>
    <cellStyle name="Milliers 2 3 3 2 4 2 3 4 2" xfId="21475"/>
    <cellStyle name="Milliers 2 3 3 2 4 2 3 5" xfId="21476"/>
    <cellStyle name="Milliers 2 3 3 2 4 2 4" xfId="21477"/>
    <cellStyle name="Milliers 2 3 3 2 4 2 4 2" xfId="21478"/>
    <cellStyle name="Milliers 2 3 3 2 4 2 4 2 2" xfId="21479"/>
    <cellStyle name="Milliers 2 3 3 2 4 2 4 2 2 2" xfId="21480"/>
    <cellStyle name="Milliers 2 3 3 2 4 2 4 2 3" xfId="21481"/>
    <cellStyle name="Milliers 2 3 3 2 4 2 4 3" xfId="21482"/>
    <cellStyle name="Milliers 2 3 3 2 4 2 4 3 2" xfId="21483"/>
    <cellStyle name="Milliers 2 3 3 2 4 2 4 4" xfId="21484"/>
    <cellStyle name="Milliers 2 3 3 2 4 2 5" xfId="21485"/>
    <cellStyle name="Milliers 2 3 3 2 4 2 5 2" xfId="21486"/>
    <cellStyle name="Milliers 2 3 3 2 4 2 5 2 2" xfId="21487"/>
    <cellStyle name="Milliers 2 3 3 2 4 2 5 3" xfId="21488"/>
    <cellStyle name="Milliers 2 3 3 2 4 2 6" xfId="21489"/>
    <cellStyle name="Milliers 2 3 3 2 4 2 6 2" xfId="21490"/>
    <cellStyle name="Milliers 2 3 3 2 4 2 7" xfId="21491"/>
    <cellStyle name="Milliers 2 3 3 2 4 3" xfId="21492"/>
    <cellStyle name="Milliers 2 3 3 2 4 3 2" xfId="21493"/>
    <cellStyle name="Milliers 2 3 3 2 4 3 2 2" xfId="21494"/>
    <cellStyle name="Milliers 2 3 3 2 4 3 2 2 2" xfId="21495"/>
    <cellStyle name="Milliers 2 3 3 2 4 3 2 2 2 2" xfId="21496"/>
    <cellStyle name="Milliers 2 3 3 2 4 3 2 2 2 2 2" xfId="21497"/>
    <cellStyle name="Milliers 2 3 3 2 4 3 2 2 2 3" xfId="21498"/>
    <cellStyle name="Milliers 2 3 3 2 4 3 2 2 3" xfId="21499"/>
    <cellStyle name="Milliers 2 3 3 2 4 3 2 2 3 2" xfId="21500"/>
    <cellStyle name="Milliers 2 3 3 2 4 3 2 2 4" xfId="21501"/>
    <cellStyle name="Milliers 2 3 3 2 4 3 2 3" xfId="21502"/>
    <cellStyle name="Milliers 2 3 3 2 4 3 2 3 2" xfId="21503"/>
    <cellStyle name="Milliers 2 3 3 2 4 3 2 3 2 2" xfId="21504"/>
    <cellStyle name="Milliers 2 3 3 2 4 3 2 3 3" xfId="21505"/>
    <cellStyle name="Milliers 2 3 3 2 4 3 2 4" xfId="21506"/>
    <cellStyle name="Milliers 2 3 3 2 4 3 2 4 2" xfId="21507"/>
    <cellStyle name="Milliers 2 3 3 2 4 3 2 5" xfId="21508"/>
    <cellStyle name="Milliers 2 3 3 2 4 3 3" xfId="21509"/>
    <cellStyle name="Milliers 2 3 3 2 4 3 3 2" xfId="21510"/>
    <cellStyle name="Milliers 2 3 3 2 4 3 3 2 2" xfId="21511"/>
    <cellStyle name="Milliers 2 3 3 2 4 3 3 2 2 2" xfId="21512"/>
    <cellStyle name="Milliers 2 3 3 2 4 3 3 2 3" xfId="21513"/>
    <cellStyle name="Milliers 2 3 3 2 4 3 3 3" xfId="21514"/>
    <cellStyle name="Milliers 2 3 3 2 4 3 3 3 2" xfId="21515"/>
    <cellStyle name="Milliers 2 3 3 2 4 3 3 4" xfId="21516"/>
    <cellStyle name="Milliers 2 3 3 2 4 3 4" xfId="21517"/>
    <cellStyle name="Milliers 2 3 3 2 4 3 4 2" xfId="21518"/>
    <cellStyle name="Milliers 2 3 3 2 4 3 4 2 2" xfId="21519"/>
    <cellStyle name="Milliers 2 3 3 2 4 3 4 3" xfId="21520"/>
    <cellStyle name="Milliers 2 3 3 2 4 3 5" xfId="21521"/>
    <cellStyle name="Milliers 2 3 3 2 4 3 5 2" xfId="21522"/>
    <cellStyle name="Milliers 2 3 3 2 4 3 6" xfId="21523"/>
    <cellStyle name="Milliers 2 3 3 2 4 4" xfId="21524"/>
    <cellStyle name="Milliers 2 3 3 2 4 4 2" xfId="21525"/>
    <cellStyle name="Milliers 2 3 3 2 4 4 2 2" xfId="21526"/>
    <cellStyle name="Milliers 2 3 3 2 4 4 2 2 2" xfId="21527"/>
    <cellStyle name="Milliers 2 3 3 2 4 4 2 2 2 2" xfId="21528"/>
    <cellStyle name="Milliers 2 3 3 2 4 4 2 2 3" xfId="21529"/>
    <cellStyle name="Milliers 2 3 3 2 4 4 2 3" xfId="21530"/>
    <cellStyle name="Milliers 2 3 3 2 4 4 2 3 2" xfId="21531"/>
    <cellStyle name="Milliers 2 3 3 2 4 4 2 4" xfId="21532"/>
    <cellStyle name="Milliers 2 3 3 2 4 4 3" xfId="21533"/>
    <cellStyle name="Milliers 2 3 3 2 4 4 3 2" xfId="21534"/>
    <cellStyle name="Milliers 2 3 3 2 4 4 3 2 2" xfId="21535"/>
    <cellStyle name="Milliers 2 3 3 2 4 4 3 3" xfId="21536"/>
    <cellStyle name="Milliers 2 3 3 2 4 4 4" xfId="21537"/>
    <cellStyle name="Milliers 2 3 3 2 4 4 4 2" xfId="21538"/>
    <cellStyle name="Milliers 2 3 3 2 4 4 5" xfId="21539"/>
    <cellStyle name="Milliers 2 3 3 2 4 5" xfId="21540"/>
    <cellStyle name="Milliers 2 3 3 2 4 5 2" xfId="21541"/>
    <cellStyle name="Milliers 2 3 3 2 4 5 2 2" xfId="21542"/>
    <cellStyle name="Milliers 2 3 3 2 4 5 2 2 2" xfId="21543"/>
    <cellStyle name="Milliers 2 3 3 2 4 5 2 3" xfId="21544"/>
    <cellStyle name="Milliers 2 3 3 2 4 5 3" xfId="21545"/>
    <cellStyle name="Milliers 2 3 3 2 4 5 3 2" xfId="21546"/>
    <cellStyle name="Milliers 2 3 3 2 4 5 4" xfId="21547"/>
    <cellStyle name="Milliers 2 3 3 2 4 6" xfId="21548"/>
    <cellStyle name="Milliers 2 3 3 2 4 6 2" xfId="21549"/>
    <cellStyle name="Milliers 2 3 3 2 4 6 2 2" xfId="21550"/>
    <cellStyle name="Milliers 2 3 3 2 4 6 3" xfId="21551"/>
    <cellStyle name="Milliers 2 3 3 2 4 7" xfId="21552"/>
    <cellStyle name="Milliers 2 3 3 2 4 7 2" xfId="21553"/>
    <cellStyle name="Milliers 2 3 3 2 4 8" xfId="21554"/>
    <cellStyle name="Milliers 2 3 3 2 5" xfId="21555"/>
    <cellStyle name="Milliers 2 3 3 2 5 2" xfId="21556"/>
    <cellStyle name="Milliers 2 3 3 2 5 2 2" xfId="21557"/>
    <cellStyle name="Milliers 2 3 3 2 5 2 2 2" xfId="21558"/>
    <cellStyle name="Milliers 2 3 3 2 5 2 2 2 2" xfId="21559"/>
    <cellStyle name="Milliers 2 3 3 2 5 2 2 2 2 2" xfId="21560"/>
    <cellStyle name="Milliers 2 3 3 2 5 2 2 2 2 2 2" xfId="21561"/>
    <cellStyle name="Milliers 2 3 3 2 5 2 2 2 2 3" xfId="21562"/>
    <cellStyle name="Milliers 2 3 3 2 5 2 2 2 3" xfId="21563"/>
    <cellStyle name="Milliers 2 3 3 2 5 2 2 2 3 2" xfId="21564"/>
    <cellStyle name="Milliers 2 3 3 2 5 2 2 2 4" xfId="21565"/>
    <cellStyle name="Milliers 2 3 3 2 5 2 2 3" xfId="21566"/>
    <cellStyle name="Milliers 2 3 3 2 5 2 2 3 2" xfId="21567"/>
    <cellStyle name="Milliers 2 3 3 2 5 2 2 3 2 2" xfId="21568"/>
    <cellStyle name="Milliers 2 3 3 2 5 2 2 3 3" xfId="21569"/>
    <cellStyle name="Milliers 2 3 3 2 5 2 2 4" xfId="21570"/>
    <cellStyle name="Milliers 2 3 3 2 5 2 2 4 2" xfId="21571"/>
    <cellStyle name="Milliers 2 3 3 2 5 2 2 5" xfId="21572"/>
    <cellStyle name="Milliers 2 3 3 2 5 2 3" xfId="21573"/>
    <cellStyle name="Milliers 2 3 3 2 5 2 3 2" xfId="21574"/>
    <cellStyle name="Milliers 2 3 3 2 5 2 3 2 2" xfId="21575"/>
    <cellStyle name="Milliers 2 3 3 2 5 2 3 2 2 2" xfId="21576"/>
    <cellStyle name="Milliers 2 3 3 2 5 2 3 2 3" xfId="21577"/>
    <cellStyle name="Milliers 2 3 3 2 5 2 3 3" xfId="21578"/>
    <cellStyle name="Milliers 2 3 3 2 5 2 3 3 2" xfId="21579"/>
    <cellStyle name="Milliers 2 3 3 2 5 2 3 4" xfId="21580"/>
    <cellStyle name="Milliers 2 3 3 2 5 2 4" xfId="21581"/>
    <cellStyle name="Milliers 2 3 3 2 5 2 4 2" xfId="21582"/>
    <cellStyle name="Milliers 2 3 3 2 5 2 4 2 2" xfId="21583"/>
    <cellStyle name="Milliers 2 3 3 2 5 2 4 3" xfId="21584"/>
    <cellStyle name="Milliers 2 3 3 2 5 2 5" xfId="21585"/>
    <cellStyle name="Milliers 2 3 3 2 5 2 5 2" xfId="21586"/>
    <cellStyle name="Milliers 2 3 3 2 5 2 6" xfId="21587"/>
    <cellStyle name="Milliers 2 3 3 2 5 3" xfId="21588"/>
    <cellStyle name="Milliers 2 3 3 2 5 3 2" xfId="21589"/>
    <cellStyle name="Milliers 2 3 3 2 5 3 2 2" xfId="21590"/>
    <cellStyle name="Milliers 2 3 3 2 5 3 2 2 2" xfId="21591"/>
    <cellStyle name="Milliers 2 3 3 2 5 3 2 2 2 2" xfId="21592"/>
    <cellStyle name="Milliers 2 3 3 2 5 3 2 2 3" xfId="21593"/>
    <cellStyle name="Milliers 2 3 3 2 5 3 2 3" xfId="21594"/>
    <cellStyle name="Milliers 2 3 3 2 5 3 2 3 2" xfId="21595"/>
    <cellStyle name="Milliers 2 3 3 2 5 3 2 4" xfId="21596"/>
    <cellStyle name="Milliers 2 3 3 2 5 3 3" xfId="21597"/>
    <cellStyle name="Milliers 2 3 3 2 5 3 3 2" xfId="21598"/>
    <cellStyle name="Milliers 2 3 3 2 5 3 3 2 2" xfId="21599"/>
    <cellStyle name="Milliers 2 3 3 2 5 3 3 3" xfId="21600"/>
    <cellStyle name="Milliers 2 3 3 2 5 3 4" xfId="21601"/>
    <cellStyle name="Milliers 2 3 3 2 5 3 4 2" xfId="21602"/>
    <cellStyle name="Milliers 2 3 3 2 5 3 5" xfId="21603"/>
    <cellStyle name="Milliers 2 3 3 2 5 4" xfId="21604"/>
    <cellStyle name="Milliers 2 3 3 2 5 4 2" xfId="21605"/>
    <cellStyle name="Milliers 2 3 3 2 5 4 2 2" xfId="21606"/>
    <cellStyle name="Milliers 2 3 3 2 5 4 2 2 2" xfId="21607"/>
    <cellStyle name="Milliers 2 3 3 2 5 4 2 3" xfId="21608"/>
    <cellStyle name="Milliers 2 3 3 2 5 4 3" xfId="21609"/>
    <cellStyle name="Milliers 2 3 3 2 5 4 3 2" xfId="21610"/>
    <cellStyle name="Milliers 2 3 3 2 5 4 4" xfId="21611"/>
    <cellStyle name="Milliers 2 3 3 2 5 5" xfId="21612"/>
    <cellStyle name="Milliers 2 3 3 2 5 5 2" xfId="21613"/>
    <cellStyle name="Milliers 2 3 3 2 5 5 2 2" xfId="21614"/>
    <cellStyle name="Milliers 2 3 3 2 5 5 3" xfId="21615"/>
    <cellStyle name="Milliers 2 3 3 2 5 6" xfId="21616"/>
    <cellStyle name="Milliers 2 3 3 2 5 6 2" xfId="21617"/>
    <cellStyle name="Milliers 2 3 3 2 5 7" xfId="21618"/>
    <cellStyle name="Milliers 2 3 3 2 6" xfId="21619"/>
    <cellStyle name="Milliers 2 3 3 2 6 2" xfId="21620"/>
    <cellStyle name="Milliers 2 3 3 2 6 2 2" xfId="21621"/>
    <cellStyle name="Milliers 2 3 3 2 6 2 2 2" xfId="21622"/>
    <cellStyle name="Milliers 2 3 3 2 6 2 2 2 2" xfId="21623"/>
    <cellStyle name="Milliers 2 3 3 2 6 2 2 2 2 2" xfId="21624"/>
    <cellStyle name="Milliers 2 3 3 2 6 2 2 2 3" xfId="21625"/>
    <cellStyle name="Milliers 2 3 3 2 6 2 2 3" xfId="21626"/>
    <cellStyle name="Milliers 2 3 3 2 6 2 2 3 2" xfId="21627"/>
    <cellStyle name="Milliers 2 3 3 2 6 2 2 4" xfId="21628"/>
    <cellStyle name="Milliers 2 3 3 2 6 2 3" xfId="21629"/>
    <cellStyle name="Milliers 2 3 3 2 6 2 3 2" xfId="21630"/>
    <cellStyle name="Milliers 2 3 3 2 6 2 3 2 2" xfId="21631"/>
    <cellStyle name="Milliers 2 3 3 2 6 2 3 3" xfId="21632"/>
    <cellStyle name="Milliers 2 3 3 2 6 2 4" xfId="21633"/>
    <cellStyle name="Milliers 2 3 3 2 6 2 4 2" xfId="21634"/>
    <cellStyle name="Milliers 2 3 3 2 6 2 5" xfId="21635"/>
    <cellStyle name="Milliers 2 3 3 2 6 3" xfId="21636"/>
    <cellStyle name="Milliers 2 3 3 2 6 3 2" xfId="21637"/>
    <cellStyle name="Milliers 2 3 3 2 6 3 2 2" xfId="21638"/>
    <cellStyle name="Milliers 2 3 3 2 6 3 2 2 2" xfId="21639"/>
    <cellStyle name="Milliers 2 3 3 2 6 3 2 3" xfId="21640"/>
    <cellStyle name="Milliers 2 3 3 2 6 3 3" xfId="21641"/>
    <cellStyle name="Milliers 2 3 3 2 6 3 3 2" xfId="21642"/>
    <cellStyle name="Milliers 2 3 3 2 6 3 4" xfId="21643"/>
    <cellStyle name="Milliers 2 3 3 2 6 4" xfId="21644"/>
    <cellStyle name="Milliers 2 3 3 2 6 4 2" xfId="21645"/>
    <cellStyle name="Milliers 2 3 3 2 6 4 2 2" xfId="21646"/>
    <cellStyle name="Milliers 2 3 3 2 6 4 3" xfId="21647"/>
    <cellStyle name="Milliers 2 3 3 2 6 5" xfId="21648"/>
    <cellStyle name="Milliers 2 3 3 2 6 5 2" xfId="21649"/>
    <cellStyle name="Milliers 2 3 3 2 6 6" xfId="21650"/>
    <cellStyle name="Milliers 2 3 3 2 7" xfId="21651"/>
    <cellStyle name="Milliers 2 3 3 2 7 2" xfId="21652"/>
    <cellStyle name="Milliers 2 3 3 2 7 2 2" xfId="21653"/>
    <cellStyle name="Milliers 2 3 3 2 7 2 2 2" xfId="21654"/>
    <cellStyle name="Milliers 2 3 3 2 7 2 2 2 2" xfId="21655"/>
    <cellStyle name="Milliers 2 3 3 2 7 2 2 3" xfId="21656"/>
    <cellStyle name="Milliers 2 3 3 2 7 2 3" xfId="21657"/>
    <cellStyle name="Milliers 2 3 3 2 7 2 3 2" xfId="21658"/>
    <cellStyle name="Milliers 2 3 3 2 7 2 4" xfId="21659"/>
    <cellStyle name="Milliers 2 3 3 2 7 3" xfId="21660"/>
    <cellStyle name="Milliers 2 3 3 2 7 3 2" xfId="21661"/>
    <cellStyle name="Milliers 2 3 3 2 7 3 2 2" xfId="21662"/>
    <cellStyle name="Milliers 2 3 3 2 7 3 3" xfId="21663"/>
    <cellStyle name="Milliers 2 3 3 2 7 4" xfId="21664"/>
    <cellStyle name="Milliers 2 3 3 2 7 4 2" xfId="21665"/>
    <cellStyle name="Milliers 2 3 3 2 7 5" xfId="21666"/>
    <cellStyle name="Milliers 2 3 3 2 8" xfId="21667"/>
    <cellStyle name="Milliers 2 3 3 2 8 2" xfId="21668"/>
    <cellStyle name="Milliers 2 3 3 2 8 2 2" xfId="21669"/>
    <cellStyle name="Milliers 2 3 3 2 8 2 2 2" xfId="21670"/>
    <cellStyle name="Milliers 2 3 3 2 8 2 3" xfId="21671"/>
    <cellStyle name="Milliers 2 3 3 2 8 3" xfId="21672"/>
    <cellStyle name="Milliers 2 3 3 2 8 3 2" xfId="21673"/>
    <cellStyle name="Milliers 2 3 3 2 8 4" xfId="21674"/>
    <cellStyle name="Milliers 2 3 3 2 9" xfId="21675"/>
    <cellStyle name="Milliers 2 3 3 2 9 2" xfId="21676"/>
    <cellStyle name="Milliers 2 3 3 2 9 2 2" xfId="21677"/>
    <cellStyle name="Milliers 2 3 3 2 9 3" xfId="21678"/>
    <cellStyle name="Milliers 2 3 3 3" xfId="21679"/>
    <cellStyle name="Milliers 2 3 3 3 10" xfId="21680"/>
    <cellStyle name="Milliers 2 3 3 3 2" xfId="21681"/>
    <cellStyle name="Milliers 2 3 3 3 2 2" xfId="21682"/>
    <cellStyle name="Milliers 2 3 3 3 2 2 2" xfId="21683"/>
    <cellStyle name="Milliers 2 3 3 3 2 2 2 2" xfId="21684"/>
    <cellStyle name="Milliers 2 3 3 3 2 2 2 2 2" xfId="21685"/>
    <cellStyle name="Milliers 2 3 3 3 2 2 2 2 2 2" xfId="21686"/>
    <cellStyle name="Milliers 2 3 3 3 2 2 2 2 2 2 2" xfId="21687"/>
    <cellStyle name="Milliers 2 3 3 3 2 2 2 2 2 2 2 2" xfId="21688"/>
    <cellStyle name="Milliers 2 3 3 3 2 2 2 2 2 2 2 2 2" xfId="21689"/>
    <cellStyle name="Milliers 2 3 3 3 2 2 2 2 2 2 2 3" xfId="21690"/>
    <cellStyle name="Milliers 2 3 3 3 2 2 2 2 2 2 3" xfId="21691"/>
    <cellStyle name="Milliers 2 3 3 3 2 2 2 2 2 2 3 2" xfId="21692"/>
    <cellStyle name="Milliers 2 3 3 3 2 2 2 2 2 2 4" xfId="21693"/>
    <cellStyle name="Milliers 2 3 3 3 2 2 2 2 2 3" xfId="21694"/>
    <cellStyle name="Milliers 2 3 3 3 2 2 2 2 2 3 2" xfId="21695"/>
    <cellStyle name="Milliers 2 3 3 3 2 2 2 2 2 3 2 2" xfId="21696"/>
    <cellStyle name="Milliers 2 3 3 3 2 2 2 2 2 3 3" xfId="21697"/>
    <cellStyle name="Milliers 2 3 3 3 2 2 2 2 2 4" xfId="21698"/>
    <cellStyle name="Milliers 2 3 3 3 2 2 2 2 2 4 2" xfId="21699"/>
    <cellStyle name="Milliers 2 3 3 3 2 2 2 2 2 5" xfId="21700"/>
    <cellStyle name="Milliers 2 3 3 3 2 2 2 2 3" xfId="21701"/>
    <cellStyle name="Milliers 2 3 3 3 2 2 2 2 3 2" xfId="21702"/>
    <cellStyle name="Milliers 2 3 3 3 2 2 2 2 3 2 2" xfId="21703"/>
    <cellStyle name="Milliers 2 3 3 3 2 2 2 2 3 2 2 2" xfId="21704"/>
    <cellStyle name="Milliers 2 3 3 3 2 2 2 2 3 2 3" xfId="21705"/>
    <cellStyle name="Milliers 2 3 3 3 2 2 2 2 3 3" xfId="21706"/>
    <cellStyle name="Milliers 2 3 3 3 2 2 2 2 3 3 2" xfId="21707"/>
    <cellStyle name="Milliers 2 3 3 3 2 2 2 2 3 4" xfId="21708"/>
    <cellStyle name="Milliers 2 3 3 3 2 2 2 2 4" xfId="21709"/>
    <cellStyle name="Milliers 2 3 3 3 2 2 2 2 4 2" xfId="21710"/>
    <cellStyle name="Milliers 2 3 3 3 2 2 2 2 4 2 2" xfId="21711"/>
    <cellStyle name="Milliers 2 3 3 3 2 2 2 2 4 3" xfId="21712"/>
    <cellStyle name="Milliers 2 3 3 3 2 2 2 2 5" xfId="21713"/>
    <cellStyle name="Milliers 2 3 3 3 2 2 2 2 5 2" xfId="21714"/>
    <cellStyle name="Milliers 2 3 3 3 2 2 2 2 6" xfId="21715"/>
    <cellStyle name="Milliers 2 3 3 3 2 2 2 3" xfId="21716"/>
    <cellStyle name="Milliers 2 3 3 3 2 2 2 3 2" xfId="21717"/>
    <cellStyle name="Milliers 2 3 3 3 2 2 2 3 2 2" xfId="21718"/>
    <cellStyle name="Milliers 2 3 3 3 2 2 2 3 2 2 2" xfId="21719"/>
    <cellStyle name="Milliers 2 3 3 3 2 2 2 3 2 2 2 2" xfId="21720"/>
    <cellStyle name="Milliers 2 3 3 3 2 2 2 3 2 2 3" xfId="21721"/>
    <cellStyle name="Milliers 2 3 3 3 2 2 2 3 2 3" xfId="21722"/>
    <cellStyle name="Milliers 2 3 3 3 2 2 2 3 2 3 2" xfId="21723"/>
    <cellStyle name="Milliers 2 3 3 3 2 2 2 3 2 4" xfId="21724"/>
    <cellStyle name="Milliers 2 3 3 3 2 2 2 3 3" xfId="21725"/>
    <cellStyle name="Milliers 2 3 3 3 2 2 2 3 3 2" xfId="21726"/>
    <cellStyle name="Milliers 2 3 3 3 2 2 2 3 3 2 2" xfId="21727"/>
    <cellStyle name="Milliers 2 3 3 3 2 2 2 3 3 3" xfId="21728"/>
    <cellStyle name="Milliers 2 3 3 3 2 2 2 3 4" xfId="21729"/>
    <cellStyle name="Milliers 2 3 3 3 2 2 2 3 4 2" xfId="21730"/>
    <cellStyle name="Milliers 2 3 3 3 2 2 2 3 5" xfId="21731"/>
    <cellStyle name="Milliers 2 3 3 3 2 2 2 4" xfId="21732"/>
    <cellStyle name="Milliers 2 3 3 3 2 2 2 4 2" xfId="21733"/>
    <cellStyle name="Milliers 2 3 3 3 2 2 2 4 2 2" xfId="21734"/>
    <cellStyle name="Milliers 2 3 3 3 2 2 2 4 2 2 2" xfId="21735"/>
    <cellStyle name="Milliers 2 3 3 3 2 2 2 4 2 3" xfId="21736"/>
    <cellStyle name="Milliers 2 3 3 3 2 2 2 4 3" xfId="21737"/>
    <cellStyle name="Milliers 2 3 3 3 2 2 2 4 3 2" xfId="21738"/>
    <cellStyle name="Milliers 2 3 3 3 2 2 2 4 4" xfId="21739"/>
    <cellStyle name="Milliers 2 3 3 3 2 2 2 5" xfId="21740"/>
    <cellStyle name="Milliers 2 3 3 3 2 2 2 5 2" xfId="21741"/>
    <cellStyle name="Milliers 2 3 3 3 2 2 2 5 2 2" xfId="21742"/>
    <cellStyle name="Milliers 2 3 3 3 2 2 2 5 3" xfId="21743"/>
    <cellStyle name="Milliers 2 3 3 3 2 2 2 6" xfId="21744"/>
    <cellStyle name="Milliers 2 3 3 3 2 2 2 6 2" xfId="21745"/>
    <cellStyle name="Milliers 2 3 3 3 2 2 2 7" xfId="21746"/>
    <cellStyle name="Milliers 2 3 3 3 2 2 3" xfId="21747"/>
    <cellStyle name="Milliers 2 3 3 3 2 2 3 2" xfId="21748"/>
    <cellStyle name="Milliers 2 3 3 3 2 2 3 2 2" xfId="21749"/>
    <cellStyle name="Milliers 2 3 3 3 2 2 3 2 2 2" xfId="21750"/>
    <cellStyle name="Milliers 2 3 3 3 2 2 3 2 2 2 2" xfId="21751"/>
    <cellStyle name="Milliers 2 3 3 3 2 2 3 2 2 2 2 2" xfId="21752"/>
    <cellStyle name="Milliers 2 3 3 3 2 2 3 2 2 2 3" xfId="21753"/>
    <cellStyle name="Milliers 2 3 3 3 2 2 3 2 2 3" xfId="21754"/>
    <cellStyle name="Milliers 2 3 3 3 2 2 3 2 2 3 2" xfId="21755"/>
    <cellStyle name="Milliers 2 3 3 3 2 2 3 2 2 4" xfId="21756"/>
    <cellStyle name="Milliers 2 3 3 3 2 2 3 2 3" xfId="21757"/>
    <cellStyle name="Milliers 2 3 3 3 2 2 3 2 3 2" xfId="21758"/>
    <cellStyle name="Milliers 2 3 3 3 2 2 3 2 3 2 2" xfId="21759"/>
    <cellStyle name="Milliers 2 3 3 3 2 2 3 2 3 3" xfId="21760"/>
    <cellStyle name="Milliers 2 3 3 3 2 2 3 2 4" xfId="21761"/>
    <cellStyle name="Milliers 2 3 3 3 2 2 3 2 4 2" xfId="21762"/>
    <cellStyle name="Milliers 2 3 3 3 2 2 3 2 5" xfId="21763"/>
    <cellStyle name="Milliers 2 3 3 3 2 2 3 3" xfId="21764"/>
    <cellStyle name="Milliers 2 3 3 3 2 2 3 3 2" xfId="21765"/>
    <cellStyle name="Milliers 2 3 3 3 2 2 3 3 2 2" xfId="21766"/>
    <cellStyle name="Milliers 2 3 3 3 2 2 3 3 2 2 2" xfId="21767"/>
    <cellStyle name="Milliers 2 3 3 3 2 2 3 3 2 3" xfId="21768"/>
    <cellStyle name="Milliers 2 3 3 3 2 2 3 3 3" xfId="21769"/>
    <cellStyle name="Milliers 2 3 3 3 2 2 3 3 3 2" xfId="21770"/>
    <cellStyle name="Milliers 2 3 3 3 2 2 3 3 4" xfId="21771"/>
    <cellStyle name="Milliers 2 3 3 3 2 2 3 4" xfId="21772"/>
    <cellStyle name="Milliers 2 3 3 3 2 2 3 4 2" xfId="21773"/>
    <cellStyle name="Milliers 2 3 3 3 2 2 3 4 2 2" xfId="21774"/>
    <cellStyle name="Milliers 2 3 3 3 2 2 3 4 3" xfId="21775"/>
    <cellStyle name="Milliers 2 3 3 3 2 2 3 5" xfId="21776"/>
    <cellStyle name="Milliers 2 3 3 3 2 2 3 5 2" xfId="21777"/>
    <cellStyle name="Milliers 2 3 3 3 2 2 3 6" xfId="21778"/>
    <cellStyle name="Milliers 2 3 3 3 2 2 4" xfId="21779"/>
    <cellStyle name="Milliers 2 3 3 3 2 2 4 2" xfId="21780"/>
    <cellStyle name="Milliers 2 3 3 3 2 2 4 2 2" xfId="21781"/>
    <cellStyle name="Milliers 2 3 3 3 2 2 4 2 2 2" xfId="21782"/>
    <cellStyle name="Milliers 2 3 3 3 2 2 4 2 2 2 2" xfId="21783"/>
    <cellStyle name="Milliers 2 3 3 3 2 2 4 2 2 3" xfId="21784"/>
    <cellStyle name="Milliers 2 3 3 3 2 2 4 2 3" xfId="21785"/>
    <cellStyle name="Milliers 2 3 3 3 2 2 4 2 3 2" xfId="21786"/>
    <cellStyle name="Milliers 2 3 3 3 2 2 4 2 4" xfId="21787"/>
    <cellStyle name="Milliers 2 3 3 3 2 2 4 3" xfId="21788"/>
    <cellStyle name="Milliers 2 3 3 3 2 2 4 3 2" xfId="21789"/>
    <cellStyle name="Milliers 2 3 3 3 2 2 4 3 2 2" xfId="21790"/>
    <cellStyle name="Milliers 2 3 3 3 2 2 4 3 3" xfId="21791"/>
    <cellStyle name="Milliers 2 3 3 3 2 2 4 4" xfId="21792"/>
    <cellStyle name="Milliers 2 3 3 3 2 2 4 4 2" xfId="21793"/>
    <cellStyle name="Milliers 2 3 3 3 2 2 4 5" xfId="21794"/>
    <cellStyle name="Milliers 2 3 3 3 2 2 5" xfId="21795"/>
    <cellStyle name="Milliers 2 3 3 3 2 2 5 2" xfId="21796"/>
    <cellStyle name="Milliers 2 3 3 3 2 2 5 2 2" xfId="21797"/>
    <cellStyle name="Milliers 2 3 3 3 2 2 5 2 2 2" xfId="21798"/>
    <cellStyle name="Milliers 2 3 3 3 2 2 5 2 3" xfId="21799"/>
    <cellStyle name="Milliers 2 3 3 3 2 2 5 3" xfId="21800"/>
    <cellStyle name="Milliers 2 3 3 3 2 2 5 3 2" xfId="21801"/>
    <cellStyle name="Milliers 2 3 3 3 2 2 5 4" xfId="21802"/>
    <cellStyle name="Milliers 2 3 3 3 2 2 6" xfId="21803"/>
    <cellStyle name="Milliers 2 3 3 3 2 2 6 2" xfId="21804"/>
    <cellStyle name="Milliers 2 3 3 3 2 2 6 2 2" xfId="21805"/>
    <cellStyle name="Milliers 2 3 3 3 2 2 6 3" xfId="21806"/>
    <cellStyle name="Milliers 2 3 3 3 2 2 7" xfId="21807"/>
    <cellStyle name="Milliers 2 3 3 3 2 2 7 2" xfId="21808"/>
    <cellStyle name="Milliers 2 3 3 3 2 2 8" xfId="21809"/>
    <cellStyle name="Milliers 2 3 3 3 2 3" xfId="21810"/>
    <cellStyle name="Milliers 2 3 3 3 2 3 2" xfId="21811"/>
    <cellStyle name="Milliers 2 3 3 3 2 3 2 2" xfId="21812"/>
    <cellStyle name="Milliers 2 3 3 3 2 3 2 2 2" xfId="21813"/>
    <cellStyle name="Milliers 2 3 3 3 2 3 2 2 2 2" xfId="21814"/>
    <cellStyle name="Milliers 2 3 3 3 2 3 2 2 2 2 2" xfId="21815"/>
    <cellStyle name="Milliers 2 3 3 3 2 3 2 2 2 2 2 2" xfId="21816"/>
    <cellStyle name="Milliers 2 3 3 3 2 3 2 2 2 2 3" xfId="21817"/>
    <cellStyle name="Milliers 2 3 3 3 2 3 2 2 2 3" xfId="21818"/>
    <cellStyle name="Milliers 2 3 3 3 2 3 2 2 2 3 2" xfId="21819"/>
    <cellStyle name="Milliers 2 3 3 3 2 3 2 2 2 4" xfId="21820"/>
    <cellStyle name="Milliers 2 3 3 3 2 3 2 2 3" xfId="21821"/>
    <cellStyle name="Milliers 2 3 3 3 2 3 2 2 3 2" xfId="21822"/>
    <cellStyle name="Milliers 2 3 3 3 2 3 2 2 3 2 2" xfId="21823"/>
    <cellStyle name="Milliers 2 3 3 3 2 3 2 2 3 3" xfId="21824"/>
    <cellStyle name="Milliers 2 3 3 3 2 3 2 2 4" xfId="21825"/>
    <cellStyle name="Milliers 2 3 3 3 2 3 2 2 4 2" xfId="21826"/>
    <cellStyle name="Milliers 2 3 3 3 2 3 2 2 5" xfId="21827"/>
    <cellStyle name="Milliers 2 3 3 3 2 3 2 3" xfId="21828"/>
    <cellStyle name="Milliers 2 3 3 3 2 3 2 3 2" xfId="21829"/>
    <cellStyle name="Milliers 2 3 3 3 2 3 2 3 2 2" xfId="21830"/>
    <cellStyle name="Milliers 2 3 3 3 2 3 2 3 2 2 2" xfId="21831"/>
    <cellStyle name="Milliers 2 3 3 3 2 3 2 3 2 3" xfId="21832"/>
    <cellStyle name="Milliers 2 3 3 3 2 3 2 3 3" xfId="21833"/>
    <cellStyle name="Milliers 2 3 3 3 2 3 2 3 3 2" xfId="21834"/>
    <cellStyle name="Milliers 2 3 3 3 2 3 2 3 4" xfId="21835"/>
    <cellStyle name="Milliers 2 3 3 3 2 3 2 4" xfId="21836"/>
    <cellStyle name="Milliers 2 3 3 3 2 3 2 4 2" xfId="21837"/>
    <cellStyle name="Milliers 2 3 3 3 2 3 2 4 2 2" xfId="21838"/>
    <cellStyle name="Milliers 2 3 3 3 2 3 2 4 3" xfId="21839"/>
    <cellStyle name="Milliers 2 3 3 3 2 3 2 5" xfId="21840"/>
    <cellStyle name="Milliers 2 3 3 3 2 3 2 5 2" xfId="21841"/>
    <cellStyle name="Milliers 2 3 3 3 2 3 2 6" xfId="21842"/>
    <cellStyle name="Milliers 2 3 3 3 2 3 3" xfId="21843"/>
    <cellStyle name="Milliers 2 3 3 3 2 3 3 2" xfId="21844"/>
    <cellStyle name="Milliers 2 3 3 3 2 3 3 2 2" xfId="21845"/>
    <cellStyle name="Milliers 2 3 3 3 2 3 3 2 2 2" xfId="21846"/>
    <cellStyle name="Milliers 2 3 3 3 2 3 3 2 2 2 2" xfId="21847"/>
    <cellStyle name="Milliers 2 3 3 3 2 3 3 2 2 3" xfId="21848"/>
    <cellStyle name="Milliers 2 3 3 3 2 3 3 2 3" xfId="21849"/>
    <cellStyle name="Milliers 2 3 3 3 2 3 3 2 3 2" xfId="21850"/>
    <cellStyle name="Milliers 2 3 3 3 2 3 3 2 4" xfId="21851"/>
    <cellStyle name="Milliers 2 3 3 3 2 3 3 3" xfId="21852"/>
    <cellStyle name="Milliers 2 3 3 3 2 3 3 3 2" xfId="21853"/>
    <cellStyle name="Milliers 2 3 3 3 2 3 3 3 2 2" xfId="21854"/>
    <cellStyle name="Milliers 2 3 3 3 2 3 3 3 3" xfId="21855"/>
    <cellStyle name="Milliers 2 3 3 3 2 3 3 4" xfId="21856"/>
    <cellStyle name="Milliers 2 3 3 3 2 3 3 4 2" xfId="21857"/>
    <cellStyle name="Milliers 2 3 3 3 2 3 3 5" xfId="21858"/>
    <cellStyle name="Milliers 2 3 3 3 2 3 4" xfId="21859"/>
    <cellStyle name="Milliers 2 3 3 3 2 3 4 2" xfId="21860"/>
    <cellStyle name="Milliers 2 3 3 3 2 3 4 2 2" xfId="21861"/>
    <cellStyle name="Milliers 2 3 3 3 2 3 4 2 2 2" xfId="21862"/>
    <cellStyle name="Milliers 2 3 3 3 2 3 4 2 3" xfId="21863"/>
    <cellStyle name="Milliers 2 3 3 3 2 3 4 3" xfId="21864"/>
    <cellStyle name="Milliers 2 3 3 3 2 3 4 3 2" xfId="21865"/>
    <cellStyle name="Milliers 2 3 3 3 2 3 4 4" xfId="21866"/>
    <cellStyle name="Milliers 2 3 3 3 2 3 5" xfId="21867"/>
    <cellStyle name="Milliers 2 3 3 3 2 3 5 2" xfId="21868"/>
    <cellStyle name="Milliers 2 3 3 3 2 3 5 2 2" xfId="21869"/>
    <cellStyle name="Milliers 2 3 3 3 2 3 5 3" xfId="21870"/>
    <cellStyle name="Milliers 2 3 3 3 2 3 6" xfId="21871"/>
    <cellStyle name="Milliers 2 3 3 3 2 3 6 2" xfId="21872"/>
    <cellStyle name="Milliers 2 3 3 3 2 3 7" xfId="21873"/>
    <cellStyle name="Milliers 2 3 3 3 2 4" xfId="21874"/>
    <cellStyle name="Milliers 2 3 3 3 2 4 2" xfId="21875"/>
    <cellStyle name="Milliers 2 3 3 3 2 4 2 2" xfId="21876"/>
    <cellStyle name="Milliers 2 3 3 3 2 4 2 2 2" xfId="21877"/>
    <cellStyle name="Milliers 2 3 3 3 2 4 2 2 2 2" xfId="21878"/>
    <cellStyle name="Milliers 2 3 3 3 2 4 2 2 2 2 2" xfId="21879"/>
    <cellStyle name="Milliers 2 3 3 3 2 4 2 2 2 3" xfId="21880"/>
    <cellStyle name="Milliers 2 3 3 3 2 4 2 2 3" xfId="21881"/>
    <cellStyle name="Milliers 2 3 3 3 2 4 2 2 3 2" xfId="21882"/>
    <cellStyle name="Milliers 2 3 3 3 2 4 2 2 4" xfId="21883"/>
    <cellStyle name="Milliers 2 3 3 3 2 4 2 3" xfId="21884"/>
    <cellStyle name="Milliers 2 3 3 3 2 4 2 3 2" xfId="21885"/>
    <cellStyle name="Milliers 2 3 3 3 2 4 2 3 2 2" xfId="21886"/>
    <cellStyle name="Milliers 2 3 3 3 2 4 2 3 3" xfId="21887"/>
    <cellStyle name="Milliers 2 3 3 3 2 4 2 4" xfId="21888"/>
    <cellStyle name="Milliers 2 3 3 3 2 4 2 4 2" xfId="21889"/>
    <cellStyle name="Milliers 2 3 3 3 2 4 2 5" xfId="21890"/>
    <cellStyle name="Milliers 2 3 3 3 2 4 3" xfId="21891"/>
    <cellStyle name="Milliers 2 3 3 3 2 4 3 2" xfId="21892"/>
    <cellStyle name="Milliers 2 3 3 3 2 4 3 2 2" xfId="21893"/>
    <cellStyle name="Milliers 2 3 3 3 2 4 3 2 2 2" xfId="21894"/>
    <cellStyle name="Milliers 2 3 3 3 2 4 3 2 3" xfId="21895"/>
    <cellStyle name="Milliers 2 3 3 3 2 4 3 3" xfId="21896"/>
    <cellStyle name="Milliers 2 3 3 3 2 4 3 3 2" xfId="21897"/>
    <cellStyle name="Milliers 2 3 3 3 2 4 3 4" xfId="21898"/>
    <cellStyle name="Milliers 2 3 3 3 2 4 4" xfId="21899"/>
    <cellStyle name="Milliers 2 3 3 3 2 4 4 2" xfId="21900"/>
    <cellStyle name="Milliers 2 3 3 3 2 4 4 2 2" xfId="21901"/>
    <cellStyle name="Milliers 2 3 3 3 2 4 4 3" xfId="21902"/>
    <cellStyle name="Milliers 2 3 3 3 2 4 5" xfId="21903"/>
    <cellStyle name="Milliers 2 3 3 3 2 4 5 2" xfId="21904"/>
    <cellStyle name="Milliers 2 3 3 3 2 4 6" xfId="21905"/>
    <cellStyle name="Milliers 2 3 3 3 2 5" xfId="21906"/>
    <cellStyle name="Milliers 2 3 3 3 2 5 2" xfId="21907"/>
    <cellStyle name="Milliers 2 3 3 3 2 5 2 2" xfId="21908"/>
    <cellStyle name="Milliers 2 3 3 3 2 5 2 2 2" xfId="21909"/>
    <cellStyle name="Milliers 2 3 3 3 2 5 2 2 2 2" xfId="21910"/>
    <cellStyle name="Milliers 2 3 3 3 2 5 2 2 3" xfId="21911"/>
    <cellStyle name="Milliers 2 3 3 3 2 5 2 3" xfId="21912"/>
    <cellStyle name="Milliers 2 3 3 3 2 5 2 3 2" xfId="21913"/>
    <cellStyle name="Milliers 2 3 3 3 2 5 2 4" xfId="21914"/>
    <cellStyle name="Milliers 2 3 3 3 2 5 3" xfId="21915"/>
    <cellStyle name="Milliers 2 3 3 3 2 5 3 2" xfId="21916"/>
    <cellStyle name="Milliers 2 3 3 3 2 5 3 2 2" xfId="21917"/>
    <cellStyle name="Milliers 2 3 3 3 2 5 3 3" xfId="21918"/>
    <cellStyle name="Milliers 2 3 3 3 2 5 4" xfId="21919"/>
    <cellStyle name="Milliers 2 3 3 3 2 5 4 2" xfId="21920"/>
    <cellStyle name="Milliers 2 3 3 3 2 5 5" xfId="21921"/>
    <cellStyle name="Milliers 2 3 3 3 2 6" xfId="21922"/>
    <cellStyle name="Milliers 2 3 3 3 2 6 2" xfId="21923"/>
    <cellStyle name="Milliers 2 3 3 3 2 6 2 2" xfId="21924"/>
    <cellStyle name="Milliers 2 3 3 3 2 6 2 2 2" xfId="21925"/>
    <cellStyle name="Milliers 2 3 3 3 2 6 2 3" xfId="21926"/>
    <cellStyle name="Milliers 2 3 3 3 2 6 3" xfId="21927"/>
    <cellStyle name="Milliers 2 3 3 3 2 6 3 2" xfId="21928"/>
    <cellStyle name="Milliers 2 3 3 3 2 6 4" xfId="21929"/>
    <cellStyle name="Milliers 2 3 3 3 2 7" xfId="21930"/>
    <cellStyle name="Milliers 2 3 3 3 2 7 2" xfId="21931"/>
    <cellStyle name="Milliers 2 3 3 3 2 7 2 2" xfId="21932"/>
    <cellStyle name="Milliers 2 3 3 3 2 7 3" xfId="21933"/>
    <cellStyle name="Milliers 2 3 3 3 2 8" xfId="21934"/>
    <cellStyle name="Milliers 2 3 3 3 2 8 2" xfId="21935"/>
    <cellStyle name="Milliers 2 3 3 3 2 9" xfId="21936"/>
    <cellStyle name="Milliers 2 3 3 3 3" xfId="21937"/>
    <cellStyle name="Milliers 2 3 3 3 3 2" xfId="21938"/>
    <cellStyle name="Milliers 2 3 3 3 3 2 2" xfId="21939"/>
    <cellStyle name="Milliers 2 3 3 3 3 2 2 2" xfId="21940"/>
    <cellStyle name="Milliers 2 3 3 3 3 2 2 2 2" xfId="21941"/>
    <cellStyle name="Milliers 2 3 3 3 3 2 2 2 2 2" xfId="21942"/>
    <cellStyle name="Milliers 2 3 3 3 3 2 2 2 2 2 2" xfId="21943"/>
    <cellStyle name="Milliers 2 3 3 3 3 2 2 2 2 2 2 2" xfId="21944"/>
    <cellStyle name="Milliers 2 3 3 3 3 2 2 2 2 2 3" xfId="21945"/>
    <cellStyle name="Milliers 2 3 3 3 3 2 2 2 2 3" xfId="21946"/>
    <cellStyle name="Milliers 2 3 3 3 3 2 2 2 2 3 2" xfId="21947"/>
    <cellStyle name="Milliers 2 3 3 3 3 2 2 2 2 4" xfId="21948"/>
    <cellStyle name="Milliers 2 3 3 3 3 2 2 2 3" xfId="21949"/>
    <cellStyle name="Milliers 2 3 3 3 3 2 2 2 3 2" xfId="21950"/>
    <cellStyle name="Milliers 2 3 3 3 3 2 2 2 3 2 2" xfId="21951"/>
    <cellStyle name="Milliers 2 3 3 3 3 2 2 2 3 3" xfId="21952"/>
    <cellStyle name="Milliers 2 3 3 3 3 2 2 2 4" xfId="21953"/>
    <cellStyle name="Milliers 2 3 3 3 3 2 2 2 4 2" xfId="21954"/>
    <cellStyle name="Milliers 2 3 3 3 3 2 2 2 5" xfId="21955"/>
    <cellStyle name="Milliers 2 3 3 3 3 2 2 3" xfId="21956"/>
    <cellStyle name="Milliers 2 3 3 3 3 2 2 3 2" xfId="21957"/>
    <cellStyle name="Milliers 2 3 3 3 3 2 2 3 2 2" xfId="21958"/>
    <cellStyle name="Milliers 2 3 3 3 3 2 2 3 2 2 2" xfId="21959"/>
    <cellStyle name="Milliers 2 3 3 3 3 2 2 3 2 3" xfId="21960"/>
    <cellStyle name="Milliers 2 3 3 3 3 2 2 3 3" xfId="21961"/>
    <cellStyle name="Milliers 2 3 3 3 3 2 2 3 3 2" xfId="21962"/>
    <cellStyle name="Milliers 2 3 3 3 3 2 2 3 4" xfId="21963"/>
    <cellStyle name="Milliers 2 3 3 3 3 2 2 4" xfId="21964"/>
    <cellStyle name="Milliers 2 3 3 3 3 2 2 4 2" xfId="21965"/>
    <cellStyle name="Milliers 2 3 3 3 3 2 2 4 2 2" xfId="21966"/>
    <cellStyle name="Milliers 2 3 3 3 3 2 2 4 3" xfId="21967"/>
    <cellStyle name="Milliers 2 3 3 3 3 2 2 5" xfId="21968"/>
    <cellStyle name="Milliers 2 3 3 3 3 2 2 5 2" xfId="21969"/>
    <cellStyle name="Milliers 2 3 3 3 3 2 2 6" xfId="21970"/>
    <cellStyle name="Milliers 2 3 3 3 3 2 3" xfId="21971"/>
    <cellStyle name="Milliers 2 3 3 3 3 2 3 2" xfId="21972"/>
    <cellStyle name="Milliers 2 3 3 3 3 2 3 2 2" xfId="21973"/>
    <cellStyle name="Milliers 2 3 3 3 3 2 3 2 2 2" xfId="21974"/>
    <cellStyle name="Milliers 2 3 3 3 3 2 3 2 2 2 2" xfId="21975"/>
    <cellStyle name="Milliers 2 3 3 3 3 2 3 2 2 3" xfId="21976"/>
    <cellStyle name="Milliers 2 3 3 3 3 2 3 2 3" xfId="21977"/>
    <cellStyle name="Milliers 2 3 3 3 3 2 3 2 3 2" xfId="21978"/>
    <cellStyle name="Milliers 2 3 3 3 3 2 3 2 4" xfId="21979"/>
    <cellStyle name="Milliers 2 3 3 3 3 2 3 3" xfId="21980"/>
    <cellStyle name="Milliers 2 3 3 3 3 2 3 3 2" xfId="21981"/>
    <cellStyle name="Milliers 2 3 3 3 3 2 3 3 2 2" xfId="21982"/>
    <cellStyle name="Milliers 2 3 3 3 3 2 3 3 3" xfId="21983"/>
    <cellStyle name="Milliers 2 3 3 3 3 2 3 4" xfId="21984"/>
    <cellStyle name="Milliers 2 3 3 3 3 2 3 4 2" xfId="21985"/>
    <cellStyle name="Milliers 2 3 3 3 3 2 3 5" xfId="21986"/>
    <cellStyle name="Milliers 2 3 3 3 3 2 4" xfId="21987"/>
    <cellStyle name="Milliers 2 3 3 3 3 2 4 2" xfId="21988"/>
    <cellStyle name="Milliers 2 3 3 3 3 2 4 2 2" xfId="21989"/>
    <cellStyle name="Milliers 2 3 3 3 3 2 4 2 2 2" xfId="21990"/>
    <cellStyle name="Milliers 2 3 3 3 3 2 4 2 3" xfId="21991"/>
    <cellStyle name="Milliers 2 3 3 3 3 2 4 3" xfId="21992"/>
    <cellStyle name="Milliers 2 3 3 3 3 2 4 3 2" xfId="21993"/>
    <cellStyle name="Milliers 2 3 3 3 3 2 4 4" xfId="21994"/>
    <cellStyle name="Milliers 2 3 3 3 3 2 5" xfId="21995"/>
    <cellStyle name="Milliers 2 3 3 3 3 2 5 2" xfId="21996"/>
    <cellStyle name="Milliers 2 3 3 3 3 2 5 2 2" xfId="21997"/>
    <cellStyle name="Milliers 2 3 3 3 3 2 5 3" xfId="21998"/>
    <cellStyle name="Milliers 2 3 3 3 3 2 6" xfId="21999"/>
    <cellStyle name="Milliers 2 3 3 3 3 2 6 2" xfId="22000"/>
    <cellStyle name="Milliers 2 3 3 3 3 2 7" xfId="22001"/>
    <cellStyle name="Milliers 2 3 3 3 3 3" xfId="22002"/>
    <cellStyle name="Milliers 2 3 3 3 3 3 2" xfId="22003"/>
    <cellStyle name="Milliers 2 3 3 3 3 3 2 2" xfId="22004"/>
    <cellStyle name="Milliers 2 3 3 3 3 3 2 2 2" xfId="22005"/>
    <cellStyle name="Milliers 2 3 3 3 3 3 2 2 2 2" xfId="22006"/>
    <cellStyle name="Milliers 2 3 3 3 3 3 2 2 2 2 2" xfId="22007"/>
    <cellStyle name="Milliers 2 3 3 3 3 3 2 2 2 3" xfId="22008"/>
    <cellStyle name="Milliers 2 3 3 3 3 3 2 2 3" xfId="22009"/>
    <cellStyle name="Milliers 2 3 3 3 3 3 2 2 3 2" xfId="22010"/>
    <cellStyle name="Milliers 2 3 3 3 3 3 2 2 4" xfId="22011"/>
    <cellStyle name="Milliers 2 3 3 3 3 3 2 3" xfId="22012"/>
    <cellStyle name="Milliers 2 3 3 3 3 3 2 3 2" xfId="22013"/>
    <cellStyle name="Milliers 2 3 3 3 3 3 2 3 2 2" xfId="22014"/>
    <cellStyle name="Milliers 2 3 3 3 3 3 2 3 3" xfId="22015"/>
    <cellStyle name="Milliers 2 3 3 3 3 3 2 4" xfId="22016"/>
    <cellStyle name="Milliers 2 3 3 3 3 3 2 4 2" xfId="22017"/>
    <cellStyle name="Milliers 2 3 3 3 3 3 2 5" xfId="22018"/>
    <cellStyle name="Milliers 2 3 3 3 3 3 3" xfId="22019"/>
    <cellStyle name="Milliers 2 3 3 3 3 3 3 2" xfId="22020"/>
    <cellStyle name="Milliers 2 3 3 3 3 3 3 2 2" xfId="22021"/>
    <cellStyle name="Milliers 2 3 3 3 3 3 3 2 2 2" xfId="22022"/>
    <cellStyle name="Milliers 2 3 3 3 3 3 3 2 3" xfId="22023"/>
    <cellStyle name="Milliers 2 3 3 3 3 3 3 3" xfId="22024"/>
    <cellStyle name="Milliers 2 3 3 3 3 3 3 3 2" xfId="22025"/>
    <cellStyle name="Milliers 2 3 3 3 3 3 3 4" xfId="22026"/>
    <cellStyle name="Milliers 2 3 3 3 3 3 4" xfId="22027"/>
    <cellStyle name="Milliers 2 3 3 3 3 3 4 2" xfId="22028"/>
    <cellStyle name="Milliers 2 3 3 3 3 3 4 2 2" xfId="22029"/>
    <cellStyle name="Milliers 2 3 3 3 3 3 4 3" xfId="22030"/>
    <cellStyle name="Milliers 2 3 3 3 3 3 5" xfId="22031"/>
    <cellStyle name="Milliers 2 3 3 3 3 3 5 2" xfId="22032"/>
    <cellStyle name="Milliers 2 3 3 3 3 3 6" xfId="22033"/>
    <cellStyle name="Milliers 2 3 3 3 3 4" xfId="22034"/>
    <cellStyle name="Milliers 2 3 3 3 3 4 2" xfId="22035"/>
    <cellStyle name="Milliers 2 3 3 3 3 4 2 2" xfId="22036"/>
    <cellStyle name="Milliers 2 3 3 3 3 4 2 2 2" xfId="22037"/>
    <cellStyle name="Milliers 2 3 3 3 3 4 2 2 2 2" xfId="22038"/>
    <cellStyle name="Milliers 2 3 3 3 3 4 2 2 3" xfId="22039"/>
    <cellStyle name="Milliers 2 3 3 3 3 4 2 3" xfId="22040"/>
    <cellStyle name="Milliers 2 3 3 3 3 4 2 3 2" xfId="22041"/>
    <cellStyle name="Milliers 2 3 3 3 3 4 2 4" xfId="22042"/>
    <cellStyle name="Milliers 2 3 3 3 3 4 3" xfId="22043"/>
    <cellStyle name="Milliers 2 3 3 3 3 4 3 2" xfId="22044"/>
    <cellStyle name="Milliers 2 3 3 3 3 4 3 2 2" xfId="22045"/>
    <cellStyle name="Milliers 2 3 3 3 3 4 3 3" xfId="22046"/>
    <cellStyle name="Milliers 2 3 3 3 3 4 4" xfId="22047"/>
    <cellStyle name="Milliers 2 3 3 3 3 4 4 2" xfId="22048"/>
    <cellStyle name="Milliers 2 3 3 3 3 4 5" xfId="22049"/>
    <cellStyle name="Milliers 2 3 3 3 3 5" xfId="22050"/>
    <cellStyle name="Milliers 2 3 3 3 3 5 2" xfId="22051"/>
    <cellStyle name="Milliers 2 3 3 3 3 5 2 2" xfId="22052"/>
    <cellStyle name="Milliers 2 3 3 3 3 5 2 2 2" xfId="22053"/>
    <cellStyle name="Milliers 2 3 3 3 3 5 2 3" xfId="22054"/>
    <cellStyle name="Milliers 2 3 3 3 3 5 3" xfId="22055"/>
    <cellStyle name="Milliers 2 3 3 3 3 5 3 2" xfId="22056"/>
    <cellStyle name="Milliers 2 3 3 3 3 5 4" xfId="22057"/>
    <cellStyle name="Milliers 2 3 3 3 3 6" xfId="22058"/>
    <cellStyle name="Milliers 2 3 3 3 3 6 2" xfId="22059"/>
    <cellStyle name="Milliers 2 3 3 3 3 6 2 2" xfId="22060"/>
    <cellStyle name="Milliers 2 3 3 3 3 6 3" xfId="22061"/>
    <cellStyle name="Milliers 2 3 3 3 3 7" xfId="22062"/>
    <cellStyle name="Milliers 2 3 3 3 3 7 2" xfId="22063"/>
    <cellStyle name="Milliers 2 3 3 3 3 8" xfId="22064"/>
    <cellStyle name="Milliers 2 3 3 3 4" xfId="22065"/>
    <cellStyle name="Milliers 2 3 3 3 4 2" xfId="22066"/>
    <cellStyle name="Milliers 2 3 3 3 4 2 2" xfId="22067"/>
    <cellStyle name="Milliers 2 3 3 3 4 2 2 2" xfId="22068"/>
    <cellStyle name="Milliers 2 3 3 3 4 2 2 2 2" xfId="22069"/>
    <cellStyle name="Milliers 2 3 3 3 4 2 2 2 2 2" xfId="22070"/>
    <cellStyle name="Milliers 2 3 3 3 4 2 2 2 2 2 2" xfId="22071"/>
    <cellStyle name="Milliers 2 3 3 3 4 2 2 2 2 3" xfId="22072"/>
    <cellStyle name="Milliers 2 3 3 3 4 2 2 2 3" xfId="22073"/>
    <cellStyle name="Milliers 2 3 3 3 4 2 2 2 3 2" xfId="22074"/>
    <cellStyle name="Milliers 2 3 3 3 4 2 2 2 4" xfId="22075"/>
    <cellStyle name="Milliers 2 3 3 3 4 2 2 3" xfId="22076"/>
    <cellStyle name="Milliers 2 3 3 3 4 2 2 3 2" xfId="22077"/>
    <cellStyle name="Milliers 2 3 3 3 4 2 2 3 2 2" xfId="22078"/>
    <cellStyle name="Milliers 2 3 3 3 4 2 2 3 3" xfId="22079"/>
    <cellStyle name="Milliers 2 3 3 3 4 2 2 4" xfId="22080"/>
    <cellStyle name="Milliers 2 3 3 3 4 2 2 4 2" xfId="22081"/>
    <cellStyle name="Milliers 2 3 3 3 4 2 2 5" xfId="22082"/>
    <cellStyle name="Milliers 2 3 3 3 4 2 3" xfId="22083"/>
    <cellStyle name="Milliers 2 3 3 3 4 2 3 2" xfId="22084"/>
    <cellStyle name="Milliers 2 3 3 3 4 2 3 2 2" xfId="22085"/>
    <cellStyle name="Milliers 2 3 3 3 4 2 3 2 2 2" xfId="22086"/>
    <cellStyle name="Milliers 2 3 3 3 4 2 3 2 3" xfId="22087"/>
    <cellStyle name="Milliers 2 3 3 3 4 2 3 3" xfId="22088"/>
    <cellStyle name="Milliers 2 3 3 3 4 2 3 3 2" xfId="22089"/>
    <cellStyle name="Milliers 2 3 3 3 4 2 3 4" xfId="22090"/>
    <cellStyle name="Milliers 2 3 3 3 4 2 4" xfId="22091"/>
    <cellStyle name="Milliers 2 3 3 3 4 2 4 2" xfId="22092"/>
    <cellStyle name="Milliers 2 3 3 3 4 2 4 2 2" xfId="22093"/>
    <cellStyle name="Milliers 2 3 3 3 4 2 4 3" xfId="22094"/>
    <cellStyle name="Milliers 2 3 3 3 4 2 5" xfId="22095"/>
    <cellStyle name="Milliers 2 3 3 3 4 2 5 2" xfId="22096"/>
    <cellStyle name="Milliers 2 3 3 3 4 2 6" xfId="22097"/>
    <cellStyle name="Milliers 2 3 3 3 4 3" xfId="22098"/>
    <cellStyle name="Milliers 2 3 3 3 4 3 2" xfId="22099"/>
    <cellStyle name="Milliers 2 3 3 3 4 3 2 2" xfId="22100"/>
    <cellStyle name="Milliers 2 3 3 3 4 3 2 2 2" xfId="22101"/>
    <cellStyle name="Milliers 2 3 3 3 4 3 2 2 2 2" xfId="22102"/>
    <cellStyle name="Milliers 2 3 3 3 4 3 2 2 3" xfId="22103"/>
    <cellStyle name="Milliers 2 3 3 3 4 3 2 3" xfId="22104"/>
    <cellStyle name="Milliers 2 3 3 3 4 3 2 3 2" xfId="22105"/>
    <cellStyle name="Milliers 2 3 3 3 4 3 2 4" xfId="22106"/>
    <cellStyle name="Milliers 2 3 3 3 4 3 3" xfId="22107"/>
    <cellStyle name="Milliers 2 3 3 3 4 3 3 2" xfId="22108"/>
    <cellStyle name="Milliers 2 3 3 3 4 3 3 2 2" xfId="22109"/>
    <cellStyle name="Milliers 2 3 3 3 4 3 3 3" xfId="22110"/>
    <cellStyle name="Milliers 2 3 3 3 4 3 4" xfId="22111"/>
    <cellStyle name="Milliers 2 3 3 3 4 3 4 2" xfId="22112"/>
    <cellStyle name="Milliers 2 3 3 3 4 3 5" xfId="22113"/>
    <cellStyle name="Milliers 2 3 3 3 4 4" xfId="22114"/>
    <cellStyle name="Milliers 2 3 3 3 4 4 2" xfId="22115"/>
    <cellStyle name="Milliers 2 3 3 3 4 4 2 2" xfId="22116"/>
    <cellStyle name="Milliers 2 3 3 3 4 4 2 2 2" xfId="22117"/>
    <cellStyle name="Milliers 2 3 3 3 4 4 2 3" xfId="22118"/>
    <cellStyle name="Milliers 2 3 3 3 4 4 3" xfId="22119"/>
    <cellStyle name="Milliers 2 3 3 3 4 4 3 2" xfId="22120"/>
    <cellStyle name="Milliers 2 3 3 3 4 4 4" xfId="22121"/>
    <cellStyle name="Milliers 2 3 3 3 4 5" xfId="22122"/>
    <cellStyle name="Milliers 2 3 3 3 4 5 2" xfId="22123"/>
    <cellStyle name="Milliers 2 3 3 3 4 5 2 2" xfId="22124"/>
    <cellStyle name="Milliers 2 3 3 3 4 5 3" xfId="22125"/>
    <cellStyle name="Milliers 2 3 3 3 4 6" xfId="22126"/>
    <cellStyle name="Milliers 2 3 3 3 4 6 2" xfId="22127"/>
    <cellStyle name="Milliers 2 3 3 3 4 7" xfId="22128"/>
    <cellStyle name="Milliers 2 3 3 3 5" xfId="22129"/>
    <cellStyle name="Milliers 2 3 3 3 5 2" xfId="22130"/>
    <cellStyle name="Milliers 2 3 3 3 5 2 2" xfId="22131"/>
    <cellStyle name="Milliers 2 3 3 3 5 2 2 2" xfId="22132"/>
    <cellStyle name="Milliers 2 3 3 3 5 2 2 2 2" xfId="22133"/>
    <cellStyle name="Milliers 2 3 3 3 5 2 2 2 2 2" xfId="22134"/>
    <cellStyle name="Milliers 2 3 3 3 5 2 2 2 3" xfId="22135"/>
    <cellStyle name="Milliers 2 3 3 3 5 2 2 3" xfId="22136"/>
    <cellStyle name="Milliers 2 3 3 3 5 2 2 3 2" xfId="22137"/>
    <cellStyle name="Milliers 2 3 3 3 5 2 2 4" xfId="22138"/>
    <cellStyle name="Milliers 2 3 3 3 5 2 3" xfId="22139"/>
    <cellStyle name="Milliers 2 3 3 3 5 2 3 2" xfId="22140"/>
    <cellStyle name="Milliers 2 3 3 3 5 2 3 2 2" xfId="22141"/>
    <cellStyle name="Milliers 2 3 3 3 5 2 3 3" xfId="22142"/>
    <cellStyle name="Milliers 2 3 3 3 5 2 4" xfId="22143"/>
    <cellStyle name="Milliers 2 3 3 3 5 2 4 2" xfId="22144"/>
    <cellStyle name="Milliers 2 3 3 3 5 2 5" xfId="22145"/>
    <cellStyle name="Milliers 2 3 3 3 5 3" xfId="22146"/>
    <cellStyle name="Milliers 2 3 3 3 5 3 2" xfId="22147"/>
    <cellStyle name="Milliers 2 3 3 3 5 3 2 2" xfId="22148"/>
    <cellStyle name="Milliers 2 3 3 3 5 3 2 2 2" xfId="22149"/>
    <cellStyle name="Milliers 2 3 3 3 5 3 2 3" xfId="22150"/>
    <cellStyle name="Milliers 2 3 3 3 5 3 3" xfId="22151"/>
    <cellStyle name="Milliers 2 3 3 3 5 3 3 2" xfId="22152"/>
    <cellStyle name="Milliers 2 3 3 3 5 3 4" xfId="22153"/>
    <cellStyle name="Milliers 2 3 3 3 5 4" xfId="22154"/>
    <cellStyle name="Milliers 2 3 3 3 5 4 2" xfId="22155"/>
    <cellStyle name="Milliers 2 3 3 3 5 4 2 2" xfId="22156"/>
    <cellStyle name="Milliers 2 3 3 3 5 4 3" xfId="22157"/>
    <cellStyle name="Milliers 2 3 3 3 5 5" xfId="22158"/>
    <cellStyle name="Milliers 2 3 3 3 5 5 2" xfId="22159"/>
    <cellStyle name="Milliers 2 3 3 3 5 6" xfId="22160"/>
    <cellStyle name="Milliers 2 3 3 3 6" xfId="22161"/>
    <cellStyle name="Milliers 2 3 3 3 6 2" xfId="22162"/>
    <cellStyle name="Milliers 2 3 3 3 6 2 2" xfId="22163"/>
    <cellStyle name="Milliers 2 3 3 3 6 2 2 2" xfId="22164"/>
    <cellStyle name="Milliers 2 3 3 3 6 2 2 2 2" xfId="22165"/>
    <cellStyle name="Milliers 2 3 3 3 6 2 2 3" xfId="22166"/>
    <cellStyle name="Milliers 2 3 3 3 6 2 3" xfId="22167"/>
    <cellStyle name="Milliers 2 3 3 3 6 2 3 2" xfId="22168"/>
    <cellStyle name="Milliers 2 3 3 3 6 2 4" xfId="22169"/>
    <cellStyle name="Milliers 2 3 3 3 6 3" xfId="22170"/>
    <cellStyle name="Milliers 2 3 3 3 6 3 2" xfId="22171"/>
    <cellStyle name="Milliers 2 3 3 3 6 3 2 2" xfId="22172"/>
    <cellStyle name="Milliers 2 3 3 3 6 3 3" xfId="22173"/>
    <cellStyle name="Milliers 2 3 3 3 6 4" xfId="22174"/>
    <cellStyle name="Milliers 2 3 3 3 6 4 2" xfId="22175"/>
    <cellStyle name="Milliers 2 3 3 3 6 5" xfId="22176"/>
    <cellStyle name="Milliers 2 3 3 3 7" xfId="22177"/>
    <cellStyle name="Milliers 2 3 3 3 7 2" xfId="22178"/>
    <cellStyle name="Milliers 2 3 3 3 7 2 2" xfId="22179"/>
    <cellStyle name="Milliers 2 3 3 3 7 2 2 2" xfId="22180"/>
    <cellStyle name="Milliers 2 3 3 3 7 2 3" xfId="22181"/>
    <cellStyle name="Milliers 2 3 3 3 7 3" xfId="22182"/>
    <cellStyle name="Milliers 2 3 3 3 7 3 2" xfId="22183"/>
    <cellStyle name="Milliers 2 3 3 3 7 4" xfId="22184"/>
    <cellStyle name="Milliers 2 3 3 3 8" xfId="22185"/>
    <cellStyle name="Milliers 2 3 3 3 8 2" xfId="22186"/>
    <cellStyle name="Milliers 2 3 3 3 8 2 2" xfId="22187"/>
    <cellStyle name="Milliers 2 3 3 3 8 3" xfId="22188"/>
    <cellStyle name="Milliers 2 3 3 3 9" xfId="22189"/>
    <cellStyle name="Milliers 2 3 3 3 9 2" xfId="22190"/>
    <cellStyle name="Milliers 2 3 3 4" xfId="22191"/>
    <cellStyle name="Milliers 2 3 3 4 2" xfId="22192"/>
    <cellStyle name="Milliers 2 3 3 4 2 2" xfId="22193"/>
    <cellStyle name="Milliers 2 3 3 4 2 2 2" xfId="22194"/>
    <cellStyle name="Milliers 2 3 3 4 2 2 2 2" xfId="22195"/>
    <cellStyle name="Milliers 2 3 3 4 2 2 2 2 2" xfId="22196"/>
    <cellStyle name="Milliers 2 3 3 4 2 2 2 2 2 2" xfId="22197"/>
    <cellStyle name="Milliers 2 3 3 4 2 2 2 2 2 2 2" xfId="22198"/>
    <cellStyle name="Milliers 2 3 3 4 2 2 2 2 2 2 2 2" xfId="22199"/>
    <cellStyle name="Milliers 2 3 3 4 2 2 2 2 2 2 3" xfId="22200"/>
    <cellStyle name="Milliers 2 3 3 4 2 2 2 2 2 3" xfId="22201"/>
    <cellStyle name="Milliers 2 3 3 4 2 2 2 2 2 3 2" xfId="22202"/>
    <cellStyle name="Milliers 2 3 3 4 2 2 2 2 2 4" xfId="22203"/>
    <cellStyle name="Milliers 2 3 3 4 2 2 2 2 3" xfId="22204"/>
    <cellStyle name="Milliers 2 3 3 4 2 2 2 2 3 2" xfId="22205"/>
    <cellStyle name="Milliers 2 3 3 4 2 2 2 2 3 2 2" xfId="22206"/>
    <cellStyle name="Milliers 2 3 3 4 2 2 2 2 3 3" xfId="22207"/>
    <cellStyle name="Milliers 2 3 3 4 2 2 2 2 4" xfId="22208"/>
    <cellStyle name="Milliers 2 3 3 4 2 2 2 2 4 2" xfId="22209"/>
    <cellStyle name="Milliers 2 3 3 4 2 2 2 2 5" xfId="22210"/>
    <cellStyle name="Milliers 2 3 3 4 2 2 2 3" xfId="22211"/>
    <cellStyle name="Milliers 2 3 3 4 2 2 2 3 2" xfId="22212"/>
    <cellStyle name="Milliers 2 3 3 4 2 2 2 3 2 2" xfId="22213"/>
    <cellStyle name="Milliers 2 3 3 4 2 2 2 3 2 2 2" xfId="22214"/>
    <cellStyle name="Milliers 2 3 3 4 2 2 2 3 2 3" xfId="22215"/>
    <cellStyle name="Milliers 2 3 3 4 2 2 2 3 3" xfId="22216"/>
    <cellStyle name="Milliers 2 3 3 4 2 2 2 3 3 2" xfId="22217"/>
    <cellStyle name="Milliers 2 3 3 4 2 2 2 3 4" xfId="22218"/>
    <cellStyle name="Milliers 2 3 3 4 2 2 2 4" xfId="22219"/>
    <cellStyle name="Milliers 2 3 3 4 2 2 2 4 2" xfId="22220"/>
    <cellStyle name="Milliers 2 3 3 4 2 2 2 4 2 2" xfId="22221"/>
    <cellStyle name="Milliers 2 3 3 4 2 2 2 4 3" xfId="22222"/>
    <cellStyle name="Milliers 2 3 3 4 2 2 2 5" xfId="22223"/>
    <cellStyle name="Milliers 2 3 3 4 2 2 2 5 2" xfId="22224"/>
    <cellStyle name="Milliers 2 3 3 4 2 2 2 6" xfId="22225"/>
    <cellStyle name="Milliers 2 3 3 4 2 2 3" xfId="22226"/>
    <cellStyle name="Milliers 2 3 3 4 2 2 3 2" xfId="22227"/>
    <cellStyle name="Milliers 2 3 3 4 2 2 3 2 2" xfId="22228"/>
    <cellStyle name="Milliers 2 3 3 4 2 2 3 2 2 2" xfId="22229"/>
    <cellStyle name="Milliers 2 3 3 4 2 2 3 2 2 2 2" xfId="22230"/>
    <cellStyle name="Milliers 2 3 3 4 2 2 3 2 2 3" xfId="22231"/>
    <cellStyle name="Milliers 2 3 3 4 2 2 3 2 3" xfId="22232"/>
    <cellStyle name="Milliers 2 3 3 4 2 2 3 2 3 2" xfId="22233"/>
    <cellStyle name="Milliers 2 3 3 4 2 2 3 2 4" xfId="22234"/>
    <cellStyle name="Milliers 2 3 3 4 2 2 3 3" xfId="22235"/>
    <cellStyle name="Milliers 2 3 3 4 2 2 3 3 2" xfId="22236"/>
    <cellStyle name="Milliers 2 3 3 4 2 2 3 3 2 2" xfId="22237"/>
    <cellStyle name="Milliers 2 3 3 4 2 2 3 3 3" xfId="22238"/>
    <cellStyle name="Milliers 2 3 3 4 2 2 3 4" xfId="22239"/>
    <cellStyle name="Milliers 2 3 3 4 2 2 3 4 2" xfId="22240"/>
    <cellStyle name="Milliers 2 3 3 4 2 2 3 5" xfId="22241"/>
    <cellStyle name="Milliers 2 3 3 4 2 2 4" xfId="22242"/>
    <cellStyle name="Milliers 2 3 3 4 2 2 4 2" xfId="22243"/>
    <cellStyle name="Milliers 2 3 3 4 2 2 4 2 2" xfId="22244"/>
    <cellStyle name="Milliers 2 3 3 4 2 2 4 2 2 2" xfId="22245"/>
    <cellStyle name="Milliers 2 3 3 4 2 2 4 2 3" xfId="22246"/>
    <cellStyle name="Milliers 2 3 3 4 2 2 4 3" xfId="22247"/>
    <cellStyle name="Milliers 2 3 3 4 2 2 4 3 2" xfId="22248"/>
    <cellStyle name="Milliers 2 3 3 4 2 2 4 4" xfId="22249"/>
    <cellStyle name="Milliers 2 3 3 4 2 2 5" xfId="22250"/>
    <cellStyle name="Milliers 2 3 3 4 2 2 5 2" xfId="22251"/>
    <cellStyle name="Milliers 2 3 3 4 2 2 5 2 2" xfId="22252"/>
    <cellStyle name="Milliers 2 3 3 4 2 2 5 3" xfId="22253"/>
    <cellStyle name="Milliers 2 3 3 4 2 2 6" xfId="22254"/>
    <cellStyle name="Milliers 2 3 3 4 2 2 6 2" xfId="22255"/>
    <cellStyle name="Milliers 2 3 3 4 2 2 7" xfId="22256"/>
    <cellStyle name="Milliers 2 3 3 4 2 3" xfId="22257"/>
    <cellStyle name="Milliers 2 3 3 4 2 3 2" xfId="22258"/>
    <cellStyle name="Milliers 2 3 3 4 2 3 2 2" xfId="22259"/>
    <cellStyle name="Milliers 2 3 3 4 2 3 2 2 2" xfId="22260"/>
    <cellStyle name="Milliers 2 3 3 4 2 3 2 2 2 2" xfId="22261"/>
    <cellStyle name="Milliers 2 3 3 4 2 3 2 2 2 2 2" xfId="22262"/>
    <cellStyle name="Milliers 2 3 3 4 2 3 2 2 2 3" xfId="22263"/>
    <cellStyle name="Milliers 2 3 3 4 2 3 2 2 3" xfId="22264"/>
    <cellStyle name="Milliers 2 3 3 4 2 3 2 2 3 2" xfId="22265"/>
    <cellStyle name="Milliers 2 3 3 4 2 3 2 2 4" xfId="22266"/>
    <cellStyle name="Milliers 2 3 3 4 2 3 2 3" xfId="22267"/>
    <cellStyle name="Milliers 2 3 3 4 2 3 2 3 2" xfId="22268"/>
    <cellStyle name="Milliers 2 3 3 4 2 3 2 3 2 2" xfId="22269"/>
    <cellStyle name="Milliers 2 3 3 4 2 3 2 3 3" xfId="22270"/>
    <cellStyle name="Milliers 2 3 3 4 2 3 2 4" xfId="22271"/>
    <cellStyle name="Milliers 2 3 3 4 2 3 2 4 2" xfId="22272"/>
    <cellStyle name="Milliers 2 3 3 4 2 3 2 5" xfId="22273"/>
    <cellStyle name="Milliers 2 3 3 4 2 3 3" xfId="22274"/>
    <cellStyle name="Milliers 2 3 3 4 2 3 3 2" xfId="22275"/>
    <cellStyle name="Milliers 2 3 3 4 2 3 3 2 2" xfId="22276"/>
    <cellStyle name="Milliers 2 3 3 4 2 3 3 2 2 2" xfId="22277"/>
    <cellStyle name="Milliers 2 3 3 4 2 3 3 2 3" xfId="22278"/>
    <cellStyle name="Milliers 2 3 3 4 2 3 3 3" xfId="22279"/>
    <cellStyle name="Milliers 2 3 3 4 2 3 3 3 2" xfId="22280"/>
    <cellStyle name="Milliers 2 3 3 4 2 3 3 4" xfId="22281"/>
    <cellStyle name="Milliers 2 3 3 4 2 3 4" xfId="22282"/>
    <cellStyle name="Milliers 2 3 3 4 2 3 4 2" xfId="22283"/>
    <cellStyle name="Milliers 2 3 3 4 2 3 4 2 2" xfId="22284"/>
    <cellStyle name="Milliers 2 3 3 4 2 3 4 3" xfId="22285"/>
    <cellStyle name="Milliers 2 3 3 4 2 3 5" xfId="22286"/>
    <cellStyle name="Milliers 2 3 3 4 2 3 5 2" xfId="22287"/>
    <cellStyle name="Milliers 2 3 3 4 2 3 6" xfId="22288"/>
    <cellStyle name="Milliers 2 3 3 4 2 4" xfId="22289"/>
    <cellStyle name="Milliers 2 3 3 4 2 4 2" xfId="22290"/>
    <cellStyle name="Milliers 2 3 3 4 2 4 2 2" xfId="22291"/>
    <cellStyle name="Milliers 2 3 3 4 2 4 2 2 2" xfId="22292"/>
    <cellStyle name="Milliers 2 3 3 4 2 4 2 2 2 2" xfId="22293"/>
    <cellStyle name="Milliers 2 3 3 4 2 4 2 2 3" xfId="22294"/>
    <cellStyle name="Milliers 2 3 3 4 2 4 2 3" xfId="22295"/>
    <cellStyle name="Milliers 2 3 3 4 2 4 2 3 2" xfId="22296"/>
    <cellStyle name="Milliers 2 3 3 4 2 4 2 4" xfId="22297"/>
    <cellStyle name="Milliers 2 3 3 4 2 4 3" xfId="22298"/>
    <cellStyle name="Milliers 2 3 3 4 2 4 3 2" xfId="22299"/>
    <cellStyle name="Milliers 2 3 3 4 2 4 3 2 2" xfId="22300"/>
    <cellStyle name="Milliers 2 3 3 4 2 4 3 3" xfId="22301"/>
    <cellStyle name="Milliers 2 3 3 4 2 4 4" xfId="22302"/>
    <cellStyle name="Milliers 2 3 3 4 2 4 4 2" xfId="22303"/>
    <cellStyle name="Milliers 2 3 3 4 2 4 5" xfId="22304"/>
    <cellStyle name="Milliers 2 3 3 4 2 5" xfId="22305"/>
    <cellStyle name="Milliers 2 3 3 4 2 5 2" xfId="22306"/>
    <cellStyle name="Milliers 2 3 3 4 2 5 2 2" xfId="22307"/>
    <cellStyle name="Milliers 2 3 3 4 2 5 2 2 2" xfId="22308"/>
    <cellStyle name="Milliers 2 3 3 4 2 5 2 3" xfId="22309"/>
    <cellStyle name="Milliers 2 3 3 4 2 5 3" xfId="22310"/>
    <cellStyle name="Milliers 2 3 3 4 2 5 3 2" xfId="22311"/>
    <cellStyle name="Milliers 2 3 3 4 2 5 4" xfId="22312"/>
    <cellStyle name="Milliers 2 3 3 4 2 6" xfId="22313"/>
    <cellStyle name="Milliers 2 3 3 4 2 6 2" xfId="22314"/>
    <cellStyle name="Milliers 2 3 3 4 2 6 2 2" xfId="22315"/>
    <cellStyle name="Milliers 2 3 3 4 2 6 3" xfId="22316"/>
    <cellStyle name="Milliers 2 3 3 4 2 7" xfId="22317"/>
    <cellStyle name="Milliers 2 3 3 4 2 7 2" xfId="22318"/>
    <cellStyle name="Milliers 2 3 3 4 2 8" xfId="22319"/>
    <cellStyle name="Milliers 2 3 3 4 3" xfId="22320"/>
    <cellStyle name="Milliers 2 3 3 4 3 2" xfId="22321"/>
    <cellStyle name="Milliers 2 3 3 4 3 2 2" xfId="22322"/>
    <cellStyle name="Milliers 2 3 3 4 3 2 2 2" xfId="22323"/>
    <cellStyle name="Milliers 2 3 3 4 3 2 2 2 2" xfId="22324"/>
    <cellStyle name="Milliers 2 3 3 4 3 2 2 2 2 2" xfId="22325"/>
    <cellStyle name="Milliers 2 3 3 4 3 2 2 2 2 2 2" xfId="22326"/>
    <cellStyle name="Milliers 2 3 3 4 3 2 2 2 2 3" xfId="22327"/>
    <cellStyle name="Milliers 2 3 3 4 3 2 2 2 3" xfId="22328"/>
    <cellStyle name="Milliers 2 3 3 4 3 2 2 2 3 2" xfId="22329"/>
    <cellStyle name="Milliers 2 3 3 4 3 2 2 2 4" xfId="22330"/>
    <cellStyle name="Milliers 2 3 3 4 3 2 2 3" xfId="22331"/>
    <cellStyle name="Milliers 2 3 3 4 3 2 2 3 2" xfId="22332"/>
    <cellStyle name="Milliers 2 3 3 4 3 2 2 3 2 2" xfId="22333"/>
    <cellStyle name="Milliers 2 3 3 4 3 2 2 3 3" xfId="22334"/>
    <cellStyle name="Milliers 2 3 3 4 3 2 2 4" xfId="22335"/>
    <cellStyle name="Milliers 2 3 3 4 3 2 2 4 2" xfId="22336"/>
    <cellStyle name="Milliers 2 3 3 4 3 2 2 5" xfId="22337"/>
    <cellStyle name="Milliers 2 3 3 4 3 2 3" xfId="22338"/>
    <cellStyle name="Milliers 2 3 3 4 3 2 3 2" xfId="22339"/>
    <cellStyle name="Milliers 2 3 3 4 3 2 3 2 2" xfId="22340"/>
    <cellStyle name="Milliers 2 3 3 4 3 2 3 2 2 2" xfId="22341"/>
    <cellStyle name="Milliers 2 3 3 4 3 2 3 2 3" xfId="22342"/>
    <cellStyle name="Milliers 2 3 3 4 3 2 3 3" xfId="22343"/>
    <cellStyle name="Milliers 2 3 3 4 3 2 3 3 2" xfId="22344"/>
    <cellStyle name="Milliers 2 3 3 4 3 2 3 4" xfId="22345"/>
    <cellStyle name="Milliers 2 3 3 4 3 2 4" xfId="22346"/>
    <cellStyle name="Milliers 2 3 3 4 3 2 4 2" xfId="22347"/>
    <cellStyle name="Milliers 2 3 3 4 3 2 4 2 2" xfId="22348"/>
    <cellStyle name="Milliers 2 3 3 4 3 2 4 3" xfId="22349"/>
    <cellStyle name="Milliers 2 3 3 4 3 2 5" xfId="22350"/>
    <cellStyle name="Milliers 2 3 3 4 3 2 5 2" xfId="22351"/>
    <cellStyle name="Milliers 2 3 3 4 3 2 6" xfId="22352"/>
    <cellStyle name="Milliers 2 3 3 4 3 3" xfId="22353"/>
    <cellStyle name="Milliers 2 3 3 4 3 3 2" xfId="22354"/>
    <cellStyle name="Milliers 2 3 3 4 3 3 2 2" xfId="22355"/>
    <cellStyle name="Milliers 2 3 3 4 3 3 2 2 2" xfId="22356"/>
    <cellStyle name="Milliers 2 3 3 4 3 3 2 2 2 2" xfId="22357"/>
    <cellStyle name="Milliers 2 3 3 4 3 3 2 2 3" xfId="22358"/>
    <cellStyle name="Milliers 2 3 3 4 3 3 2 3" xfId="22359"/>
    <cellStyle name="Milliers 2 3 3 4 3 3 2 3 2" xfId="22360"/>
    <cellStyle name="Milliers 2 3 3 4 3 3 2 4" xfId="22361"/>
    <cellStyle name="Milliers 2 3 3 4 3 3 3" xfId="22362"/>
    <cellStyle name="Milliers 2 3 3 4 3 3 3 2" xfId="22363"/>
    <cellStyle name="Milliers 2 3 3 4 3 3 3 2 2" xfId="22364"/>
    <cellStyle name="Milliers 2 3 3 4 3 3 3 3" xfId="22365"/>
    <cellStyle name="Milliers 2 3 3 4 3 3 4" xfId="22366"/>
    <cellStyle name="Milliers 2 3 3 4 3 3 4 2" xfId="22367"/>
    <cellStyle name="Milliers 2 3 3 4 3 3 5" xfId="22368"/>
    <cellStyle name="Milliers 2 3 3 4 3 4" xfId="22369"/>
    <cellStyle name="Milliers 2 3 3 4 3 4 2" xfId="22370"/>
    <cellStyle name="Milliers 2 3 3 4 3 4 2 2" xfId="22371"/>
    <cellStyle name="Milliers 2 3 3 4 3 4 2 2 2" xfId="22372"/>
    <cellStyle name="Milliers 2 3 3 4 3 4 2 3" xfId="22373"/>
    <cellStyle name="Milliers 2 3 3 4 3 4 3" xfId="22374"/>
    <cellStyle name="Milliers 2 3 3 4 3 4 3 2" xfId="22375"/>
    <cellStyle name="Milliers 2 3 3 4 3 4 4" xfId="22376"/>
    <cellStyle name="Milliers 2 3 3 4 3 5" xfId="22377"/>
    <cellStyle name="Milliers 2 3 3 4 3 5 2" xfId="22378"/>
    <cellStyle name="Milliers 2 3 3 4 3 5 2 2" xfId="22379"/>
    <cellStyle name="Milliers 2 3 3 4 3 5 3" xfId="22380"/>
    <cellStyle name="Milliers 2 3 3 4 3 6" xfId="22381"/>
    <cellStyle name="Milliers 2 3 3 4 3 6 2" xfId="22382"/>
    <cellStyle name="Milliers 2 3 3 4 3 7" xfId="22383"/>
    <cellStyle name="Milliers 2 3 3 4 4" xfId="22384"/>
    <cellStyle name="Milliers 2 3 3 4 4 2" xfId="22385"/>
    <cellStyle name="Milliers 2 3 3 4 4 2 2" xfId="22386"/>
    <cellStyle name="Milliers 2 3 3 4 4 2 2 2" xfId="22387"/>
    <cellStyle name="Milliers 2 3 3 4 4 2 2 2 2" xfId="22388"/>
    <cellStyle name="Milliers 2 3 3 4 4 2 2 2 2 2" xfId="22389"/>
    <cellStyle name="Milliers 2 3 3 4 4 2 2 2 3" xfId="22390"/>
    <cellStyle name="Milliers 2 3 3 4 4 2 2 3" xfId="22391"/>
    <cellStyle name="Milliers 2 3 3 4 4 2 2 3 2" xfId="22392"/>
    <cellStyle name="Milliers 2 3 3 4 4 2 2 4" xfId="22393"/>
    <cellStyle name="Milliers 2 3 3 4 4 2 3" xfId="22394"/>
    <cellStyle name="Milliers 2 3 3 4 4 2 3 2" xfId="22395"/>
    <cellStyle name="Milliers 2 3 3 4 4 2 3 2 2" xfId="22396"/>
    <cellStyle name="Milliers 2 3 3 4 4 2 3 3" xfId="22397"/>
    <cellStyle name="Milliers 2 3 3 4 4 2 4" xfId="22398"/>
    <cellStyle name="Milliers 2 3 3 4 4 2 4 2" xfId="22399"/>
    <cellStyle name="Milliers 2 3 3 4 4 2 5" xfId="22400"/>
    <cellStyle name="Milliers 2 3 3 4 4 3" xfId="22401"/>
    <cellStyle name="Milliers 2 3 3 4 4 3 2" xfId="22402"/>
    <cellStyle name="Milliers 2 3 3 4 4 3 2 2" xfId="22403"/>
    <cellStyle name="Milliers 2 3 3 4 4 3 2 2 2" xfId="22404"/>
    <cellStyle name="Milliers 2 3 3 4 4 3 2 3" xfId="22405"/>
    <cellStyle name="Milliers 2 3 3 4 4 3 3" xfId="22406"/>
    <cellStyle name="Milliers 2 3 3 4 4 3 3 2" xfId="22407"/>
    <cellStyle name="Milliers 2 3 3 4 4 3 4" xfId="22408"/>
    <cellStyle name="Milliers 2 3 3 4 4 4" xfId="22409"/>
    <cellStyle name="Milliers 2 3 3 4 4 4 2" xfId="22410"/>
    <cellStyle name="Milliers 2 3 3 4 4 4 2 2" xfId="22411"/>
    <cellStyle name="Milliers 2 3 3 4 4 4 3" xfId="22412"/>
    <cellStyle name="Milliers 2 3 3 4 4 5" xfId="22413"/>
    <cellStyle name="Milliers 2 3 3 4 4 5 2" xfId="22414"/>
    <cellStyle name="Milliers 2 3 3 4 4 6" xfId="22415"/>
    <cellStyle name="Milliers 2 3 3 4 5" xfId="22416"/>
    <cellStyle name="Milliers 2 3 3 4 5 2" xfId="22417"/>
    <cellStyle name="Milliers 2 3 3 4 5 2 2" xfId="22418"/>
    <cellStyle name="Milliers 2 3 3 4 5 2 2 2" xfId="22419"/>
    <cellStyle name="Milliers 2 3 3 4 5 2 2 2 2" xfId="22420"/>
    <cellStyle name="Milliers 2 3 3 4 5 2 2 3" xfId="22421"/>
    <cellStyle name="Milliers 2 3 3 4 5 2 3" xfId="22422"/>
    <cellStyle name="Milliers 2 3 3 4 5 2 3 2" xfId="22423"/>
    <cellStyle name="Milliers 2 3 3 4 5 2 4" xfId="22424"/>
    <cellStyle name="Milliers 2 3 3 4 5 3" xfId="22425"/>
    <cellStyle name="Milliers 2 3 3 4 5 3 2" xfId="22426"/>
    <cellStyle name="Milliers 2 3 3 4 5 3 2 2" xfId="22427"/>
    <cellStyle name="Milliers 2 3 3 4 5 3 3" xfId="22428"/>
    <cellStyle name="Milliers 2 3 3 4 5 4" xfId="22429"/>
    <cellStyle name="Milliers 2 3 3 4 5 4 2" xfId="22430"/>
    <cellStyle name="Milliers 2 3 3 4 5 5" xfId="22431"/>
    <cellStyle name="Milliers 2 3 3 4 6" xfId="22432"/>
    <cellStyle name="Milliers 2 3 3 4 6 2" xfId="22433"/>
    <cellStyle name="Milliers 2 3 3 4 6 2 2" xfId="22434"/>
    <cellStyle name="Milliers 2 3 3 4 6 2 2 2" xfId="22435"/>
    <cellStyle name="Milliers 2 3 3 4 6 2 3" xfId="22436"/>
    <cellStyle name="Milliers 2 3 3 4 6 3" xfId="22437"/>
    <cellStyle name="Milliers 2 3 3 4 6 3 2" xfId="22438"/>
    <cellStyle name="Milliers 2 3 3 4 6 4" xfId="22439"/>
    <cellStyle name="Milliers 2 3 3 4 7" xfId="22440"/>
    <cellStyle name="Milliers 2 3 3 4 7 2" xfId="22441"/>
    <cellStyle name="Milliers 2 3 3 4 7 2 2" xfId="22442"/>
    <cellStyle name="Milliers 2 3 3 4 7 3" xfId="22443"/>
    <cellStyle name="Milliers 2 3 3 4 8" xfId="22444"/>
    <cellStyle name="Milliers 2 3 3 4 8 2" xfId="22445"/>
    <cellStyle name="Milliers 2 3 3 4 9" xfId="22446"/>
    <cellStyle name="Milliers 2 3 3 5" xfId="22447"/>
    <cellStyle name="Milliers 2 3 3 5 2" xfId="22448"/>
    <cellStyle name="Milliers 2 3 3 5 2 2" xfId="22449"/>
    <cellStyle name="Milliers 2 3 3 5 2 2 2" xfId="22450"/>
    <cellStyle name="Milliers 2 3 3 5 2 2 2 2" xfId="22451"/>
    <cellStyle name="Milliers 2 3 3 5 2 2 2 2 2" xfId="22452"/>
    <cellStyle name="Milliers 2 3 3 5 2 2 2 2 2 2" xfId="22453"/>
    <cellStyle name="Milliers 2 3 3 5 2 2 2 2 2 2 2" xfId="22454"/>
    <cellStyle name="Milliers 2 3 3 5 2 2 2 2 2 3" xfId="22455"/>
    <cellStyle name="Milliers 2 3 3 5 2 2 2 2 3" xfId="22456"/>
    <cellStyle name="Milliers 2 3 3 5 2 2 2 2 3 2" xfId="22457"/>
    <cellStyle name="Milliers 2 3 3 5 2 2 2 2 4" xfId="22458"/>
    <cellStyle name="Milliers 2 3 3 5 2 2 2 3" xfId="22459"/>
    <cellStyle name="Milliers 2 3 3 5 2 2 2 3 2" xfId="22460"/>
    <cellStyle name="Milliers 2 3 3 5 2 2 2 3 2 2" xfId="22461"/>
    <cellStyle name="Milliers 2 3 3 5 2 2 2 3 3" xfId="22462"/>
    <cellStyle name="Milliers 2 3 3 5 2 2 2 4" xfId="22463"/>
    <cellStyle name="Milliers 2 3 3 5 2 2 2 4 2" xfId="22464"/>
    <cellStyle name="Milliers 2 3 3 5 2 2 2 5" xfId="22465"/>
    <cellStyle name="Milliers 2 3 3 5 2 2 3" xfId="22466"/>
    <cellStyle name="Milliers 2 3 3 5 2 2 3 2" xfId="22467"/>
    <cellStyle name="Milliers 2 3 3 5 2 2 3 2 2" xfId="22468"/>
    <cellStyle name="Milliers 2 3 3 5 2 2 3 2 2 2" xfId="22469"/>
    <cellStyle name="Milliers 2 3 3 5 2 2 3 2 3" xfId="22470"/>
    <cellStyle name="Milliers 2 3 3 5 2 2 3 3" xfId="22471"/>
    <cellStyle name="Milliers 2 3 3 5 2 2 3 3 2" xfId="22472"/>
    <cellStyle name="Milliers 2 3 3 5 2 2 3 4" xfId="22473"/>
    <cellStyle name="Milliers 2 3 3 5 2 2 4" xfId="22474"/>
    <cellStyle name="Milliers 2 3 3 5 2 2 4 2" xfId="22475"/>
    <cellStyle name="Milliers 2 3 3 5 2 2 4 2 2" xfId="22476"/>
    <cellStyle name="Milliers 2 3 3 5 2 2 4 3" xfId="22477"/>
    <cellStyle name="Milliers 2 3 3 5 2 2 5" xfId="22478"/>
    <cellStyle name="Milliers 2 3 3 5 2 2 5 2" xfId="22479"/>
    <cellStyle name="Milliers 2 3 3 5 2 2 6" xfId="22480"/>
    <cellStyle name="Milliers 2 3 3 5 2 3" xfId="22481"/>
    <cellStyle name="Milliers 2 3 3 5 2 3 2" xfId="22482"/>
    <cellStyle name="Milliers 2 3 3 5 2 3 2 2" xfId="22483"/>
    <cellStyle name="Milliers 2 3 3 5 2 3 2 2 2" xfId="22484"/>
    <cellStyle name="Milliers 2 3 3 5 2 3 2 2 2 2" xfId="22485"/>
    <cellStyle name="Milliers 2 3 3 5 2 3 2 2 3" xfId="22486"/>
    <cellStyle name="Milliers 2 3 3 5 2 3 2 3" xfId="22487"/>
    <cellStyle name="Milliers 2 3 3 5 2 3 2 3 2" xfId="22488"/>
    <cellStyle name="Milliers 2 3 3 5 2 3 2 4" xfId="22489"/>
    <cellStyle name="Milliers 2 3 3 5 2 3 3" xfId="22490"/>
    <cellStyle name="Milliers 2 3 3 5 2 3 3 2" xfId="22491"/>
    <cellStyle name="Milliers 2 3 3 5 2 3 3 2 2" xfId="22492"/>
    <cellStyle name="Milliers 2 3 3 5 2 3 3 3" xfId="22493"/>
    <cellStyle name="Milliers 2 3 3 5 2 3 4" xfId="22494"/>
    <cellStyle name="Milliers 2 3 3 5 2 3 4 2" xfId="22495"/>
    <cellStyle name="Milliers 2 3 3 5 2 3 5" xfId="22496"/>
    <cellStyle name="Milliers 2 3 3 5 2 4" xfId="22497"/>
    <cellStyle name="Milliers 2 3 3 5 2 4 2" xfId="22498"/>
    <cellStyle name="Milliers 2 3 3 5 2 4 2 2" xfId="22499"/>
    <cellStyle name="Milliers 2 3 3 5 2 4 2 2 2" xfId="22500"/>
    <cellStyle name="Milliers 2 3 3 5 2 4 2 3" xfId="22501"/>
    <cellStyle name="Milliers 2 3 3 5 2 4 3" xfId="22502"/>
    <cellStyle name="Milliers 2 3 3 5 2 4 3 2" xfId="22503"/>
    <cellStyle name="Milliers 2 3 3 5 2 4 4" xfId="22504"/>
    <cellStyle name="Milliers 2 3 3 5 2 5" xfId="22505"/>
    <cellStyle name="Milliers 2 3 3 5 2 5 2" xfId="22506"/>
    <cellStyle name="Milliers 2 3 3 5 2 5 2 2" xfId="22507"/>
    <cellStyle name="Milliers 2 3 3 5 2 5 3" xfId="22508"/>
    <cellStyle name="Milliers 2 3 3 5 2 6" xfId="22509"/>
    <cellStyle name="Milliers 2 3 3 5 2 6 2" xfId="22510"/>
    <cellStyle name="Milliers 2 3 3 5 2 7" xfId="22511"/>
    <cellStyle name="Milliers 2 3 3 5 3" xfId="22512"/>
    <cellStyle name="Milliers 2 3 3 5 3 2" xfId="22513"/>
    <cellStyle name="Milliers 2 3 3 5 3 2 2" xfId="22514"/>
    <cellStyle name="Milliers 2 3 3 5 3 2 2 2" xfId="22515"/>
    <cellStyle name="Milliers 2 3 3 5 3 2 2 2 2" xfId="22516"/>
    <cellStyle name="Milliers 2 3 3 5 3 2 2 2 2 2" xfId="22517"/>
    <cellStyle name="Milliers 2 3 3 5 3 2 2 2 3" xfId="22518"/>
    <cellStyle name="Milliers 2 3 3 5 3 2 2 3" xfId="22519"/>
    <cellStyle name="Milliers 2 3 3 5 3 2 2 3 2" xfId="22520"/>
    <cellStyle name="Milliers 2 3 3 5 3 2 2 4" xfId="22521"/>
    <cellStyle name="Milliers 2 3 3 5 3 2 3" xfId="22522"/>
    <cellStyle name="Milliers 2 3 3 5 3 2 3 2" xfId="22523"/>
    <cellStyle name="Milliers 2 3 3 5 3 2 3 2 2" xfId="22524"/>
    <cellStyle name="Milliers 2 3 3 5 3 2 3 3" xfId="22525"/>
    <cellStyle name="Milliers 2 3 3 5 3 2 4" xfId="22526"/>
    <cellStyle name="Milliers 2 3 3 5 3 2 4 2" xfId="22527"/>
    <cellStyle name="Milliers 2 3 3 5 3 2 5" xfId="22528"/>
    <cellStyle name="Milliers 2 3 3 5 3 3" xfId="22529"/>
    <cellStyle name="Milliers 2 3 3 5 3 3 2" xfId="22530"/>
    <cellStyle name="Milliers 2 3 3 5 3 3 2 2" xfId="22531"/>
    <cellStyle name="Milliers 2 3 3 5 3 3 2 2 2" xfId="22532"/>
    <cellStyle name="Milliers 2 3 3 5 3 3 2 3" xfId="22533"/>
    <cellStyle name="Milliers 2 3 3 5 3 3 3" xfId="22534"/>
    <cellStyle name="Milliers 2 3 3 5 3 3 3 2" xfId="22535"/>
    <cellStyle name="Milliers 2 3 3 5 3 3 4" xfId="22536"/>
    <cellStyle name="Milliers 2 3 3 5 3 4" xfId="22537"/>
    <cellStyle name="Milliers 2 3 3 5 3 4 2" xfId="22538"/>
    <cellStyle name="Milliers 2 3 3 5 3 4 2 2" xfId="22539"/>
    <cellStyle name="Milliers 2 3 3 5 3 4 3" xfId="22540"/>
    <cellStyle name="Milliers 2 3 3 5 3 5" xfId="22541"/>
    <cellStyle name="Milliers 2 3 3 5 3 5 2" xfId="22542"/>
    <cellStyle name="Milliers 2 3 3 5 3 6" xfId="22543"/>
    <cellStyle name="Milliers 2 3 3 5 4" xfId="22544"/>
    <cellStyle name="Milliers 2 3 3 5 4 2" xfId="22545"/>
    <cellStyle name="Milliers 2 3 3 5 4 2 2" xfId="22546"/>
    <cellStyle name="Milliers 2 3 3 5 4 2 2 2" xfId="22547"/>
    <cellStyle name="Milliers 2 3 3 5 4 2 2 2 2" xfId="22548"/>
    <cellStyle name="Milliers 2 3 3 5 4 2 2 3" xfId="22549"/>
    <cellStyle name="Milliers 2 3 3 5 4 2 3" xfId="22550"/>
    <cellStyle name="Milliers 2 3 3 5 4 2 3 2" xfId="22551"/>
    <cellStyle name="Milliers 2 3 3 5 4 2 4" xfId="22552"/>
    <cellStyle name="Milliers 2 3 3 5 4 3" xfId="22553"/>
    <cellStyle name="Milliers 2 3 3 5 4 3 2" xfId="22554"/>
    <cellStyle name="Milliers 2 3 3 5 4 3 2 2" xfId="22555"/>
    <cellStyle name="Milliers 2 3 3 5 4 3 3" xfId="22556"/>
    <cellStyle name="Milliers 2 3 3 5 4 4" xfId="22557"/>
    <cellStyle name="Milliers 2 3 3 5 4 4 2" xfId="22558"/>
    <cellStyle name="Milliers 2 3 3 5 4 5" xfId="22559"/>
    <cellStyle name="Milliers 2 3 3 5 5" xfId="22560"/>
    <cellStyle name="Milliers 2 3 3 5 5 2" xfId="22561"/>
    <cellStyle name="Milliers 2 3 3 5 5 2 2" xfId="22562"/>
    <cellStyle name="Milliers 2 3 3 5 5 2 2 2" xfId="22563"/>
    <cellStyle name="Milliers 2 3 3 5 5 2 3" xfId="22564"/>
    <cellStyle name="Milliers 2 3 3 5 5 3" xfId="22565"/>
    <cellStyle name="Milliers 2 3 3 5 5 3 2" xfId="22566"/>
    <cellStyle name="Milliers 2 3 3 5 5 4" xfId="22567"/>
    <cellStyle name="Milliers 2 3 3 5 6" xfId="22568"/>
    <cellStyle name="Milliers 2 3 3 5 6 2" xfId="22569"/>
    <cellStyle name="Milliers 2 3 3 5 6 2 2" xfId="22570"/>
    <cellStyle name="Milliers 2 3 3 5 6 3" xfId="22571"/>
    <cellStyle name="Milliers 2 3 3 5 7" xfId="22572"/>
    <cellStyle name="Milliers 2 3 3 5 7 2" xfId="22573"/>
    <cellStyle name="Milliers 2 3 3 5 8" xfId="22574"/>
    <cellStyle name="Milliers 2 3 3 6" xfId="22575"/>
    <cellStyle name="Milliers 2 3 3 6 2" xfId="22576"/>
    <cellStyle name="Milliers 2 3 3 6 2 2" xfId="22577"/>
    <cellStyle name="Milliers 2 3 3 6 2 2 2" xfId="22578"/>
    <cellStyle name="Milliers 2 3 3 6 2 2 2 2" xfId="22579"/>
    <cellStyle name="Milliers 2 3 3 6 2 2 2 2 2" xfId="22580"/>
    <cellStyle name="Milliers 2 3 3 6 2 2 2 2 2 2" xfId="22581"/>
    <cellStyle name="Milliers 2 3 3 6 2 2 2 2 3" xfId="22582"/>
    <cellStyle name="Milliers 2 3 3 6 2 2 2 3" xfId="22583"/>
    <cellStyle name="Milliers 2 3 3 6 2 2 2 3 2" xfId="22584"/>
    <cellStyle name="Milliers 2 3 3 6 2 2 2 4" xfId="22585"/>
    <cellStyle name="Milliers 2 3 3 6 2 2 3" xfId="22586"/>
    <cellStyle name="Milliers 2 3 3 6 2 2 3 2" xfId="22587"/>
    <cellStyle name="Milliers 2 3 3 6 2 2 3 2 2" xfId="22588"/>
    <cellStyle name="Milliers 2 3 3 6 2 2 3 3" xfId="22589"/>
    <cellStyle name="Milliers 2 3 3 6 2 2 4" xfId="22590"/>
    <cellStyle name="Milliers 2 3 3 6 2 2 4 2" xfId="22591"/>
    <cellStyle name="Milliers 2 3 3 6 2 2 5" xfId="22592"/>
    <cellStyle name="Milliers 2 3 3 6 2 3" xfId="22593"/>
    <cellStyle name="Milliers 2 3 3 6 2 3 2" xfId="22594"/>
    <cellStyle name="Milliers 2 3 3 6 2 3 2 2" xfId="22595"/>
    <cellStyle name="Milliers 2 3 3 6 2 3 2 2 2" xfId="22596"/>
    <cellStyle name="Milliers 2 3 3 6 2 3 2 3" xfId="22597"/>
    <cellStyle name="Milliers 2 3 3 6 2 3 3" xfId="22598"/>
    <cellStyle name="Milliers 2 3 3 6 2 3 3 2" xfId="22599"/>
    <cellStyle name="Milliers 2 3 3 6 2 3 4" xfId="22600"/>
    <cellStyle name="Milliers 2 3 3 6 2 4" xfId="22601"/>
    <cellStyle name="Milliers 2 3 3 6 2 4 2" xfId="22602"/>
    <cellStyle name="Milliers 2 3 3 6 2 4 2 2" xfId="22603"/>
    <cellStyle name="Milliers 2 3 3 6 2 4 3" xfId="22604"/>
    <cellStyle name="Milliers 2 3 3 6 2 5" xfId="22605"/>
    <cellStyle name="Milliers 2 3 3 6 2 5 2" xfId="22606"/>
    <cellStyle name="Milliers 2 3 3 6 2 6" xfId="22607"/>
    <cellStyle name="Milliers 2 3 3 6 3" xfId="22608"/>
    <cellStyle name="Milliers 2 3 3 6 3 2" xfId="22609"/>
    <cellStyle name="Milliers 2 3 3 6 3 2 2" xfId="22610"/>
    <cellStyle name="Milliers 2 3 3 6 3 2 2 2" xfId="22611"/>
    <cellStyle name="Milliers 2 3 3 6 3 2 2 2 2" xfId="22612"/>
    <cellStyle name="Milliers 2 3 3 6 3 2 2 3" xfId="22613"/>
    <cellStyle name="Milliers 2 3 3 6 3 2 3" xfId="22614"/>
    <cellStyle name="Milliers 2 3 3 6 3 2 3 2" xfId="22615"/>
    <cellStyle name="Milliers 2 3 3 6 3 2 4" xfId="22616"/>
    <cellStyle name="Milliers 2 3 3 6 3 3" xfId="22617"/>
    <cellStyle name="Milliers 2 3 3 6 3 3 2" xfId="22618"/>
    <cellStyle name="Milliers 2 3 3 6 3 3 2 2" xfId="22619"/>
    <cellStyle name="Milliers 2 3 3 6 3 3 3" xfId="22620"/>
    <cellStyle name="Milliers 2 3 3 6 3 4" xfId="22621"/>
    <cellStyle name="Milliers 2 3 3 6 3 4 2" xfId="22622"/>
    <cellStyle name="Milliers 2 3 3 6 3 5" xfId="22623"/>
    <cellStyle name="Milliers 2 3 3 6 4" xfId="22624"/>
    <cellStyle name="Milliers 2 3 3 6 4 2" xfId="22625"/>
    <cellStyle name="Milliers 2 3 3 6 4 2 2" xfId="22626"/>
    <cellStyle name="Milliers 2 3 3 6 4 2 2 2" xfId="22627"/>
    <cellStyle name="Milliers 2 3 3 6 4 2 3" xfId="22628"/>
    <cellStyle name="Milliers 2 3 3 6 4 3" xfId="22629"/>
    <cellStyle name="Milliers 2 3 3 6 4 3 2" xfId="22630"/>
    <cellStyle name="Milliers 2 3 3 6 4 4" xfId="22631"/>
    <cellStyle name="Milliers 2 3 3 6 5" xfId="22632"/>
    <cellStyle name="Milliers 2 3 3 6 5 2" xfId="22633"/>
    <cellStyle name="Milliers 2 3 3 6 5 2 2" xfId="22634"/>
    <cellStyle name="Milliers 2 3 3 6 5 3" xfId="22635"/>
    <cellStyle name="Milliers 2 3 3 6 6" xfId="22636"/>
    <cellStyle name="Milliers 2 3 3 6 6 2" xfId="22637"/>
    <cellStyle name="Milliers 2 3 3 6 7" xfId="22638"/>
    <cellStyle name="Milliers 2 3 3 7" xfId="22639"/>
    <cellStyle name="Milliers 2 3 3 7 2" xfId="22640"/>
    <cellStyle name="Milliers 2 3 3 7 2 2" xfId="22641"/>
    <cellStyle name="Milliers 2 3 3 7 2 2 2" xfId="22642"/>
    <cellStyle name="Milliers 2 3 3 7 2 2 2 2" xfId="22643"/>
    <cellStyle name="Milliers 2 3 3 7 2 2 2 2 2" xfId="22644"/>
    <cellStyle name="Milliers 2 3 3 7 2 2 2 3" xfId="22645"/>
    <cellStyle name="Milliers 2 3 3 7 2 2 3" xfId="22646"/>
    <cellStyle name="Milliers 2 3 3 7 2 2 3 2" xfId="22647"/>
    <cellStyle name="Milliers 2 3 3 7 2 2 4" xfId="22648"/>
    <cellStyle name="Milliers 2 3 3 7 2 3" xfId="22649"/>
    <cellStyle name="Milliers 2 3 3 7 2 3 2" xfId="22650"/>
    <cellStyle name="Milliers 2 3 3 7 2 3 2 2" xfId="22651"/>
    <cellStyle name="Milliers 2 3 3 7 2 3 3" xfId="22652"/>
    <cellStyle name="Milliers 2 3 3 7 2 4" xfId="22653"/>
    <cellStyle name="Milliers 2 3 3 7 2 4 2" xfId="22654"/>
    <cellStyle name="Milliers 2 3 3 7 2 5" xfId="22655"/>
    <cellStyle name="Milliers 2 3 3 7 3" xfId="22656"/>
    <cellStyle name="Milliers 2 3 3 7 3 2" xfId="22657"/>
    <cellStyle name="Milliers 2 3 3 7 3 2 2" xfId="22658"/>
    <cellStyle name="Milliers 2 3 3 7 3 2 2 2" xfId="22659"/>
    <cellStyle name="Milliers 2 3 3 7 3 2 3" xfId="22660"/>
    <cellStyle name="Milliers 2 3 3 7 3 3" xfId="22661"/>
    <cellStyle name="Milliers 2 3 3 7 3 3 2" xfId="22662"/>
    <cellStyle name="Milliers 2 3 3 7 3 4" xfId="22663"/>
    <cellStyle name="Milliers 2 3 3 7 4" xfId="22664"/>
    <cellStyle name="Milliers 2 3 3 7 4 2" xfId="22665"/>
    <cellStyle name="Milliers 2 3 3 7 4 2 2" xfId="22666"/>
    <cellStyle name="Milliers 2 3 3 7 4 3" xfId="22667"/>
    <cellStyle name="Milliers 2 3 3 7 5" xfId="22668"/>
    <cellStyle name="Milliers 2 3 3 7 5 2" xfId="22669"/>
    <cellStyle name="Milliers 2 3 3 7 6" xfId="22670"/>
    <cellStyle name="Milliers 2 3 3 8" xfId="22671"/>
    <cellStyle name="Milliers 2 3 3 8 2" xfId="22672"/>
    <cellStyle name="Milliers 2 3 3 8 2 2" xfId="22673"/>
    <cellStyle name="Milliers 2 3 3 8 2 2 2" xfId="22674"/>
    <cellStyle name="Milliers 2 3 3 8 2 2 2 2" xfId="22675"/>
    <cellStyle name="Milliers 2 3 3 8 2 2 3" xfId="22676"/>
    <cellStyle name="Milliers 2 3 3 8 2 3" xfId="22677"/>
    <cellStyle name="Milliers 2 3 3 8 2 3 2" xfId="22678"/>
    <cellStyle name="Milliers 2 3 3 8 2 4" xfId="22679"/>
    <cellStyle name="Milliers 2 3 3 8 3" xfId="22680"/>
    <cellStyle name="Milliers 2 3 3 8 3 2" xfId="22681"/>
    <cellStyle name="Milliers 2 3 3 8 3 2 2" xfId="22682"/>
    <cellStyle name="Milliers 2 3 3 8 3 3" xfId="22683"/>
    <cellStyle name="Milliers 2 3 3 8 4" xfId="22684"/>
    <cellStyle name="Milliers 2 3 3 8 4 2" xfId="22685"/>
    <cellStyle name="Milliers 2 3 3 8 5" xfId="22686"/>
    <cellStyle name="Milliers 2 3 3 9" xfId="22687"/>
    <cellStyle name="Milliers 2 3 3 9 2" xfId="22688"/>
    <cellStyle name="Milliers 2 3 3 9 2 2" xfId="22689"/>
    <cellStyle name="Milliers 2 3 3 9 2 2 2" xfId="22690"/>
    <cellStyle name="Milliers 2 3 3 9 2 3" xfId="22691"/>
    <cellStyle name="Milliers 2 3 3 9 3" xfId="22692"/>
    <cellStyle name="Milliers 2 3 3 9 3 2" xfId="22693"/>
    <cellStyle name="Milliers 2 3 3 9 4" xfId="22694"/>
    <cellStyle name="Milliers 2 3 4" xfId="22695"/>
    <cellStyle name="Milliers 2 3 4 10" xfId="22696"/>
    <cellStyle name="Milliers 2 3 4 10 2" xfId="22697"/>
    <cellStyle name="Milliers 2 3 4 11" xfId="22698"/>
    <cellStyle name="Milliers 2 3 4 2" xfId="22699"/>
    <cellStyle name="Milliers 2 3 4 2 10" xfId="22700"/>
    <cellStyle name="Milliers 2 3 4 2 2" xfId="22701"/>
    <cellStyle name="Milliers 2 3 4 2 2 2" xfId="22702"/>
    <cellStyle name="Milliers 2 3 4 2 2 2 2" xfId="22703"/>
    <cellStyle name="Milliers 2 3 4 2 2 2 2 2" xfId="22704"/>
    <cellStyle name="Milliers 2 3 4 2 2 2 2 2 2" xfId="22705"/>
    <cellStyle name="Milliers 2 3 4 2 2 2 2 2 2 2" xfId="22706"/>
    <cellStyle name="Milliers 2 3 4 2 2 2 2 2 2 2 2" xfId="22707"/>
    <cellStyle name="Milliers 2 3 4 2 2 2 2 2 2 2 2 2" xfId="22708"/>
    <cellStyle name="Milliers 2 3 4 2 2 2 2 2 2 2 2 2 2" xfId="22709"/>
    <cellStyle name="Milliers 2 3 4 2 2 2 2 2 2 2 2 3" xfId="22710"/>
    <cellStyle name="Milliers 2 3 4 2 2 2 2 2 2 2 3" xfId="22711"/>
    <cellStyle name="Milliers 2 3 4 2 2 2 2 2 2 2 3 2" xfId="22712"/>
    <cellStyle name="Milliers 2 3 4 2 2 2 2 2 2 2 4" xfId="22713"/>
    <cellStyle name="Milliers 2 3 4 2 2 2 2 2 2 3" xfId="22714"/>
    <cellStyle name="Milliers 2 3 4 2 2 2 2 2 2 3 2" xfId="22715"/>
    <cellStyle name="Milliers 2 3 4 2 2 2 2 2 2 3 2 2" xfId="22716"/>
    <cellStyle name="Milliers 2 3 4 2 2 2 2 2 2 3 3" xfId="22717"/>
    <cellStyle name="Milliers 2 3 4 2 2 2 2 2 2 4" xfId="22718"/>
    <cellStyle name="Milliers 2 3 4 2 2 2 2 2 2 4 2" xfId="22719"/>
    <cellStyle name="Milliers 2 3 4 2 2 2 2 2 2 5" xfId="22720"/>
    <cellStyle name="Milliers 2 3 4 2 2 2 2 2 3" xfId="22721"/>
    <cellStyle name="Milliers 2 3 4 2 2 2 2 2 3 2" xfId="22722"/>
    <cellStyle name="Milliers 2 3 4 2 2 2 2 2 3 2 2" xfId="22723"/>
    <cellStyle name="Milliers 2 3 4 2 2 2 2 2 3 2 2 2" xfId="22724"/>
    <cellStyle name="Milliers 2 3 4 2 2 2 2 2 3 2 3" xfId="22725"/>
    <cellStyle name="Milliers 2 3 4 2 2 2 2 2 3 3" xfId="22726"/>
    <cellStyle name="Milliers 2 3 4 2 2 2 2 2 3 3 2" xfId="22727"/>
    <cellStyle name="Milliers 2 3 4 2 2 2 2 2 3 4" xfId="22728"/>
    <cellStyle name="Milliers 2 3 4 2 2 2 2 2 4" xfId="22729"/>
    <cellStyle name="Milliers 2 3 4 2 2 2 2 2 4 2" xfId="22730"/>
    <cellStyle name="Milliers 2 3 4 2 2 2 2 2 4 2 2" xfId="22731"/>
    <cellStyle name="Milliers 2 3 4 2 2 2 2 2 4 3" xfId="22732"/>
    <cellStyle name="Milliers 2 3 4 2 2 2 2 2 5" xfId="22733"/>
    <cellStyle name="Milliers 2 3 4 2 2 2 2 2 5 2" xfId="22734"/>
    <cellStyle name="Milliers 2 3 4 2 2 2 2 2 6" xfId="22735"/>
    <cellStyle name="Milliers 2 3 4 2 2 2 2 3" xfId="22736"/>
    <cellStyle name="Milliers 2 3 4 2 2 2 2 3 2" xfId="22737"/>
    <cellStyle name="Milliers 2 3 4 2 2 2 2 3 2 2" xfId="22738"/>
    <cellStyle name="Milliers 2 3 4 2 2 2 2 3 2 2 2" xfId="22739"/>
    <cellStyle name="Milliers 2 3 4 2 2 2 2 3 2 2 2 2" xfId="22740"/>
    <cellStyle name="Milliers 2 3 4 2 2 2 2 3 2 2 3" xfId="22741"/>
    <cellStyle name="Milliers 2 3 4 2 2 2 2 3 2 3" xfId="22742"/>
    <cellStyle name="Milliers 2 3 4 2 2 2 2 3 2 3 2" xfId="22743"/>
    <cellStyle name="Milliers 2 3 4 2 2 2 2 3 2 4" xfId="22744"/>
    <cellStyle name="Milliers 2 3 4 2 2 2 2 3 3" xfId="22745"/>
    <cellStyle name="Milliers 2 3 4 2 2 2 2 3 3 2" xfId="22746"/>
    <cellStyle name="Milliers 2 3 4 2 2 2 2 3 3 2 2" xfId="22747"/>
    <cellStyle name="Milliers 2 3 4 2 2 2 2 3 3 3" xfId="22748"/>
    <cellStyle name="Milliers 2 3 4 2 2 2 2 3 4" xfId="22749"/>
    <cellStyle name="Milliers 2 3 4 2 2 2 2 3 4 2" xfId="22750"/>
    <cellStyle name="Milliers 2 3 4 2 2 2 2 3 5" xfId="22751"/>
    <cellStyle name="Milliers 2 3 4 2 2 2 2 4" xfId="22752"/>
    <cellStyle name="Milliers 2 3 4 2 2 2 2 4 2" xfId="22753"/>
    <cellStyle name="Milliers 2 3 4 2 2 2 2 4 2 2" xfId="22754"/>
    <cellStyle name="Milliers 2 3 4 2 2 2 2 4 2 2 2" xfId="22755"/>
    <cellStyle name="Milliers 2 3 4 2 2 2 2 4 2 3" xfId="22756"/>
    <cellStyle name="Milliers 2 3 4 2 2 2 2 4 3" xfId="22757"/>
    <cellStyle name="Milliers 2 3 4 2 2 2 2 4 3 2" xfId="22758"/>
    <cellStyle name="Milliers 2 3 4 2 2 2 2 4 4" xfId="22759"/>
    <cellStyle name="Milliers 2 3 4 2 2 2 2 5" xfId="22760"/>
    <cellStyle name="Milliers 2 3 4 2 2 2 2 5 2" xfId="22761"/>
    <cellStyle name="Milliers 2 3 4 2 2 2 2 5 2 2" xfId="22762"/>
    <cellStyle name="Milliers 2 3 4 2 2 2 2 5 3" xfId="22763"/>
    <cellStyle name="Milliers 2 3 4 2 2 2 2 6" xfId="22764"/>
    <cellStyle name="Milliers 2 3 4 2 2 2 2 6 2" xfId="22765"/>
    <cellStyle name="Milliers 2 3 4 2 2 2 2 7" xfId="22766"/>
    <cellStyle name="Milliers 2 3 4 2 2 2 3" xfId="22767"/>
    <cellStyle name="Milliers 2 3 4 2 2 2 3 2" xfId="22768"/>
    <cellStyle name="Milliers 2 3 4 2 2 2 3 2 2" xfId="22769"/>
    <cellStyle name="Milliers 2 3 4 2 2 2 3 2 2 2" xfId="22770"/>
    <cellStyle name="Milliers 2 3 4 2 2 2 3 2 2 2 2" xfId="22771"/>
    <cellStyle name="Milliers 2 3 4 2 2 2 3 2 2 2 2 2" xfId="22772"/>
    <cellStyle name="Milliers 2 3 4 2 2 2 3 2 2 2 3" xfId="22773"/>
    <cellStyle name="Milliers 2 3 4 2 2 2 3 2 2 3" xfId="22774"/>
    <cellStyle name="Milliers 2 3 4 2 2 2 3 2 2 3 2" xfId="22775"/>
    <cellStyle name="Milliers 2 3 4 2 2 2 3 2 2 4" xfId="22776"/>
    <cellStyle name="Milliers 2 3 4 2 2 2 3 2 3" xfId="22777"/>
    <cellStyle name="Milliers 2 3 4 2 2 2 3 2 3 2" xfId="22778"/>
    <cellStyle name="Milliers 2 3 4 2 2 2 3 2 3 2 2" xfId="22779"/>
    <cellStyle name="Milliers 2 3 4 2 2 2 3 2 3 3" xfId="22780"/>
    <cellStyle name="Milliers 2 3 4 2 2 2 3 2 4" xfId="22781"/>
    <cellStyle name="Milliers 2 3 4 2 2 2 3 2 4 2" xfId="22782"/>
    <cellStyle name="Milliers 2 3 4 2 2 2 3 2 5" xfId="22783"/>
    <cellStyle name="Milliers 2 3 4 2 2 2 3 3" xfId="22784"/>
    <cellStyle name="Milliers 2 3 4 2 2 2 3 3 2" xfId="22785"/>
    <cellStyle name="Milliers 2 3 4 2 2 2 3 3 2 2" xfId="22786"/>
    <cellStyle name="Milliers 2 3 4 2 2 2 3 3 2 2 2" xfId="22787"/>
    <cellStyle name="Milliers 2 3 4 2 2 2 3 3 2 3" xfId="22788"/>
    <cellStyle name="Milliers 2 3 4 2 2 2 3 3 3" xfId="22789"/>
    <cellStyle name="Milliers 2 3 4 2 2 2 3 3 3 2" xfId="22790"/>
    <cellStyle name="Milliers 2 3 4 2 2 2 3 3 4" xfId="22791"/>
    <cellStyle name="Milliers 2 3 4 2 2 2 3 4" xfId="22792"/>
    <cellStyle name="Milliers 2 3 4 2 2 2 3 4 2" xfId="22793"/>
    <cellStyle name="Milliers 2 3 4 2 2 2 3 4 2 2" xfId="22794"/>
    <cellStyle name="Milliers 2 3 4 2 2 2 3 4 3" xfId="22795"/>
    <cellStyle name="Milliers 2 3 4 2 2 2 3 5" xfId="22796"/>
    <cellStyle name="Milliers 2 3 4 2 2 2 3 5 2" xfId="22797"/>
    <cellStyle name="Milliers 2 3 4 2 2 2 3 6" xfId="22798"/>
    <cellStyle name="Milliers 2 3 4 2 2 2 4" xfId="22799"/>
    <cellStyle name="Milliers 2 3 4 2 2 2 4 2" xfId="22800"/>
    <cellStyle name="Milliers 2 3 4 2 2 2 4 2 2" xfId="22801"/>
    <cellStyle name="Milliers 2 3 4 2 2 2 4 2 2 2" xfId="22802"/>
    <cellStyle name="Milliers 2 3 4 2 2 2 4 2 2 2 2" xfId="22803"/>
    <cellStyle name="Milliers 2 3 4 2 2 2 4 2 2 3" xfId="22804"/>
    <cellStyle name="Milliers 2 3 4 2 2 2 4 2 3" xfId="22805"/>
    <cellStyle name="Milliers 2 3 4 2 2 2 4 2 3 2" xfId="22806"/>
    <cellStyle name="Milliers 2 3 4 2 2 2 4 2 4" xfId="22807"/>
    <cellStyle name="Milliers 2 3 4 2 2 2 4 3" xfId="22808"/>
    <cellStyle name="Milliers 2 3 4 2 2 2 4 3 2" xfId="22809"/>
    <cellStyle name="Milliers 2 3 4 2 2 2 4 3 2 2" xfId="22810"/>
    <cellStyle name="Milliers 2 3 4 2 2 2 4 3 3" xfId="22811"/>
    <cellStyle name="Milliers 2 3 4 2 2 2 4 4" xfId="22812"/>
    <cellStyle name="Milliers 2 3 4 2 2 2 4 4 2" xfId="22813"/>
    <cellStyle name="Milliers 2 3 4 2 2 2 4 5" xfId="22814"/>
    <cellStyle name="Milliers 2 3 4 2 2 2 5" xfId="22815"/>
    <cellStyle name="Milliers 2 3 4 2 2 2 5 2" xfId="22816"/>
    <cellStyle name="Milliers 2 3 4 2 2 2 5 2 2" xfId="22817"/>
    <cellStyle name="Milliers 2 3 4 2 2 2 5 2 2 2" xfId="22818"/>
    <cellStyle name="Milliers 2 3 4 2 2 2 5 2 3" xfId="22819"/>
    <cellStyle name="Milliers 2 3 4 2 2 2 5 3" xfId="22820"/>
    <cellStyle name="Milliers 2 3 4 2 2 2 5 3 2" xfId="22821"/>
    <cellStyle name="Milliers 2 3 4 2 2 2 5 4" xfId="22822"/>
    <cellStyle name="Milliers 2 3 4 2 2 2 6" xfId="22823"/>
    <cellStyle name="Milliers 2 3 4 2 2 2 6 2" xfId="22824"/>
    <cellStyle name="Milliers 2 3 4 2 2 2 6 2 2" xfId="22825"/>
    <cellStyle name="Milliers 2 3 4 2 2 2 6 3" xfId="22826"/>
    <cellStyle name="Milliers 2 3 4 2 2 2 7" xfId="22827"/>
    <cellStyle name="Milliers 2 3 4 2 2 2 7 2" xfId="22828"/>
    <cellStyle name="Milliers 2 3 4 2 2 2 8" xfId="22829"/>
    <cellStyle name="Milliers 2 3 4 2 2 3" xfId="22830"/>
    <cellStyle name="Milliers 2 3 4 2 2 3 2" xfId="22831"/>
    <cellStyle name="Milliers 2 3 4 2 2 3 2 2" xfId="22832"/>
    <cellStyle name="Milliers 2 3 4 2 2 3 2 2 2" xfId="22833"/>
    <cellStyle name="Milliers 2 3 4 2 2 3 2 2 2 2" xfId="22834"/>
    <cellStyle name="Milliers 2 3 4 2 2 3 2 2 2 2 2" xfId="22835"/>
    <cellStyle name="Milliers 2 3 4 2 2 3 2 2 2 2 2 2" xfId="22836"/>
    <cellStyle name="Milliers 2 3 4 2 2 3 2 2 2 2 3" xfId="22837"/>
    <cellStyle name="Milliers 2 3 4 2 2 3 2 2 2 3" xfId="22838"/>
    <cellStyle name="Milliers 2 3 4 2 2 3 2 2 2 3 2" xfId="22839"/>
    <cellStyle name="Milliers 2 3 4 2 2 3 2 2 2 4" xfId="22840"/>
    <cellStyle name="Milliers 2 3 4 2 2 3 2 2 3" xfId="22841"/>
    <cellStyle name="Milliers 2 3 4 2 2 3 2 2 3 2" xfId="22842"/>
    <cellStyle name="Milliers 2 3 4 2 2 3 2 2 3 2 2" xfId="22843"/>
    <cellStyle name="Milliers 2 3 4 2 2 3 2 2 3 3" xfId="22844"/>
    <cellStyle name="Milliers 2 3 4 2 2 3 2 2 4" xfId="22845"/>
    <cellStyle name="Milliers 2 3 4 2 2 3 2 2 4 2" xfId="22846"/>
    <cellStyle name="Milliers 2 3 4 2 2 3 2 2 5" xfId="22847"/>
    <cellStyle name="Milliers 2 3 4 2 2 3 2 3" xfId="22848"/>
    <cellStyle name="Milliers 2 3 4 2 2 3 2 3 2" xfId="22849"/>
    <cellStyle name="Milliers 2 3 4 2 2 3 2 3 2 2" xfId="22850"/>
    <cellStyle name="Milliers 2 3 4 2 2 3 2 3 2 2 2" xfId="22851"/>
    <cellStyle name="Milliers 2 3 4 2 2 3 2 3 2 3" xfId="22852"/>
    <cellStyle name="Milliers 2 3 4 2 2 3 2 3 3" xfId="22853"/>
    <cellStyle name="Milliers 2 3 4 2 2 3 2 3 3 2" xfId="22854"/>
    <cellStyle name="Milliers 2 3 4 2 2 3 2 3 4" xfId="22855"/>
    <cellStyle name="Milliers 2 3 4 2 2 3 2 4" xfId="22856"/>
    <cellStyle name="Milliers 2 3 4 2 2 3 2 4 2" xfId="22857"/>
    <cellStyle name="Milliers 2 3 4 2 2 3 2 4 2 2" xfId="22858"/>
    <cellStyle name="Milliers 2 3 4 2 2 3 2 4 3" xfId="22859"/>
    <cellStyle name="Milliers 2 3 4 2 2 3 2 5" xfId="22860"/>
    <cellStyle name="Milliers 2 3 4 2 2 3 2 5 2" xfId="22861"/>
    <cellStyle name="Milliers 2 3 4 2 2 3 2 6" xfId="22862"/>
    <cellStyle name="Milliers 2 3 4 2 2 3 3" xfId="22863"/>
    <cellStyle name="Milliers 2 3 4 2 2 3 3 2" xfId="22864"/>
    <cellStyle name="Milliers 2 3 4 2 2 3 3 2 2" xfId="22865"/>
    <cellStyle name="Milliers 2 3 4 2 2 3 3 2 2 2" xfId="22866"/>
    <cellStyle name="Milliers 2 3 4 2 2 3 3 2 2 2 2" xfId="22867"/>
    <cellStyle name="Milliers 2 3 4 2 2 3 3 2 2 3" xfId="22868"/>
    <cellStyle name="Milliers 2 3 4 2 2 3 3 2 3" xfId="22869"/>
    <cellStyle name="Milliers 2 3 4 2 2 3 3 2 3 2" xfId="22870"/>
    <cellStyle name="Milliers 2 3 4 2 2 3 3 2 4" xfId="22871"/>
    <cellStyle name="Milliers 2 3 4 2 2 3 3 3" xfId="22872"/>
    <cellStyle name="Milliers 2 3 4 2 2 3 3 3 2" xfId="22873"/>
    <cellStyle name="Milliers 2 3 4 2 2 3 3 3 2 2" xfId="22874"/>
    <cellStyle name="Milliers 2 3 4 2 2 3 3 3 3" xfId="22875"/>
    <cellStyle name="Milliers 2 3 4 2 2 3 3 4" xfId="22876"/>
    <cellStyle name="Milliers 2 3 4 2 2 3 3 4 2" xfId="22877"/>
    <cellStyle name="Milliers 2 3 4 2 2 3 3 5" xfId="22878"/>
    <cellStyle name="Milliers 2 3 4 2 2 3 4" xfId="22879"/>
    <cellStyle name="Milliers 2 3 4 2 2 3 4 2" xfId="22880"/>
    <cellStyle name="Milliers 2 3 4 2 2 3 4 2 2" xfId="22881"/>
    <cellStyle name="Milliers 2 3 4 2 2 3 4 2 2 2" xfId="22882"/>
    <cellStyle name="Milliers 2 3 4 2 2 3 4 2 3" xfId="22883"/>
    <cellStyle name="Milliers 2 3 4 2 2 3 4 3" xfId="22884"/>
    <cellStyle name="Milliers 2 3 4 2 2 3 4 3 2" xfId="22885"/>
    <cellStyle name="Milliers 2 3 4 2 2 3 4 4" xfId="22886"/>
    <cellStyle name="Milliers 2 3 4 2 2 3 5" xfId="22887"/>
    <cellStyle name="Milliers 2 3 4 2 2 3 5 2" xfId="22888"/>
    <cellStyle name="Milliers 2 3 4 2 2 3 5 2 2" xfId="22889"/>
    <cellStyle name="Milliers 2 3 4 2 2 3 5 3" xfId="22890"/>
    <cellStyle name="Milliers 2 3 4 2 2 3 6" xfId="22891"/>
    <cellStyle name="Milliers 2 3 4 2 2 3 6 2" xfId="22892"/>
    <cellStyle name="Milliers 2 3 4 2 2 3 7" xfId="22893"/>
    <cellStyle name="Milliers 2 3 4 2 2 4" xfId="22894"/>
    <cellStyle name="Milliers 2 3 4 2 2 4 2" xfId="22895"/>
    <cellStyle name="Milliers 2 3 4 2 2 4 2 2" xfId="22896"/>
    <cellStyle name="Milliers 2 3 4 2 2 4 2 2 2" xfId="22897"/>
    <cellStyle name="Milliers 2 3 4 2 2 4 2 2 2 2" xfId="22898"/>
    <cellStyle name="Milliers 2 3 4 2 2 4 2 2 2 2 2" xfId="22899"/>
    <cellStyle name="Milliers 2 3 4 2 2 4 2 2 2 3" xfId="22900"/>
    <cellStyle name="Milliers 2 3 4 2 2 4 2 2 3" xfId="22901"/>
    <cellStyle name="Milliers 2 3 4 2 2 4 2 2 3 2" xfId="22902"/>
    <cellStyle name="Milliers 2 3 4 2 2 4 2 2 4" xfId="22903"/>
    <cellStyle name="Milliers 2 3 4 2 2 4 2 3" xfId="22904"/>
    <cellStyle name="Milliers 2 3 4 2 2 4 2 3 2" xfId="22905"/>
    <cellStyle name="Milliers 2 3 4 2 2 4 2 3 2 2" xfId="22906"/>
    <cellStyle name="Milliers 2 3 4 2 2 4 2 3 3" xfId="22907"/>
    <cellStyle name="Milliers 2 3 4 2 2 4 2 4" xfId="22908"/>
    <cellStyle name="Milliers 2 3 4 2 2 4 2 4 2" xfId="22909"/>
    <cellStyle name="Milliers 2 3 4 2 2 4 2 5" xfId="22910"/>
    <cellStyle name="Milliers 2 3 4 2 2 4 3" xfId="22911"/>
    <cellStyle name="Milliers 2 3 4 2 2 4 3 2" xfId="22912"/>
    <cellStyle name="Milliers 2 3 4 2 2 4 3 2 2" xfId="22913"/>
    <cellStyle name="Milliers 2 3 4 2 2 4 3 2 2 2" xfId="22914"/>
    <cellStyle name="Milliers 2 3 4 2 2 4 3 2 3" xfId="22915"/>
    <cellStyle name="Milliers 2 3 4 2 2 4 3 3" xfId="22916"/>
    <cellStyle name="Milliers 2 3 4 2 2 4 3 3 2" xfId="22917"/>
    <cellStyle name="Milliers 2 3 4 2 2 4 3 4" xfId="22918"/>
    <cellStyle name="Milliers 2 3 4 2 2 4 4" xfId="22919"/>
    <cellStyle name="Milliers 2 3 4 2 2 4 4 2" xfId="22920"/>
    <cellStyle name="Milliers 2 3 4 2 2 4 4 2 2" xfId="22921"/>
    <cellStyle name="Milliers 2 3 4 2 2 4 4 3" xfId="22922"/>
    <cellStyle name="Milliers 2 3 4 2 2 4 5" xfId="22923"/>
    <cellStyle name="Milliers 2 3 4 2 2 4 5 2" xfId="22924"/>
    <cellStyle name="Milliers 2 3 4 2 2 4 6" xfId="22925"/>
    <cellStyle name="Milliers 2 3 4 2 2 5" xfId="22926"/>
    <cellStyle name="Milliers 2 3 4 2 2 5 2" xfId="22927"/>
    <cellStyle name="Milliers 2 3 4 2 2 5 2 2" xfId="22928"/>
    <cellStyle name="Milliers 2 3 4 2 2 5 2 2 2" xfId="22929"/>
    <cellStyle name="Milliers 2 3 4 2 2 5 2 2 2 2" xfId="22930"/>
    <cellStyle name="Milliers 2 3 4 2 2 5 2 2 3" xfId="22931"/>
    <cellStyle name="Milliers 2 3 4 2 2 5 2 3" xfId="22932"/>
    <cellStyle name="Milliers 2 3 4 2 2 5 2 3 2" xfId="22933"/>
    <cellStyle name="Milliers 2 3 4 2 2 5 2 4" xfId="22934"/>
    <cellStyle name="Milliers 2 3 4 2 2 5 3" xfId="22935"/>
    <cellStyle name="Milliers 2 3 4 2 2 5 3 2" xfId="22936"/>
    <cellStyle name="Milliers 2 3 4 2 2 5 3 2 2" xfId="22937"/>
    <cellStyle name="Milliers 2 3 4 2 2 5 3 3" xfId="22938"/>
    <cellStyle name="Milliers 2 3 4 2 2 5 4" xfId="22939"/>
    <cellStyle name="Milliers 2 3 4 2 2 5 4 2" xfId="22940"/>
    <cellStyle name="Milliers 2 3 4 2 2 5 5" xfId="22941"/>
    <cellStyle name="Milliers 2 3 4 2 2 6" xfId="22942"/>
    <cellStyle name="Milliers 2 3 4 2 2 6 2" xfId="22943"/>
    <cellStyle name="Milliers 2 3 4 2 2 6 2 2" xfId="22944"/>
    <cellStyle name="Milliers 2 3 4 2 2 6 2 2 2" xfId="22945"/>
    <cellStyle name="Milliers 2 3 4 2 2 6 2 3" xfId="22946"/>
    <cellStyle name="Milliers 2 3 4 2 2 6 3" xfId="22947"/>
    <cellStyle name="Milliers 2 3 4 2 2 6 3 2" xfId="22948"/>
    <cellStyle name="Milliers 2 3 4 2 2 6 4" xfId="22949"/>
    <cellStyle name="Milliers 2 3 4 2 2 7" xfId="22950"/>
    <cellStyle name="Milliers 2 3 4 2 2 7 2" xfId="22951"/>
    <cellStyle name="Milliers 2 3 4 2 2 7 2 2" xfId="22952"/>
    <cellStyle name="Milliers 2 3 4 2 2 7 3" xfId="22953"/>
    <cellStyle name="Milliers 2 3 4 2 2 8" xfId="22954"/>
    <cellStyle name="Milliers 2 3 4 2 2 8 2" xfId="22955"/>
    <cellStyle name="Milliers 2 3 4 2 2 9" xfId="22956"/>
    <cellStyle name="Milliers 2 3 4 2 3" xfId="22957"/>
    <cellStyle name="Milliers 2 3 4 2 3 2" xfId="22958"/>
    <cellStyle name="Milliers 2 3 4 2 3 2 2" xfId="22959"/>
    <cellStyle name="Milliers 2 3 4 2 3 2 2 2" xfId="22960"/>
    <cellStyle name="Milliers 2 3 4 2 3 2 2 2 2" xfId="22961"/>
    <cellStyle name="Milliers 2 3 4 2 3 2 2 2 2 2" xfId="22962"/>
    <cellStyle name="Milliers 2 3 4 2 3 2 2 2 2 2 2" xfId="22963"/>
    <cellStyle name="Milliers 2 3 4 2 3 2 2 2 2 2 2 2" xfId="22964"/>
    <cellStyle name="Milliers 2 3 4 2 3 2 2 2 2 2 3" xfId="22965"/>
    <cellStyle name="Milliers 2 3 4 2 3 2 2 2 2 3" xfId="22966"/>
    <cellStyle name="Milliers 2 3 4 2 3 2 2 2 2 3 2" xfId="22967"/>
    <cellStyle name="Milliers 2 3 4 2 3 2 2 2 2 4" xfId="22968"/>
    <cellStyle name="Milliers 2 3 4 2 3 2 2 2 3" xfId="22969"/>
    <cellStyle name="Milliers 2 3 4 2 3 2 2 2 3 2" xfId="22970"/>
    <cellStyle name="Milliers 2 3 4 2 3 2 2 2 3 2 2" xfId="22971"/>
    <cellStyle name="Milliers 2 3 4 2 3 2 2 2 3 3" xfId="22972"/>
    <cellStyle name="Milliers 2 3 4 2 3 2 2 2 4" xfId="22973"/>
    <cellStyle name="Milliers 2 3 4 2 3 2 2 2 4 2" xfId="22974"/>
    <cellStyle name="Milliers 2 3 4 2 3 2 2 2 5" xfId="22975"/>
    <cellStyle name="Milliers 2 3 4 2 3 2 2 3" xfId="22976"/>
    <cellStyle name="Milliers 2 3 4 2 3 2 2 3 2" xfId="22977"/>
    <cellStyle name="Milliers 2 3 4 2 3 2 2 3 2 2" xfId="22978"/>
    <cellStyle name="Milliers 2 3 4 2 3 2 2 3 2 2 2" xfId="22979"/>
    <cellStyle name="Milliers 2 3 4 2 3 2 2 3 2 3" xfId="22980"/>
    <cellStyle name="Milliers 2 3 4 2 3 2 2 3 3" xfId="22981"/>
    <cellStyle name="Milliers 2 3 4 2 3 2 2 3 3 2" xfId="22982"/>
    <cellStyle name="Milliers 2 3 4 2 3 2 2 3 4" xfId="22983"/>
    <cellStyle name="Milliers 2 3 4 2 3 2 2 4" xfId="22984"/>
    <cellStyle name="Milliers 2 3 4 2 3 2 2 4 2" xfId="22985"/>
    <cellStyle name="Milliers 2 3 4 2 3 2 2 4 2 2" xfId="22986"/>
    <cellStyle name="Milliers 2 3 4 2 3 2 2 4 3" xfId="22987"/>
    <cellStyle name="Milliers 2 3 4 2 3 2 2 5" xfId="22988"/>
    <cellStyle name="Milliers 2 3 4 2 3 2 2 5 2" xfId="22989"/>
    <cellStyle name="Milliers 2 3 4 2 3 2 2 6" xfId="22990"/>
    <cellStyle name="Milliers 2 3 4 2 3 2 3" xfId="22991"/>
    <cellStyle name="Milliers 2 3 4 2 3 2 3 2" xfId="22992"/>
    <cellStyle name="Milliers 2 3 4 2 3 2 3 2 2" xfId="22993"/>
    <cellStyle name="Milliers 2 3 4 2 3 2 3 2 2 2" xfId="22994"/>
    <cellStyle name="Milliers 2 3 4 2 3 2 3 2 2 2 2" xfId="22995"/>
    <cellStyle name="Milliers 2 3 4 2 3 2 3 2 2 3" xfId="22996"/>
    <cellStyle name="Milliers 2 3 4 2 3 2 3 2 3" xfId="22997"/>
    <cellStyle name="Milliers 2 3 4 2 3 2 3 2 3 2" xfId="22998"/>
    <cellStyle name="Milliers 2 3 4 2 3 2 3 2 4" xfId="22999"/>
    <cellStyle name="Milliers 2 3 4 2 3 2 3 3" xfId="23000"/>
    <cellStyle name="Milliers 2 3 4 2 3 2 3 3 2" xfId="23001"/>
    <cellStyle name="Milliers 2 3 4 2 3 2 3 3 2 2" xfId="23002"/>
    <cellStyle name="Milliers 2 3 4 2 3 2 3 3 3" xfId="23003"/>
    <cellStyle name="Milliers 2 3 4 2 3 2 3 4" xfId="23004"/>
    <cellStyle name="Milliers 2 3 4 2 3 2 3 4 2" xfId="23005"/>
    <cellStyle name="Milliers 2 3 4 2 3 2 3 5" xfId="23006"/>
    <cellStyle name="Milliers 2 3 4 2 3 2 4" xfId="23007"/>
    <cellStyle name="Milliers 2 3 4 2 3 2 4 2" xfId="23008"/>
    <cellStyle name="Milliers 2 3 4 2 3 2 4 2 2" xfId="23009"/>
    <cellStyle name="Milliers 2 3 4 2 3 2 4 2 2 2" xfId="23010"/>
    <cellStyle name="Milliers 2 3 4 2 3 2 4 2 3" xfId="23011"/>
    <cellStyle name="Milliers 2 3 4 2 3 2 4 3" xfId="23012"/>
    <cellStyle name="Milliers 2 3 4 2 3 2 4 3 2" xfId="23013"/>
    <cellStyle name="Milliers 2 3 4 2 3 2 4 4" xfId="23014"/>
    <cellStyle name="Milliers 2 3 4 2 3 2 5" xfId="23015"/>
    <cellStyle name="Milliers 2 3 4 2 3 2 5 2" xfId="23016"/>
    <cellStyle name="Milliers 2 3 4 2 3 2 5 2 2" xfId="23017"/>
    <cellStyle name="Milliers 2 3 4 2 3 2 5 3" xfId="23018"/>
    <cellStyle name="Milliers 2 3 4 2 3 2 6" xfId="23019"/>
    <cellStyle name="Milliers 2 3 4 2 3 2 6 2" xfId="23020"/>
    <cellStyle name="Milliers 2 3 4 2 3 2 7" xfId="23021"/>
    <cellStyle name="Milliers 2 3 4 2 3 3" xfId="23022"/>
    <cellStyle name="Milliers 2 3 4 2 3 3 2" xfId="23023"/>
    <cellStyle name="Milliers 2 3 4 2 3 3 2 2" xfId="23024"/>
    <cellStyle name="Milliers 2 3 4 2 3 3 2 2 2" xfId="23025"/>
    <cellStyle name="Milliers 2 3 4 2 3 3 2 2 2 2" xfId="23026"/>
    <cellStyle name="Milliers 2 3 4 2 3 3 2 2 2 2 2" xfId="23027"/>
    <cellStyle name="Milliers 2 3 4 2 3 3 2 2 2 3" xfId="23028"/>
    <cellStyle name="Milliers 2 3 4 2 3 3 2 2 3" xfId="23029"/>
    <cellStyle name="Milliers 2 3 4 2 3 3 2 2 3 2" xfId="23030"/>
    <cellStyle name="Milliers 2 3 4 2 3 3 2 2 4" xfId="23031"/>
    <cellStyle name="Milliers 2 3 4 2 3 3 2 3" xfId="23032"/>
    <cellStyle name="Milliers 2 3 4 2 3 3 2 3 2" xfId="23033"/>
    <cellStyle name="Milliers 2 3 4 2 3 3 2 3 2 2" xfId="23034"/>
    <cellStyle name="Milliers 2 3 4 2 3 3 2 3 3" xfId="23035"/>
    <cellStyle name="Milliers 2 3 4 2 3 3 2 4" xfId="23036"/>
    <cellStyle name="Milliers 2 3 4 2 3 3 2 4 2" xfId="23037"/>
    <cellStyle name="Milliers 2 3 4 2 3 3 2 5" xfId="23038"/>
    <cellStyle name="Milliers 2 3 4 2 3 3 3" xfId="23039"/>
    <cellStyle name="Milliers 2 3 4 2 3 3 3 2" xfId="23040"/>
    <cellStyle name="Milliers 2 3 4 2 3 3 3 2 2" xfId="23041"/>
    <cellStyle name="Milliers 2 3 4 2 3 3 3 2 2 2" xfId="23042"/>
    <cellStyle name="Milliers 2 3 4 2 3 3 3 2 3" xfId="23043"/>
    <cellStyle name="Milliers 2 3 4 2 3 3 3 3" xfId="23044"/>
    <cellStyle name="Milliers 2 3 4 2 3 3 3 3 2" xfId="23045"/>
    <cellStyle name="Milliers 2 3 4 2 3 3 3 4" xfId="23046"/>
    <cellStyle name="Milliers 2 3 4 2 3 3 4" xfId="23047"/>
    <cellStyle name="Milliers 2 3 4 2 3 3 4 2" xfId="23048"/>
    <cellStyle name="Milliers 2 3 4 2 3 3 4 2 2" xfId="23049"/>
    <cellStyle name="Milliers 2 3 4 2 3 3 4 3" xfId="23050"/>
    <cellStyle name="Milliers 2 3 4 2 3 3 5" xfId="23051"/>
    <cellStyle name="Milliers 2 3 4 2 3 3 5 2" xfId="23052"/>
    <cellStyle name="Milliers 2 3 4 2 3 3 6" xfId="23053"/>
    <cellStyle name="Milliers 2 3 4 2 3 4" xfId="23054"/>
    <cellStyle name="Milliers 2 3 4 2 3 4 2" xfId="23055"/>
    <cellStyle name="Milliers 2 3 4 2 3 4 2 2" xfId="23056"/>
    <cellStyle name="Milliers 2 3 4 2 3 4 2 2 2" xfId="23057"/>
    <cellStyle name="Milliers 2 3 4 2 3 4 2 2 2 2" xfId="23058"/>
    <cellStyle name="Milliers 2 3 4 2 3 4 2 2 3" xfId="23059"/>
    <cellStyle name="Milliers 2 3 4 2 3 4 2 3" xfId="23060"/>
    <cellStyle name="Milliers 2 3 4 2 3 4 2 3 2" xfId="23061"/>
    <cellStyle name="Milliers 2 3 4 2 3 4 2 4" xfId="23062"/>
    <cellStyle name="Milliers 2 3 4 2 3 4 3" xfId="23063"/>
    <cellStyle name="Milliers 2 3 4 2 3 4 3 2" xfId="23064"/>
    <cellStyle name="Milliers 2 3 4 2 3 4 3 2 2" xfId="23065"/>
    <cellStyle name="Milliers 2 3 4 2 3 4 3 3" xfId="23066"/>
    <cellStyle name="Milliers 2 3 4 2 3 4 4" xfId="23067"/>
    <cellStyle name="Milliers 2 3 4 2 3 4 4 2" xfId="23068"/>
    <cellStyle name="Milliers 2 3 4 2 3 4 5" xfId="23069"/>
    <cellStyle name="Milliers 2 3 4 2 3 5" xfId="23070"/>
    <cellStyle name="Milliers 2 3 4 2 3 5 2" xfId="23071"/>
    <cellStyle name="Milliers 2 3 4 2 3 5 2 2" xfId="23072"/>
    <cellStyle name="Milliers 2 3 4 2 3 5 2 2 2" xfId="23073"/>
    <cellStyle name="Milliers 2 3 4 2 3 5 2 3" xfId="23074"/>
    <cellStyle name="Milliers 2 3 4 2 3 5 3" xfId="23075"/>
    <cellStyle name="Milliers 2 3 4 2 3 5 3 2" xfId="23076"/>
    <cellStyle name="Milliers 2 3 4 2 3 5 4" xfId="23077"/>
    <cellStyle name="Milliers 2 3 4 2 3 6" xfId="23078"/>
    <cellStyle name="Milliers 2 3 4 2 3 6 2" xfId="23079"/>
    <cellStyle name="Milliers 2 3 4 2 3 6 2 2" xfId="23080"/>
    <cellStyle name="Milliers 2 3 4 2 3 6 3" xfId="23081"/>
    <cellStyle name="Milliers 2 3 4 2 3 7" xfId="23082"/>
    <cellStyle name="Milliers 2 3 4 2 3 7 2" xfId="23083"/>
    <cellStyle name="Milliers 2 3 4 2 3 8" xfId="23084"/>
    <cellStyle name="Milliers 2 3 4 2 4" xfId="23085"/>
    <cellStyle name="Milliers 2 3 4 2 4 2" xfId="23086"/>
    <cellStyle name="Milliers 2 3 4 2 4 2 2" xfId="23087"/>
    <cellStyle name="Milliers 2 3 4 2 4 2 2 2" xfId="23088"/>
    <cellStyle name="Milliers 2 3 4 2 4 2 2 2 2" xfId="23089"/>
    <cellStyle name="Milliers 2 3 4 2 4 2 2 2 2 2" xfId="23090"/>
    <cellStyle name="Milliers 2 3 4 2 4 2 2 2 2 2 2" xfId="23091"/>
    <cellStyle name="Milliers 2 3 4 2 4 2 2 2 2 3" xfId="23092"/>
    <cellStyle name="Milliers 2 3 4 2 4 2 2 2 3" xfId="23093"/>
    <cellStyle name="Milliers 2 3 4 2 4 2 2 2 3 2" xfId="23094"/>
    <cellStyle name="Milliers 2 3 4 2 4 2 2 2 4" xfId="23095"/>
    <cellStyle name="Milliers 2 3 4 2 4 2 2 3" xfId="23096"/>
    <cellStyle name="Milliers 2 3 4 2 4 2 2 3 2" xfId="23097"/>
    <cellStyle name="Milliers 2 3 4 2 4 2 2 3 2 2" xfId="23098"/>
    <cellStyle name="Milliers 2 3 4 2 4 2 2 3 3" xfId="23099"/>
    <cellStyle name="Milliers 2 3 4 2 4 2 2 4" xfId="23100"/>
    <cellStyle name="Milliers 2 3 4 2 4 2 2 4 2" xfId="23101"/>
    <cellStyle name="Milliers 2 3 4 2 4 2 2 5" xfId="23102"/>
    <cellStyle name="Milliers 2 3 4 2 4 2 3" xfId="23103"/>
    <cellStyle name="Milliers 2 3 4 2 4 2 3 2" xfId="23104"/>
    <cellStyle name="Milliers 2 3 4 2 4 2 3 2 2" xfId="23105"/>
    <cellStyle name="Milliers 2 3 4 2 4 2 3 2 2 2" xfId="23106"/>
    <cellStyle name="Milliers 2 3 4 2 4 2 3 2 3" xfId="23107"/>
    <cellStyle name="Milliers 2 3 4 2 4 2 3 3" xfId="23108"/>
    <cellStyle name="Milliers 2 3 4 2 4 2 3 3 2" xfId="23109"/>
    <cellStyle name="Milliers 2 3 4 2 4 2 3 4" xfId="23110"/>
    <cellStyle name="Milliers 2 3 4 2 4 2 4" xfId="23111"/>
    <cellStyle name="Milliers 2 3 4 2 4 2 4 2" xfId="23112"/>
    <cellStyle name="Milliers 2 3 4 2 4 2 4 2 2" xfId="23113"/>
    <cellStyle name="Milliers 2 3 4 2 4 2 4 3" xfId="23114"/>
    <cellStyle name="Milliers 2 3 4 2 4 2 5" xfId="23115"/>
    <cellStyle name="Milliers 2 3 4 2 4 2 5 2" xfId="23116"/>
    <cellStyle name="Milliers 2 3 4 2 4 2 6" xfId="23117"/>
    <cellStyle name="Milliers 2 3 4 2 4 3" xfId="23118"/>
    <cellStyle name="Milliers 2 3 4 2 4 3 2" xfId="23119"/>
    <cellStyle name="Milliers 2 3 4 2 4 3 2 2" xfId="23120"/>
    <cellStyle name="Milliers 2 3 4 2 4 3 2 2 2" xfId="23121"/>
    <cellStyle name="Milliers 2 3 4 2 4 3 2 2 2 2" xfId="23122"/>
    <cellStyle name="Milliers 2 3 4 2 4 3 2 2 3" xfId="23123"/>
    <cellStyle name="Milliers 2 3 4 2 4 3 2 3" xfId="23124"/>
    <cellStyle name="Milliers 2 3 4 2 4 3 2 3 2" xfId="23125"/>
    <cellStyle name="Milliers 2 3 4 2 4 3 2 4" xfId="23126"/>
    <cellStyle name="Milliers 2 3 4 2 4 3 3" xfId="23127"/>
    <cellStyle name="Milliers 2 3 4 2 4 3 3 2" xfId="23128"/>
    <cellStyle name="Milliers 2 3 4 2 4 3 3 2 2" xfId="23129"/>
    <cellStyle name="Milliers 2 3 4 2 4 3 3 3" xfId="23130"/>
    <cellStyle name="Milliers 2 3 4 2 4 3 4" xfId="23131"/>
    <cellStyle name="Milliers 2 3 4 2 4 3 4 2" xfId="23132"/>
    <cellStyle name="Milliers 2 3 4 2 4 3 5" xfId="23133"/>
    <cellStyle name="Milliers 2 3 4 2 4 4" xfId="23134"/>
    <cellStyle name="Milliers 2 3 4 2 4 4 2" xfId="23135"/>
    <cellStyle name="Milliers 2 3 4 2 4 4 2 2" xfId="23136"/>
    <cellStyle name="Milliers 2 3 4 2 4 4 2 2 2" xfId="23137"/>
    <cellStyle name="Milliers 2 3 4 2 4 4 2 3" xfId="23138"/>
    <cellStyle name="Milliers 2 3 4 2 4 4 3" xfId="23139"/>
    <cellStyle name="Milliers 2 3 4 2 4 4 3 2" xfId="23140"/>
    <cellStyle name="Milliers 2 3 4 2 4 4 4" xfId="23141"/>
    <cellStyle name="Milliers 2 3 4 2 4 5" xfId="23142"/>
    <cellStyle name="Milliers 2 3 4 2 4 5 2" xfId="23143"/>
    <cellStyle name="Milliers 2 3 4 2 4 5 2 2" xfId="23144"/>
    <cellStyle name="Milliers 2 3 4 2 4 5 3" xfId="23145"/>
    <cellStyle name="Milliers 2 3 4 2 4 6" xfId="23146"/>
    <cellStyle name="Milliers 2 3 4 2 4 6 2" xfId="23147"/>
    <cellStyle name="Milliers 2 3 4 2 4 7" xfId="23148"/>
    <cellStyle name="Milliers 2 3 4 2 5" xfId="23149"/>
    <cellStyle name="Milliers 2 3 4 2 5 2" xfId="23150"/>
    <cellStyle name="Milliers 2 3 4 2 5 2 2" xfId="23151"/>
    <cellStyle name="Milliers 2 3 4 2 5 2 2 2" xfId="23152"/>
    <cellStyle name="Milliers 2 3 4 2 5 2 2 2 2" xfId="23153"/>
    <cellStyle name="Milliers 2 3 4 2 5 2 2 2 2 2" xfId="23154"/>
    <cellStyle name="Milliers 2 3 4 2 5 2 2 2 3" xfId="23155"/>
    <cellStyle name="Milliers 2 3 4 2 5 2 2 3" xfId="23156"/>
    <cellStyle name="Milliers 2 3 4 2 5 2 2 3 2" xfId="23157"/>
    <cellStyle name="Milliers 2 3 4 2 5 2 2 4" xfId="23158"/>
    <cellStyle name="Milliers 2 3 4 2 5 2 3" xfId="23159"/>
    <cellStyle name="Milliers 2 3 4 2 5 2 3 2" xfId="23160"/>
    <cellStyle name="Milliers 2 3 4 2 5 2 3 2 2" xfId="23161"/>
    <cellStyle name="Milliers 2 3 4 2 5 2 3 3" xfId="23162"/>
    <cellStyle name="Milliers 2 3 4 2 5 2 4" xfId="23163"/>
    <cellStyle name="Milliers 2 3 4 2 5 2 4 2" xfId="23164"/>
    <cellStyle name="Milliers 2 3 4 2 5 2 5" xfId="23165"/>
    <cellStyle name="Milliers 2 3 4 2 5 3" xfId="23166"/>
    <cellStyle name="Milliers 2 3 4 2 5 3 2" xfId="23167"/>
    <cellStyle name="Milliers 2 3 4 2 5 3 2 2" xfId="23168"/>
    <cellStyle name="Milliers 2 3 4 2 5 3 2 2 2" xfId="23169"/>
    <cellStyle name="Milliers 2 3 4 2 5 3 2 3" xfId="23170"/>
    <cellStyle name="Milliers 2 3 4 2 5 3 3" xfId="23171"/>
    <cellStyle name="Milliers 2 3 4 2 5 3 3 2" xfId="23172"/>
    <cellStyle name="Milliers 2 3 4 2 5 3 4" xfId="23173"/>
    <cellStyle name="Milliers 2 3 4 2 5 4" xfId="23174"/>
    <cellStyle name="Milliers 2 3 4 2 5 4 2" xfId="23175"/>
    <cellStyle name="Milliers 2 3 4 2 5 4 2 2" xfId="23176"/>
    <cellStyle name="Milliers 2 3 4 2 5 4 3" xfId="23177"/>
    <cellStyle name="Milliers 2 3 4 2 5 5" xfId="23178"/>
    <cellStyle name="Milliers 2 3 4 2 5 5 2" xfId="23179"/>
    <cellStyle name="Milliers 2 3 4 2 5 6" xfId="23180"/>
    <cellStyle name="Milliers 2 3 4 2 6" xfId="23181"/>
    <cellStyle name="Milliers 2 3 4 2 6 2" xfId="23182"/>
    <cellStyle name="Milliers 2 3 4 2 6 2 2" xfId="23183"/>
    <cellStyle name="Milliers 2 3 4 2 6 2 2 2" xfId="23184"/>
    <cellStyle name="Milliers 2 3 4 2 6 2 2 2 2" xfId="23185"/>
    <cellStyle name="Milliers 2 3 4 2 6 2 2 3" xfId="23186"/>
    <cellStyle name="Milliers 2 3 4 2 6 2 3" xfId="23187"/>
    <cellStyle name="Milliers 2 3 4 2 6 2 3 2" xfId="23188"/>
    <cellStyle name="Milliers 2 3 4 2 6 2 4" xfId="23189"/>
    <cellStyle name="Milliers 2 3 4 2 6 3" xfId="23190"/>
    <cellStyle name="Milliers 2 3 4 2 6 3 2" xfId="23191"/>
    <cellStyle name="Milliers 2 3 4 2 6 3 2 2" xfId="23192"/>
    <cellStyle name="Milliers 2 3 4 2 6 3 3" xfId="23193"/>
    <cellStyle name="Milliers 2 3 4 2 6 4" xfId="23194"/>
    <cellStyle name="Milliers 2 3 4 2 6 4 2" xfId="23195"/>
    <cellStyle name="Milliers 2 3 4 2 6 5" xfId="23196"/>
    <cellStyle name="Milliers 2 3 4 2 7" xfId="23197"/>
    <cellStyle name="Milliers 2 3 4 2 7 2" xfId="23198"/>
    <cellStyle name="Milliers 2 3 4 2 7 2 2" xfId="23199"/>
    <cellStyle name="Milliers 2 3 4 2 7 2 2 2" xfId="23200"/>
    <cellStyle name="Milliers 2 3 4 2 7 2 3" xfId="23201"/>
    <cellStyle name="Milliers 2 3 4 2 7 3" xfId="23202"/>
    <cellStyle name="Milliers 2 3 4 2 7 3 2" xfId="23203"/>
    <cellStyle name="Milliers 2 3 4 2 7 4" xfId="23204"/>
    <cellStyle name="Milliers 2 3 4 2 8" xfId="23205"/>
    <cellStyle name="Milliers 2 3 4 2 8 2" xfId="23206"/>
    <cellStyle name="Milliers 2 3 4 2 8 2 2" xfId="23207"/>
    <cellStyle name="Milliers 2 3 4 2 8 3" xfId="23208"/>
    <cellStyle name="Milliers 2 3 4 2 9" xfId="23209"/>
    <cellStyle name="Milliers 2 3 4 2 9 2" xfId="23210"/>
    <cellStyle name="Milliers 2 3 4 3" xfId="23211"/>
    <cellStyle name="Milliers 2 3 4 3 2" xfId="23212"/>
    <cellStyle name="Milliers 2 3 4 3 2 2" xfId="23213"/>
    <cellStyle name="Milliers 2 3 4 3 2 2 2" xfId="23214"/>
    <cellStyle name="Milliers 2 3 4 3 2 2 2 2" xfId="23215"/>
    <cellStyle name="Milliers 2 3 4 3 2 2 2 2 2" xfId="23216"/>
    <cellStyle name="Milliers 2 3 4 3 2 2 2 2 2 2" xfId="23217"/>
    <cellStyle name="Milliers 2 3 4 3 2 2 2 2 2 2 2" xfId="23218"/>
    <cellStyle name="Milliers 2 3 4 3 2 2 2 2 2 2 2 2" xfId="23219"/>
    <cellStyle name="Milliers 2 3 4 3 2 2 2 2 2 2 3" xfId="23220"/>
    <cellStyle name="Milliers 2 3 4 3 2 2 2 2 2 3" xfId="23221"/>
    <cellStyle name="Milliers 2 3 4 3 2 2 2 2 2 3 2" xfId="23222"/>
    <cellStyle name="Milliers 2 3 4 3 2 2 2 2 2 4" xfId="23223"/>
    <cellStyle name="Milliers 2 3 4 3 2 2 2 2 3" xfId="23224"/>
    <cellStyle name="Milliers 2 3 4 3 2 2 2 2 3 2" xfId="23225"/>
    <cellStyle name="Milliers 2 3 4 3 2 2 2 2 3 2 2" xfId="23226"/>
    <cellStyle name="Milliers 2 3 4 3 2 2 2 2 3 3" xfId="23227"/>
    <cellStyle name="Milliers 2 3 4 3 2 2 2 2 4" xfId="23228"/>
    <cellStyle name="Milliers 2 3 4 3 2 2 2 2 4 2" xfId="23229"/>
    <cellStyle name="Milliers 2 3 4 3 2 2 2 2 5" xfId="23230"/>
    <cellStyle name="Milliers 2 3 4 3 2 2 2 3" xfId="23231"/>
    <cellStyle name="Milliers 2 3 4 3 2 2 2 3 2" xfId="23232"/>
    <cellStyle name="Milliers 2 3 4 3 2 2 2 3 2 2" xfId="23233"/>
    <cellStyle name="Milliers 2 3 4 3 2 2 2 3 2 2 2" xfId="23234"/>
    <cellStyle name="Milliers 2 3 4 3 2 2 2 3 2 3" xfId="23235"/>
    <cellStyle name="Milliers 2 3 4 3 2 2 2 3 3" xfId="23236"/>
    <cellStyle name="Milliers 2 3 4 3 2 2 2 3 3 2" xfId="23237"/>
    <cellStyle name="Milliers 2 3 4 3 2 2 2 3 4" xfId="23238"/>
    <cellStyle name="Milliers 2 3 4 3 2 2 2 4" xfId="23239"/>
    <cellStyle name="Milliers 2 3 4 3 2 2 2 4 2" xfId="23240"/>
    <cellStyle name="Milliers 2 3 4 3 2 2 2 4 2 2" xfId="23241"/>
    <cellStyle name="Milliers 2 3 4 3 2 2 2 4 3" xfId="23242"/>
    <cellStyle name="Milliers 2 3 4 3 2 2 2 5" xfId="23243"/>
    <cellStyle name="Milliers 2 3 4 3 2 2 2 5 2" xfId="23244"/>
    <cellStyle name="Milliers 2 3 4 3 2 2 2 6" xfId="23245"/>
    <cellStyle name="Milliers 2 3 4 3 2 2 3" xfId="23246"/>
    <cellStyle name="Milliers 2 3 4 3 2 2 3 2" xfId="23247"/>
    <cellStyle name="Milliers 2 3 4 3 2 2 3 2 2" xfId="23248"/>
    <cellStyle name="Milliers 2 3 4 3 2 2 3 2 2 2" xfId="23249"/>
    <cellStyle name="Milliers 2 3 4 3 2 2 3 2 2 2 2" xfId="23250"/>
    <cellStyle name="Milliers 2 3 4 3 2 2 3 2 2 3" xfId="23251"/>
    <cellStyle name="Milliers 2 3 4 3 2 2 3 2 3" xfId="23252"/>
    <cellStyle name="Milliers 2 3 4 3 2 2 3 2 3 2" xfId="23253"/>
    <cellStyle name="Milliers 2 3 4 3 2 2 3 2 4" xfId="23254"/>
    <cellStyle name="Milliers 2 3 4 3 2 2 3 3" xfId="23255"/>
    <cellStyle name="Milliers 2 3 4 3 2 2 3 3 2" xfId="23256"/>
    <cellStyle name="Milliers 2 3 4 3 2 2 3 3 2 2" xfId="23257"/>
    <cellStyle name="Milliers 2 3 4 3 2 2 3 3 3" xfId="23258"/>
    <cellStyle name="Milliers 2 3 4 3 2 2 3 4" xfId="23259"/>
    <cellStyle name="Milliers 2 3 4 3 2 2 3 4 2" xfId="23260"/>
    <cellStyle name="Milliers 2 3 4 3 2 2 3 5" xfId="23261"/>
    <cellStyle name="Milliers 2 3 4 3 2 2 4" xfId="23262"/>
    <cellStyle name="Milliers 2 3 4 3 2 2 4 2" xfId="23263"/>
    <cellStyle name="Milliers 2 3 4 3 2 2 4 2 2" xfId="23264"/>
    <cellStyle name="Milliers 2 3 4 3 2 2 4 2 2 2" xfId="23265"/>
    <cellStyle name="Milliers 2 3 4 3 2 2 4 2 3" xfId="23266"/>
    <cellStyle name="Milliers 2 3 4 3 2 2 4 3" xfId="23267"/>
    <cellStyle name="Milliers 2 3 4 3 2 2 4 3 2" xfId="23268"/>
    <cellStyle name="Milliers 2 3 4 3 2 2 4 4" xfId="23269"/>
    <cellStyle name="Milliers 2 3 4 3 2 2 5" xfId="23270"/>
    <cellStyle name="Milliers 2 3 4 3 2 2 5 2" xfId="23271"/>
    <cellStyle name="Milliers 2 3 4 3 2 2 5 2 2" xfId="23272"/>
    <cellStyle name="Milliers 2 3 4 3 2 2 5 3" xfId="23273"/>
    <cellStyle name="Milliers 2 3 4 3 2 2 6" xfId="23274"/>
    <cellStyle name="Milliers 2 3 4 3 2 2 6 2" xfId="23275"/>
    <cellStyle name="Milliers 2 3 4 3 2 2 7" xfId="23276"/>
    <cellStyle name="Milliers 2 3 4 3 2 3" xfId="23277"/>
    <cellStyle name="Milliers 2 3 4 3 2 3 2" xfId="23278"/>
    <cellStyle name="Milliers 2 3 4 3 2 3 2 2" xfId="23279"/>
    <cellStyle name="Milliers 2 3 4 3 2 3 2 2 2" xfId="23280"/>
    <cellStyle name="Milliers 2 3 4 3 2 3 2 2 2 2" xfId="23281"/>
    <cellStyle name="Milliers 2 3 4 3 2 3 2 2 2 2 2" xfId="23282"/>
    <cellStyle name="Milliers 2 3 4 3 2 3 2 2 2 3" xfId="23283"/>
    <cellStyle name="Milliers 2 3 4 3 2 3 2 2 3" xfId="23284"/>
    <cellStyle name="Milliers 2 3 4 3 2 3 2 2 3 2" xfId="23285"/>
    <cellStyle name="Milliers 2 3 4 3 2 3 2 2 4" xfId="23286"/>
    <cellStyle name="Milliers 2 3 4 3 2 3 2 3" xfId="23287"/>
    <cellStyle name="Milliers 2 3 4 3 2 3 2 3 2" xfId="23288"/>
    <cellStyle name="Milliers 2 3 4 3 2 3 2 3 2 2" xfId="23289"/>
    <cellStyle name="Milliers 2 3 4 3 2 3 2 3 3" xfId="23290"/>
    <cellStyle name="Milliers 2 3 4 3 2 3 2 4" xfId="23291"/>
    <cellStyle name="Milliers 2 3 4 3 2 3 2 4 2" xfId="23292"/>
    <cellStyle name="Milliers 2 3 4 3 2 3 2 5" xfId="23293"/>
    <cellStyle name="Milliers 2 3 4 3 2 3 3" xfId="23294"/>
    <cellStyle name="Milliers 2 3 4 3 2 3 3 2" xfId="23295"/>
    <cellStyle name="Milliers 2 3 4 3 2 3 3 2 2" xfId="23296"/>
    <cellStyle name="Milliers 2 3 4 3 2 3 3 2 2 2" xfId="23297"/>
    <cellStyle name="Milliers 2 3 4 3 2 3 3 2 3" xfId="23298"/>
    <cellStyle name="Milliers 2 3 4 3 2 3 3 3" xfId="23299"/>
    <cellStyle name="Milliers 2 3 4 3 2 3 3 3 2" xfId="23300"/>
    <cellStyle name="Milliers 2 3 4 3 2 3 3 4" xfId="23301"/>
    <cellStyle name="Milliers 2 3 4 3 2 3 4" xfId="23302"/>
    <cellStyle name="Milliers 2 3 4 3 2 3 4 2" xfId="23303"/>
    <cellStyle name="Milliers 2 3 4 3 2 3 4 2 2" xfId="23304"/>
    <cellStyle name="Milliers 2 3 4 3 2 3 4 3" xfId="23305"/>
    <cellStyle name="Milliers 2 3 4 3 2 3 5" xfId="23306"/>
    <cellStyle name="Milliers 2 3 4 3 2 3 5 2" xfId="23307"/>
    <cellStyle name="Milliers 2 3 4 3 2 3 6" xfId="23308"/>
    <cellStyle name="Milliers 2 3 4 3 2 4" xfId="23309"/>
    <cellStyle name="Milliers 2 3 4 3 2 4 2" xfId="23310"/>
    <cellStyle name="Milliers 2 3 4 3 2 4 2 2" xfId="23311"/>
    <cellStyle name="Milliers 2 3 4 3 2 4 2 2 2" xfId="23312"/>
    <cellStyle name="Milliers 2 3 4 3 2 4 2 2 2 2" xfId="23313"/>
    <cellStyle name="Milliers 2 3 4 3 2 4 2 2 3" xfId="23314"/>
    <cellStyle name="Milliers 2 3 4 3 2 4 2 3" xfId="23315"/>
    <cellStyle name="Milliers 2 3 4 3 2 4 2 3 2" xfId="23316"/>
    <cellStyle name="Milliers 2 3 4 3 2 4 2 4" xfId="23317"/>
    <cellStyle name="Milliers 2 3 4 3 2 4 3" xfId="23318"/>
    <cellStyle name="Milliers 2 3 4 3 2 4 3 2" xfId="23319"/>
    <cellStyle name="Milliers 2 3 4 3 2 4 3 2 2" xfId="23320"/>
    <cellStyle name="Milliers 2 3 4 3 2 4 3 3" xfId="23321"/>
    <cellStyle name="Milliers 2 3 4 3 2 4 4" xfId="23322"/>
    <cellStyle name="Milliers 2 3 4 3 2 4 4 2" xfId="23323"/>
    <cellStyle name="Milliers 2 3 4 3 2 4 5" xfId="23324"/>
    <cellStyle name="Milliers 2 3 4 3 2 5" xfId="23325"/>
    <cellStyle name="Milliers 2 3 4 3 2 5 2" xfId="23326"/>
    <cellStyle name="Milliers 2 3 4 3 2 5 2 2" xfId="23327"/>
    <cellStyle name="Milliers 2 3 4 3 2 5 2 2 2" xfId="23328"/>
    <cellStyle name="Milliers 2 3 4 3 2 5 2 3" xfId="23329"/>
    <cellStyle name="Milliers 2 3 4 3 2 5 3" xfId="23330"/>
    <cellStyle name="Milliers 2 3 4 3 2 5 3 2" xfId="23331"/>
    <cellStyle name="Milliers 2 3 4 3 2 5 4" xfId="23332"/>
    <cellStyle name="Milliers 2 3 4 3 2 6" xfId="23333"/>
    <cellStyle name="Milliers 2 3 4 3 2 6 2" xfId="23334"/>
    <cellStyle name="Milliers 2 3 4 3 2 6 2 2" xfId="23335"/>
    <cellStyle name="Milliers 2 3 4 3 2 6 3" xfId="23336"/>
    <cellStyle name="Milliers 2 3 4 3 2 7" xfId="23337"/>
    <cellStyle name="Milliers 2 3 4 3 2 7 2" xfId="23338"/>
    <cellStyle name="Milliers 2 3 4 3 2 8" xfId="23339"/>
    <cellStyle name="Milliers 2 3 4 3 3" xfId="23340"/>
    <cellStyle name="Milliers 2 3 4 3 3 2" xfId="23341"/>
    <cellStyle name="Milliers 2 3 4 3 3 2 2" xfId="23342"/>
    <cellStyle name="Milliers 2 3 4 3 3 2 2 2" xfId="23343"/>
    <cellStyle name="Milliers 2 3 4 3 3 2 2 2 2" xfId="23344"/>
    <cellStyle name="Milliers 2 3 4 3 3 2 2 2 2 2" xfId="23345"/>
    <cellStyle name="Milliers 2 3 4 3 3 2 2 2 2 2 2" xfId="23346"/>
    <cellStyle name="Milliers 2 3 4 3 3 2 2 2 2 3" xfId="23347"/>
    <cellStyle name="Milliers 2 3 4 3 3 2 2 2 3" xfId="23348"/>
    <cellStyle name="Milliers 2 3 4 3 3 2 2 2 3 2" xfId="23349"/>
    <cellStyle name="Milliers 2 3 4 3 3 2 2 2 4" xfId="23350"/>
    <cellStyle name="Milliers 2 3 4 3 3 2 2 3" xfId="23351"/>
    <cellStyle name="Milliers 2 3 4 3 3 2 2 3 2" xfId="23352"/>
    <cellStyle name="Milliers 2 3 4 3 3 2 2 3 2 2" xfId="23353"/>
    <cellStyle name="Milliers 2 3 4 3 3 2 2 3 3" xfId="23354"/>
    <cellStyle name="Milliers 2 3 4 3 3 2 2 4" xfId="23355"/>
    <cellStyle name="Milliers 2 3 4 3 3 2 2 4 2" xfId="23356"/>
    <cellStyle name="Milliers 2 3 4 3 3 2 2 5" xfId="23357"/>
    <cellStyle name="Milliers 2 3 4 3 3 2 3" xfId="23358"/>
    <cellStyle name="Milliers 2 3 4 3 3 2 3 2" xfId="23359"/>
    <cellStyle name="Milliers 2 3 4 3 3 2 3 2 2" xfId="23360"/>
    <cellStyle name="Milliers 2 3 4 3 3 2 3 2 2 2" xfId="23361"/>
    <cellStyle name="Milliers 2 3 4 3 3 2 3 2 3" xfId="23362"/>
    <cellStyle name="Milliers 2 3 4 3 3 2 3 3" xfId="23363"/>
    <cellStyle name="Milliers 2 3 4 3 3 2 3 3 2" xfId="23364"/>
    <cellStyle name="Milliers 2 3 4 3 3 2 3 4" xfId="23365"/>
    <cellStyle name="Milliers 2 3 4 3 3 2 4" xfId="23366"/>
    <cellStyle name="Milliers 2 3 4 3 3 2 4 2" xfId="23367"/>
    <cellStyle name="Milliers 2 3 4 3 3 2 4 2 2" xfId="23368"/>
    <cellStyle name="Milliers 2 3 4 3 3 2 4 3" xfId="23369"/>
    <cellStyle name="Milliers 2 3 4 3 3 2 5" xfId="23370"/>
    <cellStyle name="Milliers 2 3 4 3 3 2 5 2" xfId="23371"/>
    <cellStyle name="Milliers 2 3 4 3 3 2 6" xfId="23372"/>
    <cellStyle name="Milliers 2 3 4 3 3 3" xfId="23373"/>
    <cellStyle name="Milliers 2 3 4 3 3 3 2" xfId="23374"/>
    <cellStyle name="Milliers 2 3 4 3 3 3 2 2" xfId="23375"/>
    <cellStyle name="Milliers 2 3 4 3 3 3 2 2 2" xfId="23376"/>
    <cellStyle name="Milliers 2 3 4 3 3 3 2 2 2 2" xfId="23377"/>
    <cellStyle name="Milliers 2 3 4 3 3 3 2 2 3" xfId="23378"/>
    <cellStyle name="Milliers 2 3 4 3 3 3 2 3" xfId="23379"/>
    <cellStyle name="Milliers 2 3 4 3 3 3 2 3 2" xfId="23380"/>
    <cellStyle name="Milliers 2 3 4 3 3 3 2 4" xfId="23381"/>
    <cellStyle name="Milliers 2 3 4 3 3 3 3" xfId="23382"/>
    <cellStyle name="Milliers 2 3 4 3 3 3 3 2" xfId="23383"/>
    <cellStyle name="Milliers 2 3 4 3 3 3 3 2 2" xfId="23384"/>
    <cellStyle name="Milliers 2 3 4 3 3 3 3 3" xfId="23385"/>
    <cellStyle name="Milliers 2 3 4 3 3 3 4" xfId="23386"/>
    <cellStyle name="Milliers 2 3 4 3 3 3 4 2" xfId="23387"/>
    <cellStyle name="Milliers 2 3 4 3 3 3 5" xfId="23388"/>
    <cellStyle name="Milliers 2 3 4 3 3 4" xfId="23389"/>
    <cellStyle name="Milliers 2 3 4 3 3 4 2" xfId="23390"/>
    <cellStyle name="Milliers 2 3 4 3 3 4 2 2" xfId="23391"/>
    <cellStyle name="Milliers 2 3 4 3 3 4 2 2 2" xfId="23392"/>
    <cellStyle name="Milliers 2 3 4 3 3 4 2 3" xfId="23393"/>
    <cellStyle name="Milliers 2 3 4 3 3 4 3" xfId="23394"/>
    <cellStyle name="Milliers 2 3 4 3 3 4 3 2" xfId="23395"/>
    <cellStyle name="Milliers 2 3 4 3 3 4 4" xfId="23396"/>
    <cellStyle name="Milliers 2 3 4 3 3 5" xfId="23397"/>
    <cellStyle name="Milliers 2 3 4 3 3 5 2" xfId="23398"/>
    <cellStyle name="Milliers 2 3 4 3 3 5 2 2" xfId="23399"/>
    <cellStyle name="Milliers 2 3 4 3 3 5 3" xfId="23400"/>
    <cellStyle name="Milliers 2 3 4 3 3 6" xfId="23401"/>
    <cellStyle name="Milliers 2 3 4 3 3 6 2" xfId="23402"/>
    <cellStyle name="Milliers 2 3 4 3 3 7" xfId="23403"/>
    <cellStyle name="Milliers 2 3 4 3 4" xfId="23404"/>
    <cellStyle name="Milliers 2 3 4 3 4 2" xfId="23405"/>
    <cellStyle name="Milliers 2 3 4 3 4 2 2" xfId="23406"/>
    <cellStyle name="Milliers 2 3 4 3 4 2 2 2" xfId="23407"/>
    <cellStyle name="Milliers 2 3 4 3 4 2 2 2 2" xfId="23408"/>
    <cellStyle name="Milliers 2 3 4 3 4 2 2 2 2 2" xfId="23409"/>
    <cellStyle name="Milliers 2 3 4 3 4 2 2 2 3" xfId="23410"/>
    <cellStyle name="Milliers 2 3 4 3 4 2 2 3" xfId="23411"/>
    <cellStyle name="Milliers 2 3 4 3 4 2 2 3 2" xfId="23412"/>
    <cellStyle name="Milliers 2 3 4 3 4 2 2 4" xfId="23413"/>
    <cellStyle name="Milliers 2 3 4 3 4 2 3" xfId="23414"/>
    <cellStyle name="Milliers 2 3 4 3 4 2 3 2" xfId="23415"/>
    <cellStyle name="Milliers 2 3 4 3 4 2 3 2 2" xfId="23416"/>
    <cellStyle name="Milliers 2 3 4 3 4 2 3 3" xfId="23417"/>
    <cellStyle name="Milliers 2 3 4 3 4 2 4" xfId="23418"/>
    <cellStyle name="Milliers 2 3 4 3 4 2 4 2" xfId="23419"/>
    <cellStyle name="Milliers 2 3 4 3 4 2 5" xfId="23420"/>
    <cellStyle name="Milliers 2 3 4 3 4 3" xfId="23421"/>
    <cellStyle name="Milliers 2 3 4 3 4 3 2" xfId="23422"/>
    <cellStyle name="Milliers 2 3 4 3 4 3 2 2" xfId="23423"/>
    <cellStyle name="Milliers 2 3 4 3 4 3 2 2 2" xfId="23424"/>
    <cellStyle name="Milliers 2 3 4 3 4 3 2 3" xfId="23425"/>
    <cellStyle name="Milliers 2 3 4 3 4 3 3" xfId="23426"/>
    <cellStyle name="Milliers 2 3 4 3 4 3 3 2" xfId="23427"/>
    <cellStyle name="Milliers 2 3 4 3 4 3 4" xfId="23428"/>
    <cellStyle name="Milliers 2 3 4 3 4 4" xfId="23429"/>
    <cellStyle name="Milliers 2 3 4 3 4 4 2" xfId="23430"/>
    <cellStyle name="Milliers 2 3 4 3 4 4 2 2" xfId="23431"/>
    <cellStyle name="Milliers 2 3 4 3 4 4 3" xfId="23432"/>
    <cellStyle name="Milliers 2 3 4 3 4 5" xfId="23433"/>
    <cellStyle name="Milliers 2 3 4 3 4 5 2" xfId="23434"/>
    <cellStyle name="Milliers 2 3 4 3 4 6" xfId="23435"/>
    <cellStyle name="Milliers 2 3 4 3 5" xfId="23436"/>
    <cellStyle name="Milliers 2 3 4 3 5 2" xfId="23437"/>
    <cellStyle name="Milliers 2 3 4 3 5 2 2" xfId="23438"/>
    <cellStyle name="Milliers 2 3 4 3 5 2 2 2" xfId="23439"/>
    <cellStyle name="Milliers 2 3 4 3 5 2 2 2 2" xfId="23440"/>
    <cellStyle name="Milliers 2 3 4 3 5 2 2 3" xfId="23441"/>
    <cellStyle name="Milliers 2 3 4 3 5 2 3" xfId="23442"/>
    <cellStyle name="Milliers 2 3 4 3 5 2 3 2" xfId="23443"/>
    <cellStyle name="Milliers 2 3 4 3 5 2 4" xfId="23444"/>
    <cellStyle name="Milliers 2 3 4 3 5 3" xfId="23445"/>
    <cellStyle name="Milliers 2 3 4 3 5 3 2" xfId="23446"/>
    <cellStyle name="Milliers 2 3 4 3 5 3 2 2" xfId="23447"/>
    <cellStyle name="Milliers 2 3 4 3 5 3 3" xfId="23448"/>
    <cellStyle name="Milliers 2 3 4 3 5 4" xfId="23449"/>
    <cellStyle name="Milliers 2 3 4 3 5 4 2" xfId="23450"/>
    <cellStyle name="Milliers 2 3 4 3 5 5" xfId="23451"/>
    <cellStyle name="Milliers 2 3 4 3 6" xfId="23452"/>
    <cellStyle name="Milliers 2 3 4 3 6 2" xfId="23453"/>
    <cellStyle name="Milliers 2 3 4 3 6 2 2" xfId="23454"/>
    <cellStyle name="Milliers 2 3 4 3 6 2 2 2" xfId="23455"/>
    <cellStyle name="Milliers 2 3 4 3 6 2 3" xfId="23456"/>
    <cellStyle name="Milliers 2 3 4 3 6 3" xfId="23457"/>
    <cellStyle name="Milliers 2 3 4 3 6 3 2" xfId="23458"/>
    <cellStyle name="Milliers 2 3 4 3 6 4" xfId="23459"/>
    <cellStyle name="Milliers 2 3 4 3 7" xfId="23460"/>
    <cellStyle name="Milliers 2 3 4 3 7 2" xfId="23461"/>
    <cellStyle name="Milliers 2 3 4 3 7 2 2" xfId="23462"/>
    <cellStyle name="Milliers 2 3 4 3 7 3" xfId="23463"/>
    <cellStyle name="Milliers 2 3 4 3 8" xfId="23464"/>
    <cellStyle name="Milliers 2 3 4 3 8 2" xfId="23465"/>
    <cellStyle name="Milliers 2 3 4 3 9" xfId="23466"/>
    <cellStyle name="Milliers 2 3 4 4" xfId="23467"/>
    <cellStyle name="Milliers 2 3 4 4 2" xfId="23468"/>
    <cellStyle name="Milliers 2 3 4 4 2 2" xfId="23469"/>
    <cellStyle name="Milliers 2 3 4 4 2 2 2" xfId="23470"/>
    <cellStyle name="Milliers 2 3 4 4 2 2 2 2" xfId="23471"/>
    <cellStyle name="Milliers 2 3 4 4 2 2 2 2 2" xfId="23472"/>
    <cellStyle name="Milliers 2 3 4 4 2 2 2 2 2 2" xfId="23473"/>
    <cellStyle name="Milliers 2 3 4 4 2 2 2 2 2 2 2" xfId="23474"/>
    <cellStyle name="Milliers 2 3 4 4 2 2 2 2 2 3" xfId="23475"/>
    <cellStyle name="Milliers 2 3 4 4 2 2 2 2 3" xfId="23476"/>
    <cellStyle name="Milliers 2 3 4 4 2 2 2 2 3 2" xfId="23477"/>
    <cellStyle name="Milliers 2 3 4 4 2 2 2 2 4" xfId="23478"/>
    <cellStyle name="Milliers 2 3 4 4 2 2 2 3" xfId="23479"/>
    <cellStyle name="Milliers 2 3 4 4 2 2 2 3 2" xfId="23480"/>
    <cellStyle name="Milliers 2 3 4 4 2 2 2 3 2 2" xfId="23481"/>
    <cellStyle name="Milliers 2 3 4 4 2 2 2 3 3" xfId="23482"/>
    <cellStyle name="Milliers 2 3 4 4 2 2 2 4" xfId="23483"/>
    <cellStyle name="Milliers 2 3 4 4 2 2 2 4 2" xfId="23484"/>
    <cellStyle name="Milliers 2 3 4 4 2 2 2 5" xfId="23485"/>
    <cellStyle name="Milliers 2 3 4 4 2 2 3" xfId="23486"/>
    <cellStyle name="Milliers 2 3 4 4 2 2 3 2" xfId="23487"/>
    <cellStyle name="Milliers 2 3 4 4 2 2 3 2 2" xfId="23488"/>
    <cellStyle name="Milliers 2 3 4 4 2 2 3 2 2 2" xfId="23489"/>
    <cellStyle name="Milliers 2 3 4 4 2 2 3 2 3" xfId="23490"/>
    <cellStyle name="Milliers 2 3 4 4 2 2 3 3" xfId="23491"/>
    <cellStyle name="Milliers 2 3 4 4 2 2 3 3 2" xfId="23492"/>
    <cellStyle name="Milliers 2 3 4 4 2 2 3 4" xfId="23493"/>
    <cellStyle name="Milliers 2 3 4 4 2 2 4" xfId="23494"/>
    <cellStyle name="Milliers 2 3 4 4 2 2 4 2" xfId="23495"/>
    <cellStyle name="Milliers 2 3 4 4 2 2 4 2 2" xfId="23496"/>
    <cellStyle name="Milliers 2 3 4 4 2 2 4 3" xfId="23497"/>
    <cellStyle name="Milliers 2 3 4 4 2 2 5" xfId="23498"/>
    <cellStyle name="Milliers 2 3 4 4 2 2 5 2" xfId="23499"/>
    <cellStyle name="Milliers 2 3 4 4 2 2 6" xfId="23500"/>
    <cellStyle name="Milliers 2 3 4 4 2 3" xfId="23501"/>
    <cellStyle name="Milliers 2 3 4 4 2 3 2" xfId="23502"/>
    <cellStyle name="Milliers 2 3 4 4 2 3 2 2" xfId="23503"/>
    <cellStyle name="Milliers 2 3 4 4 2 3 2 2 2" xfId="23504"/>
    <cellStyle name="Milliers 2 3 4 4 2 3 2 2 2 2" xfId="23505"/>
    <cellStyle name="Milliers 2 3 4 4 2 3 2 2 3" xfId="23506"/>
    <cellStyle name="Milliers 2 3 4 4 2 3 2 3" xfId="23507"/>
    <cellStyle name="Milliers 2 3 4 4 2 3 2 3 2" xfId="23508"/>
    <cellStyle name="Milliers 2 3 4 4 2 3 2 4" xfId="23509"/>
    <cellStyle name="Milliers 2 3 4 4 2 3 3" xfId="23510"/>
    <cellStyle name="Milliers 2 3 4 4 2 3 3 2" xfId="23511"/>
    <cellStyle name="Milliers 2 3 4 4 2 3 3 2 2" xfId="23512"/>
    <cellStyle name="Milliers 2 3 4 4 2 3 3 3" xfId="23513"/>
    <cellStyle name="Milliers 2 3 4 4 2 3 4" xfId="23514"/>
    <cellStyle name="Milliers 2 3 4 4 2 3 4 2" xfId="23515"/>
    <cellStyle name="Milliers 2 3 4 4 2 3 5" xfId="23516"/>
    <cellStyle name="Milliers 2 3 4 4 2 4" xfId="23517"/>
    <cellStyle name="Milliers 2 3 4 4 2 4 2" xfId="23518"/>
    <cellStyle name="Milliers 2 3 4 4 2 4 2 2" xfId="23519"/>
    <cellStyle name="Milliers 2 3 4 4 2 4 2 2 2" xfId="23520"/>
    <cellStyle name="Milliers 2 3 4 4 2 4 2 3" xfId="23521"/>
    <cellStyle name="Milliers 2 3 4 4 2 4 3" xfId="23522"/>
    <cellStyle name="Milliers 2 3 4 4 2 4 3 2" xfId="23523"/>
    <cellStyle name="Milliers 2 3 4 4 2 4 4" xfId="23524"/>
    <cellStyle name="Milliers 2 3 4 4 2 5" xfId="23525"/>
    <cellStyle name="Milliers 2 3 4 4 2 5 2" xfId="23526"/>
    <cellStyle name="Milliers 2 3 4 4 2 5 2 2" xfId="23527"/>
    <cellStyle name="Milliers 2 3 4 4 2 5 3" xfId="23528"/>
    <cellStyle name="Milliers 2 3 4 4 2 6" xfId="23529"/>
    <cellStyle name="Milliers 2 3 4 4 2 6 2" xfId="23530"/>
    <cellStyle name="Milliers 2 3 4 4 2 7" xfId="23531"/>
    <cellStyle name="Milliers 2 3 4 4 3" xfId="23532"/>
    <cellStyle name="Milliers 2 3 4 4 3 2" xfId="23533"/>
    <cellStyle name="Milliers 2 3 4 4 3 2 2" xfId="23534"/>
    <cellStyle name="Milliers 2 3 4 4 3 2 2 2" xfId="23535"/>
    <cellStyle name="Milliers 2 3 4 4 3 2 2 2 2" xfId="23536"/>
    <cellStyle name="Milliers 2 3 4 4 3 2 2 2 2 2" xfId="23537"/>
    <cellStyle name="Milliers 2 3 4 4 3 2 2 2 3" xfId="23538"/>
    <cellStyle name="Milliers 2 3 4 4 3 2 2 3" xfId="23539"/>
    <cellStyle name="Milliers 2 3 4 4 3 2 2 3 2" xfId="23540"/>
    <cellStyle name="Milliers 2 3 4 4 3 2 2 4" xfId="23541"/>
    <cellStyle name="Milliers 2 3 4 4 3 2 3" xfId="23542"/>
    <cellStyle name="Milliers 2 3 4 4 3 2 3 2" xfId="23543"/>
    <cellStyle name="Milliers 2 3 4 4 3 2 3 2 2" xfId="23544"/>
    <cellStyle name="Milliers 2 3 4 4 3 2 3 3" xfId="23545"/>
    <cellStyle name="Milliers 2 3 4 4 3 2 4" xfId="23546"/>
    <cellStyle name="Milliers 2 3 4 4 3 2 4 2" xfId="23547"/>
    <cellStyle name="Milliers 2 3 4 4 3 2 5" xfId="23548"/>
    <cellStyle name="Milliers 2 3 4 4 3 3" xfId="23549"/>
    <cellStyle name="Milliers 2 3 4 4 3 3 2" xfId="23550"/>
    <cellStyle name="Milliers 2 3 4 4 3 3 2 2" xfId="23551"/>
    <cellStyle name="Milliers 2 3 4 4 3 3 2 2 2" xfId="23552"/>
    <cellStyle name="Milliers 2 3 4 4 3 3 2 3" xfId="23553"/>
    <cellStyle name="Milliers 2 3 4 4 3 3 3" xfId="23554"/>
    <cellStyle name="Milliers 2 3 4 4 3 3 3 2" xfId="23555"/>
    <cellStyle name="Milliers 2 3 4 4 3 3 4" xfId="23556"/>
    <cellStyle name="Milliers 2 3 4 4 3 4" xfId="23557"/>
    <cellStyle name="Milliers 2 3 4 4 3 4 2" xfId="23558"/>
    <cellStyle name="Milliers 2 3 4 4 3 4 2 2" xfId="23559"/>
    <cellStyle name="Milliers 2 3 4 4 3 4 3" xfId="23560"/>
    <cellStyle name="Milliers 2 3 4 4 3 5" xfId="23561"/>
    <cellStyle name="Milliers 2 3 4 4 3 5 2" xfId="23562"/>
    <cellStyle name="Milliers 2 3 4 4 3 6" xfId="23563"/>
    <cellStyle name="Milliers 2 3 4 4 4" xfId="23564"/>
    <cellStyle name="Milliers 2 3 4 4 4 2" xfId="23565"/>
    <cellStyle name="Milliers 2 3 4 4 4 2 2" xfId="23566"/>
    <cellStyle name="Milliers 2 3 4 4 4 2 2 2" xfId="23567"/>
    <cellStyle name="Milliers 2 3 4 4 4 2 2 2 2" xfId="23568"/>
    <cellStyle name="Milliers 2 3 4 4 4 2 2 3" xfId="23569"/>
    <cellStyle name="Milliers 2 3 4 4 4 2 3" xfId="23570"/>
    <cellStyle name="Milliers 2 3 4 4 4 2 3 2" xfId="23571"/>
    <cellStyle name="Milliers 2 3 4 4 4 2 4" xfId="23572"/>
    <cellStyle name="Milliers 2 3 4 4 4 3" xfId="23573"/>
    <cellStyle name="Milliers 2 3 4 4 4 3 2" xfId="23574"/>
    <cellStyle name="Milliers 2 3 4 4 4 3 2 2" xfId="23575"/>
    <cellStyle name="Milliers 2 3 4 4 4 3 3" xfId="23576"/>
    <cellStyle name="Milliers 2 3 4 4 4 4" xfId="23577"/>
    <cellStyle name="Milliers 2 3 4 4 4 4 2" xfId="23578"/>
    <cellStyle name="Milliers 2 3 4 4 4 5" xfId="23579"/>
    <cellStyle name="Milliers 2 3 4 4 5" xfId="23580"/>
    <cellStyle name="Milliers 2 3 4 4 5 2" xfId="23581"/>
    <cellStyle name="Milliers 2 3 4 4 5 2 2" xfId="23582"/>
    <cellStyle name="Milliers 2 3 4 4 5 2 2 2" xfId="23583"/>
    <cellStyle name="Milliers 2 3 4 4 5 2 3" xfId="23584"/>
    <cellStyle name="Milliers 2 3 4 4 5 3" xfId="23585"/>
    <cellStyle name="Milliers 2 3 4 4 5 3 2" xfId="23586"/>
    <cellStyle name="Milliers 2 3 4 4 5 4" xfId="23587"/>
    <cellStyle name="Milliers 2 3 4 4 6" xfId="23588"/>
    <cellStyle name="Milliers 2 3 4 4 6 2" xfId="23589"/>
    <cellStyle name="Milliers 2 3 4 4 6 2 2" xfId="23590"/>
    <cellStyle name="Milliers 2 3 4 4 6 3" xfId="23591"/>
    <cellStyle name="Milliers 2 3 4 4 7" xfId="23592"/>
    <cellStyle name="Milliers 2 3 4 4 7 2" xfId="23593"/>
    <cellStyle name="Milliers 2 3 4 4 8" xfId="23594"/>
    <cellStyle name="Milliers 2 3 4 5" xfId="23595"/>
    <cellStyle name="Milliers 2 3 4 5 2" xfId="23596"/>
    <cellStyle name="Milliers 2 3 4 5 2 2" xfId="23597"/>
    <cellStyle name="Milliers 2 3 4 5 2 2 2" xfId="23598"/>
    <cellStyle name="Milliers 2 3 4 5 2 2 2 2" xfId="23599"/>
    <cellStyle name="Milliers 2 3 4 5 2 2 2 2 2" xfId="23600"/>
    <cellStyle name="Milliers 2 3 4 5 2 2 2 2 2 2" xfId="23601"/>
    <cellStyle name="Milliers 2 3 4 5 2 2 2 2 3" xfId="23602"/>
    <cellStyle name="Milliers 2 3 4 5 2 2 2 3" xfId="23603"/>
    <cellStyle name="Milliers 2 3 4 5 2 2 2 3 2" xfId="23604"/>
    <cellStyle name="Milliers 2 3 4 5 2 2 2 4" xfId="23605"/>
    <cellStyle name="Milliers 2 3 4 5 2 2 3" xfId="23606"/>
    <cellStyle name="Milliers 2 3 4 5 2 2 3 2" xfId="23607"/>
    <cellStyle name="Milliers 2 3 4 5 2 2 3 2 2" xfId="23608"/>
    <cellStyle name="Milliers 2 3 4 5 2 2 3 3" xfId="23609"/>
    <cellStyle name="Milliers 2 3 4 5 2 2 4" xfId="23610"/>
    <cellStyle name="Milliers 2 3 4 5 2 2 4 2" xfId="23611"/>
    <cellStyle name="Milliers 2 3 4 5 2 2 5" xfId="23612"/>
    <cellStyle name="Milliers 2 3 4 5 2 3" xfId="23613"/>
    <cellStyle name="Milliers 2 3 4 5 2 3 2" xfId="23614"/>
    <cellStyle name="Milliers 2 3 4 5 2 3 2 2" xfId="23615"/>
    <cellStyle name="Milliers 2 3 4 5 2 3 2 2 2" xfId="23616"/>
    <cellStyle name="Milliers 2 3 4 5 2 3 2 3" xfId="23617"/>
    <cellStyle name="Milliers 2 3 4 5 2 3 3" xfId="23618"/>
    <cellStyle name="Milliers 2 3 4 5 2 3 3 2" xfId="23619"/>
    <cellStyle name="Milliers 2 3 4 5 2 3 4" xfId="23620"/>
    <cellStyle name="Milliers 2 3 4 5 2 4" xfId="23621"/>
    <cellStyle name="Milliers 2 3 4 5 2 4 2" xfId="23622"/>
    <cellStyle name="Milliers 2 3 4 5 2 4 2 2" xfId="23623"/>
    <cellStyle name="Milliers 2 3 4 5 2 4 3" xfId="23624"/>
    <cellStyle name="Milliers 2 3 4 5 2 5" xfId="23625"/>
    <cellStyle name="Milliers 2 3 4 5 2 5 2" xfId="23626"/>
    <cellStyle name="Milliers 2 3 4 5 2 6" xfId="23627"/>
    <cellStyle name="Milliers 2 3 4 5 3" xfId="23628"/>
    <cellStyle name="Milliers 2 3 4 5 3 2" xfId="23629"/>
    <cellStyle name="Milliers 2 3 4 5 3 2 2" xfId="23630"/>
    <cellStyle name="Milliers 2 3 4 5 3 2 2 2" xfId="23631"/>
    <cellStyle name="Milliers 2 3 4 5 3 2 2 2 2" xfId="23632"/>
    <cellStyle name="Milliers 2 3 4 5 3 2 2 3" xfId="23633"/>
    <cellStyle name="Milliers 2 3 4 5 3 2 3" xfId="23634"/>
    <cellStyle name="Milliers 2 3 4 5 3 2 3 2" xfId="23635"/>
    <cellStyle name="Milliers 2 3 4 5 3 2 4" xfId="23636"/>
    <cellStyle name="Milliers 2 3 4 5 3 3" xfId="23637"/>
    <cellStyle name="Milliers 2 3 4 5 3 3 2" xfId="23638"/>
    <cellStyle name="Milliers 2 3 4 5 3 3 2 2" xfId="23639"/>
    <cellStyle name="Milliers 2 3 4 5 3 3 3" xfId="23640"/>
    <cellStyle name="Milliers 2 3 4 5 3 4" xfId="23641"/>
    <cellStyle name="Milliers 2 3 4 5 3 4 2" xfId="23642"/>
    <cellStyle name="Milliers 2 3 4 5 3 5" xfId="23643"/>
    <cellStyle name="Milliers 2 3 4 5 4" xfId="23644"/>
    <cellStyle name="Milliers 2 3 4 5 4 2" xfId="23645"/>
    <cellStyle name="Milliers 2 3 4 5 4 2 2" xfId="23646"/>
    <cellStyle name="Milliers 2 3 4 5 4 2 2 2" xfId="23647"/>
    <cellStyle name="Milliers 2 3 4 5 4 2 3" xfId="23648"/>
    <cellStyle name="Milliers 2 3 4 5 4 3" xfId="23649"/>
    <cellStyle name="Milliers 2 3 4 5 4 3 2" xfId="23650"/>
    <cellStyle name="Milliers 2 3 4 5 4 4" xfId="23651"/>
    <cellStyle name="Milliers 2 3 4 5 5" xfId="23652"/>
    <cellStyle name="Milliers 2 3 4 5 5 2" xfId="23653"/>
    <cellStyle name="Milliers 2 3 4 5 5 2 2" xfId="23654"/>
    <cellStyle name="Milliers 2 3 4 5 5 3" xfId="23655"/>
    <cellStyle name="Milliers 2 3 4 5 6" xfId="23656"/>
    <cellStyle name="Milliers 2 3 4 5 6 2" xfId="23657"/>
    <cellStyle name="Milliers 2 3 4 5 7" xfId="23658"/>
    <cellStyle name="Milliers 2 3 4 6" xfId="23659"/>
    <cellStyle name="Milliers 2 3 4 6 2" xfId="23660"/>
    <cellStyle name="Milliers 2 3 4 6 2 2" xfId="23661"/>
    <cellStyle name="Milliers 2 3 4 6 2 2 2" xfId="23662"/>
    <cellStyle name="Milliers 2 3 4 6 2 2 2 2" xfId="23663"/>
    <cellStyle name="Milliers 2 3 4 6 2 2 2 2 2" xfId="23664"/>
    <cellStyle name="Milliers 2 3 4 6 2 2 2 3" xfId="23665"/>
    <cellStyle name="Milliers 2 3 4 6 2 2 3" xfId="23666"/>
    <cellStyle name="Milliers 2 3 4 6 2 2 3 2" xfId="23667"/>
    <cellStyle name="Milliers 2 3 4 6 2 2 4" xfId="23668"/>
    <cellStyle name="Milliers 2 3 4 6 2 3" xfId="23669"/>
    <cellStyle name="Milliers 2 3 4 6 2 3 2" xfId="23670"/>
    <cellStyle name="Milliers 2 3 4 6 2 3 2 2" xfId="23671"/>
    <cellStyle name="Milliers 2 3 4 6 2 3 3" xfId="23672"/>
    <cellStyle name="Milliers 2 3 4 6 2 4" xfId="23673"/>
    <cellStyle name="Milliers 2 3 4 6 2 4 2" xfId="23674"/>
    <cellStyle name="Milliers 2 3 4 6 2 5" xfId="23675"/>
    <cellStyle name="Milliers 2 3 4 6 3" xfId="23676"/>
    <cellStyle name="Milliers 2 3 4 6 3 2" xfId="23677"/>
    <cellStyle name="Milliers 2 3 4 6 3 2 2" xfId="23678"/>
    <cellStyle name="Milliers 2 3 4 6 3 2 2 2" xfId="23679"/>
    <cellStyle name="Milliers 2 3 4 6 3 2 3" xfId="23680"/>
    <cellStyle name="Milliers 2 3 4 6 3 3" xfId="23681"/>
    <cellStyle name="Milliers 2 3 4 6 3 3 2" xfId="23682"/>
    <cellStyle name="Milliers 2 3 4 6 3 4" xfId="23683"/>
    <cellStyle name="Milliers 2 3 4 6 4" xfId="23684"/>
    <cellStyle name="Milliers 2 3 4 6 4 2" xfId="23685"/>
    <cellStyle name="Milliers 2 3 4 6 4 2 2" xfId="23686"/>
    <cellStyle name="Milliers 2 3 4 6 4 3" xfId="23687"/>
    <cellStyle name="Milliers 2 3 4 6 5" xfId="23688"/>
    <cellStyle name="Milliers 2 3 4 6 5 2" xfId="23689"/>
    <cellStyle name="Milliers 2 3 4 6 6" xfId="23690"/>
    <cellStyle name="Milliers 2 3 4 7" xfId="23691"/>
    <cellStyle name="Milliers 2 3 4 7 2" xfId="23692"/>
    <cellStyle name="Milliers 2 3 4 7 2 2" xfId="23693"/>
    <cellStyle name="Milliers 2 3 4 7 2 2 2" xfId="23694"/>
    <cellStyle name="Milliers 2 3 4 7 2 2 2 2" xfId="23695"/>
    <cellStyle name="Milliers 2 3 4 7 2 2 3" xfId="23696"/>
    <cellStyle name="Milliers 2 3 4 7 2 3" xfId="23697"/>
    <cellStyle name="Milliers 2 3 4 7 2 3 2" xfId="23698"/>
    <cellStyle name="Milliers 2 3 4 7 2 4" xfId="23699"/>
    <cellStyle name="Milliers 2 3 4 7 3" xfId="23700"/>
    <cellStyle name="Milliers 2 3 4 7 3 2" xfId="23701"/>
    <cellStyle name="Milliers 2 3 4 7 3 2 2" xfId="23702"/>
    <cellStyle name="Milliers 2 3 4 7 3 3" xfId="23703"/>
    <cellStyle name="Milliers 2 3 4 7 4" xfId="23704"/>
    <cellStyle name="Milliers 2 3 4 7 4 2" xfId="23705"/>
    <cellStyle name="Milliers 2 3 4 7 5" xfId="23706"/>
    <cellStyle name="Milliers 2 3 4 8" xfId="23707"/>
    <cellStyle name="Milliers 2 3 4 8 2" xfId="23708"/>
    <cellStyle name="Milliers 2 3 4 8 2 2" xfId="23709"/>
    <cellStyle name="Milliers 2 3 4 8 2 2 2" xfId="23710"/>
    <cellStyle name="Milliers 2 3 4 8 2 3" xfId="23711"/>
    <cellStyle name="Milliers 2 3 4 8 3" xfId="23712"/>
    <cellStyle name="Milliers 2 3 4 8 3 2" xfId="23713"/>
    <cellStyle name="Milliers 2 3 4 8 4" xfId="23714"/>
    <cellStyle name="Milliers 2 3 4 9" xfId="23715"/>
    <cellStyle name="Milliers 2 3 4 9 2" xfId="23716"/>
    <cellStyle name="Milliers 2 3 4 9 2 2" xfId="23717"/>
    <cellStyle name="Milliers 2 3 4 9 3" xfId="23718"/>
    <cellStyle name="Milliers 2 3 5" xfId="23719"/>
    <cellStyle name="Milliers 2 3 5 10" xfId="23720"/>
    <cellStyle name="Milliers 2 3 5 2" xfId="23721"/>
    <cellStyle name="Milliers 2 3 5 2 2" xfId="23722"/>
    <cellStyle name="Milliers 2 3 5 2 2 2" xfId="23723"/>
    <cellStyle name="Milliers 2 3 5 2 2 2 2" xfId="23724"/>
    <cellStyle name="Milliers 2 3 5 2 2 2 2 2" xfId="23725"/>
    <cellStyle name="Milliers 2 3 5 2 2 2 2 2 2" xfId="23726"/>
    <cellStyle name="Milliers 2 3 5 2 2 2 2 2 2 2" xfId="23727"/>
    <cellStyle name="Milliers 2 3 5 2 2 2 2 2 2 2 2" xfId="23728"/>
    <cellStyle name="Milliers 2 3 5 2 2 2 2 2 2 2 2 2" xfId="23729"/>
    <cellStyle name="Milliers 2 3 5 2 2 2 2 2 2 2 3" xfId="23730"/>
    <cellStyle name="Milliers 2 3 5 2 2 2 2 2 2 3" xfId="23731"/>
    <cellStyle name="Milliers 2 3 5 2 2 2 2 2 2 3 2" xfId="23732"/>
    <cellStyle name="Milliers 2 3 5 2 2 2 2 2 2 4" xfId="23733"/>
    <cellStyle name="Milliers 2 3 5 2 2 2 2 2 3" xfId="23734"/>
    <cellStyle name="Milliers 2 3 5 2 2 2 2 2 3 2" xfId="23735"/>
    <cellStyle name="Milliers 2 3 5 2 2 2 2 2 3 2 2" xfId="23736"/>
    <cellStyle name="Milliers 2 3 5 2 2 2 2 2 3 3" xfId="23737"/>
    <cellStyle name="Milliers 2 3 5 2 2 2 2 2 4" xfId="23738"/>
    <cellStyle name="Milliers 2 3 5 2 2 2 2 2 4 2" xfId="23739"/>
    <cellStyle name="Milliers 2 3 5 2 2 2 2 2 5" xfId="23740"/>
    <cellStyle name="Milliers 2 3 5 2 2 2 2 3" xfId="23741"/>
    <cellStyle name="Milliers 2 3 5 2 2 2 2 3 2" xfId="23742"/>
    <cellStyle name="Milliers 2 3 5 2 2 2 2 3 2 2" xfId="23743"/>
    <cellStyle name="Milliers 2 3 5 2 2 2 2 3 2 2 2" xfId="23744"/>
    <cellStyle name="Milliers 2 3 5 2 2 2 2 3 2 3" xfId="23745"/>
    <cellStyle name="Milliers 2 3 5 2 2 2 2 3 3" xfId="23746"/>
    <cellStyle name="Milliers 2 3 5 2 2 2 2 3 3 2" xfId="23747"/>
    <cellStyle name="Milliers 2 3 5 2 2 2 2 3 4" xfId="23748"/>
    <cellStyle name="Milliers 2 3 5 2 2 2 2 4" xfId="23749"/>
    <cellStyle name="Milliers 2 3 5 2 2 2 2 4 2" xfId="23750"/>
    <cellStyle name="Milliers 2 3 5 2 2 2 2 4 2 2" xfId="23751"/>
    <cellStyle name="Milliers 2 3 5 2 2 2 2 4 3" xfId="23752"/>
    <cellStyle name="Milliers 2 3 5 2 2 2 2 5" xfId="23753"/>
    <cellStyle name="Milliers 2 3 5 2 2 2 2 5 2" xfId="23754"/>
    <cellStyle name="Milliers 2 3 5 2 2 2 2 6" xfId="23755"/>
    <cellStyle name="Milliers 2 3 5 2 2 2 3" xfId="23756"/>
    <cellStyle name="Milliers 2 3 5 2 2 2 3 2" xfId="23757"/>
    <cellStyle name="Milliers 2 3 5 2 2 2 3 2 2" xfId="23758"/>
    <cellStyle name="Milliers 2 3 5 2 2 2 3 2 2 2" xfId="23759"/>
    <cellStyle name="Milliers 2 3 5 2 2 2 3 2 2 2 2" xfId="23760"/>
    <cellStyle name="Milliers 2 3 5 2 2 2 3 2 2 3" xfId="23761"/>
    <cellStyle name="Milliers 2 3 5 2 2 2 3 2 3" xfId="23762"/>
    <cellStyle name="Milliers 2 3 5 2 2 2 3 2 3 2" xfId="23763"/>
    <cellStyle name="Milliers 2 3 5 2 2 2 3 2 4" xfId="23764"/>
    <cellStyle name="Milliers 2 3 5 2 2 2 3 3" xfId="23765"/>
    <cellStyle name="Milliers 2 3 5 2 2 2 3 3 2" xfId="23766"/>
    <cellStyle name="Milliers 2 3 5 2 2 2 3 3 2 2" xfId="23767"/>
    <cellStyle name="Milliers 2 3 5 2 2 2 3 3 3" xfId="23768"/>
    <cellStyle name="Milliers 2 3 5 2 2 2 3 4" xfId="23769"/>
    <cellStyle name="Milliers 2 3 5 2 2 2 3 4 2" xfId="23770"/>
    <cellStyle name="Milliers 2 3 5 2 2 2 3 5" xfId="23771"/>
    <cellStyle name="Milliers 2 3 5 2 2 2 4" xfId="23772"/>
    <cellStyle name="Milliers 2 3 5 2 2 2 4 2" xfId="23773"/>
    <cellStyle name="Milliers 2 3 5 2 2 2 4 2 2" xfId="23774"/>
    <cellStyle name="Milliers 2 3 5 2 2 2 4 2 2 2" xfId="23775"/>
    <cellStyle name="Milliers 2 3 5 2 2 2 4 2 3" xfId="23776"/>
    <cellStyle name="Milliers 2 3 5 2 2 2 4 3" xfId="23777"/>
    <cellStyle name="Milliers 2 3 5 2 2 2 4 3 2" xfId="23778"/>
    <cellStyle name="Milliers 2 3 5 2 2 2 4 4" xfId="23779"/>
    <cellStyle name="Milliers 2 3 5 2 2 2 5" xfId="23780"/>
    <cellStyle name="Milliers 2 3 5 2 2 2 5 2" xfId="23781"/>
    <cellStyle name="Milliers 2 3 5 2 2 2 5 2 2" xfId="23782"/>
    <cellStyle name="Milliers 2 3 5 2 2 2 5 3" xfId="23783"/>
    <cellStyle name="Milliers 2 3 5 2 2 2 6" xfId="23784"/>
    <cellStyle name="Milliers 2 3 5 2 2 2 6 2" xfId="23785"/>
    <cellStyle name="Milliers 2 3 5 2 2 2 7" xfId="23786"/>
    <cellStyle name="Milliers 2 3 5 2 2 3" xfId="23787"/>
    <cellStyle name="Milliers 2 3 5 2 2 3 2" xfId="23788"/>
    <cellStyle name="Milliers 2 3 5 2 2 3 2 2" xfId="23789"/>
    <cellStyle name="Milliers 2 3 5 2 2 3 2 2 2" xfId="23790"/>
    <cellStyle name="Milliers 2 3 5 2 2 3 2 2 2 2" xfId="23791"/>
    <cellStyle name="Milliers 2 3 5 2 2 3 2 2 2 2 2" xfId="23792"/>
    <cellStyle name="Milliers 2 3 5 2 2 3 2 2 2 3" xfId="23793"/>
    <cellStyle name="Milliers 2 3 5 2 2 3 2 2 3" xfId="23794"/>
    <cellStyle name="Milliers 2 3 5 2 2 3 2 2 3 2" xfId="23795"/>
    <cellStyle name="Milliers 2 3 5 2 2 3 2 2 4" xfId="23796"/>
    <cellStyle name="Milliers 2 3 5 2 2 3 2 3" xfId="23797"/>
    <cellStyle name="Milliers 2 3 5 2 2 3 2 3 2" xfId="23798"/>
    <cellStyle name="Milliers 2 3 5 2 2 3 2 3 2 2" xfId="23799"/>
    <cellStyle name="Milliers 2 3 5 2 2 3 2 3 3" xfId="23800"/>
    <cellStyle name="Milliers 2 3 5 2 2 3 2 4" xfId="23801"/>
    <cellStyle name="Milliers 2 3 5 2 2 3 2 4 2" xfId="23802"/>
    <cellStyle name="Milliers 2 3 5 2 2 3 2 5" xfId="23803"/>
    <cellStyle name="Milliers 2 3 5 2 2 3 3" xfId="23804"/>
    <cellStyle name="Milliers 2 3 5 2 2 3 3 2" xfId="23805"/>
    <cellStyle name="Milliers 2 3 5 2 2 3 3 2 2" xfId="23806"/>
    <cellStyle name="Milliers 2 3 5 2 2 3 3 2 2 2" xfId="23807"/>
    <cellStyle name="Milliers 2 3 5 2 2 3 3 2 3" xfId="23808"/>
    <cellStyle name="Milliers 2 3 5 2 2 3 3 3" xfId="23809"/>
    <cellStyle name="Milliers 2 3 5 2 2 3 3 3 2" xfId="23810"/>
    <cellStyle name="Milliers 2 3 5 2 2 3 3 4" xfId="23811"/>
    <cellStyle name="Milliers 2 3 5 2 2 3 4" xfId="23812"/>
    <cellStyle name="Milliers 2 3 5 2 2 3 4 2" xfId="23813"/>
    <cellStyle name="Milliers 2 3 5 2 2 3 4 2 2" xfId="23814"/>
    <cellStyle name="Milliers 2 3 5 2 2 3 4 3" xfId="23815"/>
    <cellStyle name="Milliers 2 3 5 2 2 3 5" xfId="23816"/>
    <cellStyle name="Milliers 2 3 5 2 2 3 5 2" xfId="23817"/>
    <cellStyle name="Milliers 2 3 5 2 2 3 6" xfId="23818"/>
    <cellStyle name="Milliers 2 3 5 2 2 4" xfId="23819"/>
    <cellStyle name="Milliers 2 3 5 2 2 4 2" xfId="23820"/>
    <cellStyle name="Milliers 2 3 5 2 2 4 2 2" xfId="23821"/>
    <cellStyle name="Milliers 2 3 5 2 2 4 2 2 2" xfId="23822"/>
    <cellStyle name="Milliers 2 3 5 2 2 4 2 2 2 2" xfId="23823"/>
    <cellStyle name="Milliers 2 3 5 2 2 4 2 2 3" xfId="23824"/>
    <cellStyle name="Milliers 2 3 5 2 2 4 2 3" xfId="23825"/>
    <cellStyle name="Milliers 2 3 5 2 2 4 2 3 2" xfId="23826"/>
    <cellStyle name="Milliers 2 3 5 2 2 4 2 4" xfId="23827"/>
    <cellStyle name="Milliers 2 3 5 2 2 4 3" xfId="23828"/>
    <cellStyle name="Milliers 2 3 5 2 2 4 3 2" xfId="23829"/>
    <cellStyle name="Milliers 2 3 5 2 2 4 3 2 2" xfId="23830"/>
    <cellStyle name="Milliers 2 3 5 2 2 4 3 3" xfId="23831"/>
    <cellStyle name="Milliers 2 3 5 2 2 4 4" xfId="23832"/>
    <cellStyle name="Milliers 2 3 5 2 2 4 4 2" xfId="23833"/>
    <cellStyle name="Milliers 2 3 5 2 2 4 5" xfId="23834"/>
    <cellStyle name="Milliers 2 3 5 2 2 5" xfId="23835"/>
    <cellStyle name="Milliers 2 3 5 2 2 5 2" xfId="23836"/>
    <cellStyle name="Milliers 2 3 5 2 2 5 2 2" xfId="23837"/>
    <cellStyle name="Milliers 2 3 5 2 2 5 2 2 2" xfId="23838"/>
    <cellStyle name="Milliers 2 3 5 2 2 5 2 3" xfId="23839"/>
    <cellStyle name="Milliers 2 3 5 2 2 5 3" xfId="23840"/>
    <cellStyle name="Milliers 2 3 5 2 2 5 3 2" xfId="23841"/>
    <cellStyle name="Milliers 2 3 5 2 2 5 4" xfId="23842"/>
    <cellStyle name="Milliers 2 3 5 2 2 6" xfId="23843"/>
    <cellStyle name="Milliers 2 3 5 2 2 6 2" xfId="23844"/>
    <cellStyle name="Milliers 2 3 5 2 2 6 2 2" xfId="23845"/>
    <cellStyle name="Milliers 2 3 5 2 2 6 3" xfId="23846"/>
    <cellStyle name="Milliers 2 3 5 2 2 7" xfId="23847"/>
    <cellStyle name="Milliers 2 3 5 2 2 7 2" xfId="23848"/>
    <cellStyle name="Milliers 2 3 5 2 2 8" xfId="23849"/>
    <cellStyle name="Milliers 2 3 5 2 3" xfId="23850"/>
    <cellStyle name="Milliers 2 3 5 2 3 2" xfId="23851"/>
    <cellStyle name="Milliers 2 3 5 2 3 2 2" xfId="23852"/>
    <cellStyle name="Milliers 2 3 5 2 3 2 2 2" xfId="23853"/>
    <cellStyle name="Milliers 2 3 5 2 3 2 2 2 2" xfId="23854"/>
    <cellStyle name="Milliers 2 3 5 2 3 2 2 2 2 2" xfId="23855"/>
    <cellStyle name="Milliers 2 3 5 2 3 2 2 2 2 2 2" xfId="23856"/>
    <cellStyle name="Milliers 2 3 5 2 3 2 2 2 2 3" xfId="23857"/>
    <cellStyle name="Milliers 2 3 5 2 3 2 2 2 3" xfId="23858"/>
    <cellStyle name="Milliers 2 3 5 2 3 2 2 2 3 2" xfId="23859"/>
    <cellStyle name="Milliers 2 3 5 2 3 2 2 2 4" xfId="23860"/>
    <cellStyle name="Milliers 2 3 5 2 3 2 2 3" xfId="23861"/>
    <cellStyle name="Milliers 2 3 5 2 3 2 2 3 2" xfId="23862"/>
    <cellStyle name="Milliers 2 3 5 2 3 2 2 3 2 2" xfId="23863"/>
    <cellStyle name="Milliers 2 3 5 2 3 2 2 3 3" xfId="23864"/>
    <cellStyle name="Milliers 2 3 5 2 3 2 2 4" xfId="23865"/>
    <cellStyle name="Milliers 2 3 5 2 3 2 2 4 2" xfId="23866"/>
    <cellStyle name="Milliers 2 3 5 2 3 2 2 5" xfId="23867"/>
    <cellStyle name="Milliers 2 3 5 2 3 2 3" xfId="23868"/>
    <cellStyle name="Milliers 2 3 5 2 3 2 3 2" xfId="23869"/>
    <cellStyle name="Milliers 2 3 5 2 3 2 3 2 2" xfId="23870"/>
    <cellStyle name="Milliers 2 3 5 2 3 2 3 2 2 2" xfId="23871"/>
    <cellStyle name="Milliers 2 3 5 2 3 2 3 2 3" xfId="23872"/>
    <cellStyle name="Milliers 2 3 5 2 3 2 3 3" xfId="23873"/>
    <cellStyle name="Milliers 2 3 5 2 3 2 3 3 2" xfId="23874"/>
    <cellStyle name="Milliers 2 3 5 2 3 2 3 4" xfId="23875"/>
    <cellStyle name="Milliers 2 3 5 2 3 2 4" xfId="23876"/>
    <cellStyle name="Milliers 2 3 5 2 3 2 4 2" xfId="23877"/>
    <cellStyle name="Milliers 2 3 5 2 3 2 4 2 2" xfId="23878"/>
    <cellStyle name="Milliers 2 3 5 2 3 2 4 3" xfId="23879"/>
    <cellStyle name="Milliers 2 3 5 2 3 2 5" xfId="23880"/>
    <cellStyle name="Milliers 2 3 5 2 3 2 5 2" xfId="23881"/>
    <cellStyle name="Milliers 2 3 5 2 3 2 6" xfId="23882"/>
    <cellStyle name="Milliers 2 3 5 2 3 3" xfId="23883"/>
    <cellStyle name="Milliers 2 3 5 2 3 3 2" xfId="23884"/>
    <cellStyle name="Milliers 2 3 5 2 3 3 2 2" xfId="23885"/>
    <cellStyle name="Milliers 2 3 5 2 3 3 2 2 2" xfId="23886"/>
    <cellStyle name="Milliers 2 3 5 2 3 3 2 2 2 2" xfId="23887"/>
    <cellStyle name="Milliers 2 3 5 2 3 3 2 2 3" xfId="23888"/>
    <cellStyle name="Milliers 2 3 5 2 3 3 2 3" xfId="23889"/>
    <cellStyle name="Milliers 2 3 5 2 3 3 2 3 2" xfId="23890"/>
    <cellStyle name="Milliers 2 3 5 2 3 3 2 4" xfId="23891"/>
    <cellStyle name="Milliers 2 3 5 2 3 3 3" xfId="23892"/>
    <cellStyle name="Milliers 2 3 5 2 3 3 3 2" xfId="23893"/>
    <cellStyle name="Milliers 2 3 5 2 3 3 3 2 2" xfId="23894"/>
    <cellStyle name="Milliers 2 3 5 2 3 3 3 3" xfId="23895"/>
    <cellStyle name="Milliers 2 3 5 2 3 3 4" xfId="23896"/>
    <cellStyle name="Milliers 2 3 5 2 3 3 4 2" xfId="23897"/>
    <cellStyle name="Milliers 2 3 5 2 3 3 5" xfId="23898"/>
    <cellStyle name="Milliers 2 3 5 2 3 4" xfId="23899"/>
    <cellStyle name="Milliers 2 3 5 2 3 4 2" xfId="23900"/>
    <cellStyle name="Milliers 2 3 5 2 3 4 2 2" xfId="23901"/>
    <cellStyle name="Milliers 2 3 5 2 3 4 2 2 2" xfId="23902"/>
    <cellStyle name="Milliers 2 3 5 2 3 4 2 3" xfId="23903"/>
    <cellStyle name="Milliers 2 3 5 2 3 4 3" xfId="23904"/>
    <cellStyle name="Milliers 2 3 5 2 3 4 3 2" xfId="23905"/>
    <cellStyle name="Milliers 2 3 5 2 3 4 4" xfId="23906"/>
    <cellStyle name="Milliers 2 3 5 2 3 5" xfId="23907"/>
    <cellStyle name="Milliers 2 3 5 2 3 5 2" xfId="23908"/>
    <cellStyle name="Milliers 2 3 5 2 3 5 2 2" xfId="23909"/>
    <cellStyle name="Milliers 2 3 5 2 3 5 3" xfId="23910"/>
    <cellStyle name="Milliers 2 3 5 2 3 6" xfId="23911"/>
    <cellStyle name="Milliers 2 3 5 2 3 6 2" xfId="23912"/>
    <cellStyle name="Milliers 2 3 5 2 3 7" xfId="23913"/>
    <cellStyle name="Milliers 2 3 5 2 4" xfId="23914"/>
    <cellStyle name="Milliers 2 3 5 2 4 2" xfId="23915"/>
    <cellStyle name="Milliers 2 3 5 2 4 2 2" xfId="23916"/>
    <cellStyle name="Milliers 2 3 5 2 4 2 2 2" xfId="23917"/>
    <cellStyle name="Milliers 2 3 5 2 4 2 2 2 2" xfId="23918"/>
    <cellStyle name="Milliers 2 3 5 2 4 2 2 2 2 2" xfId="23919"/>
    <cellStyle name="Milliers 2 3 5 2 4 2 2 2 3" xfId="23920"/>
    <cellStyle name="Milliers 2 3 5 2 4 2 2 3" xfId="23921"/>
    <cellStyle name="Milliers 2 3 5 2 4 2 2 3 2" xfId="23922"/>
    <cellStyle name="Milliers 2 3 5 2 4 2 2 4" xfId="23923"/>
    <cellStyle name="Milliers 2 3 5 2 4 2 3" xfId="23924"/>
    <cellStyle name="Milliers 2 3 5 2 4 2 3 2" xfId="23925"/>
    <cellStyle name="Milliers 2 3 5 2 4 2 3 2 2" xfId="23926"/>
    <cellStyle name="Milliers 2 3 5 2 4 2 3 3" xfId="23927"/>
    <cellStyle name="Milliers 2 3 5 2 4 2 4" xfId="23928"/>
    <cellStyle name="Milliers 2 3 5 2 4 2 4 2" xfId="23929"/>
    <cellStyle name="Milliers 2 3 5 2 4 2 5" xfId="23930"/>
    <cellStyle name="Milliers 2 3 5 2 4 3" xfId="23931"/>
    <cellStyle name="Milliers 2 3 5 2 4 3 2" xfId="23932"/>
    <cellStyle name="Milliers 2 3 5 2 4 3 2 2" xfId="23933"/>
    <cellStyle name="Milliers 2 3 5 2 4 3 2 2 2" xfId="23934"/>
    <cellStyle name="Milliers 2 3 5 2 4 3 2 3" xfId="23935"/>
    <cellStyle name="Milliers 2 3 5 2 4 3 3" xfId="23936"/>
    <cellStyle name="Milliers 2 3 5 2 4 3 3 2" xfId="23937"/>
    <cellStyle name="Milliers 2 3 5 2 4 3 4" xfId="23938"/>
    <cellStyle name="Milliers 2 3 5 2 4 4" xfId="23939"/>
    <cellStyle name="Milliers 2 3 5 2 4 4 2" xfId="23940"/>
    <cellStyle name="Milliers 2 3 5 2 4 4 2 2" xfId="23941"/>
    <cellStyle name="Milliers 2 3 5 2 4 4 3" xfId="23942"/>
    <cellStyle name="Milliers 2 3 5 2 4 5" xfId="23943"/>
    <cellStyle name="Milliers 2 3 5 2 4 5 2" xfId="23944"/>
    <cellStyle name="Milliers 2 3 5 2 4 6" xfId="23945"/>
    <cellStyle name="Milliers 2 3 5 2 5" xfId="23946"/>
    <cellStyle name="Milliers 2 3 5 2 5 2" xfId="23947"/>
    <cellStyle name="Milliers 2 3 5 2 5 2 2" xfId="23948"/>
    <cellStyle name="Milliers 2 3 5 2 5 2 2 2" xfId="23949"/>
    <cellStyle name="Milliers 2 3 5 2 5 2 2 2 2" xfId="23950"/>
    <cellStyle name="Milliers 2 3 5 2 5 2 2 3" xfId="23951"/>
    <cellStyle name="Milliers 2 3 5 2 5 2 3" xfId="23952"/>
    <cellStyle name="Milliers 2 3 5 2 5 2 3 2" xfId="23953"/>
    <cellStyle name="Milliers 2 3 5 2 5 2 4" xfId="23954"/>
    <cellStyle name="Milliers 2 3 5 2 5 3" xfId="23955"/>
    <cellStyle name="Milliers 2 3 5 2 5 3 2" xfId="23956"/>
    <cellStyle name="Milliers 2 3 5 2 5 3 2 2" xfId="23957"/>
    <cellStyle name="Milliers 2 3 5 2 5 3 3" xfId="23958"/>
    <cellStyle name="Milliers 2 3 5 2 5 4" xfId="23959"/>
    <cellStyle name="Milliers 2 3 5 2 5 4 2" xfId="23960"/>
    <cellStyle name="Milliers 2 3 5 2 5 5" xfId="23961"/>
    <cellStyle name="Milliers 2 3 5 2 6" xfId="23962"/>
    <cellStyle name="Milliers 2 3 5 2 6 2" xfId="23963"/>
    <cellStyle name="Milliers 2 3 5 2 6 2 2" xfId="23964"/>
    <cellStyle name="Milliers 2 3 5 2 6 2 2 2" xfId="23965"/>
    <cellStyle name="Milliers 2 3 5 2 6 2 3" xfId="23966"/>
    <cellStyle name="Milliers 2 3 5 2 6 3" xfId="23967"/>
    <cellStyle name="Milliers 2 3 5 2 6 3 2" xfId="23968"/>
    <cellStyle name="Milliers 2 3 5 2 6 4" xfId="23969"/>
    <cellStyle name="Milliers 2 3 5 2 7" xfId="23970"/>
    <cellStyle name="Milliers 2 3 5 2 7 2" xfId="23971"/>
    <cellStyle name="Milliers 2 3 5 2 7 2 2" xfId="23972"/>
    <cellStyle name="Milliers 2 3 5 2 7 3" xfId="23973"/>
    <cellStyle name="Milliers 2 3 5 2 8" xfId="23974"/>
    <cellStyle name="Milliers 2 3 5 2 8 2" xfId="23975"/>
    <cellStyle name="Milliers 2 3 5 2 9" xfId="23976"/>
    <cellStyle name="Milliers 2 3 5 3" xfId="23977"/>
    <cellStyle name="Milliers 2 3 5 3 2" xfId="23978"/>
    <cellStyle name="Milliers 2 3 5 3 2 2" xfId="23979"/>
    <cellStyle name="Milliers 2 3 5 3 2 2 2" xfId="23980"/>
    <cellStyle name="Milliers 2 3 5 3 2 2 2 2" xfId="23981"/>
    <cellStyle name="Milliers 2 3 5 3 2 2 2 2 2" xfId="23982"/>
    <cellStyle name="Milliers 2 3 5 3 2 2 2 2 2 2" xfId="23983"/>
    <cellStyle name="Milliers 2 3 5 3 2 2 2 2 2 2 2" xfId="23984"/>
    <cellStyle name="Milliers 2 3 5 3 2 2 2 2 2 3" xfId="23985"/>
    <cellStyle name="Milliers 2 3 5 3 2 2 2 2 3" xfId="23986"/>
    <cellStyle name="Milliers 2 3 5 3 2 2 2 2 3 2" xfId="23987"/>
    <cellStyle name="Milliers 2 3 5 3 2 2 2 2 4" xfId="23988"/>
    <cellStyle name="Milliers 2 3 5 3 2 2 2 3" xfId="23989"/>
    <cellStyle name="Milliers 2 3 5 3 2 2 2 3 2" xfId="23990"/>
    <cellStyle name="Milliers 2 3 5 3 2 2 2 3 2 2" xfId="23991"/>
    <cellStyle name="Milliers 2 3 5 3 2 2 2 3 3" xfId="23992"/>
    <cellStyle name="Milliers 2 3 5 3 2 2 2 4" xfId="23993"/>
    <cellStyle name="Milliers 2 3 5 3 2 2 2 4 2" xfId="23994"/>
    <cellStyle name="Milliers 2 3 5 3 2 2 2 5" xfId="23995"/>
    <cellStyle name="Milliers 2 3 5 3 2 2 3" xfId="23996"/>
    <cellStyle name="Milliers 2 3 5 3 2 2 3 2" xfId="23997"/>
    <cellStyle name="Milliers 2 3 5 3 2 2 3 2 2" xfId="23998"/>
    <cellStyle name="Milliers 2 3 5 3 2 2 3 2 2 2" xfId="23999"/>
    <cellStyle name="Milliers 2 3 5 3 2 2 3 2 3" xfId="24000"/>
    <cellStyle name="Milliers 2 3 5 3 2 2 3 3" xfId="24001"/>
    <cellStyle name="Milliers 2 3 5 3 2 2 3 3 2" xfId="24002"/>
    <cellStyle name="Milliers 2 3 5 3 2 2 3 4" xfId="24003"/>
    <cellStyle name="Milliers 2 3 5 3 2 2 4" xfId="24004"/>
    <cellStyle name="Milliers 2 3 5 3 2 2 4 2" xfId="24005"/>
    <cellStyle name="Milliers 2 3 5 3 2 2 4 2 2" xfId="24006"/>
    <cellStyle name="Milliers 2 3 5 3 2 2 4 3" xfId="24007"/>
    <cellStyle name="Milliers 2 3 5 3 2 2 5" xfId="24008"/>
    <cellStyle name="Milliers 2 3 5 3 2 2 5 2" xfId="24009"/>
    <cellStyle name="Milliers 2 3 5 3 2 2 6" xfId="24010"/>
    <cellStyle name="Milliers 2 3 5 3 2 3" xfId="24011"/>
    <cellStyle name="Milliers 2 3 5 3 2 3 2" xfId="24012"/>
    <cellStyle name="Milliers 2 3 5 3 2 3 2 2" xfId="24013"/>
    <cellStyle name="Milliers 2 3 5 3 2 3 2 2 2" xfId="24014"/>
    <cellStyle name="Milliers 2 3 5 3 2 3 2 2 2 2" xfId="24015"/>
    <cellStyle name="Milliers 2 3 5 3 2 3 2 2 3" xfId="24016"/>
    <cellStyle name="Milliers 2 3 5 3 2 3 2 3" xfId="24017"/>
    <cellStyle name="Milliers 2 3 5 3 2 3 2 3 2" xfId="24018"/>
    <cellStyle name="Milliers 2 3 5 3 2 3 2 4" xfId="24019"/>
    <cellStyle name="Milliers 2 3 5 3 2 3 3" xfId="24020"/>
    <cellStyle name="Milliers 2 3 5 3 2 3 3 2" xfId="24021"/>
    <cellStyle name="Milliers 2 3 5 3 2 3 3 2 2" xfId="24022"/>
    <cellStyle name="Milliers 2 3 5 3 2 3 3 3" xfId="24023"/>
    <cellStyle name="Milliers 2 3 5 3 2 3 4" xfId="24024"/>
    <cellStyle name="Milliers 2 3 5 3 2 3 4 2" xfId="24025"/>
    <cellStyle name="Milliers 2 3 5 3 2 3 5" xfId="24026"/>
    <cellStyle name="Milliers 2 3 5 3 2 4" xfId="24027"/>
    <cellStyle name="Milliers 2 3 5 3 2 4 2" xfId="24028"/>
    <cellStyle name="Milliers 2 3 5 3 2 4 2 2" xfId="24029"/>
    <cellStyle name="Milliers 2 3 5 3 2 4 2 2 2" xfId="24030"/>
    <cellStyle name="Milliers 2 3 5 3 2 4 2 3" xfId="24031"/>
    <cellStyle name="Milliers 2 3 5 3 2 4 3" xfId="24032"/>
    <cellStyle name="Milliers 2 3 5 3 2 4 3 2" xfId="24033"/>
    <cellStyle name="Milliers 2 3 5 3 2 4 4" xfId="24034"/>
    <cellStyle name="Milliers 2 3 5 3 2 5" xfId="24035"/>
    <cellStyle name="Milliers 2 3 5 3 2 5 2" xfId="24036"/>
    <cellStyle name="Milliers 2 3 5 3 2 5 2 2" xfId="24037"/>
    <cellStyle name="Milliers 2 3 5 3 2 5 3" xfId="24038"/>
    <cellStyle name="Milliers 2 3 5 3 2 6" xfId="24039"/>
    <cellStyle name="Milliers 2 3 5 3 2 6 2" xfId="24040"/>
    <cellStyle name="Milliers 2 3 5 3 2 7" xfId="24041"/>
    <cellStyle name="Milliers 2 3 5 3 3" xfId="24042"/>
    <cellStyle name="Milliers 2 3 5 3 3 2" xfId="24043"/>
    <cellStyle name="Milliers 2 3 5 3 3 2 2" xfId="24044"/>
    <cellStyle name="Milliers 2 3 5 3 3 2 2 2" xfId="24045"/>
    <cellStyle name="Milliers 2 3 5 3 3 2 2 2 2" xfId="24046"/>
    <cellStyle name="Milliers 2 3 5 3 3 2 2 2 2 2" xfId="24047"/>
    <cellStyle name="Milliers 2 3 5 3 3 2 2 2 3" xfId="24048"/>
    <cellStyle name="Milliers 2 3 5 3 3 2 2 3" xfId="24049"/>
    <cellStyle name="Milliers 2 3 5 3 3 2 2 3 2" xfId="24050"/>
    <cellStyle name="Milliers 2 3 5 3 3 2 2 4" xfId="24051"/>
    <cellStyle name="Milliers 2 3 5 3 3 2 3" xfId="24052"/>
    <cellStyle name="Milliers 2 3 5 3 3 2 3 2" xfId="24053"/>
    <cellStyle name="Milliers 2 3 5 3 3 2 3 2 2" xfId="24054"/>
    <cellStyle name="Milliers 2 3 5 3 3 2 3 3" xfId="24055"/>
    <cellStyle name="Milliers 2 3 5 3 3 2 4" xfId="24056"/>
    <cellStyle name="Milliers 2 3 5 3 3 2 4 2" xfId="24057"/>
    <cellStyle name="Milliers 2 3 5 3 3 2 5" xfId="24058"/>
    <cellStyle name="Milliers 2 3 5 3 3 3" xfId="24059"/>
    <cellStyle name="Milliers 2 3 5 3 3 3 2" xfId="24060"/>
    <cellStyle name="Milliers 2 3 5 3 3 3 2 2" xfId="24061"/>
    <cellStyle name="Milliers 2 3 5 3 3 3 2 2 2" xfId="24062"/>
    <cellStyle name="Milliers 2 3 5 3 3 3 2 3" xfId="24063"/>
    <cellStyle name="Milliers 2 3 5 3 3 3 3" xfId="24064"/>
    <cellStyle name="Milliers 2 3 5 3 3 3 3 2" xfId="24065"/>
    <cellStyle name="Milliers 2 3 5 3 3 3 4" xfId="24066"/>
    <cellStyle name="Milliers 2 3 5 3 3 4" xfId="24067"/>
    <cellStyle name="Milliers 2 3 5 3 3 4 2" xfId="24068"/>
    <cellStyle name="Milliers 2 3 5 3 3 4 2 2" xfId="24069"/>
    <cellStyle name="Milliers 2 3 5 3 3 4 3" xfId="24070"/>
    <cellStyle name="Milliers 2 3 5 3 3 5" xfId="24071"/>
    <cellStyle name="Milliers 2 3 5 3 3 5 2" xfId="24072"/>
    <cellStyle name="Milliers 2 3 5 3 3 6" xfId="24073"/>
    <cellStyle name="Milliers 2 3 5 3 4" xfId="24074"/>
    <cellStyle name="Milliers 2 3 5 3 4 2" xfId="24075"/>
    <cellStyle name="Milliers 2 3 5 3 4 2 2" xfId="24076"/>
    <cellStyle name="Milliers 2 3 5 3 4 2 2 2" xfId="24077"/>
    <cellStyle name="Milliers 2 3 5 3 4 2 2 2 2" xfId="24078"/>
    <cellStyle name="Milliers 2 3 5 3 4 2 2 3" xfId="24079"/>
    <cellStyle name="Milliers 2 3 5 3 4 2 3" xfId="24080"/>
    <cellStyle name="Milliers 2 3 5 3 4 2 3 2" xfId="24081"/>
    <cellStyle name="Milliers 2 3 5 3 4 2 4" xfId="24082"/>
    <cellStyle name="Milliers 2 3 5 3 4 3" xfId="24083"/>
    <cellStyle name="Milliers 2 3 5 3 4 3 2" xfId="24084"/>
    <cellStyle name="Milliers 2 3 5 3 4 3 2 2" xfId="24085"/>
    <cellStyle name="Milliers 2 3 5 3 4 3 3" xfId="24086"/>
    <cellStyle name="Milliers 2 3 5 3 4 4" xfId="24087"/>
    <cellStyle name="Milliers 2 3 5 3 4 4 2" xfId="24088"/>
    <cellStyle name="Milliers 2 3 5 3 4 5" xfId="24089"/>
    <cellStyle name="Milliers 2 3 5 3 5" xfId="24090"/>
    <cellStyle name="Milliers 2 3 5 3 5 2" xfId="24091"/>
    <cellStyle name="Milliers 2 3 5 3 5 2 2" xfId="24092"/>
    <cellStyle name="Milliers 2 3 5 3 5 2 2 2" xfId="24093"/>
    <cellStyle name="Milliers 2 3 5 3 5 2 3" xfId="24094"/>
    <cellStyle name="Milliers 2 3 5 3 5 3" xfId="24095"/>
    <cellStyle name="Milliers 2 3 5 3 5 3 2" xfId="24096"/>
    <cellStyle name="Milliers 2 3 5 3 5 4" xfId="24097"/>
    <cellStyle name="Milliers 2 3 5 3 6" xfId="24098"/>
    <cellStyle name="Milliers 2 3 5 3 6 2" xfId="24099"/>
    <cellStyle name="Milliers 2 3 5 3 6 2 2" xfId="24100"/>
    <cellStyle name="Milliers 2 3 5 3 6 3" xfId="24101"/>
    <cellStyle name="Milliers 2 3 5 3 7" xfId="24102"/>
    <cellStyle name="Milliers 2 3 5 3 7 2" xfId="24103"/>
    <cellStyle name="Milliers 2 3 5 3 8" xfId="24104"/>
    <cellStyle name="Milliers 2 3 5 4" xfId="24105"/>
    <cellStyle name="Milliers 2 3 5 4 2" xfId="24106"/>
    <cellStyle name="Milliers 2 3 5 4 2 2" xfId="24107"/>
    <cellStyle name="Milliers 2 3 5 4 2 2 2" xfId="24108"/>
    <cellStyle name="Milliers 2 3 5 4 2 2 2 2" xfId="24109"/>
    <cellStyle name="Milliers 2 3 5 4 2 2 2 2 2" xfId="24110"/>
    <cellStyle name="Milliers 2 3 5 4 2 2 2 2 2 2" xfId="24111"/>
    <cellStyle name="Milliers 2 3 5 4 2 2 2 2 3" xfId="24112"/>
    <cellStyle name="Milliers 2 3 5 4 2 2 2 3" xfId="24113"/>
    <cellStyle name="Milliers 2 3 5 4 2 2 2 3 2" xfId="24114"/>
    <cellStyle name="Milliers 2 3 5 4 2 2 2 4" xfId="24115"/>
    <cellStyle name="Milliers 2 3 5 4 2 2 3" xfId="24116"/>
    <cellStyle name="Milliers 2 3 5 4 2 2 3 2" xfId="24117"/>
    <cellStyle name="Milliers 2 3 5 4 2 2 3 2 2" xfId="24118"/>
    <cellStyle name="Milliers 2 3 5 4 2 2 3 3" xfId="24119"/>
    <cellStyle name="Milliers 2 3 5 4 2 2 4" xfId="24120"/>
    <cellStyle name="Milliers 2 3 5 4 2 2 4 2" xfId="24121"/>
    <cellStyle name="Milliers 2 3 5 4 2 2 5" xfId="24122"/>
    <cellStyle name="Milliers 2 3 5 4 2 3" xfId="24123"/>
    <cellStyle name="Milliers 2 3 5 4 2 3 2" xfId="24124"/>
    <cellStyle name="Milliers 2 3 5 4 2 3 2 2" xfId="24125"/>
    <cellStyle name="Milliers 2 3 5 4 2 3 2 2 2" xfId="24126"/>
    <cellStyle name="Milliers 2 3 5 4 2 3 2 3" xfId="24127"/>
    <cellStyle name="Milliers 2 3 5 4 2 3 3" xfId="24128"/>
    <cellStyle name="Milliers 2 3 5 4 2 3 3 2" xfId="24129"/>
    <cellStyle name="Milliers 2 3 5 4 2 3 4" xfId="24130"/>
    <cellStyle name="Milliers 2 3 5 4 2 4" xfId="24131"/>
    <cellStyle name="Milliers 2 3 5 4 2 4 2" xfId="24132"/>
    <cellStyle name="Milliers 2 3 5 4 2 4 2 2" xfId="24133"/>
    <cellStyle name="Milliers 2 3 5 4 2 4 3" xfId="24134"/>
    <cellStyle name="Milliers 2 3 5 4 2 5" xfId="24135"/>
    <cellStyle name="Milliers 2 3 5 4 2 5 2" xfId="24136"/>
    <cellStyle name="Milliers 2 3 5 4 2 6" xfId="24137"/>
    <cellStyle name="Milliers 2 3 5 4 3" xfId="24138"/>
    <cellStyle name="Milliers 2 3 5 4 3 2" xfId="24139"/>
    <cellStyle name="Milliers 2 3 5 4 3 2 2" xfId="24140"/>
    <cellStyle name="Milliers 2 3 5 4 3 2 2 2" xfId="24141"/>
    <cellStyle name="Milliers 2 3 5 4 3 2 2 2 2" xfId="24142"/>
    <cellStyle name="Milliers 2 3 5 4 3 2 2 3" xfId="24143"/>
    <cellStyle name="Milliers 2 3 5 4 3 2 3" xfId="24144"/>
    <cellStyle name="Milliers 2 3 5 4 3 2 3 2" xfId="24145"/>
    <cellStyle name="Milliers 2 3 5 4 3 2 4" xfId="24146"/>
    <cellStyle name="Milliers 2 3 5 4 3 3" xfId="24147"/>
    <cellStyle name="Milliers 2 3 5 4 3 3 2" xfId="24148"/>
    <cellStyle name="Milliers 2 3 5 4 3 3 2 2" xfId="24149"/>
    <cellStyle name="Milliers 2 3 5 4 3 3 3" xfId="24150"/>
    <cellStyle name="Milliers 2 3 5 4 3 4" xfId="24151"/>
    <cellStyle name="Milliers 2 3 5 4 3 4 2" xfId="24152"/>
    <cellStyle name="Milliers 2 3 5 4 3 5" xfId="24153"/>
    <cellStyle name="Milliers 2 3 5 4 4" xfId="24154"/>
    <cellStyle name="Milliers 2 3 5 4 4 2" xfId="24155"/>
    <cellStyle name="Milliers 2 3 5 4 4 2 2" xfId="24156"/>
    <cellStyle name="Milliers 2 3 5 4 4 2 2 2" xfId="24157"/>
    <cellStyle name="Milliers 2 3 5 4 4 2 3" xfId="24158"/>
    <cellStyle name="Milliers 2 3 5 4 4 3" xfId="24159"/>
    <cellStyle name="Milliers 2 3 5 4 4 3 2" xfId="24160"/>
    <cellStyle name="Milliers 2 3 5 4 4 4" xfId="24161"/>
    <cellStyle name="Milliers 2 3 5 4 5" xfId="24162"/>
    <cellStyle name="Milliers 2 3 5 4 5 2" xfId="24163"/>
    <cellStyle name="Milliers 2 3 5 4 5 2 2" xfId="24164"/>
    <cellStyle name="Milliers 2 3 5 4 5 3" xfId="24165"/>
    <cellStyle name="Milliers 2 3 5 4 6" xfId="24166"/>
    <cellStyle name="Milliers 2 3 5 4 6 2" xfId="24167"/>
    <cellStyle name="Milliers 2 3 5 4 7" xfId="24168"/>
    <cellStyle name="Milliers 2 3 5 5" xfId="24169"/>
    <cellStyle name="Milliers 2 3 5 5 2" xfId="24170"/>
    <cellStyle name="Milliers 2 3 5 5 2 2" xfId="24171"/>
    <cellStyle name="Milliers 2 3 5 5 2 2 2" xfId="24172"/>
    <cellStyle name="Milliers 2 3 5 5 2 2 2 2" xfId="24173"/>
    <cellStyle name="Milliers 2 3 5 5 2 2 2 2 2" xfId="24174"/>
    <cellStyle name="Milliers 2 3 5 5 2 2 2 3" xfId="24175"/>
    <cellStyle name="Milliers 2 3 5 5 2 2 3" xfId="24176"/>
    <cellStyle name="Milliers 2 3 5 5 2 2 3 2" xfId="24177"/>
    <cellStyle name="Milliers 2 3 5 5 2 2 4" xfId="24178"/>
    <cellStyle name="Milliers 2 3 5 5 2 3" xfId="24179"/>
    <cellStyle name="Milliers 2 3 5 5 2 3 2" xfId="24180"/>
    <cellStyle name="Milliers 2 3 5 5 2 3 2 2" xfId="24181"/>
    <cellStyle name="Milliers 2 3 5 5 2 3 3" xfId="24182"/>
    <cellStyle name="Milliers 2 3 5 5 2 4" xfId="24183"/>
    <cellStyle name="Milliers 2 3 5 5 2 4 2" xfId="24184"/>
    <cellStyle name="Milliers 2 3 5 5 2 5" xfId="24185"/>
    <cellStyle name="Milliers 2 3 5 5 3" xfId="24186"/>
    <cellStyle name="Milliers 2 3 5 5 3 2" xfId="24187"/>
    <cellStyle name="Milliers 2 3 5 5 3 2 2" xfId="24188"/>
    <cellStyle name="Milliers 2 3 5 5 3 2 2 2" xfId="24189"/>
    <cellStyle name="Milliers 2 3 5 5 3 2 3" xfId="24190"/>
    <cellStyle name="Milliers 2 3 5 5 3 3" xfId="24191"/>
    <cellStyle name="Milliers 2 3 5 5 3 3 2" xfId="24192"/>
    <cellStyle name="Milliers 2 3 5 5 3 4" xfId="24193"/>
    <cellStyle name="Milliers 2 3 5 5 4" xfId="24194"/>
    <cellStyle name="Milliers 2 3 5 5 4 2" xfId="24195"/>
    <cellStyle name="Milliers 2 3 5 5 4 2 2" xfId="24196"/>
    <cellStyle name="Milliers 2 3 5 5 4 3" xfId="24197"/>
    <cellStyle name="Milliers 2 3 5 5 5" xfId="24198"/>
    <cellStyle name="Milliers 2 3 5 5 5 2" xfId="24199"/>
    <cellStyle name="Milliers 2 3 5 5 6" xfId="24200"/>
    <cellStyle name="Milliers 2 3 5 6" xfId="24201"/>
    <cellStyle name="Milliers 2 3 5 6 2" xfId="24202"/>
    <cellStyle name="Milliers 2 3 5 6 2 2" xfId="24203"/>
    <cellStyle name="Milliers 2 3 5 6 2 2 2" xfId="24204"/>
    <cellStyle name="Milliers 2 3 5 6 2 2 2 2" xfId="24205"/>
    <cellStyle name="Milliers 2 3 5 6 2 2 3" xfId="24206"/>
    <cellStyle name="Milliers 2 3 5 6 2 3" xfId="24207"/>
    <cellStyle name="Milliers 2 3 5 6 2 3 2" xfId="24208"/>
    <cellStyle name="Milliers 2 3 5 6 2 4" xfId="24209"/>
    <cellStyle name="Milliers 2 3 5 6 3" xfId="24210"/>
    <cellStyle name="Milliers 2 3 5 6 3 2" xfId="24211"/>
    <cellStyle name="Milliers 2 3 5 6 3 2 2" xfId="24212"/>
    <cellStyle name="Milliers 2 3 5 6 3 3" xfId="24213"/>
    <cellStyle name="Milliers 2 3 5 6 4" xfId="24214"/>
    <cellStyle name="Milliers 2 3 5 6 4 2" xfId="24215"/>
    <cellStyle name="Milliers 2 3 5 6 5" xfId="24216"/>
    <cellStyle name="Milliers 2 3 5 7" xfId="24217"/>
    <cellStyle name="Milliers 2 3 5 7 2" xfId="24218"/>
    <cellStyle name="Milliers 2 3 5 7 2 2" xfId="24219"/>
    <cellStyle name="Milliers 2 3 5 7 2 2 2" xfId="24220"/>
    <cellStyle name="Milliers 2 3 5 7 2 3" xfId="24221"/>
    <cellStyle name="Milliers 2 3 5 7 3" xfId="24222"/>
    <cellStyle name="Milliers 2 3 5 7 3 2" xfId="24223"/>
    <cellStyle name="Milliers 2 3 5 7 4" xfId="24224"/>
    <cellStyle name="Milliers 2 3 5 8" xfId="24225"/>
    <cellStyle name="Milliers 2 3 5 8 2" xfId="24226"/>
    <cellStyle name="Milliers 2 3 5 8 2 2" xfId="24227"/>
    <cellStyle name="Milliers 2 3 5 8 3" xfId="24228"/>
    <cellStyle name="Milliers 2 3 5 9" xfId="24229"/>
    <cellStyle name="Milliers 2 3 5 9 2" xfId="24230"/>
    <cellStyle name="Milliers 2 3 6" xfId="24231"/>
    <cellStyle name="Milliers 2 3 6 2" xfId="24232"/>
    <cellStyle name="Milliers 2 3 6 2 2" xfId="24233"/>
    <cellStyle name="Milliers 2 3 6 2 2 2" xfId="24234"/>
    <cellStyle name="Milliers 2 3 6 2 2 2 2" xfId="24235"/>
    <cellStyle name="Milliers 2 3 6 2 2 2 2 2" xfId="24236"/>
    <cellStyle name="Milliers 2 3 6 2 2 2 2 2 2" xfId="24237"/>
    <cellStyle name="Milliers 2 3 6 2 2 2 2 2 2 2" xfId="24238"/>
    <cellStyle name="Milliers 2 3 6 2 2 2 2 2 2 2 2" xfId="24239"/>
    <cellStyle name="Milliers 2 3 6 2 2 2 2 2 2 3" xfId="24240"/>
    <cellStyle name="Milliers 2 3 6 2 2 2 2 2 3" xfId="24241"/>
    <cellStyle name="Milliers 2 3 6 2 2 2 2 2 3 2" xfId="24242"/>
    <cellStyle name="Milliers 2 3 6 2 2 2 2 2 4" xfId="24243"/>
    <cellStyle name="Milliers 2 3 6 2 2 2 2 3" xfId="24244"/>
    <cellStyle name="Milliers 2 3 6 2 2 2 2 3 2" xfId="24245"/>
    <cellStyle name="Milliers 2 3 6 2 2 2 2 3 2 2" xfId="24246"/>
    <cellStyle name="Milliers 2 3 6 2 2 2 2 3 3" xfId="24247"/>
    <cellStyle name="Milliers 2 3 6 2 2 2 2 4" xfId="24248"/>
    <cellStyle name="Milliers 2 3 6 2 2 2 2 4 2" xfId="24249"/>
    <cellStyle name="Milliers 2 3 6 2 2 2 2 5" xfId="24250"/>
    <cellStyle name="Milliers 2 3 6 2 2 2 3" xfId="24251"/>
    <cellStyle name="Milliers 2 3 6 2 2 2 3 2" xfId="24252"/>
    <cellStyle name="Milliers 2 3 6 2 2 2 3 2 2" xfId="24253"/>
    <cellStyle name="Milliers 2 3 6 2 2 2 3 2 2 2" xfId="24254"/>
    <cellStyle name="Milliers 2 3 6 2 2 2 3 2 3" xfId="24255"/>
    <cellStyle name="Milliers 2 3 6 2 2 2 3 3" xfId="24256"/>
    <cellStyle name="Milliers 2 3 6 2 2 2 3 3 2" xfId="24257"/>
    <cellStyle name="Milliers 2 3 6 2 2 2 3 4" xfId="24258"/>
    <cellStyle name="Milliers 2 3 6 2 2 2 4" xfId="24259"/>
    <cellStyle name="Milliers 2 3 6 2 2 2 4 2" xfId="24260"/>
    <cellStyle name="Milliers 2 3 6 2 2 2 4 2 2" xfId="24261"/>
    <cellStyle name="Milliers 2 3 6 2 2 2 4 3" xfId="24262"/>
    <cellStyle name="Milliers 2 3 6 2 2 2 5" xfId="24263"/>
    <cellStyle name="Milliers 2 3 6 2 2 2 5 2" xfId="24264"/>
    <cellStyle name="Milliers 2 3 6 2 2 2 6" xfId="24265"/>
    <cellStyle name="Milliers 2 3 6 2 2 3" xfId="24266"/>
    <cellStyle name="Milliers 2 3 6 2 2 3 2" xfId="24267"/>
    <cellStyle name="Milliers 2 3 6 2 2 3 2 2" xfId="24268"/>
    <cellStyle name="Milliers 2 3 6 2 2 3 2 2 2" xfId="24269"/>
    <cellStyle name="Milliers 2 3 6 2 2 3 2 2 2 2" xfId="24270"/>
    <cellStyle name="Milliers 2 3 6 2 2 3 2 2 3" xfId="24271"/>
    <cellStyle name="Milliers 2 3 6 2 2 3 2 3" xfId="24272"/>
    <cellStyle name="Milliers 2 3 6 2 2 3 2 3 2" xfId="24273"/>
    <cellStyle name="Milliers 2 3 6 2 2 3 2 4" xfId="24274"/>
    <cellStyle name="Milliers 2 3 6 2 2 3 3" xfId="24275"/>
    <cellStyle name="Milliers 2 3 6 2 2 3 3 2" xfId="24276"/>
    <cellStyle name="Milliers 2 3 6 2 2 3 3 2 2" xfId="24277"/>
    <cellStyle name="Milliers 2 3 6 2 2 3 3 3" xfId="24278"/>
    <cellStyle name="Milliers 2 3 6 2 2 3 4" xfId="24279"/>
    <cellStyle name="Milliers 2 3 6 2 2 3 4 2" xfId="24280"/>
    <cellStyle name="Milliers 2 3 6 2 2 3 5" xfId="24281"/>
    <cellStyle name="Milliers 2 3 6 2 2 4" xfId="24282"/>
    <cellStyle name="Milliers 2 3 6 2 2 4 2" xfId="24283"/>
    <cellStyle name="Milliers 2 3 6 2 2 4 2 2" xfId="24284"/>
    <cellStyle name="Milliers 2 3 6 2 2 4 2 2 2" xfId="24285"/>
    <cellStyle name="Milliers 2 3 6 2 2 4 2 3" xfId="24286"/>
    <cellStyle name="Milliers 2 3 6 2 2 4 3" xfId="24287"/>
    <cellStyle name="Milliers 2 3 6 2 2 4 3 2" xfId="24288"/>
    <cellStyle name="Milliers 2 3 6 2 2 4 4" xfId="24289"/>
    <cellStyle name="Milliers 2 3 6 2 2 5" xfId="24290"/>
    <cellStyle name="Milliers 2 3 6 2 2 5 2" xfId="24291"/>
    <cellStyle name="Milliers 2 3 6 2 2 5 2 2" xfId="24292"/>
    <cellStyle name="Milliers 2 3 6 2 2 5 3" xfId="24293"/>
    <cellStyle name="Milliers 2 3 6 2 2 6" xfId="24294"/>
    <cellStyle name="Milliers 2 3 6 2 2 6 2" xfId="24295"/>
    <cellStyle name="Milliers 2 3 6 2 2 7" xfId="24296"/>
    <cellStyle name="Milliers 2 3 6 2 3" xfId="24297"/>
    <cellStyle name="Milliers 2 3 6 2 3 2" xfId="24298"/>
    <cellStyle name="Milliers 2 3 6 2 3 2 2" xfId="24299"/>
    <cellStyle name="Milliers 2 3 6 2 3 2 2 2" xfId="24300"/>
    <cellStyle name="Milliers 2 3 6 2 3 2 2 2 2" xfId="24301"/>
    <cellStyle name="Milliers 2 3 6 2 3 2 2 2 2 2" xfId="24302"/>
    <cellStyle name="Milliers 2 3 6 2 3 2 2 2 3" xfId="24303"/>
    <cellStyle name="Milliers 2 3 6 2 3 2 2 3" xfId="24304"/>
    <cellStyle name="Milliers 2 3 6 2 3 2 2 3 2" xfId="24305"/>
    <cellStyle name="Milliers 2 3 6 2 3 2 2 4" xfId="24306"/>
    <cellStyle name="Milliers 2 3 6 2 3 2 3" xfId="24307"/>
    <cellStyle name="Milliers 2 3 6 2 3 2 3 2" xfId="24308"/>
    <cellStyle name="Milliers 2 3 6 2 3 2 3 2 2" xfId="24309"/>
    <cellStyle name="Milliers 2 3 6 2 3 2 3 3" xfId="24310"/>
    <cellStyle name="Milliers 2 3 6 2 3 2 4" xfId="24311"/>
    <cellStyle name="Milliers 2 3 6 2 3 2 4 2" xfId="24312"/>
    <cellStyle name="Milliers 2 3 6 2 3 2 5" xfId="24313"/>
    <cellStyle name="Milliers 2 3 6 2 3 3" xfId="24314"/>
    <cellStyle name="Milliers 2 3 6 2 3 3 2" xfId="24315"/>
    <cellStyle name="Milliers 2 3 6 2 3 3 2 2" xfId="24316"/>
    <cellStyle name="Milliers 2 3 6 2 3 3 2 2 2" xfId="24317"/>
    <cellStyle name="Milliers 2 3 6 2 3 3 2 3" xfId="24318"/>
    <cellStyle name="Milliers 2 3 6 2 3 3 3" xfId="24319"/>
    <cellStyle name="Milliers 2 3 6 2 3 3 3 2" xfId="24320"/>
    <cellStyle name="Milliers 2 3 6 2 3 3 4" xfId="24321"/>
    <cellStyle name="Milliers 2 3 6 2 3 4" xfId="24322"/>
    <cellStyle name="Milliers 2 3 6 2 3 4 2" xfId="24323"/>
    <cellStyle name="Milliers 2 3 6 2 3 4 2 2" xfId="24324"/>
    <cellStyle name="Milliers 2 3 6 2 3 4 3" xfId="24325"/>
    <cellStyle name="Milliers 2 3 6 2 3 5" xfId="24326"/>
    <cellStyle name="Milliers 2 3 6 2 3 5 2" xfId="24327"/>
    <cellStyle name="Milliers 2 3 6 2 3 6" xfId="24328"/>
    <cellStyle name="Milliers 2 3 6 2 4" xfId="24329"/>
    <cellStyle name="Milliers 2 3 6 2 4 2" xfId="24330"/>
    <cellStyle name="Milliers 2 3 6 2 4 2 2" xfId="24331"/>
    <cellStyle name="Milliers 2 3 6 2 4 2 2 2" xfId="24332"/>
    <cellStyle name="Milliers 2 3 6 2 4 2 2 2 2" xfId="24333"/>
    <cellStyle name="Milliers 2 3 6 2 4 2 2 3" xfId="24334"/>
    <cellStyle name="Milliers 2 3 6 2 4 2 3" xfId="24335"/>
    <cellStyle name="Milliers 2 3 6 2 4 2 3 2" xfId="24336"/>
    <cellStyle name="Milliers 2 3 6 2 4 2 4" xfId="24337"/>
    <cellStyle name="Milliers 2 3 6 2 4 3" xfId="24338"/>
    <cellStyle name="Milliers 2 3 6 2 4 3 2" xfId="24339"/>
    <cellStyle name="Milliers 2 3 6 2 4 3 2 2" xfId="24340"/>
    <cellStyle name="Milliers 2 3 6 2 4 3 3" xfId="24341"/>
    <cellStyle name="Milliers 2 3 6 2 4 4" xfId="24342"/>
    <cellStyle name="Milliers 2 3 6 2 4 4 2" xfId="24343"/>
    <cellStyle name="Milliers 2 3 6 2 4 5" xfId="24344"/>
    <cellStyle name="Milliers 2 3 6 2 5" xfId="24345"/>
    <cellStyle name="Milliers 2 3 6 2 5 2" xfId="24346"/>
    <cellStyle name="Milliers 2 3 6 2 5 2 2" xfId="24347"/>
    <cellStyle name="Milliers 2 3 6 2 5 2 2 2" xfId="24348"/>
    <cellStyle name="Milliers 2 3 6 2 5 2 3" xfId="24349"/>
    <cellStyle name="Milliers 2 3 6 2 5 3" xfId="24350"/>
    <cellStyle name="Milliers 2 3 6 2 5 3 2" xfId="24351"/>
    <cellStyle name="Milliers 2 3 6 2 5 4" xfId="24352"/>
    <cellStyle name="Milliers 2 3 6 2 6" xfId="24353"/>
    <cellStyle name="Milliers 2 3 6 2 6 2" xfId="24354"/>
    <cellStyle name="Milliers 2 3 6 2 6 2 2" xfId="24355"/>
    <cellStyle name="Milliers 2 3 6 2 6 3" xfId="24356"/>
    <cellStyle name="Milliers 2 3 6 2 7" xfId="24357"/>
    <cellStyle name="Milliers 2 3 6 2 7 2" xfId="24358"/>
    <cellStyle name="Milliers 2 3 6 2 8" xfId="24359"/>
    <cellStyle name="Milliers 2 3 6 3" xfId="24360"/>
    <cellStyle name="Milliers 2 3 6 3 2" xfId="24361"/>
    <cellStyle name="Milliers 2 3 6 3 2 2" xfId="24362"/>
    <cellStyle name="Milliers 2 3 6 3 2 2 2" xfId="24363"/>
    <cellStyle name="Milliers 2 3 6 3 2 2 2 2" xfId="24364"/>
    <cellStyle name="Milliers 2 3 6 3 2 2 2 2 2" xfId="24365"/>
    <cellStyle name="Milliers 2 3 6 3 2 2 2 2 2 2" xfId="24366"/>
    <cellStyle name="Milliers 2 3 6 3 2 2 2 2 3" xfId="24367"/>
    <cellStyle name="Milliers 2 3 6 3 2 2 2 3" xfId="24368"/>
    <cellStyle name="Milliers 2 3 6 3 2 2 2 3 2" xfId="24369"/>
    <cellStyle name="Milliers 2 3 6 3 2 2 2 4" xfId="24370"/>
    <cellStyle name="Milliers 2 3 6 3 2 2 3" xfId="24371"/>
    <cellStyle name="Milliers 2 3 6 3 2 2 3 2" xfId="24372"/>
    <cellStyle name="Milliers 2 3 6 3 2 2 3 2 2" xfId="24373"/>
    <cellStyle name="Milliers 2 3 6 3 2 2 3 3" xfId="24374"/>
    <cellStyle name="Milliers 2 3 6 3 2 2 4" xfId="24375"/>
    <cellStyle name="Milliers 2 3 6 3 2 2 4 2" xfId="24376"/>
    <cellStyle name="Milliers 2 3 6 3 2 2 5" xfId="24377"/>
    <cellStyle name="Milliers 2 3 6 3 2 3" xfId="24378"/>
    <cellStyle name="Milliers 2 3 6 3 2 3 2" xfId="24379"/>
    <cellStyle name="Milliers 2 3 6 3 2 3 2 2" xfId="24380"/>
    <cellStyle name="Milliers 2 3 6 3 2 3 2 2 2" xfId="24381"/>
    <cellStyle name="Milliers 2 3 6 3 2 3 2 3" xfId="24382"/>
    <cellStyle name="Milliers 2 3 6 3 2 3 3" xfId="24383"/>
    <cellStyle name="Milliers 2 3 6 3 2 3 3 2" xfId="24384"/>
    <cellStyle name="Milliers 2 3 6 3 2 3 4" xfId="24385"/>
    <cellStyle name="Milliers 2 3 6 3 2 4" xfId="24386"/>
    <cellStyle name="Milliers 2 3 6 3 2 4 2" xfId="24387"/>
    <cellStyle name="Milliers 2 3 6 3 2 4 2 2" xfId="24388"/>
    <cellStyle name="Milliers 2 3 6 3 2 4 3" xfId="24389"/>
    <cellStyle name="Milliers 2 3 6 3 2 5" xfId="24390"/>
    <cellStyle name="Milliers 2 3 6 3 2 5 2" xfId="24391"/>
    <cellStyle name="Milliers 2 3 6 3 2 6" xfId="24392"/>
    <cellStyle name="Milliers 2 3 6 3 3" xfId="24393"/>
    <cellStyle name="Milliers 2 3 6 3 3 2" xfId="24394"/>
    <cellStyle name="Milliers 2 3 6 3 3 2 2" xfId="24395"/>
    <cellStyle name="Milliers 2 3 6 3 3 2 2 2" xfId="24396"/>
    <cellStyle name="Milliers 2 3 6 3 3 2 2 2 2" xfId="24397"/>
    <cellStyle name="Milliers 2 3 6 3 3 2 2 3" xfId="24398"/>
    <cellStyle name="Milliers 2 3 6 3 3 2 3" xfId="24399"/>
    <cellStyle name="Milliers 2 3 6 3 3 2 3 2" xfId="24400"/>
    <cellStyle name="Milliers 2 3 6 3 3 2 4" xfId="24401"/>
    <cellStyle name="Milliers 2 3 6 3 3 3" xfId="24402"/>
    <cellStyle name="Milliers 2 3 6 3 3 3 2" xfId="24403"/>
    <cellStyle name="Milliers 2 3 6 3 3 3 2 2" xfId="24404"/>
    <cellStyle name="Milliers 2 3 6 3 3 3 3" xfId="24405"/>
    <cellStyle name="Milliers 2 3 6 3 3 4" xfId="24406"/>
    <cellStyle name="Milliers 2 3 6 3 3 4 2" xfId="24407"/>
    <cellStyle name="Milliers 2 3 6 3 3 5" xfId="24408"/>
    <cellStyle name="Milliers 2 3 6 3 4" xfId="24409"/>
    <cellStyle name="Milliers 2 3 6 3 4 2" xfId="24410"/>
    <cellStyle name="Milliers 2 3 6 3 4 2 2" xfId="24411"/>
    <cellStyle name="Milliers 2 3 6 3 4 2 2 2" xfId="24412"/>
    <cellStyle name="Milliers 2 3 6 3 4 2 3" xfId="24413"/>
    <cellStyle name="Milliers 2 3 6 3 4 3" xfId="24414"/>
    <cellStyle name="Milliers 2 3 6 3 4 3 2" xfId="24415"/>
    <cellStyle name="Milliers 2 3 6 3 4 4" xfId="24416"/>
    <cellStyle name="Milliers 2 3 6 3 5" xfId="24417"/>
    <cellStyle name="Milliers 2 3 6 3 5 2" xfId="24418"/>
    <cellStyle name="Milliers 2 3 6 3 5 2 2" xfId="24419"/>
    <cellStyle name="Milliers 2 3 6 3 5 3" xfId="24420"/>
    <cellStyle name="Milliers 2 3 6 3 6" xfId="24421"/>
    <cellStyle name="Milliers 2 3 6 3 6 2" xfId="24422"/>
    <cellStyle name="Milliers 2 3 6 3 7" xfId="24423"/>
    <cellStyle name="Milliers 2 3 6 4" xfId="24424"/>
    <cellStyle name="Milliers 2 3 6 4 2" xfId="24425"/>
    <cellStyle name="Milliers 2 3 6 4 2 2" xfId="24426"/>
    <cellStyle name="Milliers 2 3 6 4 2 2 2" xfId="24427"/>
    <cellStyle name="Milliers 2 3 6 4 2 2 2 2" xfId="24428"/>
    <cellStyle name="Milliers 2 3 6 4 2 2 2 2 2" xfId="24429"/>
    <cellStyle name="Milliers 2 3 6 4 2 2 2 3" xfId="24430"/>
    <cellStyle name="Milliers 2 3 6 4 2 2 3" xfId="24431"/>
    <cellStyle name="Milliers 2 3 6 4 2 2 3 2" xfId="24432"/>
    <cellStyle name="Milliers 2 3 6 4 2 2 4" xfId="24433"/>
    <cellStyle name="Milliers 2 3 6 4 2 3" xfId="24434"/>
    <cellStyle name="Milliers 2 3 6 4 2 3 2" xfId="24435"/>
    <cellStyle name="Milliers 2 3 6 4 2 3 2 2" xfId="24436"/>
    <cellStyle name="Milliers 2 3 6 4 2 3 3" xfId="24437"/>
    <cellStyle name="Milliers 2 3 6 4 2 4" xfId="24438"/>
    <cellStyle name="Milliers 2 3 6 4 2 4 2" xfId="24439"/>
    <cellStyle name="Milliers 2 3 6 4 2 5" xfId="24440"/>
    <cellStyle name="Milliers 2 3 6 4 3" xfId="24441"/>
    <cellStyle name="Milliers 2 3 6 4 3 2" xfId="24442"/>
    <cellStyle name="Milliers 2 3 6 4 3 2 2" xfId="24443"/>
    <cellStyle name="Milliers 2 3 6 4 3 2 2 2" xfId="24444"/>
    <cellStyle name="Milliers 2 3 6 4 3 2 3" xfId="24445"/>
    <cellStyle name="Milliers 2 3 6 4 3 3" xfId="24446"/>
    <cellStyle name="Milliers 2 3 6 4 3 3 2" xfId="24447"/>
    <cellStyle name="Milliers 2 3 6 4 3 4" xfId="24448"/>
    <cellStyle name="Milliers 2 3 6 4 4" xfId="24449"/>
    <cellStyle name="Milliers 2 3 6 4 4 2" xfId="24450"/>
    <cellStyle name="Milliers 2 3 6 4 4 2 2" xfId="24451"/>
    <cellStyle name="Milliers 2 3 6 4 4 3" xfId="24452"/>
    <cellStyle name="Milliers 2 3 6 4 5" xfId="24453"/>
    <cellStyle name="Milliers 2 3 6 4 5 2" xfId="24454"/>
    <cellStyle name="Milliers 2 3 6 4 6" xfId="24455"/>
    <cellStyle name="Milliers 2 3 6 5" xfId="24456"/>
    <cellStyle name="Milliers 2 3 6 5 2" xfId="24457"/>
    <cellStyle name="Milliers 2 3 6 5 2 2" xfId="24458"/>
    <cellStyle name="Milliers 2 3 6 5 2 2 2" xfId="24459"/>
    <cellStyle name="Milliers 2 3 6 5 2 2 2 2" xfId="24460"/>
    <cellStyle name="Milliers 2 3 6 5 2 2 3" xfId="24461"/>
    <cellStyle name="Milliers 2 3 6 5 2 3" xfId="24462"/>
    <cellStyle name="Milliers 2 3 6 5 2 3 2" xfId="24463"/>
    <cellStyle name="Milliers 2 3 6 5 2 4" xfId="24464"/>
    <cellStyle name="Milliers 2 3 6 5 3" xfId="24465"/>
    <cellStyle name="Milliers 2 3 6 5 3 2" xfId="24466"/>
    <cellStyle name="Milliers 2 3 6 5 3 2 2" xfId="24467"/>
    <cellStyle name="Milliers 2 3 6 5 3 3" xfId="24468"/>
    <cellStyle name="Milliers 2 3 6 5 4" xfId="24469"/>
    <cellStyle name="Milliers 2 3 6 5 4 2" xfId="24470"/>
    <cellStyle name="Milliers 2 3 6 5 5" xfId="24471"/>
    <cellStyle name="Milliers 2 3 6 6" xfId="24472"/>
    <cellStyle name="Milliers 2 3 6 6 2" xfId="24473"/>
    <cellStyle name="Milliers 2 3 6 6 2 2" xfId="24474"/>
    <cellStyle name="Milliers 2 3 6 6 2 2 2" xfId="24475"/>
    <cellStyle name="Milliers 2 3 6 6 2 3" xfId="24476"/>
    <cellStyle name="Milliers 2 3 6 6 3" xfId="24477"/>
    <cellStyle name="Milliers 2 3 6 6 3 2" xfId="24478"/>
    <cellStyle name="Milliers 2 3 6 6 4" xfId="24479"/>
    <cellStyle name="Milliers 2 3 6 7" xfId="24480"/>
    <cellStyle name="Milliers 2 3 6 7 2" xfId="24481"/>
    <cellStyle name="Milliers 2 3 6 7 2 2" xfId="24482"/>
    <cellStyle name="Milliers 2 3 6 7 3" xfId="24483"/>
    <cellStyle name="Milliers 2 3 6 8" xfId="24484"/>
    <cellStyle name="Milliers 2 3 6 8 2" xfId="24485"/>
    <cellStyle name="Milliers 2 3 6 9" xfId="24486"/>
    <cellStyle name="Milliers 2 3 7" xfId="24487"/>
    <cellStyle name="Milliers 2 3 7 2" xfId="24488"/>
    <cellStyle name="Milliers 2 3 7 2 2" xfId="24489"/>
    <cellStyle name="Milliers 2 3 7 2 2 2" xfId="24490"/>
    <cellStyle name="Milliers 2 3 7 2 2 2 2" xfId="24491"/>
    <cellStyle name="Milliers 2 3 7 2 2 2 2 2" xfId="24492"/>
    <cellStyle name="Milliers 2 3 7 2 2 2 2 2 2" xfId="24493"/>
    <cellStyle name="Milliers 2 3 7 2 2 2 2 2 2 2" xfId="24494"/>
    <cellStyle name="Milliers 2 3 7 2 2 2 2 2 3" xfId="24495"/>
    <cellStyle name="Milliers 2 3 7 2 2 2 2 3" xfId="24496"/>
    <cellStyle name="Milliers 2 3 7 2 2 2 2 3 2" xfId="24497"/>
    <cellStyle name="Milliers 2 3 7 2 2 2 2 4" xfId="24498"/>
    <cellStyle name="Milliers 2 3 7 2 2 2 3" xfId="24499"/>
    <cellStyle name="Milliers 2 3 7 2 2 2 3 2" xfId="24500"/>
    <cellStyle name="Milliers 2 3 7 2 2 2 3 2 2" xfId="24501"/>
    <cellStyle name="Milliers 2 3 7 2 2 2 3 3" xfId="24502"/>
    <cellStyle name="Milliers 2 3 7 2 2 2 4" xfId="24503"/>
    <cellStyle name="Milliers 2 3 7 2 2 2 4 2" xfId="24504"/>
    <cellStyle name="Milliers 2 3 7 2 2 2 5" xfId="24505"/>
    <cellStyle name="Milliers 2 3 7 2 2 3" xfId="24506"/>
    <cellStyle name="Milliers 2 3 7 2 2 3 2" xfId="24507"/>
    <cellStyle name="Milliers 2 3 7 2 2 3 2 2" xfId="24508"/>
    <cellStyle name="Milliers 2 3 7 2 2 3 2 2 2" xfId="24509"/>
    <cellStyle name="Milliers 2 3 7 2 2 3 2 3" xfId="24510"/>
    <cellStyle name="Milliers 2 3 7 2 2 3 3" xfId="24511"/>
    <cellStyle name="Milliers 2 3 7 2 2 3 3 2" xfId="24512"/>
    <cellStyle name="Milliers 2 3 7 2 2 3 4" xfId="24513"/>
    <cellStyle name="Milliers 2 3 7 2 2 4" xfId="24514"/>
    <cellStyle name="Milliers 2 3 7 2 2 4 2" xfId="24515"/>
    <cellStyle name="Milliers 2 3 7 2 2 4 2 2" xfId="24516"/>
    <cellStyle name="Milliers 2 3 7 2 2 4 3" xfId="24517"/>
    <cellStyle name="Milliers 2 3 7 2 2 5" xfId="24518"/>
    <cellStyle name="Milliers 2 3 7 2 2 5 2" xfId="24519"/>
    <cellStyle name="Milliers 2 3 7 2 2 6" xfId="24520"/>
    <cellStyle name="Milliers 2 3 7 2 3" xfId="24521"/>
    <cellStyle name="Milliers 2 3 7 2 3 2" xfId="24522"/>
    <cellStyle name="Milliers 2 3 7 2 3 2 2" xfId="24523"/>
    <cellStyle name="Milliers 2 3 7 2 3 2 2 2" xfId="24524"/>
    <cellStyle name="Milliers 2 3 7 2 3 2 2 2 2" xfId="24525"/>
    <cellStyle name="Milliers 2 3 7 2 3 2 2 3" xfId="24526"/>
    <cellStyle name="Milliers 2 3 7 2 3 2 3" xfId="24527"/>
    <cellStyle name="Milliers 2 3 7 2 3 2 3 2" xfId="24528"/>
    <cellStyle name="Milliers 2 3 7 2 3 2 4" xfId="24529"/>
    <cellStyle name="Milliers 2 3 7 2 3 3" xfId="24530"/>
    <cellStyle name="Milliers 2 3 7 2 3 3 2" xfId="24531"/>
    <cellStyle name="Milliers 2 3 7 2 3 3 2 2" xfId="24532"/>
    <cellStyle name="Milliers 2 3 7 2 3 3 3" xfId="24533"/>
    <cellStyle name="Milliers 2 3 7 2 3 4" xfId="24534"/>
    <cellStyle name="Milliers 2 3 7 2 3 4 2" xfId="24535"/>
    <cellStyle name="Milliers 2 3 7 2 3 5" xfId="24536"/>
    <cellStyle name="Milliers 2 3 7 2 4" xfId="24537"/>
    <cellStyle name="Milliers 2 3 7 2 4 2" xfId="24538"/>
    <cellStyle name="Milliers 2 3 7 2 4 2 2" xfId="24539"/>
    <cellStyle name="Milliers 2 3 7 2 4 2 2 2" xfId="24540"/>
    <cellStyle name="Milliers 2 3 7 2 4 2 3" xfId="24541"/>
    <cellStyle name="Milliers 2 3 7 2 4 3" xfId="24542"/>
    <cellStyle name="Milliers 2 3 7 2 4 3 2" xfId="24543"/>
    <cellStyle name="Milliers 2 3 7 2 4 4" xfId="24544"/>
    <cellStyle name="Milliers 2 3 7 2 5" xfId="24545"/>
    <cellStyle name="Milliers 2 3 7 2 5 2" xfId="24546"/>
    <cellStyle name="Milliers 2 3 7 2 5 2 2" xfId="24547"/>
    <cellStyle name="Milliers 2 3 7 2 5 3" xfId="24548"/>
    <cellStyle name="Milliers 2 3 7 2 6" xfId="24549"/>
    <cellStyle name="Milliers 2 3 7 2 6 2" xfId="24550"/>
    <cellStyle name="Milliers 2 3 7 2 7" xfId="24551"/>
    <cellStyle name="Milliers 2 3 7 3" xfId="24552"/>
    <cellStyle name="Milliers 2 3 7 3 2" xfId="24553"/>
    <cellStyle name="Milliers 2 3 7 3 2 2" xfId="24554"/>
    <cellStyle name="Milliers 2 3 7 3 2 2 2" xfId="24555"/>
    <cellStyle name="Milliers 2 3 7 3 2 2 2 2" xfId="24556"/>
    <cellStyle name="Milliers 2 3 7 3 2 2 2 2 2" xfId="24557"/>
    <cellStyle name="Milliers 2 3 7 3 2 2 2 3" xfId="24558"/>
    <cellStyle name="Milliers 2 3 7 3 2 2 3" xfId="24559"/>
    <cellStyle name="Milliers 2 3 7 3 2 2 3 2" xfId="24560"/>
    <cellStyle name="Milliers 2 3 7 3 2 2 4" xfId="24561"/>
    <cellStyle name="Milliers 2 3 7 3 2 3" xfId="24562"/>
    <cellStyle name="Milliers 2 3 7 3 2 3 2" xfId="24563"/>
    <cellStyle name="Milliers 2 3 7 3 2 3 2 2" xfId="24564"/>
    <cellStyle name="Milliers 2 3 7 3 2 3 3" xfId="24565"/>
    <cellStyle name="Milliers 2 3 7 3 2 4" xfId="24566"/>
    <cellStyle name="Milliers 2 3 7 3 2 4 2" xfId="24567"/>
    <cellStyle name="Milliers 2 3 7 3 2 5" xfId="24568"/>
    <cellStyle name="Milliers 2 3 7 3 3" xfId="24569"/>
    <cellStyle name="Milliers 2 3 7 3 3 2" xfId="24570"/>
    <cellStyle name="Milliers 2 3 7 3 3 2 2" xfId="24571"/>
    <cellStyle name="Milliers 2 3 7 3 3 2 2 2" xfId="24572"/>
    <cellStyle name="Milliers 2 3 7 3 3 2 3" xfId="24573"/>
    <cellStyle name="Milliers 2 3 7 3 3 3" xfId="24574"/>
    <cellStyle name="Milliers 2 3 7 3 3 3 2" xfId="24575"/>
    <cellStyle name="Milliers 2 3 7 3 3 4" xfId="24576"/>
    <cellStyle name="Milliers 2 3 7 3 4" xfId="24577"/>
    <cellStyle name="Milliers 2 3 7 3 4 2" xfId="24578"/>
    <cellStyle name="Milliers 2 3 7 3 4 2 2" xfId="24579"/>
    <cellStyle name="Milliers 2 3 7 3 4 3" xfId="24580"/>
    <cellStyle name="Milliers 2 3 7 3 5" xfId="24581"/>
    <cellStyle name="Milliers 2 3 7 3 5 2" xfId="24582"/>
    <cellStyle name="Milliers 2 3 7 3 6" xfId="24583"/>
    <cellStyle name="Milliers 2 3 7 4" xfId="24584"/>
    <cellStyle name="Milliers 2 3 7 4 2" xfId="24585"/>
    <cellStyle name="Milliers 2 3 7 4 2 2" xfId="24586"/>
    <cellStyle name="Milliers 2 3 7 4 2 2 2" xfId="24587"/>
    <cellStyle name="Milliers 2 3 7 4 2 2 2 2" xfId="24588"/>
    <cellStyle name="Milliers 2 3 7 4 2 2 3" xfId="24589"/>
    <cellStyle name="Milliers 2 3 7 4 2 3" xfId="24590"/>
    <cellStyle name="Milliers 2 3 7 4 2 3 2" xfId="24591"/>
    <cellStyle name="Milliers 2 3 7 4 2 4" xfId="24592"/>
    <cellStyle name="Milliers 2 3 7 4 3" xfId="24593"/>
    <cellStyle name="Milliers 2 3 7 4 3 2" xfId="24594"/>
    <cellStyle name="Milliers 2 3 7 4 3 2 2" xfId="24595"/>
    <cellStyle name="Milliers 2 3 7 4 3 3" xfId="24596"/>
    <cellStyle name="Milliers 2 3 7 4 4" xfId="24597"/>
    <cellStyle name="Milliers 2 3 7 4 4 2" xfId="24598"/>
    <cellStyle name="Milliers 2 3 7 4 5" xfId="24599"/>
    <cellStyle name="Milliers 2 3 7 5" xfId="24600"/>
    <cellStyle name="Milliers 2 3 7 5 2" xfId="24601"/>
    <cellStyle name="Milliers 2 3 7 5 2 2" xfId="24602"/>
    <cellStyle name="Milliers 2 3 7 5 2 2 2" xfId="24603"/>
    <cellStyle name="Milliers 2 3 7 5 2 3" xfId="24604"/>
    <cellStyle name="Milliers 2 3 7 5 3" xfId="24605"/>
    <cellStyle name="Milliers 2 3 7 5 3 2" xfId="24606"/>
    <cellStyle name="Milliers 2 3 7 5 4" xfId="24607"/>
    <cellStyle name="Milliers 2 3 7 6" xfId="24608"/>
    <cellStyle name="Milliers 2 3 7 6 2" xfId="24609"/>
    <cellStyle name="Milliers 2 3 7 6 2 2" xfId="24610"/>
    <cellStyle name="Milliers 2 3 7 6 3" xfId="24611"/>
    <cellStyle name="Milliers 2 3 7 7" xfId="24612"/>
    <cellStyle name="Milliers 2 3 7 7 2" xfId="24613"/>
    <cellStyle name="Milliers 2 3 7 8" xfId="24614"/>
    <cellStyle name="Milliers 2 3 8" xfId="24615"/>
    <cellStyle name="Milliers 2 3 8 2" xfId="24616"/>
    <cellStyle name="Milliers 2 3 8 2 2" xfId="24617"/>
    <cellStyle name="Milliers 2 3 8 2 2 2" xfId="24618"/>
    <cellStyle name="Milliers 2 3 8 2 2 2 2" xfId="24619"/>
    <cellStyle name="Milliers 2 3 8 2 2 2 2 2" xfId="24620"/>
    <cellStyle name="Milliers 2 3 8 2 2 2 2 2 2" xfId="24621"/>
    <cellStyle name="Milliers 2 3 8 2 2 2 2 3" xfId="24622"/>
    <cellStyle name="Milliers 2 3 8 2 2 2 3" xfId="24623"/>
    <cellStyle name="Milliers 2 3 8 2 2 2 3 2" xfId="24624"/>
    <cellStyle name="Milliers 2 3 8 2 2 2 4" xfId="24625"/>
    <cellStyle name="Milliers 2 3 8 2 2 3" xfId="24626"/>
    <cellStyle name="Milliers 2 3 8 2 2 3 2" xfId="24627"/>
    <cellStyle name="Milliers 2 3 8 2 2 3 2 2" xfId="24628"/>
    <cellStyle name="Milliers 2 3 8 2 2 3 3" xfId="24629"/>
    <cellStyle name="Milliers 2 3 8 2 2 4" xfId="24630"/>
    <cellStyle name="Milliers 2 3 8 2 2 4 2" xfId="24631"/>
    <cellStyle name="Milliers 2 3 8 2 2 5" xfId="24632"/>
    <cellStyle name="Milliers 2 3 8 2 3" xfId="24633"/>
    <cellStyle name="Milliers 2 3 8 2 3 2" xfId="24634"/>
    <cellStyle name="Milliers 2 3 8 2 3 2 2" xfId="24635"/>
    <cellStyle name="Milliers 2 3 8 2 3 2 2 2" xfId="24636"/>
    <cellStyle name="Milliers 2 3 8 2 3 2 3" xfId="24637"/>
    <cellStyle name="Milliers 2 3 8 2 3 3" xfId="24638"/>
    <cellStyle name="Milliers 2 3 8 2 3 3 2" xfId="24639"/>
    <cellStyle name="Milliers 2 3 8 2 3 4" xfId="24640"/>
    <cellStyle name="Milliers 2 3 8 2 4" xfId="24641"/>
    <cellStyle name="Milliers 2 3 8 2 4 2" xfId="24642"/>
    <cellStyle name="Milliers 2 3 8 2 4 2 2" xfId="24643"/>
    <cellStyle name="Milliers 2 3 8 2 4 3" xfId="24644"/>
    <cellStyle name="Milliers 2 3 8 2 5" xfId="24645"/>
    <cellStyle name="Milliers 2 3 8 2 5 2" xfId="24646"/>
    <cellStyle name="Milliers 2 3 8 2 6" xfId="24647"/>
    <cellStyle name="Milliers 2 3 8 3" xfId="24648"/>
    <cellStyle name="Milliers 2 3 8 3 2" xfId="24649"/>
    <cellStyle name="Milliers 2 3 8 3 2 2" xfId="24650"/>
    <cellStyle name="Milliers 2 3 8 3 2 2 2" xfId="24651"/>
    <cellStyle name="Milliers 2 3 8 3 2 2 2 2" xfId="24652"/>
    <cellStyle name="Milliers 2 3 8 3 2 2 3" xfId="24653"/>
    <cellStyle name="Milliers 2 3 8 3 2 3" xfId="24654"/>
    <cellStyle name="Milliers 2 3 8 3 2 3 2" xfId="24655"/>
    <cellStyle name="Milliers 2 3 8 3 2 4" xfId="24656"/>
    <cellStyle name="Milliers 2 3 8 3 3" xfId="24657"/>
    <cellStyle name="Milliers 2 3 8 3 3 2" xfId="24658"/>
    <cellStyle name="Milliers 2 3 8 3 3 2 2" xfId="24659"/>
    <cellStyle name="Milliers 2 3 8 3 3 3" xfId="24660"/>
    <cellStyle name="Milliers 2 3 8 3 4" xfId="24661"/>
    <cellStyle name="Milliers 2 3 8 3 4 2" xfId="24662"/>
    <cellStyle name="Milliers 2 3 8 3 5" xfId="24663"/>
    <cellStyle name="Milliers 2 3 8 4" xfId="24664"/>
    <cellStyle name="Milliers 2 3 8 4 2" xfId="24665"/>
    <cellStyle name="Milliers 2 3 8 4 2 2" xfId="24666"/>
    <cellStyle name="Milliers 2 3 8 4 2 2 2" xfId="24667"/>
    <cellStyle name="Milliers 2 3 8 4 2 3" xfId="24668"/>
    <cellStyle name="Milliers 2 3 8 4 3" xfId="24669"/>
    <cellStyle name="Milliers 2 3 8 4 3 2" xfId="24670"/>
    <cellStyle name="Milliers 2 3 8 4 4" xfId="24671"/>
    <cellStyle name="Milliers 2 3 8 5" xfId="24672"/>
    <cellStyle name="Milliers 2 3 8 5 2" xfId="24673"/>
    <cellStyle name="Milliers 2 3 8 5 2 2" xfId="24674"/>
    <cellStyle name="Milliers 2 3 8 5 3" xfId="24675"/>
    <cellStyle name="Milliers 2 3 8 6" xfId="24676"/>
    <cellStyle name="Milliers 2 3 8 6 2" xfId="24677"/>
    <cellStyle name="Milliers 2 3 8 7" xfId="24678"/>
    <cellStyle name="Milliers 2 3 9" xfId="24679"/>
    <cellStyle name="Milliers 2 3 9 2" xfId="24680"/>
    <cellStyle name="Milliers 2 3 9 2 2" xfId="24681"/>
    <cellStyle name="Milliers 2 3 9 2 2 2" xfId="24682"/>
    <cellStyle name="Milliers 2 3 9 2 2 2 2" xfId="24683"/>
    <cellStyle name="Milliers 2 3 9 2 2 2 2 2" xfId="24684"/>
    <cellStyle name="Milliers 2 3 9 2 2 2 3" xfId="24685"/>
    <cellStyle name="Milliers 2 3 9 2 2 3" xfId="24686"/>
    <cellStyle name="Milliers 2 3 9 2 2 3 2" xfId="24687"/>
    <cellStyle name="Milliers 2 3 9 2 2 4" xfId="24688"/>
    <cellStyle name="Milliers 2 3 9 2 3" xfId="24689"/>
    <cellStyle name="Milliers 2 3 9 2 3 2" xfId="24690"/>
    <cellStyle name="Milliers 2 3 9 2 3 2 2" xfId="24691"/>
    <cellStyle name="Milliers 2 3 9 2 3 3" xfId="24692"/>
    <cellStyle name="Milliers 2 3 9 2 4" xfId="24693"/>
    <cellStyle name="Milliers 2 3 9 2 4 2" xfId="24694"/>
    <cellStyle name="Milliers 2 3 9 2 5" xfId="24695"/>
    <cellStyle name="Milliers 2 3 9 3" xfId="24696"/>
    <cellStyle name="Milliers 2 3 9 3 2" xfId="24697"/>
    <cellStyle name="Milliers 2 3 9 3 2 2" xfId="24698"/>
    <cellStyle name="Milliers 2 3 9 3 2 2 2" xfId="24699"/>
    <cellStyle name="Milliers 2 3 9 3 2 3" xfId="24700"/>
    <cellStyle name="Milliers 2 3 9 3 3" xfId="24701"/>
    <cellStyle name="Milliers 2 3 9 3 3 2" xfId="24702"/>
    <cellStyle name="Milliers 2 3 9 3 4" xfId="24703"/>
    <cellStyle name="Milliers 2 3 9 4" xfId="24704"/>
    <cellStyle name="Milliers 2 3 9 4 2" xfId="24705"/>
    <cellStyle name="Milliers 2 3 9 4 2 2" xfId="24706"/>
    <cellStyle name="Milliers 2 3 9 4 3" xfId="24707"/>
    <cellStyle name="Milliers 2 3 9 5" xfId="24708"/>
    <cellStyle name="Milliers 2 3 9 5 2" xfId="24709"/>
    <cellStyle name="Milliers 2 3 9 6" xfId="24710"/>
    <cellStyle name="Milliers 2 4" xfId="24711"/>
    <cellStyle name="Milliers 2 4 10" xfId="24712"/>
    <cellStyle name="Milliers 2 4 10 2" xfId="24713"/>
    <cellStyle name="Milliers 2 4 10 2 2" xfId="24714"/>
    <cellStyle name="Milliers 2 4 10 2 2 2" xfId="24715"/>
    <cellStyle name="Milliers 2 4 10 2 3" xfId="24716"/>
    <cellStyle name="Milliers 2 4 10 3" xfId="24717"/>
    <cellStyle name="Milliers 2 4 10 3 2" xfId="24718"/>
    <cellStyle name="Milliers 2 4 10 4" xfId="24719"/>
    <cellStyle name="Milliers 2 4 11" xfId="24720"/>
    <cellStyle name="Milliers 2 4 11 2" xfId="24721"/>
    <cellStyle name="Milliers 2 4 11 2 2" xfId="24722"/>
    <cellStyle name="Milliers 2 4 11 3" xfId="24723"/>
    <cellStyle name="Milliers 2 4 12" xfId="24724"/>
    <cellStyle name="Milliers 2 4 12 2" xfId="24725"/>
    <cellStyle name="Milliers 2 4 13" xfId="24726"/>
    <cellStyle name="Milliers 2 4 2" xfId="24727"/>
    <cellStyle name="Milliers 2 4 2 10" xfId="24728"/>
    <cellStyle name="Milliers 2 4 2 10 2" xfId="24729"/>
    <cellStyle name="Milliers 2 4 2 10 2 2" xfId="24730"/>
    <cellStyle name="Milliers 2 4 2 10 3" xfId="24731"/>
    <cellStyle name="Milliers 2 4 2 11" xfId="24732"/>
    <cellStyle name="Milliers 2 4 2 11 2" xfId="24733"/>
    <cellStyle name="Milliers 2 4 2 12" xfId="24734"/>
    <cellStyle name="Milliers 2 4 2 2" xfId="24735"/>
    <cellStyle name="Milliers 2 4 2 2 10" xfId="24736"/>
    <cellStyle name="Milliers 2 4 2 2 10 2" xfId="24737"/>
    <cellStyle name="Milliers 2 4 2 2 11" xfId="24738"/>
    <cellStyle name="Milliers 2 4 2 2 2" xfId="24739"/>
    <cellStyle name="Milliers 2 4 2 2 2 10" xfId="24740"/>
    <cellStyle name="Milliers 2 4 2 2 2 2" xfId="24741"/>
    <cellStyle name="Milliers 2 4 2 2 2 2 2" xfId="24742"/>
    <cellStyle name="Milliers 2 4 2 2 2 2 2 2" xfId="24743"/>
    <cellStyle name="Milliers 2 4 2 2 2 2 2 2 2" xfId="24744"/>
    <cellStyle name="Milliers 2 4 2 2 2 2 2 2 2 2" xfId="24745"/>
    <cellStyle name="Milliers 2 4 2 2 2 2 2 2 2 2 2" xfId="24746"/>
    <cellStyle name="Milliers 2 4 2 2 2 2 2 2 2 2 2 2" xfId="24747"/>
    <cellStyle name="Milliers 2 4 2 2 2 2 2 2 2 2 2 2 2" xfId="24748"/>
    <cellStyle name="Milliers 2 4 2 2 2 2 2 2 2 2 2 2 2 2" xfId="24749"/>
    <cellStyle name="Milliers 2 4 2 2 2 2 2 2 2 2 2 2 3" xfId="24750"/>
    <cellStyle name="Milliers 2 4 2 2 2 2 2 2 2 2 2 3" xfId="24751"/>
    <cellStyle name="Milliers 2 4 2 2 2 2 2 2 2 2 2 3 2" xfId="24752"/>
    <cellStyle name="Milliers 2 4 2 2 2 2 2 2 2 2 2 4" xfId="24753"/>
    <cellStyle name="Milliers 2 4 2 2 2 2 2 2 2 2 3" xfId="24754"/>
    <cellStyle name="Milliers 2 4 2 2 2 2 2 2 2 2 3 2" xfId="24755"/>
    <cellStyle name="Milliers 2 4 2 2 2 2 2 2 2 2 3 2 2" xfId="24756"/>
    <cellStyle name="Milliers 2 4 2 2 2 2 2 2 2 2 3 3" xfId="24757"/>
    <cellStyle name="Milliers 2 4 2 2 2 2 2 2 2 2 4" xfId="24758"/>
    <cellStyle name="Milliers 2 4 2 2 2 2 2 2 2 2 4 2" xfId="24759"/>
    <cellStyle name="Milliers 2 4 2 2 2 2 2 2 2 2 5" xfId="24760"/>
    <cellStyle name="Milliers 2 4 2 2 2 2 2 2 2 3" xfId="24761"/>
    <cellStyle name="Milliers 2 4 2 2 2 2 2 2 2 3 2" xfId="24762"/>
    <cellStyle name="Milliers 2 4 2 2 2 2 2 2 2 3 2 2" xfId="24763"/>
    <cellStyle name="Milliers 2 4 2 2 2 2 2 2 2 3 2 2 2" xfId="24764"/>
    <cellStyle name="Milliers 2 4 2 2 2 2 2 2 2 3 2 3" xfId="24765"/>
    <cellStyle name="Milliers 2 4 2 2 2 2 2 2 2 3 3" xfId="24766"/>
    <cellStyle name="Milliers 2 4 2 2 2 2 2 2 2 3 3 2" xfId="24767"/>
    <cellStyle name="Milliers 2 4 2 2 2 2 2 2 2 3 4" xfId="24768"/>
    <cellStyle name="Milliers 2 4 2 2 2 2 2 2 2 4" xfId="24769"/>
    <cellStyle name="Milliers 2 4 2 2 2 2 2 2 2 4 2" xfId="24770"/>
    <cellStyle name="Milliers 2 4 2 2 2 2 2 2 2 4 2 2" xfId="24771"/>
    <cellStyle name="Milliers 2 4 2 2 2 2 2 2 2 4 3" xfId="24772"/>
    <cellStyle name="Milliers 2 4 2 2 2 2 2 2 2 5" xfId="24773"/>
    <cellStyle name="Milliers 2 4 2 2 2 2 2 2 2 5 2" xfId="24774"/>
    <cellStyle name="Milliers 2 4 2 2 2 2 2 2 2 6" xfId="24775"/>
    <cellStyle name="Milliers 2 4 2 2 2 2 2 2 3" xfId="24776"/>
    <cellStyle name="Milliers 2 4 2 2 2 2 2 2 3 2" xfId="24777"/>
    <cellStyle name="Milliers 2 4 2 2 2 2 2 2 3 2 2" xfId="24778"/>
    <cellStyle name="Milliers 2 4 2 2 2 2 2 2 3 2 2 2" xfId="24779"/>
    <cellStyle name="Milliers 2 4 2 2 2 2 2 2 3 2 2 2 2" xfId="24780"/>
    <cellStyle name="Milliers 2 4 2 2 2 2 2 2 3 2 2 3" xfId="24781"/>
    <cellStyle name="Milliers 2 4 2 2 2 2 2 2 3 2 3" xfId="24782"/>
    <cellStyle name="Milliers 2 4 2 2 2 2 2 2 3 2 3 2" xfId="24783"/>
    <cellStyle name="Milliers 2 4 2 2 2 2 2 2 3 2 4" xfId="24784"/>
    <cellStyle name="Milliers 2 4 2 2 2 2 2 2 3 3" xfId="24785"/>
    <cellStyle name="Milliers 2 4 2 2 2 2 2 2 3 3 2" xfId="24786"/>
    <cellStyle name="Milliers 2 4 2 2 2 2 2 2 3 3 2 2" xfId="24787"/>
    <cellStyle name="Milliers 2 4 2 2 2 2 2 2 3 3 3" xfId="24788"/>
    <cellStyle name="Milliers 2 4 2 2 2 2 2 2 3 4" xfId="24789"/>
    <cellStyle name="Milliers 2 4 2 2 2 2 2 2 3 4 2" xfId="24790"/>
    <cellStyle name="Milliers 2 4 2 2 2 2 2 2 3 5" xfId="24791"/>
    <cellStyle name="Milliers 2 4 2 2 2 2 2 2 4" xfId="24792"/>
    <cellStyle name="Milliers 2 4 2 2 2 2 2 2 4 2" xfId="24793"/>
    <cellStyle name="Milliers 2 4 2 2 2 2 2 2 4 2 2" xfId="24794"/>
    <cellStyle name="Milliers 2 4 2 2 2 2 2 2 4 2 2 2" xfId="24795"/>
    <cellStyle name="Milliers 2 4 2 2 2 2 2 2 4 2 3" xfId="24796"/>
    <cellStyle name="Milliers 2 4 2 2 2 2 2 2 4 3" xfId="24797"/>
    <cellStyle name="Milliers 2 4 2 2 2 2 2 2 4 3 2" xfId="24798"/>
    <cellStyle name="Milliers 2 4 2 2 2 2 2 2 4 4" xfId="24799"/>
    <cellStyle name="Milliers 2 4 2 2 2 2 2 2 5" xfId="24800"/>
    <cellStyle name="Milliers 2 4 2 2 2 2 2 2 5 2" xfId="24801"/>
    <cellStyle name="Milliers 2 4 2 2 2 2 2 2 5 2 2" xfId="24802"/>
    <cellStyle name="Milliers 2 4 2 2 2 2 2 2 5 3" xfId="24803"/>
    <cellStyle name="Milliers 2 4 2 2 2 2 2 2 6" xfId="24804"/>
    <cellStyle name="Milliers 2 4 2 2 2 2 2 2 6 2" xfId="24805"/>
    <cellStyle name="Milliers 2 4 2 2 2 2 2 2 7" xfId="24806"/>
    <cellStyle name="Milliers 2 4 2 2 2 2 2 3" xfId="24807"/>
    <cellStyle name="Milliers 2 4 2 2 2 2 2 3 2" xfId="24808"/>
    <cellStyle name="Milliers 2 4 2 2 2 2 2 3 2 2" xfId="24809"/>
    <cellStyle name="Milliers 2 4 2 2 2 2 2 3 2 2 2" xfId="24810"/>
    <cellStyle name="Milliers 2 4 2 2 2 2 2 3 2 2 2 2" xfId="24811"/>
    <cellStyle name="Milliers 2 4 2 2 2 2 2 3 2 2 2 2 2" xfId="24812"/>
    <cellStyle name="Milliers 2 4 2 2 2 2 2 3 2 2 2 3" xfId="24813"/>
    <cellStyle name="Milliers 2 4 2 2 2 2 2 3 2 2 3" xfId="24814"/>
    <cellStyle name="Milliers 2 4 2 2 2 2 2 3 2 2 3 2" xfId="24815"/>
    <cellStyle name="Milliers 2 4 2 2 2 2 2 3 2 2 4" xfId="24816"/>
    <cellStyle name="Milliers 2 4 2 2 2 2 2 3 2 3" xfId="24817"/>
    <cellStyle name="Milliers 2 4 2 2 2 2 2 3 2 3 2" xfId="24818"/>
    <cellStyle name="Milliers 2 4 2 2 2 2 2 3 2 3 2 2" xfId="24819"/>
    <cellStyle name="Milliers 2 4 2 2 2 2 2 3 2 3 3" xfId="24820"/>
    <cellStyle name="Milliers 2 4 2 2 2 2 2 3 2 4" xfId="24821"/>
    <cellStyle name="Milliers 2 4 2 2 2 2 2 3 2 4 2" xfId="24822"/>
    <cellStyle name="Milliers 2 4 2 2 2 2 2 3 2 5" xfId="24823"/>
    <cellStyle name="Milliers 2 4 2 2 2 2 2 3 3" xfId="24824"/>
    <cellStyle name="Milliers 2 4 2 2 2 2 2 3 3 2" xfId="24825"/>
    <cellStyle name="Milliers 2 4 2 2 2 2 2 3 3 2 2" xfId="24826"/>
    <cellStyle name="Milliers 2 4 2 2 2 2 2 3 3 2 2 2" xfId="24827"/>
    <cellStyle name="Milliers 2 4 2 2 2 2 2 3 3 2 3" xfId="24828"/>
    <cellStyle name="Milliers 2 4 2 2 2 2 2 3 3 3" xfId="24829"/>
    <cellStyle name="Milliers 2 4 2 2 2 2 2 3 3 3 2" xfId="24830"/>
    <cellStyle name="Milliers 2 4 2 2 2 2 2 3 3 4" xfId="24831"/>
    <cellStyle name="Milliers 2 4 2 2 2 2 2 3 4" xfId="24832"/>
    <cellStyle name="Milliers 2 4 2 2 2 2 2 3 4 2" xfId="24833"/>
    <cellStyle name="Milliers 2 4 2 2 2 2 2 3 4 2 2" xfId="24834"/>
    <cellStyle name="Milliers 2 4 2 2 2 2 2 3 4 3" xfId="24835"/>
    <cellStyle name="Milliers 2 4 2 2 2 2 2 3 5" xfId="24836"/>
    <cellStyle name="Milliers 2 4 2 2 2 2 2 3 5 2" xfId="24837"/>
    <cellStyle name="Milliers 2 4 2 2 2 2 2 3 6" xfId="24838"/>
    <cellStyle name="Milliers 2 4 2 2 2 2 2 4" xfId="24839"/>
    <cellStyle name="Milliers 2 4 2 2 2 2 2 4 2" xfId="24840"/>
    <cellStyle name="Milliers 2 4 2 2 2 2 2 4 2 2" xfId="24841"/>
    <cellStyle name="Milliers 2 4 2 2 2 2 2 4 2 2 2" xfId="24842"/>
    <cellStyle name="Milliers 2 4 2 2 2 2 2 4 2 2 2 2" xfId="24843"/>
    <cellStyle name="Milliers 2 4 2 2 2 2 2 4 2 2 3" xfId="24844"/>
    <cellStyle name="Milliers 2 4 2 2 2 2 2 4 2 3" xfId="24845"/>
    <cellStyle name="Milliers 2 4 2 2 2 2 2 4 2 3 2" xfId="24846"/>
    <cellStyle name="Milliers 2 4 2 2 2 2 2 4 2 4" xfId="24847"/>
    <cellStyle name="Milliers 2 4 2 2 2 2 2 4 3" xfId="24848"/>
    <cellStyle name="Milliers 2 4 2 2 2 2 2 4 3 2" xfId="24849"/>
    <cellStyle name="Milliers 2 4 2 2 2 2 2 4 3 2 2" xfId="24850"/>
    <cellStyle name="Milliers 2 4 2 2 2 2 2 4 3 3" xfId="24851"/>
    <cellStyle name="Milliers 2 4 2 2 2 2 2 4 4" xfId="24852"/>
    <cellStyle name="Milliers 2 4 2 2 2 2 2 4 4 2" xfId="24853"/>
    <cellStyle name="Milliers 2 4 2 2 2 2 2 4 5" xfId="24854"/>
    <cellStyle name="Milliers 2 4 2 2 2 2 2 5" xfId="24855"/>
    <cellStyle name="Milliers 2 4 2 2 2 2 2 5 2" xfId="24856"/>
    <cellStyle name="Milliers 2 4 2 2 2 2 2 5 2 2" xfId="24857"/>
    <cellStyle name="Milliers 2 4 2 2 2 2 2 5 2 2 2" xfId="24858"/>
    <cellStyle name="Milliers 2 4 2 2 2 2 2 5 2 3" xfId="24859"/>
    <cellStyle name="Milliers 2 4 2 2 2 2 2 5 3" xfId="24860"/>
    <cellStyle name="Milliers 2 4 2 2 2 2 2 5 3 2" xfId="24861"/>
    <cellStyle name="Milliers 2 4 2 2 2 2 2 5 4" xfId="24862"/>
    <cellStyle name="Milliers 2 4 2 2 2 2 2 6" xfId="24863"/>
    <cellStyle name="Milliers 2 4 2 2 2 2 2 6 2" xfId="24864"/>
    <cellStyle name="Milliers 2 4 2 2 2 2 2 6 2 2" xfId="24865"/>
    <cellStyle name="Milliers 2 4 2 2 2 2 2 6 3" xfId="24866"/>
    <cellStyle name="Milliers 2 4 2 2 2 2 2 7" xfId="24867"/>
    <cellStyle name="Milliers 2 4 2 2 2 2 2 7 2" xfId="24868"/>
    <cellStyle name="Milliers 2 4 2 2 2 2 2 8" xfId="24869"/>
    <cellStyle name="Milliers 2 4 2 2 2 2 3" xfId="24870"/>
    <cellStyle name="Milliers 2 4 2 2 2 2 3 2" xfId="24871"/>
    <cellStyle name="Milliers 2 4 2 2 2 2 3 2 2" xfId="24872"/>
    <cellStyle name="Milliers 2 4 2 2 2 2 3 2 2 2" xfId="24873"/>
    <cellStyle name="Milliers 2 4 2 2 2 2 3 2 2 2 2" xfId="24874"/>
    <cellStyle name="Milliers 2 4 2 2 2 2 3 2 2 2 2 2" xfId="24875"/>
    <cellStyle name="Milliers 2 4 2 2 2 2 3 2 2 2 2 2 2" xfId="24876"/>
    <cellStyle name="Milliers 2 4 2 2 2 2 3 2 2 2 2 3" xfId="24877"/>
    <cellStyle name="Milliers 2 4 2 2 2 2 3 2 2 2 3" xfId="24878"/>
    <cellStyle name="Milliers 2 4 2 2 2 2 3 2 2 2 3 2" xfId="24879"/>
    <cellStyle name="Milliers 2 4 2 2 2 2 3 2 2 2 4" xfId="24880"/>
    <cellStyle name="Milliers 2 4 2 2 2 2 3 2 2 3" xfId="24881"/>
    <cellStyle name="Milliers 2 4 2 2 2 2 3 2 2 3 2" xfId="24882"/>
    <cellStyle name="Milliers 2 4 2 2 2 2 3 2 2 3 2 2" xfId="24883"/>
    <cellStyle name="Milliers 2 4 2 2 2 2 3 2 2 3 3" xfId="24884"/>
    <cellStyle name="Milliers 2 4 2 2 2 2 3 2 2 4" xfId="24885"/>
    <cellStyle name="Milliers 2 4 2 2 2 2 3 2 2 4 2" xfId="24886"/>
    <cellStyle name="Milliers 2 4 2 2 2 2 3 2 2 5" xfId="24887"/>
    <cellStyle name="Milliers 2 4 2 2 2 2 3 2 3" xfId="24888"/>
    <cellStyle name="Milliers 2 4 2 2 2 2 3 2 3 2" xfId="24889"/>
    <cellStyle name="Milliers 2 4 2 2 2 2 3 2 3 2 2" xfId="24890"/>
    <cellStyle name="Milliers 2 4 2 2 2 2 3 2 3 2 2 2" xfId="24891"/>
    <cellStyle name="Milliers 2 4 2 2 2 2 3 2 3 2 3" xfId="24892"/>
    <cellStyle name="Milliers 2 4 2 2 2 2 3 2 3 3" xfId="24893"/>
    <cellStyle name="Milliers 2 4 2 2 2 2 3 2 3 3 2" xfId="24894"/>
    <cellStyle name="Milliers 2 4 2 2 2 2 3 2 3 4" xfId="24895"/>
    <cellStyle name="Milliers 2 4 2 2 2 2 3 2 4" xfId="24896"/>
    <cellStyle name="Milliers 2 4 2 2 2 2 3 2 4 2" xfId="24897"/>
    <cellStyle name="Milliers 2 4 2 2 2 2 3 2 4 2 2" xfId="24898"/>
    <cellStyle name="Milliers 2 4 2 2 2 2 3 2 4 3" xfId="24899"/>
    <cellStyle name="Milliers 2 4 2 2 2 2 3 2 5" xfId="24900"/>
    <cellStyle name="Milliers 2 4 2 2 2 2 3 2 5 2" xfId="24901"/>
    <cellStyle name="Milliers 2 4 2 2 2 2 3 2 6" xfId="24902"/>
    <cellStyle name="Milliers 2 4 2 2 2 2 3 3" xfId="24903"/>
    <cellStyle name="Milliers 2 4 2 2 2 2 3 3 2" xfId="24904"/>
    <cellStyle name="Milliers 2 4 2 2 2 2 3 3 2 2" xfId="24905"/>
    <cellStyle name="Milliers 2 4 2 2 2 2 3 3 2 2 2" xfId="24906"/>
    <cellStyle name="Milliers 2 4 2 2 2 2 3 3 2 2 2 2" xfId="24907"/>
    <cellStyle name="Milliers 2 4 2 2 2 2 3 3 2 2 3" xfId="24908"/>
    <cellStyle name="Milliers 2 4 2 2 2 2 3 3 2 3" xfId="24909"/>
    <cellStyle name="Milliers 2 4 2 2 2 2 3 3 2 3 2" xfId="24910"/>
    <cellStyle name="Milliers 2 4 2 2 2 2 3 3 2 4" xfId="24911"/>
    <cellStyle name="Milliers 2 4 2 2 2 2 3 3 3" xfId="24912"/>
    <cellStyle name="Milliers 2 4 2 2 2 2 3 3 3 2" xfId="24913"/>
    <cellStyle name="Milliers 2 4 2 2 2 2 3 3 3 2 2" xfId="24914"/>
    <cellStyle name="Milliers 2 4 2 2 2 2 3 3 3 3" xfId="24915"/>
    <cellStyle name="Milliers 2 4 2 2 2 2 3 3 4" xfId="24916"/>
    <cellStyle name="Milliers 2 4 2 2 2 2 3 3 4 2" xfId="24917"/>
    <cellStyle name="Milliers 2 4 2 2 2 2 3 3 5" xfId="24918"/>
    <cellStyle name="Milliers 2 4 2 2 2 2 3 4" xfId="24919"/>
    <cellStyle name="Milliers 2 4 2 2 2 2 3 4 2" xfId="24920"/>
    <cellStyle name="Milliers 2 4 2 2 2 2 3 4 2 2" xfId="24921"/>
    <cellStyle name="Milliers 2 4 2 2 2 2 3 4 2 2 2" xfId="24922"/>
    <cellStyle name="Milliers 2 4 2 2 2 2 3 4 2 3" xfId="24923"/>
    <cellStyle name="Milliers 2 4 2 2 2 2 3 4 3" xfId="24924"/>
    <cellStyle name="Milliers 2 4 2 2 2 2 3 4 3 2" xfId="24925"/>
    <cellStyle name="Milliers 2 4 2 2 2 2 3 4 4" xfId="24926"/>
    <cellStyle name="Milliers 2 4 2 2 2 2 3 5" xfId="24927"/>
    <cellStyle name="Milliers 2 4 2 2 2 2 3 5 2" xfId="24928"/>
    <cellStyle name="Milliers 2 4 2 2 2 2 3 5 2 2" xfId="24929"/>
    <cellStyle name="Milliers 2 4 2 2 2 2 3 5 3" xfId="24930"/>
    <cellStyle name="Milliers 2 4 2 2 2 2 3 6" xfId="24931"/>
    <cellStyle name="Milliers 2 4 2 2 2 2 3 6 2" xfId="24932"/>
    <cellStyle name="Milliers 2 4 2 2 2 2 3 7" xfId="24933"/>
    <cellStyle name="Milliers 2 4 2 2 2 2 4" xfId="24934"/>
    <cellStyle name="Milliers 2 4 2 2 2 2 4 2" xfId="24935"/>
    <cellStyle name="Milliers 2 4 2 2 2 2 4 2 2" xfId="24936"/>
    <cellStyle name="Milliers 2 4 2 2 2 2 4 2 2 2" xfId="24937"/>
    <cellStyle name="Milliers 2 4 2 2 2 2 4 2 2 2 2" xfId="24938"/>
    <cellStyle name="Milliers 2 4 2 2 2 2 4 2 2 2 2 2" xfId="24939"/>
    <cellStyle name="Milliers 2 4 2 2 2 2 4 2 2 2 3" xfId="24940"/>
    <cellStyle name="Milliers 2 4 2 2 2 2 4 2 2 3" xfId="24941"/>
    <cellStyle name="Milliers 2 4 2 2 2 2 4 2 2 3 2" xfId="24942"/>
    <cellStyle name="Milliers 2 4 2 2 2 2 4 2 2 4" xfId="24943"/>
    <cellStyle name="Milliers 2 4 2 2 2 2 4 2 3" xfId="24944"/>
    <cellStyle name="Milliers 2 4 2 2 2 2 4 2 3 2" xfId="24945"/>
    <cellStyle name="Milliers 2 4 2 2 2 2 4 2 3 2 2" xfId="24946"/>
    <cellStyle name="Milliers 2 4 2 2 2 2 4 2 3 3" xfId="24947"/>
    <cellStyle name="Milliers 2 4 2 2 2 2 4 2 4" xfId="24948"/>
    <cellStyle name="Milliers 2 4 2 2 2 2 4 2 4 2" xfId="24949"/>
    <cellStyle name="Milliers 2 4 2 2 2 2 4 2 5" xfId="24950"/>
    <cellStyle name="Milliers 2 4 2 2 2 2 4 3" xfId="24951"/>
    <cellStyle name="Milliers 2 4 2 2 2 2 4 3 2" xfId="24952"/>
    <cellStyle name="Milliers 2 4 2 2 2 2 4 3 2 2" xfId="24953"/>
    <cellStyle name="Milliers 2 4 2 2 2 2 4 3 2 2 2" xfId="24954"/>
    <cellStyle name="Milliers 2 4 2 2 2 2 4 3 2 3" xfId="24955"/>
    <cellStyle name="Milliers 2 4 2 2 2 2 4 3 3" xfId="24956"/>
    <cellStyle name="Milliers 2 4 2 2 2 2 4 3 3 2" xfId="24957"/>
    <cellStyle name="Milliers 2 4 2 2 2 2 4 3 4" xfId="24958"/>
    <cellStyle name="Milliers 2 4 2 2 2 2 4 4" xfId="24959"/>
    <cellStyle name="Milliers 2 4 2 2 2 2 4 4 2" xfId="24960"/>
    <cellStyle name="Milliers 2 4 2 2 2 2 4 4 2 2" xfId="24961"/>
    <cellStyle name="Milliers 2 4 2 2 2 2 4 4 3" xfId="24962"/>
    <cellStyle name="Milliers 2 4 2 2 2 2 4 5" xfId="24963"/>
    <cellStyle name="Milliers 2 4 2 2 2 2 4 5 2" xfId="24964"/>
    <cellStyle name="Milliers 2 4 2 2 2 2 4 6" xfId="24965"/>
    <cellStyle name="Milliers 2 4 2 2 2 2 5" xfId="24966"/>
    <cellStyle name="Milliers 2 4 2 2 2 2 5 2" xfId="24967"/>
    <cellStyle name="Milliers 2 4 2 2 2 2 5 2 2" xfId="24968"/>
    <cellStyle name="Milliers 2 4 2 2 2 2 5 2 2 2" xfId="24969"/>
    <cellStyle name="Milliers 2 4 2 2 2 2 5 2 2 2 2" xfId="24970"/>
    <cellStyle name="Milliers 2 4 2 2 2 2 5 2 2 3" xfId="24971"/>
    <cellStyle name="Milliers 2 4 2 2 2 2 5 2 3" xfId="24972"/>
    <cellStyle name="Milliers 2 4 2 2 2 2 5 2 3 2" xfId="24973"/>
    <cellStyle name="Milliers 2 4 2 2 2 2 5 2 4" xfId="24974"/>
    <cellStyle name="Milliers 2 4 2 2 2 2 5 3" xfId="24975"/>
    <cellStyle name="Milliers 2 4 2 2 2 2 5 3 2" xfId="24976"/>
    <cellStyle name="Milliers 2 4 2 2 2 2 5 3 2 2" xfId="24977"/>
    <cellStyle name="Milliers 2 4 2 2 2 2 5 3 3" xfId="24978"/>
    <cellStyle name="Milliers 2 4 2 2 2 2 5 4" xfId="24979"/>
    <cellStyle name="Milliers 2 4 2 2 2 2 5 4 2" xfId="24980"/>
    <cellStyle name="Milliers 2 4 2 2 2 2 5 5" xfId="24981"/>
    <cellStyle name="Milliers 2 4 2 2 2 2 6" xfId="24982"/>
    <cellStyle name="Milliers 2 4 2 2 2 2 6 2" xfId="24983"/>
    <cellStyle name="Milliers 2 4 2 2 2 2 6 2 2" xfId="24984"/>
    <cellStyle name="Milliers 2 4 2 2 2 2 6 2 2 2" xfId="24985"/>
    <cellStyle name="Milliers 2 4 2 2 2 2 6 2 3" xfId="24986"/>
    <cellStyle name="Milliers 2 4 2 2 2 2 6 3" xfId="24987"/>
    <cellStyle name="Milliers 2 4 2 2 2 2 6 3 2" xfId="24988"/>
    <cellStyle name="Milliers 2 4 2 2 2 2 6 4" xfId="24989"/>
    <cellStyle name="Milliers 2 4 2 2 2 2 7" xfId="24990"/>
    <cellStyle name="Milliers 2 4 2 2 2 2 7 2" xfId="24991"/>
    <cellStyle name="Milliers 2 4 2 2 2 2 7 2 2" xfId="24992"/>
    <cellStyle name="Milliers 2 4 2 2 2 2 7 3" xfId="24993"/>
    <cellStyle name="Milliers 2 4 2 2 2 2 8" xfId="24994"/>
    <cellStyle name="Milliers 2 4 2 2 2 2 8 2" xfId="24995"/>
    <cellStyle name="Milliers 2 4 2 2 2 2 9" xfId="24996"/>
    <cellStyle name="Milliers 2 4 2 2 2 3" xfId="24997"/>
    <cellStyle name="Milliers 2 4 2 2 2 3 2" xfId="24998"/>
    <cellStyle name="Milliers 2 4 2 2 2 3 2 2" xfId="24999"/>
    <cellStyle name="Milliers 2 4 2 2 2 3 2 2 2" xfId="25000"/>
    <cellStyle name="Milliers 2 4 2 2 2 3 2 2 2 2" xfId="25001"/>
    <cellStyle name="Milliers 2 4 2 2 2 3 2 2 2 2 2" xfId="25002"/>
    <cellStyle name="Milliers 2 4 2 2 2 3 2 2 2 2 2 2" xfId="25003"/>
    <cellStyle name="Milliers 2 4 2 2 2 3 2 2 2 2 2 2 2" xfId="25004"/>
    <cellStyle name="Milliers 2 4 2 2 2 3 2 2 2 2 2 3" xfId="25005"/>
    <cellStyle name="Milliers 2 4 2 2 2 3 2 2 2 2 3" xfId="25006"/>
    <cellStyle name="Milliers 2 4 2 2 2 3 2 2 2 2 3 2" xfId="25007"/>
    <cellStyle name="Milliers 2 4 2 2 2 3 2 2 2 2 4" xfId="25008"/>
    <cellStyle name="Milliers 2 4 2 2 2 3 2 2 2 3" xfId="25009"/>
    <cellStyle name="Milliers 2 4 2 2 2 3 2 2 2 3 2" xfId="25010"/>
    <cellStyle name="Milliers 2 4 2 2 2 3 2 2 2 3 2 2" xfId="25011"/>
    <cellStyle name="Milliers 2 4 2 2 2 3 2 2 2 3 3" xfId="25012"/>
    <cellStyle name="Milliers 2 4 2 2 2 3 2 2 2 4" xfId="25013"/>
    <cellStyle name="Milliers 2 4 2 2 2 3 2 2 2 4 2" xfId="25014"/>
    <cellStyle name="Milliers 2 4 2 2 2 3 2 2 2 5" xfId="25015"/>
    <cellStyle name="Milliers 2 4 2 2 2 3 2 2 3" xfId="25016"/>
    <cellStyle name="Milliers 2 4 2 2 2 3 2 2 3 2" xfId="25017"/>
    <cellStyle name="Milliers 2 4 2 2 2 3 2 2 3 2 2" xfId="25018"/>
    <cellStyle name="Milliers 2 4 2 2 2 3 2 2 3 2 2 2" xfId="25019"/>
    <cellStyle name="Milliers 2 4 2 2 2 3 2 2 3 2 3" xfId="25020"/>
    <cellStyle name="Milliers 2 4 2 2 2 3 2 2 3 3" xfId="25021"/>
    <cellStyle name="Milliers 2 4 2 2 2 3 2 2 3 3 2" xfId="25022"/>
    <cellStyle name="Milliers 2 4 2 2 2 3 2 2 3 4" xfId="25023"/>
    <cellStyle name="Milliers 2 4 2 2 2 3 2 2 4" xfId="25024"/>
    <cellStyle name="Milliers 2 4 2 2 2 3 2 2 4 2" xfId="25025"/>
    <cellStyle name="Milliers 2 4 2 2 2 3 2 2 4 2 2" xfId="25026"/>
    <cellStyle name="Milliers 2 4 2 2 2 3 2 2 4 3" xfId="25027"/>
    <cellStyle name="Milliers 2 4 2 2 2 3 2 2 5" xfId="25028"/>
    <cellStyle name="Milliers 2 4 2 2 2 3 2 2 5 2" xfId="25029"/>
    <cellStyle name="Milliers 2 4 2 2 2 3 2 2 6" xfId="25030"/>
    <cellStyle name="Milliers 2 4 2 2 2 3 2 3" xfId="25031"/>
    <cellStyle name="Milliers 2 4 2 2 2 3 2 3 2" xfId="25032"/>
    <cellStyle name="Milliers 2 4 2 2 2 3 2 3 2 2" xfId="25033"/>
    <cellStyle name="Milliers 2 4 2 2 2 3 2 3 2 2 2" xfId="25034"/>
    <cellStyle name="Milliers 2 4 2 2 2 3 2 3 2 2 2 2" xfId="25035"/>
    <cellStyle name="Milliers 2 4 2 2 2 3 2 3 2 2 3" xfId="25036"/>
    <cellStyle name="Milliers 2 4 2 2 2 3 2 3 2 3" xfId="25037"/>
    <cellStyle name="Milliers 2 4 2 2 2 3 2 3 2 3 2" xfId="25038"/>
    <cellStyle name="Milliers 2 4 2 2 2 3 2 3 2 4" xfId="25039"/>
    <cellStyle name="Milliers 2 4 2 2 2 3 2 3 3" xfId="25040"/>
    <cellStyle name="Milliers 2 4 2 2 2 3 2 3 3 2" xfId="25041"/>
    <cellStyle name="Milliers 2 4 2 2 2 3 2 3 3 2 2" xfId="25042"/>
    <cellStyle name="Milliers 2 4 2 2 2 3 2 3 3 3" xfId="25043"/>
    <cellStyle name="Milliers 2 4 2 2 2 3 2 3 4" xfId="25044"/>
    <cellStyle name="Milliers 2 4 2 2 2 3 2 3 4 2" xfId="25045"/>
    <cellStyle name="Milliers 2 4 2 2 2 3 2 3 5" xfId="25046"/>
    <cellStyle name="Milliers 2 4 2 2 2 3 2 4" xfId="25047"/>
    <cellStyle name="Milliers 2 4 2 2 2 3 2 4 2" xfId="25048"/>
    <cellStyle name="Milliers 2 4 2 2 2 3 2 4 2 2" xfId="25049"/>
    <cellStyle name="Milliers 2 4 2 2 2 3 2 4 2 2 2" xfId="25050"/>
    <cellStyle name="Milliers 2 4 2 2 2 3 2 4 2 3" xfId="25051"/>
    <cellStyle name="Milliers 2 4 2 2 2 3 2 4 3" xfId="25052"/>
    <cellStyle name="Milliers 2 4 2 2 2 3 2 4 3 2" xfId="25053"/>
    <cellStyle name="Milliers 2 4 2 2 2 3 2 4 4" xfId="25054"/>
    <cellStyle name="Milliers 2 4 2 2 2 3 2 5" xfId="25055"/>
    <cellStyle name="Milliers 2 4 2 2 2 3 2 5 2" xfId="25056"/>
    <cellStyle name="Milliers 2 4 2 2 2 3 2 5 2 2" xfId="25057"/>
    <cellStyle name="Milliers 2 4 2 2 2 3 2 5 3" xfId="25058"/>
    <cellStyle name="Milliers 2 4 2 2 2 3 2 6" xfId="25059"/>
    <cellStyle name="Milliers 2 4 2 2 2 3 2 6 2" xfId="25060"/>
    <cellStyle name="Milliers 2 4 2 2 2 3 2 7" xfId="25061"/>
    <cellStyle name="Milliers 2 4 2 2 2 3 3" xfId="25062"/>
    <cellStyle name="Milliers 2 4 2 2 2 3 3 2" xfId="25063"/>
    <cellStyle name="Milliers 2 4 2 2 2 3 3 2 2" xfId="25064"/>
    <cellStyle name="Milliers 2 4 2 2 2 3 3 2 2 2" xfId="25065"/>
    <cellStyle name="Milliers 2 4 2 2 2 3 3 2 2 2 2" xfId="25066"/>
    <cellStyle name="Milliers 2 4 2 2 2 3 3 2 2 2 2 2" xfId="25067"/>
    <cellStyle name="Milliers 2 4 2 2 2 3 3 2 2 2 3" xfId="25068"/>
    <cellStyle name="Milliers 2 4 2 2 2 3 3 2 2 3" xfId="25069"/>
    <cellStyle name="Milliers 2 4 2 2 2 3 3 2 2 3 2" xfId="25070"/>
    <cellStyle name="Milliers 2 4 2 2 2 3 3 2 2 4" xfId="25071"/>
    <cellStyle name="Milliers 2 4 2 2 2 3 3 2 3" xfId="25072"/>
    <cellStyle name="Milliers 2 4 2 2 2 3 3 2 3 2" xfId="25073"/>
    <cellStyle name="Milliers 2 4 2 2 2 3 3 2 3 2 2" xfId="25074"/>
    <cellStyle name="Milliers 2 4 2 2 2 3 3 2 3 3" xfId="25075"/>
    <cellStyle name="Milliers 2 4 2 2 2 3 3 2 4" xfId="25076"/>
    <cellStyle name="Milliers 2 4 2 2 2 3 3 2 4 2" xfId="25077"/>
    <cellStyle name="Milliers 2 4 2 2 2 3 3 2 5" xfId="25078"/>
    <cellStyle name="Milliers 2 4 2 2 2 3 3 3" xfId="25079"/>
    <cellStyle name="Milliers 2 4 2 2 2 3 3 3 2" xfId="25080"/>
    <cellStyle name="Milliers 2 4 2 2 2 3 3 3 2 2" xfId="25081"/>
    <cellStyle name="Milliers 2 4 2 2 2 3 3 3 2 2 2" xfId="25082"/>
    <cellStyle name="Milliers 2 4 2 2 2 3 3 3 2 3" xfId="25083"/>
    <cellStyle name="Milliers 2 4 2 2 2 3 3 3 3" xfId="25084"/>
    <cellStyle name="Milliers 2 4 2 2 2 3 3 3 3 2" xfId="25085"/>
    <cellStyle name="Milliers 2 4 2 2 2 3 3 3 4" xfId="25086"/>
    <cellStyle name="Milliers 2 4 2 2 2 3 3 4" xfId="25087"/>
    <cellStyle name="Milliers 2 4 2 2 2 3 3 4 2" xfId="25088"/>
    <cellStyle name="Milliers 2 4 2 2 2 3 3 4 2 2" xfId="25089"/>
    <cellStyle name="Milliers 2 4 2 2 2 3 3 4 3" xfId="25090"/>
    <cellStyle name="Milliers 2 4 2 2 2 3 3 5" xfId="25091"/>
    <cellStyle name="Milliers 2 4 2 2 2 3 3 5 2" xfId="25092"/>
    <cellStyle name="Milliers 2 4 2 2 2 3 3 6" xfId="25093"/>
    <cellStyle name="Milliers 2 4 2 2 2 3 4" xfId="25094"/>
    <cellStyle name="Milliers 2 4 2 2 2 3 4 2" xfId="25095"/>
    <cellStyle name="Milliers 2 4 2 2 2 3 4 2 2" xfId="25096"/>
    <cellStyle name="Milliers 2 4 2 2 2 3 4 2 2 2" xfId="25097"/>
    <cellStyle name="Milliers 2 4 2 2 2 3 4 2 2 2 2" xfId="25098"/>
    <cellStyle name="Milliers 2 4 2 2 2 3 4 2 2 3" xfId="25099"/>
    <cellStyle name="Milliers 2 4 2 2 2 3 4 2 3" xfId="25100"/>
    <cellStyle name="Milliers 2 4 2 2 2 3 4 2 3 2" xfId="25101"/>
    <cellStyle name="Milliers 2 4 2 2 2 3 4 2 4" xfId="25102"/>
    <cellStyle name="Milliers 2 4 2 2 2 3 4 3" xfId="25103"/>
    <cellStyle name="Milliers 2 4 2 2 2 3 4 3 2" xfId="25104"/>
    <cellStyle name="Milliers 2 4 2 2 2 3 4 3 2 2" xfId="25105"/>
    <cellStyle name="Milliers 2 4 2 2 2 3 4 3 3" xfId="25106"/>
    <cellStyle name="Milliers 2 4 2 2 2 3 4 4" xfId="25107"/>
    <cellStyle name="Milliers 2 4 2 2 2 3 4 4 2" xfId="25108"/>
    <cellStyle name="Milliers 2 4 2 2 2 3 4 5" xfId="25109"/>
    <cellStyle name="Milliers 2 4 2 2 2 3 5" xfId="25110"/>
    <cellStyle name="Milliers 2 4 2 2 2 3 5 2" xfId="25111"/>
    <cellStyle name="Milliers 2 4 2 2 2 3 5 2 2" xfId="25112"/>
    <cellStyle name="Milliers 2 4 2 2 2 3 5 2 2 2" xfId="25113"/>
    <cellStyle name="Milliers 2 4 2 2 2 3 5 2 3" xfId="25114"/>
    <cellStyle name="Milliers 2 4 2 2 2 3 5 3" xfId="25115"/>
    <cellStyle name="Milliers 2 4 2 2 2 3 5 3 2" xfId="25116"/>
    <cellStyle name="Milliers 2 4 2 2 2 3 5 4" xfId="25117"/>
    <cellStyle name="Milliers 2 4 2 2 2 3 6" xfId="25118"/>
    <cellStyle name="Milliers 2 4 2 2 2 3 6 2" xfId="25119"/>
    <cellStyle name="Milliers 2 4 2 2 2 3 6 2 2" xfId="25120"/>
    <cellStyle name="Milliers 2 4 2 2 2 3 6 3" xfId="25121"/>
    <cellStyle name="Milliers 2 4 2 2 2 3 7" xfId="25122"/>
    <cellStyle name="Milliers 2 4 2 2 2 3 7 2" xfId="25123"/>
    <cellStyle name="Milliers 2 4 2 2 2 3 8" xfId="25124"/>
    <cellStyle name="Milliers 2 4 2 2 2 4" xfId="25125"/>
    <cellStyle name="Milliers 2 4 2 2 2 4 2" xfId="25126"/>
    <cellStyle name="Milliers 2 4 2 2 2 4 2 2" xfId="25127"/>
    <cellStyle name="Milliers 2 4 2 2 2 4 2 2 2" xfId="25128"/>
    <cellStyle name="Milliers 2 4 2 2 2 4 2 2 2 2" xfId="25129"/>
    <cellStyle name="Milliers 2 4 2 2 2 4 2 2 2 2 2" xfId="25130"/>
    <cellStyle name="Milliers 2 4 2 2 2 4 2 2 2 2 2 2" xfId="25131"/>
    <cellStyle name="Milliers 2 4 2 2 2 4 2 2 2 2 3" xfId="25132"/>
    <cellStyle name="Milliers 2 4 2 2 2 4 2 2 2 3" xfId="25133"/>
    <cellStyle name="Milliers 2 4 2 2 2 4 2 2 2 3 2" xfId="25134"/>
    <cellStyle name="Milliers 2 4 2 2 2 4 2 2 2 4" xfId="25135"/>
    <cellStyle name="Milliers 2 4 2 2 2 4 2 2 3" xfId="25136"/>
    <cellStyle name="Milliers 2 4 2 2 2 4 2 2 3 2" xfId="25137"/>
    <cellStyle name="Milliers 2 4 2 2 2 4 2 2 3 2 2" xfId="25138"/>
    <cellStyle name="Milliers 2 4 2 2 2 4 2 2 3 3" xfId="25139"/>
    <cellStyle name="Milliers 2 4 2 2 2 4 2 2 4" xfId="25140"/>
    <cellStyle name="Milliers 2 4 2 2 2 4 2 2 4 2" xfId="25141"/>
    <cellStyle name="Milliers 2 4 2 2 2 4 2 2 5" xfId="25142"/>
    <cellStyle name="Milliers 2 4 2 2 2 4 2 3" xfId="25143"/>
    <cellStyle name="Milliers 2 4 2 2 2 4 2 3 2" xfId="25144"/>
    <cellStyle name="Milliers 2 4 2 2 2 4 2 3 2 2" xfId="25145"/>
    <cellStyle name="Milliers 2 4 2 2 2 4 2 3 2 2 2" xfId="25146"/>
    <cellStyle name="Milliers 2 4 2 2 2 4 2 3 2 3" xfId="25147"/>
    <cellStyle name="Milliers 2 4 2 2 2 4 2 3 3" xfId="25148"/>
    <cellStyle name="Milliers 2 4 2 2 2 4 2 3 3 2" xfId="25149"/>
    <cellStyle name="Milliers 2 4 2 2 2 4 2 3 4" xfId="25150"/>
    <cellStyle name="Milliers 2 4 2 2 2 4 2 4" xfId="25151"/>
    <cellStyle name="Milliers 2 4 2 2 2 4 2 4 2" xfId="25152"/>
    <cellStyle name="Milliers 2 4 2 2 2 4 2 4 2 2" xfId="25153"/>
    <cellStyle name="Milliers 2 4 2 2 2 4 2 4 3" xfId="25154"/>
    <cellStyle name="Milliers 2 4 2 2 2 4 2 5" xfId="25155"/>
    <cellStyle name="Milliers 2 4 2 2 2 4 2 5 2" xfId="25156"/>
    <cellStyle name="Milliers 2 4 2 2 2 4 2 6" xfId="25157"/>
    <cellStyle name="Milliers 2 4 2 2 2 4 3" xfId="25158"/>
    <cellStyle name="Milliers 2 4 2 2 2 4 3 2" xfId="25159"/>
    <cellStyle name="Milliers 2 4 2 2 2 4 3 2 2" xfId="25160"/>
    <cellStyle name="Milliers 2 4 2 2 2 4 3 2 2 2" xfId="25161"/>
    <cellStyle name="Milliers 2 4 2 2 2 4 3 2 2 2 2" xfId="25162"/>
    <cellStyle name="Milliers 2 4 2 2 2 4 3 2 2 3" xfId="25163"/>
    <cellStyle name="Milliers 2 4 2 2 2 4 3 2 3" xfId="25164"/>
    <cellStyle name="Milliers 2 4 2 2 2 4 3 2 3 2" xfId="25165"/>
    <cellStyle name="Milliers 2 4 2 2 2 4 3 2 4" xfId="25166"/>
    <cellStyle name="Milliers 2 4 2 2 2 4 3 3" xfId="25167"/>
    <cellStyle name="Milliers 2 4 2 2 2 4 3 3 2" xfId="25168"/>
    <cellStyle name="Milliers 2 4 2 2 2 4 3 3 2 2" xfId="25169"/>
    <cellStyle name="Milliers 2 4 2 2 2 4 3 3 3" xfId="25170"/>
    <cellStyle name="Milliers 2 4 2 2 2 4 3 4" xfId="25171"/>
    <cellStyle name="Milliers 2 4 2 2 2 4 3 4 2" xfId="25172"/>
    <cellStyle name="Milliers 2 4 2 2 2 4 3 5" xfId="25173"/>
    <cellStyle name="Milliers 2 4 2 2 2 4 4" xfId="25174"/>
    <cellStyle name="Milliers 2 4 2 2 2 4 4 2" xfId="25175"/>
    <cellStyle name="Milliers 2 4 2 2 2 4 4 2 2" xfId="25176"/>
    <cellStyle name="Milliers 2 4 2 2 2 4 4 2 2 2" xfId="25177"/>
    <cellStyle name="Milliers 2 4 2 2 2 4 4 2 3" xfId="25178"/>
    <cellStyle name="Milliers 2 4 2 2 2 4 4 3" xfId="25179"/>
    <cellStyle name="Milliers 2 4 2 2 2 4 4 3 2" xfId="25180"/>
    <cellStyle name="Milliers 2 4 2 2 2 4 4 4" xfId="25181"/>
    <cellStyle name="Milliers 2 4 2 2 2 4 5" xfId="25182"/>
    <cellStyle name="Milliers 2 4 2 2 2 4 5 2" xfId="25183"/>
    <cellStyle name="Milliers 2 4 2 2 2 4 5 2 2" xfId="25184"/>
    <cellStyle name="Milliers 2 4 2 2 2 4 5 3" xfId="25185"/>
    <cellStyle name="Milliers 2 4 2 2 2 4 6" xfId="25186"/>
    <cellStyle name="Milliers 2 4 2 2 2 4 6 2" xfId="25187"/>
    <cellStyle name="Milliers 2 4 2 2 2 4 7" xfId="25188"/>
    <cellStyle name="Milliers 2 4 2 2 2 5" xfId="25189"/>
    <cellStyle name="Milliers 2 4 2 2 2 5 2" xfId="25190"/>
    <cellStyle name="Milliers 2 4 2 2 2 5 2 2" xfId="25191"/>
    <cellStyle name="Milliers 2 4 2 2 2 5 2 2 2" xfId="25192"/>
    <cellStyle name="Milliers 2 4 2 2 2 5 2 2 2 2" xfId="25193"/>
    <cellStyle name="Milliers 2 4 2 2 2 5 2 2 2 2 2" xfId="25194"/>
    <cellStyle name="Milliers 2 4 2 2 2 5 2 2 2 3" xfId="25195"/>
    <cellStyle name="Milliers 2 4 2 2 2 5 2 2 3" xfId="25196"/>
    <cellStyle name="Milliers 2 4 2 2 2 5 2 2 3 2" xfId="25197"/>
    <cellStyle name="Milliers 2 4 2 2 2 5 2 2 4" xfId="25198"/>
    <cellStyle name="Milliers 2 4 2 2 2 5 2 3" xfId="25199"/>
    <cellStyle name="Milliers 2 4 2 2 2 5 2 3 2" xfId="25200"/>
    <cellStyle name="Milliers 2 4 2 2 2 5 2 3 2 2" xfId="25201"/>
    <cellStyle name="Milliers 2 4 2 2 2 5 2 3 3" xfId="25202"/>
    <cellStyle name="Milliers 2 4 2 2 2 5 2 4" xfId="25203"/>
    <cellStyle name="Milliers 2 4 2 2 2 5 2 4 2" xfId="25204"/>
    <cellStyle name="Milliers 2 4 2 2 2 5 2 5" xfId="25205"/>
    <cellStyle name="Milliers 2 4 2 2 2 5 3" xfId="25206"/>
    <cellStyle name="Milliers 2 4 2 2 2 5 3 2" xfId="25207"/>
    <cellStyle name="Milliers 2 4 2 2 2 5 3 2 2" xfId="25208"/>
    <cellStyle name="Milliers 2 4 2 2 2 5 3 2 2 2" xfId="25209"/>
    <cellStyle name="Milliers 2 4 2 2 2 5 3 2 3" xfId="25210"/>
    <cellStyle name="Milliers 2 4 2 2 2 5 3 3" xfId="25211"/>
    <cellStyle name="Milliers 2 4 2 2 2 5 3 3 2" xfId="25212"/>
    <cellStyle name="Milliers 2 4 2 2 2 5 3 4" xfId="25213"/>
    <cellStyle name="Milliers 2 4 2 2 2 5 4" xfId="25214"/>
    <cellStyle name="Milliers 2 4 2 2 2 5 4 2" xfId="25215"/>
    <cellStyle name="Milliers 2 4 2 2 2 5 4 2 2" xfId="25216"/>
    <cellStyle name="Milliers 2 4 2 2 2 5 4 3" xfId="25217"/>
    <cellStyle name="Milliers 2 4 2 2 2 5 5" xfId="25218"/>
    <cellStyle name="Milliers 2 4 2 2 2 5 5 2" xfId="25219"/>
    <cellStyle name="Milliers 2 4 2 2 2 5 6" xfId="25220"/>
    <cellStyle name="Milliers 2 4 2 2 2 6" xfId="25221"/>
    <cellStyle name="Milliers 2 4 2 2 2 6 2" xfId="25222"/>
    <cellStyle name="Milliers 2 4 2 2 2 6 2 2" xfId="25223"/>
    <cellStyle name="Milliers 2 4 2 2 2 6 2 2 2" xfId="25224"/>
    <cellStyle name="Milliers 2 4 2 2 2 6 2 2 2 2" xfId="25225"/>
    <cellStyle name="Milliers 2 4 2 2 2 6 2 2 3" xfId="25226"/>
    <cellStyle name="Milliers 2 4 2 2 2 6 2 3" xfId="25227"/>
    <cellStyle name="Milliers 2 4 2 2 2 6 2 3 2" xfId="25228"/>
    <cellStyle name="Milliers 2 4 2 2 2 6 2 4" xfId="25229"/>
    <cellStyle name="Milliers 2 4 2 2 2 6 3" xfId="25230"/>
    <cellStyle name="Milliers 2 4 2 2 2 6 3 2" xfId="25231"/>
    <cellStyle name="Milliers 2 4 2 2 2 6 3 2 2" xfId="25232"/>
    <cellStyle name="Milliers 2 4 2 2 2 6 3 3" xfId="25233"/>
    <cellStyle name="Milliers 2 4 2 2 2 6 4" xfId="25234"/>
    <cellStyle name="Milliers 2 4 2 2 2 6 4 2" xfId="25235"/>
    <cellStyle name="Milliers 2 4 2 2 2 6 5" xfId="25236"/>
    <cellStyle name="Milliers 2 4 2 2 2 7" xfId="25237"/>
    <cellStyle name="Milliers 2 4 2 2 2 7 2" xfId="25238"/>
    <cellStyle name="Milliers 2 4 2 2 2 7 2 2" xfId="25239"/>
    <cellStyle name="Milliers 2 4 2 2 2 7 2 2 2" xfId="25240"/>
    <cellStyle name="Milliers 2 4 2 2 2 7 2 3" xfId="25241"/>
    <cellStyle name="Milliers 2 4 2 2 2 7 3" xfId="25242"/>
    <cellStyle name="Milliers 2 4 2 2 2 7 3 2" xfId="25243"/>
    <cellStyle name="Milliers 2 4 2 2 2 7 4" xfId="25244"/>
    <cellStyle name="Milliers 2 4 2 2 2 8" xfId="25245"/>
    <cellStyle name="Milliers 2 4 2 2 2 8 2" xfId="25246"/>
    <cellStyle name="Milliers 2 4 2 2 2 8 2 2" xfId="25247"/>
    <cellStyle name="Milliers 2 4 2 2 2 8 3" xfId="25248"/>
    <cellStyle name="Milliers 2 4 2 2 2 9" xfId="25249"/>
    <cellStyle name="Milliers 2 4 2 2 2 9 2" xfId="25250"/>
    <cellStyle name="Milliers 2 4 2 2 3" xfId="25251"/>
    <cellStyle name="Milliers 2 4 2 2 3 2" xfId="25252"/>
    <cellStyle name="Milliers 2 4 2 2 3 2 2" xfId="25253"/>
    <cellStyle name="Milliers 2 4 2 2 3 2 2 2" xfId="25254"/>
    <cellStyle name="Milliers 2 4 2 2 3 2 2 2 2" xfId="25255"/>
    <cellStyle name="Milliers 2 4 2 2 3 2 2 2 2 2" xfId="25256"/>
    <cellStyle name="Milliers 2 4 2 2 3 2 2 2 2 2 2" xfId="25257"/>
    <cellStyle name="Milliers 2 4 2 2 3 2 2 2 2 2 2 2" xfId="25258"/>
    <cellStyle name="Milliers 2 4 2 2 3 2 2 2 2 2 2 2 2" xfId="25259"/>
    <cellStyle name="Milliers 2 4 2 2 3 2 2 2 2 2 2 3" xfId="25260"/>
    <cellStyle name="Milliers 2 4 2 2 3 2 2 2 2 2 3" xfId="25261"/>
    <cellStyle name="Milliers 2 4 2 2 3 2 2 2 2 2 3 2" xfId="25262"/>
    <cellStyle name="Milliers 2 4 2 2 3 2 2 2 2 2 4" xfId="25263"/>
    <cellStyle name="Milliers 2 4 2 2 3 2 2 2 2 3" xfId="25264"/>
    <cellStyle name="Milliers 2 4 2 2 3 2 2 2 2 3 2" xfId="25265"/>
    <cellStyle name="Milliers 2 4 2 2 3 2 2 2 2 3 2 2" xfId="25266"/>
    <cellStyle name="Milliers 2 4 2 2 3 2 2 2 2 3 3" xfId="25267"/>
    <cellStyle name="Milliers 2 4 2 2 3 2 2 2 2 4" xfId="25268"/>
    <cellStyle name="Milliers 2 4 2 2 3 2 2 2 2 4 2" xfId="25269"/>
    <cellStyle name="Milliers 2 4 2 2 3 2 2 2 2 5" xfId="25270"/>
    <cellStyle name="Milliers 2 4 2 2 3 2 2 2 3" xfId="25271"/>
    <cellStyle name="Milliers 2 4 2 2 3 2 2 2 3 2" xfId="25272"/>
    <cellStyle name="Milliers 2 4 2 2 3 2 2 2 3 2 2" xfId="25273"/>
    <cellStyle name="Milliers 2 4 2 2 3 2 2 2 3 2 2 2" xfId="25274"/>
    <cellStyle name="Milliers 2 4 2 2 3 2 2 2 3 2 3" xfId="25275"/>
    <cellStyle name="Milliers 2 4 2 2 3 2 2 2 3 3" xfId="25276"/>
    <cellStyle name="Milliers 2 4 2 2 3 2 2 2 3 3 2" xfId="25277"/>
    <cellStyle name="Milliers 2 4 2 2 3 2 2 2 3 4" xfId="25278"/>
    <cellStyle name="Milliers 2 4 2 2 3 2 2 2 4" xfId="25279"/>
    <cellStyle name="Milliers 2 4 2 2 3 2 2 2 4 2" xfId="25280"/>
    <cellStyle name="Milliers 2 4 2 2 3 2 2 2 4 2 2" xfId="25281"/>
    <cellStyle name="Milliers 2 4 2 2 3 2 2 2 4 3" xfId="25282"/>
    <cellStyle name="Milliers 2 4 2 2 3 2 2 2 5" xfId="25283"/>
    <cellStyle name="Milliers 2 4 2 2 3 2 2 2 5 2" xfId="25284"/>
    <cellStyle name="Milliers 2 4 2 2 3 2 2 2 6" xfId="25285"/>
    <cellStyle name="Milliers 2 4 2 2 3 2 2 3" xfId="25286"/>
    <cellStyle name="Milliers 2 4 2 2 3 2 2 3 2" xfId="25287"/>
    <cellStyle name="Milliers 2 4 2 2 3 2 2 3 2 2" xfId="25288"/>
    <cellStyle name="Milliers 2 4 2 2 3 2 2 3 2 2 2" xfId="25289"/>
    <cellStyle name="Milliers 2 4 2 2 3 2 2 3 2 2 2 2" xfId="25290"/>
    <cellStyle name="Milliers 2 4 2 2 3 2 2 3 2 2 3" xfId="25291"/>
    <cellStyle name="Milliers 2 4 2 2 3 2 2 3 2 3" xfId="25292"/>
    <cellStyle name="Milliers 2 4 2 2 3 2 2 3 2 3 2" xfId="25293"/>
    <cellStyle name="Milliers 2 4 2 2 3 2 2 3 2 4" xfId="25294"/>
    <cellStyle name="Milliers 2 4 2 2 3 2 2 3 3" xfId="25295"/>
    <cellStyle name="Milliers 2 4 2 2 3 2 2 3 3 2" xfId="25296"/>
    <cellStyle name="Milliers 2 4 2 2 3 2 2 3 3 2 2" xfId="25297"/>
    <cellStyle name="Milliers 2 4 2 2 3 2 2 3 3 3" xfId="25298"/>
    <cellStyle name="Milliers 2 4 2 2 3 2 2 3 4" xfId="25299"/>
    <cellStyle name="Milliers 2 4 2 2 3 2 2 3 4 2" xfId="25300"/>
    <cellStyle name="Milliers 2 4 2 2 3 2 2 3 5" xfId="25301"/>
    <cellStyle name="Milliers 2 4 2 2 3 2 2 4" xfId="25302"/>
    <cellStyle name="Milliers 2 4 2 2 3 2 2 4 2" xfId="25303"/>
    <cellStyle name="Milliers 2 4 2 2 3 2 2 4 2 2" xfId="25304"/>
    <cellStyle name="Milliers 2 4 2 2 3 2 2 4 2 2 2" xfId="25305"/>
    <cellStyle name="Milliers 2 4 2 2 3 2 2 4 2 3" xfId="25306"/>
    <cellStyle name="Milliers 2 4 2 2 3 2 2 4 3" xfId="25307"/>
    <cellStyle name="Milliers 2 4 2 2 3 2 2 4 3 2" xfId="25308"/>
    <cellStyle name="Milliers 2 4 2 2 3 2 2 4 4" xfId="25309"/>
    <cellStyle name="Milliers 2 4 2 2 3 2 2 5" xfId="25310"/>
    <cellStyle name="Milliers 2 4 2 2 3 2 2 5 2" xfId="25311"/>
    <cellStyle name="Milliers 2 4 2 2 3 2 2 5 2 2" xfId="25312"/>
    <cellStyle name="Milliers 2 4 2 2 3 2 2 5 3" xfId="25313"/>
    <cellStyle name="Milliers 2 4 2 2 3 2 2 6" xfId="25314"/>
    <cellStyle name="Milliers 2 4 2 2 3 2 2 6 2" xfId="25315"/>
    <cellStyle name="Milliers 2 4 2 2 3 2 2 7" xfId="25316"/>
    <cellStyle name="Milliers 2 4 2 2 3 2 3" xfId="25317"/>
    <cellStyle name="Milliers 2 4 2 2 3 2 3 2" xfId="25318"/>
    <cellStyle name="Milliers 2 4 2 2 3 2 3 2 2" xfId="25319"/>
    <cellStyle name="Milliers 2 4 2 2 3 2 3 2 2 2" xfId="25320"/>
    <cellStyle name="Milliers 2 4 2 2 3 2 3 2 2 2 2" xfId="25321"/>
    <cellStyle name="Milliers 2 4 2 2 3 2 3 2 2 2 2 2" xfId="25322"/>
    <cellStyle name="Milliers 2 4 2 2 3 2 3 2 2 2 3" xfId="25323"/>
    <cellStyle name="Milliers 2 4 2 2 3 2 3 2 2 3" xfId="25324"/>
    <cellStyle name="Milliers 2 4 2 2 3 2 3 2 2 3 2" xfId="25325"/>
    <cellStyle name="Milliers 2 4 2 2 3 2 3 2 2 4" xfId="25326"/>
    <cellStyle name="Milliers 2 4 2 2 3 2 3 2 3" xfId="25327"/>
    <cellStyle name="Milliers 2 4 2 2 3 2 3 2 3 2" xfId="25328"/>
    <cellStyle name="Milliers 2 4 2 2 3 2 3 2 3 2 2" xfId="25329"/>
    <cellStyle name="Milliers 2 4 2 2 3 2 3 2 3 3" xfId="25330"/>
    <cellStyle name="Milliers 2 4 2 2 3 2 3 2 4" xfId="25331"/>
    <cellStyle name="Milliers 2 4 2 2 3 2 3 2 4 2" xfId="25332"/>
    <cellStyle name="Milliers 2 4 2 2 3 2 3 2 5" xfId="25333"/>
    <cellStyle name="Milliers 2 4 2 2 3 2 3 3" xfId="25334"/>
    <cellStyle name="Milliers 2 4 2 2 3 2 3 3 2" xfId="25335"/>
    <cellStyle name="Milliers 2 4 2 2 3 2 3 3 2 2" xfId="25336"/>
    <cellStyle name="Milliers 2 4 2 2 3 2 3 3 2 2 2" xfId="25337"/>
    <cellStyle name="Milliers 2 4 2 2 3 2 3 3 2 3" xfId="25338"/>
    <cellStyle name="Milliers 2 4 2 2 3 2 3 3 3" xfId="25339"/>
    <cellStyle name="Milliers 2 4 2 2 3 2 3 3 3 2" xfId="25340"/>
    <cellStyle name="Milliers 2 4 2 2 3 2 3 3 4" xfId="25341"/>
    <cellStyle name="Milliers 2 4 2 2 3 2 3 4" xfId="25342"/>
    <cellStyle name="Milliers 2 4 2 2 3 2 3 4 2" xfId="25343"/>
    <cellStyle name="Milliers 2 4 2 2 3 2 3 4 2 2" xfId="25344"/>
    <cellStyle name="Milliers 2 4 2 2 3 2 3 4 3" xfId="25345"/>
    <cellStyle name="Milliers 2 4 2 2 3 2 3 5" xfId="25346"/>
    <cellStyle name="Milliers 2 4 2 2 3 2 3 5 2" xfId="25347"/>
    <cellStyle name="Milliers 2 4 2 2 3 2 3 6" xfId="25348"/>
    <cellStyle name="Milliers 2 4 2 2 3 2 4" xfId="25349"/>
    <cellStyle name="Milliers 2 4 2 2 3 2 4 2" xfId="25350"/>
    <cellStyle name="Milliers 2 4 2 2 3 2 4 2 2" xfId="25351"/>
    <cellStyle name="Milliers 2 4 2 2 3 2 4 2 2 2" xfId="25352"/>
    <cellStyle name="Milliers 2 4 2 2 3 2 4 2 2 2 2" xfId="25353"/>
    <cellStyle name="Milliers 2 4 2 2 3 2 4 2 2 3" xfId="25354"/>
    <cellStyle name="Milliers 2 4 2 2 3 2 4 2 3" xfId="25355"/>
    <cellStyle name="Milliers 2 4 2 2 3 2 4 2 3 2" xfId="25356"/>
    <cellStyle name="Milliers 2 4 2 2 3 2 4 2 4" xfId="25357"/>
    <cellStyle name="Milliers 2 4 2 2 3 2 4 3" xfId="25358"/>
    <cellStyle name="Milliers 2 4 2 2 3 2 4 3 2" xfId="25359"/>
    <cellStyle name="Milliers 2 4 2 2 3 2 4 3 2 2" xfId="25360"/>
    <cellStyle name="Milliers 2 4 2 2 3 2 4 3 3" xfId="25361"/>
    <cellStyle name="Milliers 2 4 2 2 3 2 4 4" xfId="25362"/>
    <cellStyle name="Milliers 2 4 2 2 3 2 4 4 2" xfId="25363"/>
    <cellStyle name="Milliers 2 4 2 2 3 2 4 5" xfId="25364"/>
    <cellStyle name="Milliers 2 4 2 2 3 2 5" xfId="25365"/>
    <cellStyle name="Milliers 2 4 2 2 3 2 5 2" xfId="25366"/>
    <cellStyle name="Milliers 2 4 2 2 3 2 5 2 2" xfId="25367"/>
    <cellStyle name="Milliers 2 4 2 2 3 2 5 2 2 2" xfId="25368"/>
    <cellStyle name="Milliers 2 4 2 2 3 2 5 2 3" xfId="25369"/>
    <cellStyle name="Milliers 2 4 2 2 3 2 5 3" xfId="25370"/>
    <cellStyle name="Milliers 2 4 2 2 3 2 5 3 2" xfId="25371"/>
    <cellStyle name="Milliers 2 4 2 2 3 2 5 4" xfId="25372"/>
    <cellStyle name="Milliers 2 4 2 2 3 2 6" xfId="25373"/>
    <cellStyle name="Milliers 2 4 2 2 3 2 6 2" xfId="25374"/>
    <cellStyle name="Milliers 2 4 2 2 3 2 6 2 2" xfId="25375"/>
    <cellStyle name="Milliers 2 4 2 2 3 2 6 3" xfId="25376"/>
    <cellStyle name="Milliers 2 4 2 2 3 2 7" xfId="25377"/>
    <cellStyle name="Milliers 2 4 2 2 3 2 7 2" xfId="25378"/>
    <cellStyle name="Milliers 2 4 2 2 3 2 8" xfId="25379"/>
    <cellStyle name="Milliers 2 4 2 2 3 3" xfId="25380"/>
    <cellStyle name="Milliers 2 4 2 2 3 3 2" xfId="25381"/>
    <cellStyle name="Milliers 2 4 2 2 3 3 2 2" xfId="25382"/>
    <cellStyle name="Milliers 2 4 2 2 3 3 2 2 2" xfId="25383"/>
    <cellStyle name="Milliers 2 4 2 2 3 3 2 2 2 2" xfId="25384"/>
    <cellStyle name="Milliers 2 4 2 2 3 3 2 2 2 2 2" xfId="25385"/>
    <cellStyle name="Milliers 2 4 2 2 3 3 2 2 2 2 2 2" xfId="25386"/>
    <cellStyle name="Milliers 2 4 2 2 3 3 2 2 2 2 3" xfId="25387"/>
    <cellStyle name="Milliers 2 4 2 2 3 3 2 2 2 3" xfId="25388"/>
    <cellStyle name="Milliers 2 4 2 2 3 3 2 2 2 3 2" xfId="25389"/>
    <cellStyle name="Milliers 2 4 2 2 3 3 2 2 2 4" xfId="25390"/>
    <cellStyle name="Milliers 2 4 2 2 3 3 2 2 3" xfId="25391"/>
    <cellStyle name="Milliers 2 4 2 2 3 3 2 2 3 2" xfId="25392"/>
    <cellStyle name="Milliers 2 4 2 2 3 3 2 2 3 2 2" xfId="25393"/>
    <cellStyle name="Milliers 2 4 2 2 3 3 2 2 3 3" xfId="25394"/>
    <cellStyle name="Milliers 2 4 2 2 3 3 2 2 4" xfId="25395"/>
    <cellStyle name="Milliers 2 4 2 2 3 3 2 2 4 2" xfId="25396"/>
    <cellStyle name="Milliers 2 4 2 2 3 3 2 2 5" xfId="25397"/>
    <cellStyle name="Milliers 2 4 2 2 3 3 2 3" xfId="25398"/>
    <cellStyle name="Milliers 2 4 2 2 3 3 2 3 2" xfId="25399"/>
    <cellStyle name="Milliers 2 4 2 2 3 3 2 3 2 2" xfId="25400"/>
    <cellStyle name="Milliers 2 4 2 2 3 3 2 3 2 2 2" xfId="25401"/>
    <cellStyle name="Milliers 2 4 2 2 3 3 2 3 2 3" xfId="25402"/>
    <cellStyle name="Milliers 2 4 2 2 3 3 2 3 3" xfId="25403"/>
    <cellStyle name="Milliers 2 4 2 2 3 3 2 3 3 2" xfId="25404"/>
    <cellStyle name="Milliers 2 4 2 2 3 3 2 3 4" xfId="25405"/>
    <cellStyle name="Milliers 2 4 2 2 3 3 2 4" xfId="25406"/>
    <cellStyle name="Milliers 2 4 2 2 3 3 2 4 2" xfId="25407"/>
    <cellStyle name="Milliers 2 4 2 2 3 3 2 4 2 2" xfId="25408"/>
    <cellStyle name="Milliers 2 4 2 2 3 3 2 4 3" xfId="25409"/>
    <cellStyle name="Milliers 2 4 2 2 3 3 2 5" xfId="25410"/>
    <cellStyle name="Milliers 2 4 2 2 3 3 2 5 2" xfId="25411"/>
    <cellStyle name="Milliers 2 4 2 2 3 3 2 6" xfId="25412"/>
    <cellStyle name="Milliers 2 4 2 2 3 3 3" xfId="25413"/>
    <cellStyle name="Milliers 2 4 2 2 3 3 3 2" xfId="25414"/>
    <cellStyle name="Milliers 2 4 2 2 3 3 3 2 2" xfId="25415"/>
    <cellStyle name="Milliers 2 4 2 2 3 3 3 2 2 2" xfId="25416"/>
    <cellStyle name="Milliers 2 4 2 2 3 3 3 2 2 2 2" xfId="25417"/>
    <cellStyle name="Milliers 2 4 2 2 3 3 3 2 2 3" xfId="25418"/>
    <cellStyle name="Milliers 2 4 2 2 3 3 3 2 3" xfId="25419"/>
    <cellStyle name="Milliers 2 4 2 2 3 3 3 2 3 2" xfId="25420"/>
    <cellStyle name="Milliers 2 4 2 2 3 3 3 2 4" xfId="25421"/>
    <cellStyle name="Milliers 2 4 2 2 3 3 3 3" xfId="25422"/>
    <cellStyle name="Milliers 2 4 2 2 3 3 3 3 2" xfId="25423"/>
    <cellStyle name="Milliers 2 4 2 2 3 3 3 3 2 2" xfId="25424"/>
    <cellStyle name="Milliers 2 4 2 2 3 3 3 3 3" xfId="25425"/>
    <cellStyle name="Milliers 2 4 2 2 3 3 3 4" xfId="25426"/>
    <cellStyle name="Milliers 2 4 2 2 3 3 3 4 2" xfId="25427"/>
    <cellStyle name="Milliers 2 4 2 2 3 3 3 5" xfId="25428"/>
    <cellStyle name="Milliers 2 4 2 2 3 3 4" xfId="25429"/>
    <cellStyle name="Milliers 2 4 2 2 3 3 4 2" xfId="25430"/>
    <cellStyle name="Milliers 2 4 2 2 3 3 4 2 2" xfId="25431"/>
    <cellStyle name="Milliers 2 4 2 2 3 3 4 2 2 2" xfId="25432"/>
    <cellStyle name="Milliers 2 4 2 2 3 3 4 2 3" xfId="25433"/>
    <cellStyle name="Milliers 2 4 2 2 3 3 4 3" xfId="25434"/>
    <cellStyle name="Milliers 2 4 2 2 3 3 4 3 2" xfId="25435"/>
    <cellStyle name="Milliers 2 4 2 2 3 3 4 4" xfId="25436"/>
    <cellStyle name="Milliers 2 4 2 2 3 3 5" xfId="25437"/>
    <cellStyle name="Milliers 2 4 2 2 3 3 5 2" xfId="25438"/>
    <cellStyle name="Milliers 2 4 2 2 3 3 5 2 2" xfId="25439"/>
    <cellStyle name="Milliers 2 4 2 2 3 3 5 3" xfId="25440"/>
    <cellStyle name="Milliers 2 4 2 2 3 3 6" xfId="25441"/>
    <cellStyle name="Milliers 2 4 2 2 3 3 6 2" xfId="25442"/>
    <cellStyle name="Milliers 2 4 2 2 3 3 7" xfId="25443"/>
    <cellStyle name="Milliers 2 4 2 2 3 4" xfId="25444"/>
    <cellStyle name="Milliers 2 4 2 2 3 4 2" xfId="25445"/>
    <cellStyle name="Milliers 2 4 2 2 3 4 2 2" xfId="25446"/>
    <cellStyle name="Milliers 2 4 2 2 3 4 2 2 2" xfId="25447"/>
    <cellStyle name="Milliers 2 4 2 2 3 4 2 2 2 2" xfId="25448"/>
    <cellStyle name="Milliers 2 4 2 2 3 4 2 2 2 2 2" xfId="25449"/>
    <cellStyle name="Milliers 2 4 2 2 3 4 2 2 2 3" xfId="25450"/>
    <cellStyle name="Milliers 2 4 2 2 3 4 2 2 3" xfId="25451"/>
    <cellStyle name="Milliers 2 4 2 2 3 4 2 2 3 2" xfId="25452"/>
    <cellStyle name="Milliers 2 4 2 2 3 4 2 2 4" xfId="25453"/>
    <cellStyle name="Milliers 2 4 2 2 3 4 2 3" xfId="25454"/>
    <cellStyle name="Milliers 2 4 2 2 3 4 2 3 2" xfId="25455"/>
    <cellStyle name="Milliers 2 4 2 2 3 4 2 3 2 2" xfId="25456"/>
    <cellStyle name="Milliers 2 4 2 2 3 4 2 3 3" xfId="25457"/>
    <cellStyle name="Milliers 2 4 2 2 3 4 2 4" xfId="25458"/>
    <cellStyle name="Milliers 2 4 2 2 3 4 2 4 2" xfId="25459"/>
    <cellStyle name="Milliers 2 4 2 2 3 4 2 5" xfId="25460"/>
    <cellStyle name="Milliers 2 4 2 2 3 4 3" xfId="25461"/>
    <cellStyle name="Milliers 2 4 2 2 3 4 3 2" xfId="25462"/>
    <cellStyle name="Milliers 2 4 2 2 3 4 3 2 2" xfId="25463"/>
    <cellStyle name="Milliers 2 4 2 2 3 4 3 2 2 2" xfId="25464"/>
    <cellStyle name="Milliers 2 4 2 2 3 4 3 2 3" xfId="25465"/>
    <cellStyle name="Milliers 2 4 2 2 3 4 3 3" xfId="25466"/>
    <cellStyle name="Milliers 2 4 2 2 3 4 3 3 2" xfId="25467"/>
    <cellStyle name="Milliers 2 4 2 2 3 4 3 4" xfId="25468"/>
    <cellStyle name="Milliers 2 4 2 2 3 4 4" xfId="25469"/>
    <cellStyle name="Milliers 2 4 2 2 3 4 4 2" xfId="25470"/>
    <cellStyle name="Milliers 2 4 2 2 3 4 4 2 2" xfId="25471"/>
    <cellStyle name="Milliers 2 4 2 2 3 4 4 3" xfId="25472"/>
    <cellStyle name="Milliers 2 4 2 2 3 4 5" xfId="25473"/>
    <cellStyle name="Milliers 2 4 2 2 3 4 5 2" xfId="25474"/>
    <cellStyle name="Milliers 2 4 2 2 3 4 6" xfId="25475"/>
    <cellStyle name="Milliers 2 4 2 2 3 5" xfId="25476"/>
    <cellStyle name="Milliers 2 4 2 2 3 5 2" xfId="25477"/>
    <cellStyle name="Milliers 2 4 2 2 3 5 2 2" xfId="25478"/>
    <cellStyle name="Milliers 2 4 2 2 3 5 2 2 2" xfId="25479"/>
    <cellStyle name="Milliers 2 4 2 2 3 5 2 2 2 2" xfId="25480"/>
    <cellStyle name="Milliers 2 4 2 2 3 5 2 2 3" xfId="25481"/>
    <cellStyle name="Milliers 2 4 2 2 3 5 2 3" xfId="25482"/>
    <cellStyle name="Milliers 2 4 2 2 3 5 2 3 2" xfId="25483"/>
    <cellStyle name="Milliers 2 4 2 2 3 5 2 4" xfId="25484"/>
    <cellStyle name="Milliers 2 4 2 2 3 5 3" xfId="25485"/>
    <cellStyle name="Milliers 2 4 2 2 3 5 3 2" xfId="25486"/>
    <cellStyle name="Milliers 2 4 2 2 3 5 3 2 2" xfId="25487"/>
    <cellStyle name="Milliers 2 4 2 2 3 5 3 3" xfId="25488"/>
    <cellStyle name="Milliers 2 4 2 2 3 5 4" xfId="25489"/>
    <cellStyle name="Milliers 2 4 2 2 3 5 4 2" xfId="25490"/>
    <cellStyle name="Milliers 2 4 2 2 3 5 5" xfId="25491"/>
    <cellStyle name="Milliers 2 4 2 2 3 6" xfId="25492"/>
    <cellStyle name="Milliers 2 4 2 2 3 6 2" xfId="25493"/>
    <cellStyle name="Milliers 2 4 2 2 3 6 2 2" xfId="25494"/>
    <cellStyle name="Milliers 2 4 2 2 3 6 2 2 2" xfId="25495"/>
    <cellStyle name="Milliers 2 4 2 2 3 6 2 3" xfId="25496"/>
    <cellStyle name="Milliers 2 4 2 2 3 6 3" xfId="25497"/>
    <cellStyle name="Milliers 2 4 2 2 3 6 3 2" xfId="25498"/>
    <cellStyle name="Milliers 2 4 2 2 3 6 4" xfId="25499"/>
    <cellStyle name="Milliers 2 4 2 2 3 7" xfId="25500"/>
    <cellStyle name="Milliers 2 4 2 2 3 7 2" xfId="25501"/>
    <cellStyle name="Milliers 2 4 2 2 3 7 2 2" xfId="25502"/>
    <cellStyle name="Milliers 2 4 2 2 3 7 3" xfId="25503"/>
    <cellStyle name="Milliers 2 4 2 2 3 8" xfId="25504"/>
    <cellStyle name="Milliers 2 4 2 2 3 8 2" xfId="25505"/>
    <cellStyle name="Milliers 2 4 2 2 3 9" xfId="25506"/>
    <cellStyle name="Milliers 2 4 2 2 4" xfId="25507"/>
    <cellStyle name="Milliers 2 4 2 2 4 2" xfId="25508"/>
    <cellStyle name="Milliers 2 4 2 2 4 2 2" xfId="25509"/>
    <cellStyle name="Milliers 2 4 2 2 4 2 2 2" xfId="25510"/>
    <cellStyle name="Milliers 2 4 2 2 4 2 2 2 2" xfId="25511"/>
    <cellStyle name="Milliers 2 4 2 2 4 2 2 2 2 2" xfId="25512"/>
    <cellStyle name="Milliers 2 4 2 2 4 2 2 2 2 2 2" xfId="25513"/>
    <cellStyle name="Milliers 2 4 2 2 4 2 2 2 2 2 2 2" xfId="25514"/>
    <cellStyle name="Milliers 2 4 2 2 4 2 2 2 2 2 3" xfId="25515"/>
    <cellStyle name="Milliers 2 4 2 2 4 2 2 2 2 3" xfId="25516"/>
    <cellStyle name="Milliers 2 4 2 2 4 2 2 2 2 3 2" xfId="25517"/>
    <cellStyle name="Milliers 2 4 2 2 4 2 2 2 2 4" xfId="25518"/>
    <cellStyle name="Milliers 2 4 2 2 4 2 2 2 3" xfId="25519"/>
    <cellStyle name="Milliers 2 4 2 2 4 2 2 2 3 2" xfId="25520"/>
    <cellStyle name="Milliers 2 4 2 2 4 2 2 2 3 2 2" xfId="25521"/>
    <cellStyle name="Milliers 2 4 2 2 4 2 2 2 3 3" xfId="25522"/>
    <cellStyle name="Milliers 2 4 2 2 4 2 2 2 4" xfId="25523"/>
    <cellStyle name="Milliers 2 4 2 2 4 2 2 2 4 2" xfId="25524"/>
    <cellStyle name="Milliers 2 4 2 2 4 2 2 2 5" xfId="25525"/>
    <cellStyle name="Milliers 2 4 2 2 4 2 2 3" xfId="25526"/>
    <cellStyle name="Milliers 2 4 2 2 4 2 2 3 2" xfId="25527"/>
    <cellStyle name="Milliers 2 4 2 2 4 2 2 3 2 2" xfId="25528"/>
    <cellStyle name="Milliers 2 4 2 2 4 2 2 3 2 2 2" xfId="25529"/>
    <cellStyle name="Milliers 2 4 2 2 4 2 2 3 2 3" xfId="25530"/>
    <cellStyle name="Milliers 2 4 2 2 4 2 2 3 3" xfId="25531"/>
    <cellStyle name="Milliers 2 4 2 2 4 2 2 3 3 2" xfId="25532"/>
    <cellStyle name="Milliers 2 4 2 2 4 2 2 3 4" xfId="25533"/>
    <cellStyle name="Milliers 2 4 2 2 4 2 2 4" xfId="25534"/>
    <cellStyle name="Milliers 2 4 2 2 4 2 2 4 2" xfId="25535"/>
    <cellStyle name="Milliers 2 4 2 2 4 2 2 4 2 2" xfId="25536"/>
    <cellStyle name="Milliers 2 4 2 2 4 2 2 4 3" xfId="25537"/>
    <cellStyle name="Milliers 2 4 2 2 4 2 2 5" xfId="25538"/>
    <cellStyle name="Milliers 2 4 2 2 4 2 2 5 2" xfId="25539"/>
    <cellStyle name="Milliers 2 4 2 2 4 2 2 6" xfId="25540"/>
    <cellStyle name="Milliers 2 4 2 2 4 2 3" xfId="25541"/>
    <cellStyle name="Milliers 2 4 2 2 4 2 3 2" xfId="25542"/>
    <cellStyle name="Milliers 2 4 2 2 4 2 3 2 2" xfId="25543"/>
    <cellStyle name="Milliers 2 4 2 2 4 2 3 2 2 2" xfId="25544"/>
    <cellStyle name="Milliers 2 4 2 2 4 2 3 2 2 2 2" xfId="25545"/>
    <cellStyle name="Milliers 2 4 2 2 4 2 3 2 2 3" xfId="25546"/>
    <cellStyle name="Milliers 2 4 2 2 4 2 3 2 3" xfId="25547"/>
    <cellStyle name="Milliers 2 4 2 2 4 2 3 2 3 2" xfId="25548"/>
    <cellStyle name="Milliers 2 4 2 2 4 2 3 2 4" xfId="25549"/>
    <cellStyle name="Milliers 2 4 2 2 4 2 3 3" xfId="25550"/>
    <cellStyle name="Milliers 2 4 2 2 4 2 3 3 2" xfId="25551"/>
    <cellStyle name="Milliers 2 4 2 2 4 2 3 3 2 2" xfId="25552"/>
    <cellStyle name="Milliers 2 4 2 2 4 2 3 3 3" xfId="25553"/>
    <cellStyle name="Milliers 2 4 2 2 4 2 3 4" xfId="25554"/>
    <cellStyle name="Milliers 2 4 2 2 4 2 3 4 2" xfId="25555"/>
    <cellStyle name="Milliers 2 4 2 2 4 2 3 5" xfId="25556"/>
    <cellStyle name="Milliers 2 4 2 2 4 2 4" xfId="25557"/>
    <cellStyle name="Milliers 2 4 2 2 4 2 4 2" xfId="25558"/>
    <cellStyle name="Milliers 2 4 2 2 4 2 4 2 2" xfId="25559"/>
    <cellStyle name="Milliers 2 4 2 2 4 2 4 2 2 2" xfId="25560"/>
    <cellStyle name="Milliers 2 4 2 2 4 2 4 2 3" xfId="25561"/>
    <cellStyle name="Milliers 2 4 2 2 4 2 4 3" xfId="25562"/>
    <cellStyle name="Milliers 2 4 2 2 4 2 4 3 2" xfId="25563"/>
    <cellStyle name="Milliers 2 4 2 2 4 2 4 4" xfId="25564"/>
    <cellStyle name="Milliers 2 4 2 2 4 2 5" xfId="25565"/>
    <cellStyle name="Milliers 2 4 2 2 4 2 5 2" xfId="25566"/>
    <cellStyle name="Milliers 2 4 2 2 4 2 5 2 2" xfId="25567"/>
    <cellStyle name="Milliers 2 4 2 2 4 2 5 3" xfId="25568"/>
    <cellStyle name="Milliers 2 4 2 2 4 2 6" xfId="25569"/>
    <cellStyle name="Milliers 2 4 2 2 4 2 6 2" xfId="25570"/>
    <cellStyle name="Milliers 2 4 2 2 4 2 7" xfId="25571"/>
    <cellStyle name="Milliers 2 4 2 2 4 3" xfId="25572"/>
    <cellStyle name="Milliers 2 4 2 2 4 3 2" xfId="25573"/>
    <cellStyle name="Milliers 2 4 2 2 4 3 2 2" xfId="25574"/>
    <cellStyle name="Milliers 2 4 2 2 4 3 2 2 2" xfId="25575"/>
    <cellStyle name="Milliers 2 4 2 2 4 3 2 2 2 2" xfId="25576"/>
    <cellStyle name="Milliers 2 4 2 2 4 3 2 2 2 2 2" xfId="25577"/>
    <cellStyle name="Milliers 2 4 2 2 4 3 2 2 2 3" xfId="25578"/>
    <cellStyle name="Milliers 2 4 2 2 4 3 2 2 3" xfId="25579"/>
    <cellStyle name="Milliers 2 4 2 2 4 3 2 2 3 2" xfId="25580"/>
    <cellStyle name="Milliers 2 4 2 2 4 3 2 2 4" xfId="25581"/>
    <cellStyle name="Milliers 2 4 2 2 4 3 2 3" xfId="25582"/>
    <cellStyle name="Milliers 2 4 2 2 4 3 2 3 2" xfId="25583"/>
    <cellStyle name="Milliers 2 4 2 2 4 3 2 3 2 2" xfId="25584"/>
    <cellStyle name="Milliers 2 4 2 2 4 3 2 3 3" xfId="25585"/>
    <cellStyle name="Milliers 2 4 2 2 4 3 2 4" xfId="25586"/>
    <cellStyle name="Milliers 2 4 2 2 4 3 2 4 2" xfId="25587"/>
    <cellStyle name="Milliers 2 4 2 2 4 3 2 5" xfId="25588"/>
    <cellStyle name="Milliers 2 4 2 2 4 3 3" xfId="25589"/>
    <cellStyle name="Milliers 2 4 2 2 4 3 3 2" xfId="25590"/>
    <cellStyle name="Milliers 2 4 2 2 4 3 3 2 2" xfId="25591"/>
    <cellStyle name="Milliers 2 4 2 2 4 3 3 2 2 2" xfId="25592"/>
    <cellStyle name="Milliers 2 4 2 2 4 3 3 2 3" xfId="25593"/>
    <cellStyle name="Milliers 2 4 2 2 4 3 3 3" xfId="25594"/>
    <cellStyle name="Milliers 2 4 2 2 4 3 3 3 2" xfId="25595"/>
    <cellStyle name="Milliers 2 4 2 2 4 3 3 4" xfId="25596"/>
    <cellStyle name="Milliers 2 4 2 2 4 3 4" xfId="25597"/>
    <cellStyle name="Milliers 2 4 2 2 4 3 4 2" xfId="25598"/>
    <cellStyle name="Milliers 2 4 2 2 4 3 4 2 2" xfId="25599"/>
    <cellStyle name="Milliers 2 4 2 2 4 3 4 3" xfId="25600"/>
    <cellStyle name="Milliers 2 4 2 2 4 3 5" xfId="25601"/>
    <cellStyle name="Milliers 2 4 2 2 4 3 5 2" xfId="25602"/>
    <cellStyle name="Milliers 2 4 2 2 4 3 6" xfId="25603"/>
    <cellStyle name="Milliers 2 4 2 2 4 4" xfId="25604"/>
    <cellStyle name="Milliers 2 4 2 2 4 4 2" xfId="25605"/>
    <cellStyle name="Milliers 2 4 2 2 4 4 2 2" xfId="25606"/>
    <cellStyle name="Milliers 2 4 2 2 4 4 2 2 2" xfId="25607"/>
    <cellStyle name="Milliers 2 4 2 2 4 4 2 2 2 2" xfId="25608"/>
    <cellStyle name="Milliers 2 4 2 2 4 4 2 2 3" xfId="25609"/>
    <cellStyle name="Milliers 2 4 2 2 4 4 2 3" xfId="25610"/>
    <cellStyle name="Milliers 2 4 2 2 4 4 2 3 2" xfId="25611"/>
    <cellStyle name="Milliers 2 4 2 2 4 4 2 4" xfId="25612"/>
    <cellStyle name="Milliers 2 4 2 2 4 4 3" xfId="25613"/>
    <cellStyle name="Milliers 2 4 2 2 4 4 3 2" xfId="25614"/>
    <cellStyle name="Milliers 2 4 2 2 4 4 3 2 2" xfId="25615"/>
    <cellStyle name="Milliers 2 4 2 2 4 4 3 3" xfId="25616"/>
    <cellStyle name="Milliers 2 4 2 2 4 4 4" xfId="25617"/>
    <cellStyle name="Milliers 2 4 2 2 4 4 4 2" xfId="25618"/>
    <cellStyle name="Milliers 2 4 2 2 4 4 5" xfId="25619"/>
    <cellStyle name="Milliers 2 4 2 2 4 5" xfId="25620"/>
    <cellStyle name="Milliers 2 4 2 2 4 5 2" xfId="25621"/>
    <cellStyle name="Milliers 2 4 2 2 4 5 2 2" xfId="25622"/>
    <cellStyle name="Milliers 2 4 2 2 4 5 2 2 2" xfId="25623"/>
    <cellStyle name="Milliers 2 4 2 2 4 5 2 3" xfId="25624"/>
    <cellStyle name="Milliers 2 4 2 2 4 5 3" xfId="25625"/>
    <cellStyle name="Milliers 2 4 2 2 4 5 3 2" xfId="25626"/>
    <cellStyle name="Milliers 2 4 2 2 4 5 4" xfId="25627"/>
    <cellStyle name="Milliers 2 4 2 2 4 6" xfId="25628"/>
    <cellStyle name="Milliers 2 4 2 2 4 6 2" xfId="25629"/>
    <cellStyle name="Milliers 2 4 2 2 4 6 2 2" xfId="25630"/>
    <cellStyle name="Milliers 2 4 2 2 4 6 3" xfId="25631"/>
    <cellStyle name="Milliers 2 4 2 2 4 7" xfId="25632"/>
    <cellStyle name="Milliers 2 4 2 2 4 7 2" xfId="25633"/>
    <cellStyle name="Milliers 2 4 2 2 4 8" xfId="25634"/>
    <cellStyle name="Milliers 2 4 2 2 5" xfId="25635"/>
    <cellStyle name="Milliers 2 4 2 2 5 2" xfId="25636"/>
    <cellStyle name="Milliers 2 4 2 2 5 2 2" xfId="25637"/>
    <cellStyle name="Milliers 2 4 2 2 5 2 2 2" xfId="25638"/>
    <cellStyle name="Milliers 2 4 2 2 5 2 2 2 2" xfId="25639"/>
    <cellStyle name="Milliers 2 4 2 2 5 2 2 2 2 2" xfId="25640"/>
    <cellStyle name="Milliers 2 4 2 2 5 2 2 2 2 2 2" xfId="25641"/>
    <cellStyle name="Milliers 2 4 2 2 5 2 2 2 2 3" xfId="25642"/>
    <cellStyle name="Milliers 2 4 2 2 5 2 2 2 3" xfId="25643"/>
    <cellStyle name="Milliers 2 4 2 2 5 2 2 2 3 2" xfId="25644"/>
    <cellStyle name="Milliers 2 4 2 2 5 2 2 2 4" xfId="25645"/>
    <cellStyle name="Milliers 2 4 2 2 5 2 2 3" xfId="25646"/>
    <cellStyle name="Milliers 2 4 2 2 5 2 2 3 2" xfId="25647"/>
    <cellStyle name="Milliers 2 4 2 2 5 2 2 3 2 2" xfId="25648"/>
    <cellStyle name="Milliers 2 4 2 2 5 2 2 3 3" xfId="25649"/>
    <cellStyle name="Milliers 2 4 2 2 5 2 2 4" xfId="25650"/>
    <cellStyle name="Milliers 2 4 2 2 5 2 2 4 2" xfId="25651"/>
    <cellStyle name="Milliers 2 4 2 2 5 2 2 5" xfId="25652"/>
    <cellStyle name="Milliers 2 4 2 2 5 2 3" xfId="25653"/>
    <cellStyle name="Milliers 2 4 2 2 5 2 3 2" xfId="25654"/>
    <cellStyle name="Milliers 2 4 2 2 5 2 3 2 2" xfId="25655"/>
    <cellStyle name="Milliers 2 4 2 2 5 2 3 2 2 2" xfId="25656"/>
    <cellStyle name="Milliers 2 4 2 2 5 2 3 2 3" xfId="25657"/>
    <cellStyle name="Milliers 2 4 2 2 5 2 3 3" xfId="25658"/>
    <cellStyle name="Milliers 2 4 2 2 5 2 3 3 2" xfId="25659"/>
    <cellStyle name="Milliers 2 4 2 2 5 2 3 4" xfId="25660"/>
    <cellStyle name="Milliers 2 4 2 2 5 2 4" xfId="25661"/>
    <cellStyle name="Milliers 2 4 2 2 5 2 4 2" xfId="25662"/>
    <cellStyle name="Milliers 2 4 2 2 5 2 4 2 2" xfId="25663"/>
    <cellStyle name="Milliers 2 4 2 2 5 2 4 3" xfId="25664"/>
    <cellStyle name="Milliers 2 4 2 2 5 2 5" xfId="25665"/>
    <cellStyle name="Milliers 2 4 2 2 5 2 5 2" xfId="25666"/>
    <cellStyle name="Milliers 2 4 2 2 5 2 6" xfId="25667"/>
    <cellStyle name="Milliers 2 4 2 2 5 3" xfId="25668"/>
    <cellStyle name="Milliers 2 4 2 2 5 3 2" xfId="25669"/>
    <cellStyle name="Milliers 2 4 2 2 5 3 2 2" xfId="25670"/>
    <cellStyle name="Milliers 2 4 2 2 5 3 2 2 2" xfId="25671"/>
    <cellStyle name="Milliers 2 4 2 2 5 3 2 2 2 2" xfId="25672"/>
    <cellStyle name="Milliers 2 4 2 2 5 3 2 2 3" xfId="25673"/>
    <cellStyle name="Milliers 2 4 2 2 5 3 2 3" xfId="25674"/>
    <cellStyle name="Milliers 2 4 2 2 5 3 2 3 2" xfId="25675"/>
    <cellStyle name="Milliers 2 4 2 2 5 3 2 4" xfId="25676"/>
    <cellStyle name="Milliers 2 4 2 2 5 3 3" xfId="25677"/>
    <cellStyle name="Milliers 2 4 2 2 5 3 3 2" xfId="25678"/>
    <cellStyle name="Milliers 2 4 2 2 5 3 3 2 2" xfId="25679"/>
    <cellStyle name="Milliers 2 4 2 2 5 3 3 3" xfId="25680"/>
    <cellStyle name="Milliers 2 4 2 2 5 3 4" xfId="25681"/>
    <cellStyle name="Milliers 2 4 2 2 5 3 4 2" xfId="25682"/>
    <cellStyle name="Milliers 2 4 2 2 5 3 5" xfId="25683"/>
    <cellStyle name="Milliers 2 4 2 2 5 4" xfId="25684"/>
    <cellStyle name="Milliers 2 4 2 2 5 4 2" xfId="25685"/>
    <cellStyle name="Milliers 2 4 2 2 5 4 2 2" xfId="25686"/>
    <cellStyle name="Milliers 2 4 2 2 5 4 2 2 2" xfId="25687"/>
    <cellStyle name="Milliers 2 4 2 2 5 4 2 3" xfId="25688"/>
    <cellStyle name="Milliers 2 4 2 2 5 4 3" xfId="25689"/>
    <cellStyle name="Milliers 2 4 2 2 5 4 3 2" xfId="25690"/>
    <cellStyle name="Milliers 2 4 2 2 5 4 4" xfId="25691"/>
    <cellStyle name="Milliers 2 4 2 2 5 5" xfId="25692"/>
    <cellStyle name="Milliers 2 4 2 2 5 5 2" xfId="25693"/>
    <cellStyle name="Milliers 2 4 2 2 5 5 2 2" xfId="25694"/>
    <cellStyle name="Milliers 2 4 2 2 5 5 3" xfId="25695"/>
    <cellStyle name="Milliers 2 4 2 2 5 6" xfId="25696"/>
    <cellStyle name="Milliers 2 4 2 2 5 6 2" xfId="25697"/>
    <cellStyle name="Milliers 2 4 2 2 5 7" xfId="25698"/>
    <cellStyle name="Milliers 2 4 2 2 6" xfId="25699"/>
    <cellStyle name="Milliers 2 4 2 2 6 2" xfId="25700"/>
    <cellStyle name="Milliers 2 4 2 2 6 2 2" xfId="25701"/>
    <cellStyle name="Milliers 2 4 2 2 6 2 2 2" xfId="25702"/>
    <cellStyle name="Milliers 2 4 2 2 6 2 2 2 2" xfId="25703"/>
    <cellStyle name="Milliers 2 4 2 2 6 2 2 2 2 2" xfId="25704"/>
    <cellStyle name="Milliers 2 4 2 2 6 2 2 2 3" xfId="25705"/>
    <cellStyle name="Milliers 2 4 2 2 6 2 2 3" xfId="25706"/>
    <cellStyle name="Milliers 2 4 2 2 6 2 2 3 2" xfId="25707"/>
    <cellStyle name="Milliers 2 4 2 2 6 2 2 4" xfId="25708"/>
    <cellStyle name="Milliers 2 4 2 2 6 2 3" xfId="25709"/>
    <cellStyle name="Milliers 2 4 2 2 6 2 3 2" xfId="25710"/>
    <cellStyle name="Milliers 2 4 2 2 6 2 3 2 2" xfId="25711"/>
    <cellStyle name="Milliers 2 4 2 2 6 2 3 3" xfId="25712"/>
    <cellStyle name="Milliers 2 4 2 2 6 2 4" xfId="25713"/>
    <cellStyle name="Milliers 2 4 2 2 6 2 4 2" xfId="25714"/>
    <cellStyle name="Milliers 2 4 2 2 6 2 5" xfId="25715"/>
    <cellStyle name="Milliers 2 4 2 2 6 3" xfId="25716"/>
    <cellStyle name="Milliers 2 4 2 2 6 3 2" xfId="25717"/>
    <cellStyle name="Milliers 2 4 2 2 6 3 2 2" xfId="25718"/>
    <cellStyle name="Milliers 2 4 2 2 6 3 2 2 2" xfId="25719"/>
    <cellStyle name="Milliers 2 4 2 2 6 3 2 3" xfId="25720"/>
    <cellStyle name="Milliers 2 4 2 2 6 3 3" xfId="25721"/>
    <cellStyle name="Milliers 2 4 2 2 6 3 3 2" xfId="25722"/>
    <cellStyle name="Milliers 2 4 2 2 6 3 4" xfId="25723"/>
    <cellStyle name="Milliers 2 4 2 2 6 4" xfId="25724"/>
    <cellStyle name="Milliers 2 4 2 2 6 4 2" xfId="25725"/>
    <cellStyle name="Milliers 2 4 2 2 6 4 2 2" xfId="25726"/>
    <cellStyle name="Milliers 2 4 2 2 6 4 3" xfId="25727"/>
    <cellStyle name="Milliers 2 4 2 2 6 5" xfId="25728"/>
    <cellStyle name="Milliers 2 4 2 2 6 5 2" xfId="25729"/>
    <cellStyle name="Milliers 2 4 2 2 6 6" xfId="25730"/>
    <cellStyle name="Milliers 2 4 2 2 7" xfId="25731"/>
    <cellStyle name="Milliers 2 4 2 2 7 2" xfId="25732"/>
    <cellStyle name="Milliers 2 4 2 2 7 2 2" xfId="25733"/>
    <cellStyle name="Milliers 2 4 2 2 7 2 2 2" xfId="25734"/>
    <cellStyle name="Milliers 2 4 2 2 7 2 2 2 2" xfId="25735"/>
    <cellStyle name="Milliers 2 4 2 2 7 2 2 3" xfId="25736"/>
    <cellStyle name="Milliers 2 4 2 2 7 2 3" xfId="25737"/>
    <cellStyle name="Milliers 2 4 2 2 7 2 3 2" xfId="25738"/>
    <cellStyle name="Milliers 2 4 2 2 7 2 4" xfId="25739"/>
    <cellStyle name="Milliers 2 4 2 2 7 3" xfId="25740"/>
    <cellStyle name="Milliers 2 4 2 2 7 3 2" xfId="25741"/>
    <cellStyle name="Milliers 2 4 2 2 7 3 2 2" xfId="25742"/>
    <cellStyle name="Milliers 2 4 2 2 7 3 3" xfId="25743"/>
    <cellStyle name="Milliers 2 4 2 2 7 4" xfId="25744"/>
    <cellStyle name="Milliers 2 4 2 2 7 4 2" xfId="25745"/>
    <cellStyle name="Milliers 2 4 2 2 7 5" xfId="25746"/>
    <cellStyle name="Milliers 2 4 2 2 8" xfId="25747"/>
    <cellStyle name="Milliers 2 4 2 2 8 2" xfId="25748"/>
    <cellStyle name="Milliers 2 4 2 2 8 2 2" xfId="25749"/>
    <cellStyle name="Milliers 2 4 2 2 8 2 2 2" xfId="25750"/>
    <cellStyle name="Milliers 2 4 2 2 8 2 3" xfId="25751"/>
    <cellStyle name="Milliers 2 4 2 2 8 3" xfId="25752"/>
    <cellStyle name="Milliers 2 4 2 2 8 3 2" xfId="25753"/>
    <cellStyle name="Milliers 2 4 2 2 8 4" xfId="25754"/>
    <cellStyle name="Milliers 2 4 2 2 9" xfId="25755"/>
    <cellStyle name="Milliers 2 4 2 2 9 2" xfId="25756"/>
    <cellStyle name="Milliers 2 4 2 2 9 2 2" xfId="25757"/>
    <cellStyle name="Milliers 2 4 2 2 9 3" xfId="25758"/>
    <cellStyle name="Milliers 2 4 2 3" xfId="25759"/>
    <cellStyle name="Milliers 2 4 2 3 10" xfId="25760"/>
    <cellStyle name="Milliers 2 4 2 3 2" xfId="25761"/>
    <cellStyle name="Milliers 2 4 2 3 2 2" xfId="25762"/>
    <cellStyle name="Milliers 2 4 2 3 2 2 2" xfId="25763"/>
    <cellStyle name="Milliers 2 4 2 3 2 2 2 2" xfId="25764"/>
    <cellStyle name="Milliers 2 4 2 3 2 2 2 2 2" xfId="25765"/>
    <cellStyle name="Milliers 2 4 2 3 2 2 2 2 2 2" xfId="25766"/>
    <cellStyle name="Milliers 2 4 2 3 2 2 2 2 2 2 2" xfId="25767"/>
    <cellStyle name="Milliers 2 4 2 3 2 2 2 2 2 2 2 2" xfId="25768"/>
    <cellStyle name="Milliers 2 4 2 3 2 2 2 2 2 2 2 2 2" xfId="25769"/>
    <cellStyle name="Milliers 2 4 2 3 2 2 2 2 2 2 2 3" xfId="25770"/>
    <cellStyle name="Milliers 2 4 2 3 2 2 2 2 2 2 3" xfId="25771"/>
    <cellStyle name="Milliers 2 4 2 3 2 2 2 2 2 2 3 2" xfId="25772"/>
    <cellStyle name="Milliers 2 4 2 3 2 2 2 2 2 2 4" xfId="25773"/>
    <cellStyle name="Milliers 2 4 2 3 2 2 2 2 2 3" xfId="25774"/>
    <cellStyle name="Milliers 2 4 2 3 2 2 2 2 2 3 2" xfId="25775"/>
    <cellStyle name="Milliers 2 4 2 3 2 2 2 2 2 3 2 2" xfId="25776"/>
    <cellStyle name="Milliers 2 4 2 3 2 2 2 2 2 3 3" xfId="25777"/>
    <cellStyle name="Milliers 2 4 2 3 2 2 2 2 2 4" xfId="25778"/>
    <cellStyle name="Milliers 2 4 2 3 2 2 2 2 2 4 2" xfId="25779"/>
    <cellStyle name="Milliers 2 4 2 3 2 2 2 2 2 5" xfId="25780"/>
    <cellStyle name="Milliers 2 4 2 3 2 2 2 2 3" xfId="25781"/>
    <cellStyle name="Milliers 2 4 2 3 2 2 2 2 3 2" xfId="25782"/>
    <cellStyle name="Milliers 2 4 2 3 2 2 2 2 3 2 2" xfId="25783"/>
    <cellStyle name="Milliers 2 4 2 3 2 2 2 2 3 2 2 2" xfId="25784"/>
    <cellStyle name="Milliers 2 4 2 3 2 2 2 2 3 2 3" xfId="25785"/>
    <cellStyle name="Milliers 2 4 2 3 2 2 2 2 3 3" xfId="25786"/>
    <cellStyle name="Milliers 2 4 2 3 2 2 2 2 3 3 2" xfId="25787"/>
    <cellStyle name="Milliers 2 4 2 3 2 2 2 2 3 4" xfId="25788"/>
    <cellStyle name="Milliers 2 4 2 3 2 2 2 2 4" xfId="25789"/>
    <cellStyle name="Milliers 2 4 2 3 2 2 2 2 4 2" xfId="25790"/>
    <cellStyle name="Milliers 2 4 2 3 2 2 2 2 4 2 2" xfId="25791"/>
    <cellStyle name="Milliers 2 4 2 3 2 2 2 2 4 3" xfId="25792"/>
    <cellStyle name="Milliers 2 4 2 3 2 2 2 2 5" xfId="25793"/>
    <cellStyle name="Milliers 2 4 2 3 2 2 2 2 5 2" xfId="25794"/>
    <cellStyle name="Milliers 2 4 2 3 2 2 2 2 6" xfId="25795"/>
    <cellStyle name="Milliers 2 4 2 3 2 2 2 3" xfId="25796"/>
    <cellStyle name="Milliers 2 4 2 3 2 2 2 3 2" xfId="25797"/>
    <cellStyle name="Milliers 2 4 2 3 2 2 2 3 2 2" xfId="25798"/>
    <cellStyle name="Milliers 2 4 2 3 2 2 2 3 2 2 2" xfId="25799"/>
    <cellStyle name="Milliers 2 4 2 3 2 2 2 3 2 2 2 2" xfId="25800"/>
    <cellStyle name="Milliers 2 4 2 3 2 2 2 3 2 2 3" xfId="25801"/>
    <cellStyle name="Milliers 2 4 2 3 2 2 2 3 2 3" xfId="25802"/>
    <cellStyle name="Milliers 2 4 2 3 2 2 2 3 2 3 2" xfId="25803"/>
    <cellStyle name="Milliers 2 4 2 3 2 2 2 3 2 4" xfId="25804"/>
    <cellStyle name="Milliers 2 4 2 3 2 2 2 3 3" xfId="25805"/>
    <cellStyle name="Milliers 2 4 2 3 2 2 2 3 3 2" xfId="25806"/>
    <cellStyle name="Milliers 2 4 2 3 2 2 2 3 3 2 2" xfId="25807"/>
    <cellStyle name="Milliers 2 4 2 3 2 2 2 3 3 3" xfId="25808"/>
    <cellStyle name="Milliers 2 4 2 3 2 2 2 3 4" xfId="25809"/>
    <cellStyle name="Milliers 2 4 2 3 2 2 2 3 4 2" xfId="25810"/>
    <cellStyle name="Milliers 2 4 2 3 2 2 2 3 5" xfId="25811"/>
    <cellStyle name="Milliers 2 4 2 3 2 2 2 4" xfId="25812"/>
    <cellStyle name="Milliers 2 4 2 3 2 2 2 4 2" xfId="25813"/>
    <cellStyle name="Milliers 2 4 2 3 2 2 2 4 2 2" xfId="25814"/>
    <cellStyle name="Milliers 2 4 2 3 2 2 2 4 2 2 2" xfId="25815"/>
    <cellStyle name="Milliers 2 4 2 3 2 2 2 4 2 3" xfId="25816"/>
    <cellStyle name="Milliers 2 4 2 3 2 2 2 4 3" xfId="25817"/>
    <cellStyle name="Milliers 2 4 2 3 2 2 2 4 3 2" xfId="25818"/>
    <cellStyle name="Milliers 2 4 2 3 2 2 2 4 4" xfId="25819"/>
    <cellStyle name="Milliers 2 4 2 3 2 2 2 5" xfId="25820"/>
    <cellStyle name="Milliers 2 4 2 3 2 2 2 5 2" xfId="25821"/>
    <cellStyle name="Milliers 2 4 2 3 2 2 2 5 2 2" xfId="25822"/>
    <cellStyle name="Milliers 2 4 2 3 2 2 2 5 3" xfId="25823"/>
    <cellStyle name="Milliers 2 4 2 3 2 2 2 6" xfId="25824"/>
    <cellStyle name="Milliers 2 4 2 3 2 2 2 6 2" xfId="25825"/>
    <cellStyle name="Milliers 2 4 2 3 2 2 2 7" xfId="25826"/>
    <cellStyle name="Milliers 2 4 2 3 2 2 3" xfId="25827"/>
    <cellStyle name="Milliers 2 4 2 3 2 2 3 2" xfId="25828"/>
    <cellStyle name="Milliers 2 4 2 3 2 2 3 2 2" xfId="25829"/>
    <cellStyle name="Milliers 2 4 2 3 2 2 3 2 2 2" xfId="25830"/>
    <cellStyle name="Milliers 2 4 2 3 2 2 3 2 2 2 2" xfId="25831"/>
    <cellStyle name="Milliers 2 4 2 3 2 2 3 2 2 2 2 2" xfId="25832"/>
    <cellStyle name="Milliers 2 4 2 3 2 2 3 2 2 2 3" xfId="25833"/>
    <cellStyle name="Milliers 2 4 2 3 2 2 3 2 2 3" xfId="25834"/>
    <cellStyle name="Milliers 2 4 2 3 2 2 3 2 2 3 2" xfId="25835"/>
    <cellStyle name="Milliers 2 4 2 3 2 2 3 2 2 4" xfId="25836"/>
    <cellStyle name="Milliers 2 4 2 3 2 2 3 2 3" xfId="25837"/>
    <cellStyle name="Milliers 2 4 2 3 2 2 3 2 3 2" xfId="25838"/>
    <cellStyle name="Milliers 2 4 2 3 2 2 3 2 3 2 2" xfId="25839"/>
    <cellStyle name="Milliers 2 4 2 3 2 2 3 2 3 3" xfId="25840"/>
    <cellStyle name="Milliers 2 4 2 3 2 2 3 2 4" xfId="25841"/>
    <cellStyle name="Milliers 2 4 2 3 2 2 3 2 4 2" xfId="25842"/>
    <cellStyle name="Milliers 2 4 2 3 2 2 3 2 5" xfId="25843"/>
    <cellStyle name="Milliers 2 4 2 3 2 2 3 3" xfId="25844"/>
    <cellStyle name="Milliers 2 4 2 3 2 2 3 3 2" xfId="25845"/>
    <cellStyle name="Milliers 2 4 2 3 2 2 3 3 2 2" xfId="25846"/>
    <cellStyle name="Milliers 2 4 2 3 2 2 3 3 2 2 2" xfId="25847"/>
    <cellStyle name="Milliers 2 4 2 3 2 2 3 3 2 3" xfId="25848"/>
    <cellStyle name="Milliers 2 4 2 3 2 2 3 3 3" xfId="25849"/>
    <cellStyle name="Milliers 2 4 2 3 2 2 3 3 3 2" xfId="25850"/>
    <cellStyle name="Milliers 2 4 2 3 2 2 3 3 4" xfId="25851"/>
    <cellStyle name="Milliers 2 4 2 3 2 2 3 4" xfId="25852"/>
    <cellStyle name="Milliers 2 4 2 3 2 2 3 4 2" xfId="25853"/>
    <cellStyle name="Milliers 2 4 2 3 2 2 3 4 2 2" xfId="25854"/>
    <cellStyle name="Milliers 2 4 2 3 2 2 3 4 3" xfId="25855"/>
    <cellStyle name="Milliers 2 4 2 3 2 2 3 5" xfId="25856"/>
    <cellStyle name="Milliers 2 4 2 3 2 2 3 5 2" xfId="25857"/>
    <cellStyle name="Milliers 2 4 2 3 2 2 3 6" xfId="25858"/>
    <cellStyle name="Milliers 2 4 2 3 2 2 4" xfId="25859"/>
    <cellStyle name="Milliers 2 4 2 3 2 2 4 2" xfId="25860"/>
    <cellStyle name="Milliers 2 4 2 3 2 2 4 2 2" xfId="25861"/>
    <cellStyle name="Milliers 2 4 2 3 2 2 4 2 2 2" xfId="25862"/>
    <cellStyle name="Milliers 2 4 2 3 2 2 4 2 2 2 2" xfId="25863"/>
    <cellStyle name="Milliers 2 4 2 3 2 2 4 2 2 3" xfId="25864"/>
    <cellStyle name="Milliers 2 4 2 3 2 2 4 2 3" xfId="25865"/>
    <cellStyle name="Milliers 2 4 2 3 2 2 4 2 3 2" xfId="25866"/>
    <cellStyle name="Milliers 2 4 2 3 2 2 4 2 4" xfId="25867"/>
    <cellStyle name="Milliers 2 4 2 3 2 2 4 3" xfId="25868"/>
    <cellStyle name="Milliers 2 4 2 3 2 2 4 3 2" xfId="25869"/>
    <cellStyle name="Milliers 2 4 2 3 2 2 4 3 2 2" xfId="25870"/>
    <cellStyle name="Milliers 2 4 2 3 2 2 4 3 3" xfId="25871"/>
    <cellStyle name="Milliers 2 4 2 3 2 2 4 4" xfId="25872"/>
    <cellStyle name="Milliers 2 4 2 3 2 2 4 4 2" xfId="25873"/>
    <cellStyle name="Milliers 2 4 2 3 2 2 4 5" xfId="25874"/>
    <cellStyle name="Milliers 2 4 2 3 2 2 5" xfId="25875"/>
    <cellStyle name="Milliers 2 4 2 3 2 2 5 2" xfId="25876"/>
    <cellStyle name="Milliers 2 4 2 3 2 2 5 2 2" xfId="25877"/>
    <cellStyle name="Milliers 2 4 2 3 2 2 5 2 2 2" xfId="25878"/>
    <cellStyle name="Milliers 2 4 2 3 2 2 5 2 3" xfId="25879"/>
    <cellStyle name="Milliers 2 4 2 3 2 2 5 3" xfId="25880"/>
    <cellStyle name="Milliers 2 4 2 3 2 2 5 3 2" xfId="25881"/>
    <cellStyle name="Milliers 2 4 2 3 2 2 5 4" xfId="25882"/>
    <cellStyle name="Milliers 2 4 2 3 2 2 6" xfId="25883"/>
    <cellStyle name="Milliers 2 4 2 3 2 2 6 2" xfId="25884"/>
    <cellStyle name="Milliers 2 4 2 3 2 2 6 2 2" xfId="25885"/>
    <cellStyle name="Milliers 2 4 2 3 2 2 6 3" xfId="25886"/>
    <cellStyle name="Milliers 2 4 2 3 2 2 7" xfId="25887"/>
    <cellStyle name="Milliers 2 4 2 3 2 2 7 2" xfId="25888"/>
    <cellStyle name="Milliers 2 4 2 3 2 2 8" xfId="25889"/>
    <cellStyle name="Milliers 2 4 2 3 2 3" xfId="25890"/>
    <cellStyle name="Milliers 2 4 2 3 2 3 2" xfId="25891"/>
    <cellStyle name="Milliers 2 4 2 3 2 3 2 2" xfId="25892"/>
    <cellStyle name="Milliers 2 4 2 3 2 3 2 2 2" xfId="25893"/>
    <cellStyle name="Milliers 2 4 2 3 2 3 2 2 2 2" xfId="25894"/>
    <cellStyle name="Milliers 2 4 2 3 2 3 2 2 2 2 2" xfId="25895"/>
    <cellStyle name="Milliers 2 4 2 3 2 3 2 2 2 2 2 2" xfId="25896"/>
    <cellStyle name="Milliers 2 4 2 3 2 3 2 2 2 2 3" xfId="25897"/>
    <cellStyle name="Milliers 2 4 2 3 2 3 2 2 2 3" xfId="25898"/>
    <cellStyle name="Milliers 2 4 2 3 2 3 2 2 2 3 2" xfId="25899"/>
    <cellStyle name="Milliers 2 4 2 3 2 3 2 2 2 4" xfId="25900"/>
    <cellStyle name="Milliers 2 4 2 3 2 3 2 2 3" xfId="25901"/>
    <cellStyle name="Milliers 2 4 2 3 2 3 2 2 3 2" xfId="25902"/>
    <cellStyle name="Milliers 2 4 2 3 2 3 2 2 3 2 2" xfId="25903"/>
    <cellStyle name="Milliers 2 4 2 3 2 3 2 2 3 3" xfId="25904"/>
    <cellStyle name="Milliers 2 4 2 3 2 3 2 2 4" xfId="25905"/>
    <cellStyle name="Milliers 2 4 2 3 2 3 2 2 4 2" xfId="25906"/>
    <cellStyle name="Milliers 2 4 2 3 2 3 2 2 5" xfId="25907"/>
    <cellStyle name="Milliers 2 4 2 3 2 3 2 3" xfId="25908"/>
    <cellStyle name="Milliers 2 4 2 3 2 3 2 3 2" xfId="25909"/>
    <cellStyle name="Milliers 2 4 2 3 2 3 2 3 2 2" xfId="25910"/>
    <cellStyle name="Milliers 2 4 2 3 2 3 2 3 2 2 2" xfId="25911"/>
    <cellStyle name="Milliers 2 4 2 3 2 3 2 3 2 3" xfId="25912"/>
    <cellStyle name="Milliers 2 4 2 3 2 3 2 3 3" xfId="25913"/>
    <cellStyle name="Milliers 2 4 2 3 2 3 2 3 3 2" xfId="25914"/>
    <cellStyle name="Milliers 2 4 2 3 2 3 2 3 4" xfId="25915"/>
    <cellStyle name="Milliers 2 4 2 3 2 3 2 4" xfId="25916"/>
    <cellStyle name="Milliers 2 4 2 3 2 3 2 4 2" xfId="25917"/>
    <cellStyle name="Milliers 2 4 2 3 2 3 2 4 2 2" xfId="25918"/>
    <cellStyle name="Milliers 2 4 2 3 2 3 2 4 3" xfId="25919"/>
    <cellStyle name="Milliers 2 4 2 3 2 3 2 5" xfId="25920"/>
    <cellStyle name="Milliers 2 4 2 3 2 3 2 5 2" xfId="25921"/>
    <cellStyle name="Milliers 2 4 2 3 2 3 2 6" xfId="25922"/>
    <cellStyle name="Milliers 2 4 2 3 2 3 3" xfId="25923"/>
    <cellStyle name="Milliers 2 4 2 3 2 3 3 2" xfId="25924"/>
    <cellStyle name="Milliers 2 4 2 3 2 3 3 2 2" xfId="25925"/>
    <cellStyle name="Milliers 2 4 2 3 2 3 3 2 2 2" xfId="25926"/>
    <cellStyle name="Milliers 2 4 2 3 2 3 3 2 2 2 2" xfId="25927"/>
    <cellStyle name="Milliers 2 4 2 3 2 3 3 2 2 3" xfId="25928"/>
    <cellStyle name="Milliers 2 4 2 3 2 3 3 2 3" xfId="25929"/>
    <cellStyle name="Milliers 2 4 2 3 2 3 3 2 3 2" xfId="25930"/>
    <cellStyle name="Milliers 2 4 2 3 2 3 3 2 4" xfId="25931"/>
    <cellStyle name="Milliers 2 4 2 3 2 3 3 3" xfId="25932"/>
    <cellStyle name="Milliers 2 4 2 3 2 3 3 3 2" xfId="25933"/>
    <cellStyle name="Milliers 2 4 2 3 2 3 3 3 2 2" xfId="25934"/>
    <cellStyle name="Milliers 2 4 2 3 2 3 3 3 3" xfId="25935"/>
    <cellStyle name="Milliers 2 4 2 3 2 3 3 4" xfId="25936"/>
    <cellStyle name="Milliers 2 4 2 3 2 3 3 4 2" xfId="25937"/>
    <cellStyle name="Milliers 2 4 2 3 2 3 3 5" xfId="25938"/>
    <cellStyle name="Milliers 2 4 2 3 2 3 4" xfId="25939"/>
    <cellStyle name="Milliers 2 4 2 3 2 3 4 2" xfId="25940"/>
    <cellStyle name="Milliers 2 4 2 3 2 3 4 2 2" xfId="25941"/>
    <cellStyle name="Milliers 2 4 2 3 2 3 4 2 2 2" xfId="25942"/>
    <cellStyle name="Milliers 2 4 2 3 2 3 4 2 3" xfId="25943"/>
    <cellStyle name="Milliers 2 4 2 3 2 3 4 3" xfId="25944"/>
    <cellStyle name="Milliers 2 4 2 3 2 3 4 3 2" xfId="25945"/>
    <cellStyle name="Milliers 2 4 2 3 2 3 4 4" xfId="25946"/>
    <cellStyle name="Milliers 2 4 2 3 2 3 5" xfId="25947"/>
    <cellStyle name="Milliers 2 4 2 3 2 3 5 2" xfId="25948"/>
    <cellStyle name="Milliers 2 4 2 3 2 3 5 2 2" xfId="25949"/>
    <cellStyle name="Milliers 2 4 2 3 2 3 5 3" xfId="25950"/>
    <cellStyle name="Milliers 2 4 2 3 2 3 6" xfId="25951"/>
    <cellStyle name="Milliers 2 4 2 3 2 3 6 2" xfId="25952"/>
    <cellStyle name="Milliers 2 4 2 3 2 3 7" xfId="25953"/>
    <cellStyle name="Milliers 2 4 2 3 2 4" xfId="25954"/>
    <cellStyle name="Milliers 2 4 2 3 2 4 2" xfId="25955"/>
    <cellStyle name="Milliers 2 4 2 3 2 4 2 2" xfId="25956"/>
    <cellStyle name="Milliers 2 4 2 3 2 4 2 2 2" xfId="25957"/>
    <cellStyle name="Milliers 2 4 2 3 2 4 2 2 2 2" xfId="25958"/>
    <cellStyle name="Milliers 2 4 2 3 2 4 2 2 2 2 2" xfId="25959"/>
    <cellStyle name="Milliers 2 4 2 3 2 4 2 2 2 3" xfId="25960"/>
    <cellStyle name="Milliers 2 4 2 3 2 4 2 2 3" xfId="25961"/>
    <cellStyle name="Milliers 2 4 2 3 2 4 2 2 3 2" xfId="25962"/>
    <cellStyle name="Milliers 2 4 2 3 2 4 2 2 4" xfId="25963"/>
    <cellStyle name="Milliers 2 4 2 3 2 4 2 3" xfId="25964"/>
    <cellStyle name="Milliers 2 4 2 3 2 4 2 3 2" xfId="25965"/>
    <cellStyle name="Milliers 2 4 2 3 2 4 2 3 2 2" xfId="25966"/>
    <cellStyle name="Milliers 2 4 2 3 2 4 2 3 3" xfId="25967"/>
    <cellStyle name="Milliers 2 4 2 3 2 4 2 4" xfId="25968"/>
    <cellStyle name="Milliers 2 4 2 3 2 4 2 4 2" xfId="25969"/>
    <cellStyle name="Milliers 2 4 2 3 2 4 2 5" xfId="25970"/>
    <cellStyle name="Milliers 2 4 2 3 2 4 3" xfId="25971"/>
    <cellStyle name="Milliers 2 4 2 3 2 4 3 2" xfId="25972"/>
    <cellStyle name="Milliers 2 4 2 3 2 4 3 2 2" xfId="25973"/>
    <cellStyle name="Milliers 2 4 2 3 2 4 3 2 2 2" xfId="25974"/>
    <cellStyle name="Milliers 2 4 2 3 2 4 3 2 3" xfId="25975"/>
    <cellStyle name="Milliers 2 4 2 3 2 4 3 3" xfId="25976"/>
    <cellStyle name="Milliers 2 4 2 3 2 4 3 3 2" xfId="25977"/>
    <cellStyle name="Milliers 2 4 2 3 2 4 3 4" xfId="25978"/>
    <cellStyle name="Milliers 2 4 2 3 2 4 4" xfId="25979"/>
    <cellStyle name="Milliers 2 4 2 3 2 4 4 2" xfId="25980"/>
    <cellStyle name="Milliers 2 4 2 3 2 4 4 2 2" xfId="25981"/>
    <cellStyle name="Milliers 2 4 2 3 2 4 4 3" xfId="25982"/>
    <cellStyle name="Milliers 2 4 2 3 2 4 5" xfId="25983"/>
    <cellStyle name="Milliers 2 4 2 3 2 4 5 2" xfId="25984"/>
    <cellStyle name="Milliers 2 4 2 3 2 4 6" xfId="25985"/>
    <cellStyle name="Milliers 2 4 2 3 2 5" xfId="25986"/>
    <cellStyle name="Milliers 2 4 2 3 2 5 2" xfId="25987"/>
    <cellStyle name="Milliers 2 4 2 3 2 5 2 2" xfId="25988"/>
    <cellStyle name="Milliers 2 4 2 3 2 5 2 2 2" xfId="25989"/>
    <cellStyle name="Milliers 2 4 2 3 2 5 2 2 2 2" xfId="25990"/>
    <cellStyle name="Milliers 2 4 2 3 2 5 2 2 3" xfId="25991"/>
    <cellStyle name="Milliers 2 4 2 3 2 5 2 3" xfId="25992"/>
    <cellStyle name="Milliers 2 4 2 3 2 5 2 3 2" xfId="25993"/>
    <cellStyle name="Milliers 2 4 2 3 2 5 2 4" xfId="25994"/>
    <cellStyle name="Milliers 2 4 2 3 2 5 3" xfId="25995"/>
    <cellStyle name="Milliers 2 4 2 3 2 5 3 2" xfId="25996"/>
    <cellStyle name="Milliers 2 4 2 3 2 5 3 2 2" xfId="25997"/>
    <cellStyle name="Milliers 2 4 2 3 2 5 3 3" xfId="25998"/>
    <cellStyle name="Milliers 2 4 2 3 2 5 4" xfId="25999"/>
    <cellStyle name="Milliers 2 4 2 3 2 5 4 2" xfId="26000"/>
    <cellStyle name="Milliers 2 4 2 3 2 5 5" xfId="26001"/>
    <cellStyle name="Milliers 2 4 2 3 2 6" xfId="26002"/>
    <cellStyle name="Milliers 2 4 2 3 2 6 2" xfId="26003"/>
    <cellStyle name="Milliers 2 4 2 3 2 6 2 2" xfId="26004"/>
    <cellStyle name="Milliers 2 4 2 3 2 6 2 2 2" xfId="26005"/>
    <cellStyle name="Milliers 2 4 2 3 2 6 2 3" xfId="26006"/>
    <cellStyle name="Milliers 2 4 2 3 2 6 3" xfId="26007"/>
    <cellStyle name="Milliers 2 4 2 3 2 6 3 2" xfId="26008"/>
    <cellStyle name="Milliers 2 4 2 3 2 6 4" xfId="26009"/>
    <cellStyle name="Milliers 2 4 2 3 2 7" xfId="26010"/>
    <cellStyle name="Milliers 2 4 2 3 2 7 2" xfId="26011"/>
    <cellStyle name="Milliers 2 4 2 3 2 7 2 2" xfId="26012"/>
    <cellStyle name="Milliers 2 4 2 3 2 7 3" xfId="26013"/>
    <cellStyle name="Milliers 2 4 2 3 2 8" xfId="26014"/>
    <cellStyle name="Milliers 2 4 2 3 2 8 2" xfId="26015"/>
    <cellStyle name="Milliers 2 4 2 3 2 9" xfId="26016"/>
    <cellStyle name="Milliers 2 4 2 3 3" xfId="26017"/>
    <cellStyle name="Milliers 2 4 2 3 3 2" xfId="26018"/>
    <cellStyle name="Milliers 2 4 2 3 3 2 2" xfId="26019"/>
    <cellStyle name="Milliers 2 4 2 3 3 2 2 2" xfId="26020"/>
    <cellStyle name="Milliers 2 4 2 3 3 2 2 2 2" xfId="26021"/>
    <cellStyle name="Milliers 2 4 2 3 3 2 2 2 2 2" xfId="26022"/>
    <cellStyle name="Milliers 2 4 2 3 3 2 2 2 2 2 2" xfId="26023"/>
    <cellStyle name="Milliers 2 4 2 3 3 2 2 2 2 2 2 2" xfId="26024"/>
    <cellStyle name="Milliers 2 4 2 3 3 2 2 2 2 2 3" xfId="26025"/>
    <cellStyle name="Milliers 2 4 2 3 3 2 2 2 2 3" xfId="26026"/>
    <cellStyle name="Milliers 2 4 2 3 3 2 2 2 2 3 2" xfId="26027"/>
    <cellStyle name="Milliers 2 4 2 3 3 2 2 2 2 4" xfId="26028"/>
    <cellStyle name="Milliers 2 4 2 3 3 2 2 2 3" xfId="26029"/>
    <cellStyle name="Milliers 2 4 2 3 3 2 2 2 3 2" xfId="26030"/>
    <cellStyle name="Milliers 2 4 2 3 3 2 2 2 3 2 2" xfId="26031"/>
    <cellStyle name="Milliers 2 4 2 3 3 2 2 2 3 3" xfId="26032"/>
    <cellStyle name="Milliers 2 4 2 3 3 2 2 2 4" xfId="26033"/>
    <cellStyle name="Milliers 2 4 2 3 3 2 2 2 4 2" xfId="26034"/>
    <cellStyle name="Milliers 2 4 2 3 3 2 2 2 5" xfId="26035"/>
    <cellStyle name="Milliers 2 4 2 3 3 2 2 3" xfId="26036"/>
    <cellStyle name="Milliers 2 4 2 3 3 2 2 3 2" xfId="26037"/>
    <cellStyle name="Milliers 2 4 2 3 3 2 2 3 2 2" xfId="26038"/>
    <cellStyle name="Milliers 2 4 2 3 3 2 2 3 2 2 2" xfId="26039"/>
    <cellStyle name="Milliers 2 4 2 3 3 2 2 3 2 3" xfId="26040"/>
    <cellStyle name="Milliers 2 4 2 3 3 2 2 3 3" xfId="26041"/>
    <cellStyle name="Milliers 2 4 2 3 3 2 2 3 3 2" xfId="26042"/>
    <cellStyle name="Milliers 2 4 2 3 3 2 2 3 4" xfId="26043"/>
    <cellStyle name="Milliers 2 4 2 3 3 2 2 4" xfId="26044"/>
    <cellStyle name="Milliers 2 4 2 3 3 2 2 4 2" xfId="26045"/>
    <cellStyle name="Milliers 2 4 2 3 3 2 2 4 2 2" xfId="26046"/>
    <cellStyle name="Milliers 2 4 2 3 3 2 2 4 3" xfId="26047"/>
    <cellStyle name="Milliers 2 4 2 3 3 2 2 5" xfId="26048"/>
    <cellStyle name="Milliers 2 4 2 3 3 2 2 5 2" xfId="26049"/>
    <cellStyle name="Milliers 2 4 2 3 3 2 2 6" xfId="26050"/>
    <cellStyle name="Milliers 2 4 2 3 3 2 3" xfId="26051"/>
    <cellStyle name="Milliers 2 4 2 3 3 2 3 2" xfId="26052"/>
    <cellStyle name="Milliers 2 4 2 3 3 2 3 2 2" xfId="26053"/>
    <cellStyle name="Milliers 2 4 2 3 3 2 3 2 2 2" xfId="26054"/>
    <cellStyle name="Milliers 2 4 2 3 3 2 3 2 2 2 2" xfId="26055"/>
    <cellStyle name="Milliers 2 4 2 3 3 2 3 2 2 3" xfId="26056"/>
    <cellStyle name="Milliers 2 4 2 3 3 2 3 2 3" xfId="26057"/>
    <cellStyle name="Milliers 2 4 2 3 3 2 3 2 3 2" xfId="26058"/>
    <cellStyle name="Milliers 2 4 2 3 3 2 3 2 4" xfId="26059"/>
    <cellStyle name="Milliers 2 4 2 3 3 2 3 3" xfId="26060"/>
    <cellStyle name="Milliers 2 4 2 3 3 2 3 3 2" xfId="26061"/>
    <cellStyle name="Milliers 2 4 2 3 3 2 3 3 2 2" xfId="26062"/>
    <cellStyle name="Milliers 2 4 2 3 3 2 3 3 3" xfId="26063"/>
    <cellStyle name="Milliers 2 4 2 3 3 2 3 4" xfId="26064"/>
    <cellStyle name="Milliers 2 4 2 3 3 2 3 4 2" xfId="26065"/>
    <cellStyle name="Milliers 2 4 2 3 3 2 3 5" xfId="26066"/>
    <cellStyle name="Milliers 2 4 2 3 3 2 4" xfId="26067"/>
    <cellStyle name="Milliers 2 4 2 3 3 2 4 2" xfId="26068"/>
    <cellStyle name="Milliers 2 4 2 3 3 2 4 2 2" xfId="26069"/>
    <cellStyle name="Milliers 2 4 2 3 3 2 4 2 2 2" xfId="26070"/>
    <cellStyle name="Milliers 2 4 2 3 3 2 4 2 3" xfId="26071"/>
    <cellStyle name="Milliers 2 4 2 3 3 2 4 3" xfId="26072"/>
    <cellStyle name="Milliers 2 4 2 3 3 2 4 3 2" xfId="26073"/>
    <cellStyle name="Milliers 2 4 2 3 3 2 4 4" xfId="26074"/>
    <cellStyle name="Milliers 2 4 2 3 3 2 5" xfId="26075"/>
    <cellStyle name="Milliers 2 4 2 3 3 2 5 2" xfId="26076"/>
    <cellStyle name="Milliers 2 4 2 3 3 2 5 2 2" xfId="26077"/>
    <cellStyle name="Milliers 2 4 2 3 3 2 5 3" xfId="26078"/>
    <cellStyle name="Milliers 2 4 2 3 3 2 6" xfId="26079"/>
    <cellStyle name="Milliers 2 4 2 3 3 2 6 2" xfId="26080"/>
    <cellStyle name="Milliers 2 4 2 3 3 2 7" xfId="26081"/>
    <cellStyle name="Milliers 2 4 2 3 3 3" xfId="26082"/>
    <cellStyle name="Milliers 2 4 2 3 3 3 2" xfId="26083"/>
    <cellStyle name="Milliers 2 4 2 3 3 3 2 2" xfId="26084"/>
    <cellStyle name="Milliers 2 4 2 3 3 3 2 2 2" xfId="26085"/>
    <cellStyle name="Milliers 2 4 2 3 3 3 2 2 2 2" xfId="26086"/>
    <cellStyle name="Milliers 2 4 2 3 3 3 2 2 2 2 2" xfId="26087"/>
    <cellStyle name="Milliers 2 4 2 3 3 3 2 2 2 3" xfId="26088"/>
    <cellStyle name="Milliers 2 4 2 3 3 3 2 2 3" xfId="26089"/>
    <cellStyle name="Milliers 2 4 2 3 3 3 2 2 3 2" xfId="26090"/>
    <cellStyle name="Milliers 2 4 2 3 3 3 2 2 4" xfId="26091"/>
    <cellStyle name="Milliers 2 4 2 3 3 3 2 3" xfId="26092"/>
    <cellStyle name="Milliers 2 4 2 3 3 3 2 3 2" xfId="26093"/>
    <cellStyle name="Milliers 2 4 2 3 3 3 2 3 2 2" xfId="26094"/>
    <cellStyle name="Milliers 2 4 2 3 3 3 2 3 3" xfId="26095"/>
    <cellStyle name="Milliers 2 4 2 3 3 3 2 4" xfId="26096"/>
    <cellStyle name="Milliers 2 4 2 3 3 3 2 4 2" xfId="26097"/>
    <cellStyle name="Milliers 2 4 2 3 3 3 2 5" xfId="26098"/>
    <cellStyle name="Milliers 2 4 2 3 3 3 3" xfId="26099"/>
    <cellStyle name="Milliers 2 4 2 3 3 3 3 2" xfId="26100"/>
    <cellStyle name="Milliers 2 4 2 3 3 3 3 2 2" xfId="26101"/>
    <cellStyle name="Milliers 2 4 2 3 3 3 3 2 2 2" xfId="26102"/>
    <cellStyle name="Milliers 2 4 2 3 3 3 3 2 3" xfId="26103"/>
    <cellStyle name="Milliers 2 4 2 3 3 3 3 3" xfId="26104"/>
    <cellStyle name="Milliers 2 4 2 3 3 3 3 3 2" xfId="26105"/>
    <cellStyle name="Milliers 2 4 2 3 3 3 3 4" xfId="26106"/>
    <cellStyle name="Milliers 2 4 2 3 3 3 4" xfId="26107"/>
    <cellStyle name="Milliers 2 4 2 3 3 3 4 2" xfId="26108"/>
    <cellStyle name="Milliers 2 4 2 3 3 3 4 2 2" xfId="26109"/>
    <cellStyle name="Milliers 2 4 2 3 3 3 4 3" xfId="26110"/>
    <cellStyle name="Milliers 2 4 2 3 3 3 5" xfId="26111"/>
    <cellStyle name="Milliers 2 4 2 3 3 3 5 2" xfId="26112"/>
    <cellStyle name="Milliers 2 4 2 3 3 3 6" xfId="26113"/>
    <cellStyle name="Milliers 2 4 2 3 3 4" xfId="26114"/>
    <cellStyle name="Milliers 2 4 2 3 3 4 2" xfId="26115"/>
    <cellStyle name="Milliers 2 4 2 3 3 4 2 2" xfId="26116"/>
    <cellStyle name="Milliers 2 4 2 3 3 4 2 2 2" xfId="26117"/>
    <cellStyle name="Milliers 2 4 2 3 3 4 2 2 2 2" xfId="26118"/>
    <cellStyle name="Milliers 2 4 2 3 3 4 2 2 3" xfId="26119"/>
    <cellStyle name="Milliers 2 4 2 3 3 4 2 3" xfId="26120"/>
    <cellStyle name="Milliers 2 4 2 3 3 4 2 3 2" xfId="26121"/>
    <cellStyle name="Milliers 2 4 2 3 3 4 2 4" xfId="26122"/>
    <cellStyle name="Milliers 2 4 2 3 3 4 3" xfId="26123"/>
    <cellStyle name="Milliers 2 4 2 3 3 4 3 2" xfId="26124"/>
    <cellStyle name="Milliers 2 4 2 3 3 4 3 2 2" xfId="26125"/>
    <cellStyle name="Milliers 2 4 2 3 3 4 3 3" xfId="26126"/>
    <cellStyle name="Milliers 2 4 2 3 3 4 4" xfId="26127"/>
    <cellStyle name="Milliers 2 4 2 3 3 4 4 2" xfId="26128"/>
    <cellStyle name="Milliers 2 4 2 3 3 4 5" xfId="26129"/>
    <cellStyle name="Milliers 2 4 2 3 3 5" xfId="26130"/>
    <cellStyle name="Milliers 2 4 2 3 3 5 2" xfId="26131"/>
    <cellStyle name="Milliers 2 4 2 3 3 5 2 2" xfId="26132"/>
    <cellStyle name="Milliers 2 4 2 3 3 5 2 2 2" xfId="26133"/>
    <cellStyle name="Milliers 2 4 2 3 3 5 2 3" xfId="26134"/>
    <cellStyle name="Milliers 2 4 2 3 3 5 3" xfId="26135"/>
    <cellStyle name="Milliers 2 4 2 3 3 5 3 2" xfId="26136"/>
    <cellStyle name="Milliers 2 4 2 3 3 5 4" xfId="26137"/>
    <cellStyle name="Milliers 2 4 2 3 3 6" xfId="26138"/>
    <cellStyle name="Milliers 2 4 2 3 3 6 2" xfId="26139"/>
    <cellStyle name="Milliers 2 4 2 3 3 6 2 2" xfId="26140"/>
    <cellStyle name="Milliers 2 4 2 3 3 6 3" xfId="26141"/>
    <cellStyle name="Milliers 2 4 2 3 3 7" xfId="26142"/>
    <cellStyle name="Milliers 2 4 2 3 3 7 2" xfId="26143"/>
    <cellStyle name="Milliers 2 4 2 3 3 8" xfId="26144"/>
    <cellStyle name="Milliers 2 4 2 3 4" xfId="26145"/>
    <cellStyle name="Milliers 2 4 2 3 4 2" xfId="26146"/>
    <cellStyle name="Milliers 2 4 2 3 4 2 2" xfId="26147"/>
    <cellStyle name="Milliers 2 4 2 3 4 2 2 2" xfId="26148"/>
    <cellStyle name="Milliers 2 4 2 3 4 2 2 2 2" xfId="26149"/>
    <cellStyle name="Milliers 2 4 2 3 4 2 2 2 2 2" xfId="26150"/>
    <cellStyle name="Milliers 2 4 2 3 4 2 2 2 2 2 2" xfId="26151"/>
    <cellStyle name="Milliers 2 4 2 3 4 2 2 2 2 3" xfId="26152"/>
    <cellStyle name="Milliers 2 4 2 3 4 2 2 2 3" xfId="26153"/>
    <cellStyle name="Milliers 2 4 2 3 4 2 2 2 3 2" xfId="26154"/>
    <cellStyle name="Milliers 2 4 2 3 4 2 2 2 4" xfId="26155"/>
    <cellStyle name="Milliers 2 4 2 3 4 2 2 3" xfId="26156"/>
    <cellStyle name="Milliers 2 4 2 3 4 2 2 3 2" xfId="26157"/>
    <cellStyle name="Milliers 2 4 2 3 4 2 2 3 2 2" xfId="26158"/>
    <cellStyle name="Milliers 2 4 2 3 4 2 2 3 3" xfId="26159"/>
    <cellStyle name="Milliers 2 4 2 3 4 2 2 4" xfId="26160"/>
    <cellStyle name="Milliers 2 4 2 3 4 2 2 4 2" xfId="26161"/>
    <cellStyle name="Milliers 2 4 2 3 4 2 2 5" xfId="26162"/>
    <cellStyle name="Milliers 2 4 2 3 4 2 3" xfId="26163"/>
    <cellStyle name="Milliers 2 4 2 3 4 2 3 2" xfId="26164"/>
    <cellStyle name="Milliers 2 4 2 3 4 2 3 2 2" xfId="26165"/>
    <cellStyle name="Milliers 2 4 2 3 4 2 3 2 2 2" xfId="26166"/>
    <cellStyle name="Milliers 2 4 2 3 4 2 3 2 3" xfId="26167"/>
    <cellStyle name="Milliers 2 4 2 3 4 2 3 3" xfId="26168"/>
    <cellStyle name="Milliers 2 4 2 3 4 2 3 3 2" xfId="26169"/>
    <cellStyle name="Milliers 2 4 2 3 4 2 3 4" xfId="26170"/>
    <cellStyle name="Milliers 2 4 2 3 4 2 4" xfId="26171"/>
    <cellStyle name="Milliers 2 4 2 3 4 2 4 2" xfId="26172"/>
    <cellStyle name="Milliers 2 4 2 3 4 2 4 2 2" xfId="26173"/>
    <cellStyle name="Milliers 2 4 2 3 4 2 4 3" xfId="26174"/>
    <cellStyle name="Milliers 2 4 2 3 4 2 5" xfId="26175"/>
    <cellStyle name="Milliers 2 4 2 3 4 2 5 2" xfId="26176"/>
    <cellStyle name="Milliers 2 4 2 3 4 2 6" xfId="26177"/>
    <cellStyle name="Milliers 2 4 2 3 4 3" xfId="26178"/>
    <cellStyle name="Milliers 2 4 2 3 4 3 2" xfId="26179"/>
    <cellStyle name="Milliers 2 4 2 3 4 3 2 2" xfId="26180"/>
    <cellStyle name="Milliers 2 4 2 3 4 3 2 2 2" xfId="26181"/>
    <cellStyle name="Milliers 2 4 2 3 4 3 2 2 2 2" xfId="26182"/>
    <cellStyle name="Milliers 2 4 2 3 4 3 2 2 3" xfId="26183"/>
    <cellStyle name="Milliers 2 4 2 3 4 3 2 3" xfId="26184"/>
    <cellStyle name="Milliers 2 4 2 3 4 3 2 3 2" xfId="26185"/>
    <cellStyle name="Milliers 2 4 2 3 4 3 2 4" xfId="26186"/>
    <cellStyle name="Milliers 2 4 2 3 4 3 3" xfId="26187"/>
    <cellStyle name="Milliers 2 4 2 3 4 3 3 2" xfId="26188"/>
    <cellStyle name="Milliers 2 4 2 3 4 3 3 2 2" xfId="26189"/>
    <cellStyle name="Milliers 2 4 2 3 4 3 3 3" xfId="26190"/>
    <cellStyle name="Milliers 2 4 2 3 4 3 4" xfId="26191"/>
    <cellStyle name="Milliers 2 4 2 3 4 3 4 2" xfId="26192"/>
    <cellStyle name="Milliers 2 4 2 3 4 3 5" xfId="26193"/>
    <cellStyle name="Milliers 2 4 2 3 4 4" xfId="26194"/>
    <cellStyle name="Milliers 2 4 2 3 4 4 2" xfId="26195"/>
    <cellStyle name="Milliers 2 4 2 3 4 4 2 2" xfId="26196"/>
    <cellStyle name="Milliers 2 4 2 3 4 4 2 2 2" xfId="26197"/>
    <cellStyle name="Milliers 2 4 2 3 4 4 2 3" xfId="26198"/>
    <cellStyle name="Milliers 2 4 2 3 4 4 3" xfId="26199"/>
    <cellStyle name="Milliers 2 4 2 3 4 4 3 2" xfId="26200"/>
    <cellStyle name="Milliers 2 4 2 3 4 4 4" xfId="26201"/>
    <cellStyle name="Milliers 2 4 2 3 4 5" xfId="26202"/>
    <cellStyle name="Milliers 2 4 2 3 4 5 2" xfId="26203"/>
    <cellStyle name="Milliers 2 4 2 3 4 5 2 2" xfId="26204"/>
    <cellStyle name="Milliers 2 4 2 3 4 5 3" xfId="26205"/>
    <cellStyle name="Milliers 2 4 2 3 4 6" xfId="26206"/>
    <cellStyle name="Milliers 2 4 2 3 4 6 2" xfId="26207"/>
    <cellStyle name="Milliers 2 4 2 3 4 7" xfId="26208"/>
    <cellStyle name="Milliers 2 4 2 3 5" xfId="26209"/>
    <cellStyle name="Milliers 2 4 2 3 5 2" xfId="26210"/>
    <cellStyle name="Milliers 2 4 2 3 5 2 2" xfId="26211"/>
    <cellStyle name="Milliers 2 4 2 3 5 2 2 2" xfId="26212"/>
    <cellStyle name="Milliers 2 4 2 3 5 2 2 2 2" xfId="26213"/>
    <cellStyle name="Milliers 2 4 2 3 5 2 2 2 2 2" xfId="26214"/>
    <cellStyle name="Milliers 2 4 2 3 5 2 2 2 3" xfId="26215"/>
    <cellStyle name="Milliers 2 4 2 3 5 2 2 3" xfId="26216"/>
    <cellStyle name="Milliers 2 4 2 3 5 2 2 3 2" xfId="26217"/>
    <cellStyle name="Milliers 2 4 2 3 5 2 2 4" xfId="26218"/>
    <cellStyle name="Milliers 2 4 2 3 5 2 3" xfId="26219"/>
    <cellStyle name="Milliers 2 4 2 3 5 2 3 2" xfId="26220"/>
    <cellStyle name="Milliers 2 4 2 3 5 2 3 2 2" xfId="26221"/>
    <cellStyle name="Milliers 2 4 2 3 5 2 3 3" xfId="26222"/>
    <cellStyle name="Milliers 2 4 2 3 5 2 4" xfId="26223"/>
    <cellStyle name="Milliers 2 4 2 3 5 2 4 2" xfId="26224"/>
    <cellStyle name="Milliers 2 4 2 3 5 2 5" xfId="26225"/>
    <cellStyle name="Milliers 2 4 2 3 5 3" xfId="26226"/>
    <cellStyle name="Milliers 2 4 2 3 5 3 2" xfId="26227"/>
    <cellStyle name="Milliers 2 4 2 3 5 3 2 2" xfId="26228"/>
    <cellStyle name="Milliers 2 4 2 3 5 3 2 2 2" xfId="26229"/>
    <cellStyle name="Milliers 2 4 2 3 5 3 2 3" xfId="26230"/>
    <cellStyle name="Milliers 2 4 2 3 5 3 3" xfId="26231"/>
    <cellStyle name="Milliers 2 4 2 3 5 3 3 2" xfId="26232"/>
    <cellStyle name="Milliers 2 4 2 3 5 3 4" xfId="26233"/>
    <cellStyle name="Milliers 2 4 2 3 5 4" xfId="26234"/>
    <cellStyle name="Milliers 2 4 2 3 5 4 2" xfId="26235"/>
    <cellStyle name="Milliers 2 4 2 3 5 4 2 2" xfId="26236"/>
    <cellStyle name="Milliers 2 4 2 3 5 4 3" xfId="26237"/>
    <cellStyle name="Milliers 2 4 2 3 5 5" xfId="26238"/>
    <cellStyle name="Milliers 2 4 2 3 5 5 2" xfId="26239"/>
    <cellStyle name="Milliers 2 4 2 3 5 6" xfId="26240"/>
    <cellStyle name="Milliers 2 4 2 3 6" xfId="26241"/>
    <cellStyle name="Milliers 2 4 2 3 6 2" xfId="26242"/>
    <cellStyle name="Milliers 2 4 2 3 6 2 2" xfId="26243"/>
    <cellStyle name="Milliers 2 4 2 3 6 2 2 2" xfId="26244"/>
    <cellStyle name="Milliers 2 4 2 3 6 2 2 2 2" xfId="26245"/>
    <cellStyle name="Milliers 2 4 2 3 6 2 2 3" xfId="26246"/>
    <cellStyle name="Milliers 2 4 2 3 6 2 3" xfId="26247"/>
    <cellStyle name="Milliers 2 4 2 3 6 2 3 2" xfId="26248"/>
    <cellStyle name="Milliers 2 4 2 3 6 2 4" xfId="26249"/>
    <cellStyle name="Milliers 2 4 2 3 6 3" xfId="26250"/>
    <cellStyle name="Milliers 2 4 2 3 6 3 2" xfId="26251"/>
    <cellStyle name="Milliers 2 4 2 3 6 3 2 2" xfId="26252"/>
    <cellStyle name="Milliers 2 4 2 3 6 3 3" xfId="26253"/>
    <cellStyle name="Milliers 2 4 2 3 6 4" xfId="26254"/>
    <cellStyle name="Milliers 2 4 2 3 6 4 2" xfId="26255"/>
    <cellStyle name="Milliers 2 4 2 3 6 5" xfId="26256"/>
    <cellStyle name="Milliers 2 4 2 3 7" xfId="26257"/>
    <cellStyle name="Milliers 2 4 2 3 7 2" xfId="26258"/>
    <cellStyle name="Milliers 2 4 2 3 7 2 2" xfId="26259"/>
    <cellStyle name="Milliers 2 4 2 3 7 2 2 2" xfId="26260"/>
    <cellStyle name="Milliers 2 4 2 3 7 2 3" xfId="26261"/>
    <cellStyle name="Milliers 2 4 2 3 7 3" xfId="26262"/>
    <cellStyle name="Milliers 2 4 2 3 7 3 2" xfId="26263"/>
    <cellStyle name="Milliers 2 4 2 3 7 4" xfId="26264"/>
    <cellStyle name="Milliers 2 4 2 3 8" xfId="26265"/>
    <cellStyle name="Milliers 2 4 2 3 8 2" xfId="26266"/>
    <cellStyle name="Milliers 2 4 2 3 8 2 2" xfId="26267"/>
    <cellStyle name="Milliers 2 4 2 3 8 3" xfId="26268"/>
    <cellStyle name="Milliers 2 4 2 3 9" xfId="26269"/>
    <cellStyle name="Milliers 2 4 2 3 9 2" xfId="26270"/>
    <cellStyle name="Milliers 2 4 2 4" xfId="26271"/>
    <cellStyle name="Milliers 2 4 2 4 2" xfId="26272"/>
    <cellStyle name="Milliers 2 4 2 4 2 2" xfId="26273"/>
    <cellStyle name="Milliers 2 4 2 4 2 2 2" xfId="26274"/>
    <cellStyle name="Milliers 2 4 2 4 2 2 2 2" xfId="26275"/>
    <cellStyle name="Milliers 2 4 2 4 2 2 2 2 2" xfId="26276"/>
    <cellStyle name="Milliers 2 4 2 4 2 2 2 2 2 2" xfId="26277"/>
    <cellStyle name="Milliers 2 4 2 4 2 2 2 2 2 2 2" xfId="26278"/>
    <cellStyle name="Milliers 2 4 2 4 2 2 2 2 2 2 2 2" xfId="26279"/>
    <cellStyle name="Milliers 2 4 2 4 2 2 2 2 2 2 3" xfId="26280"/>
    <cellStyle name="Milliers 2 4 2 4 2 2 2 2 2 3" xfId="26281"/>
    <cellStyle name="Milliers 2 4 2 4 2 2 2 2 2 3 2" xfId="26282"/>
    <cellStyle name="Milliers 2 4 2 4 2 2 2 2 2 4" xfId="26283"/>
    <cellStyle name="Milliers 2 4 2 4 2 2 2 2 3" xfId="26284"/>
    <cellStyle name="Milliers 2 4 2 4 2 2 2 2 3 2" xfId="26285"/>
    <cellStyle name="Milliers 2 4 2 4 2 2 2 2 3 2 2" xfId="26286"/>
    <cellStyle name="Milliers 2 4 2 4 2 2 2 2 3 3" xfId="26287"/>
    <cellStyle name="Milliers 2 4 2 4 2 2 2 2 4" xfId="26288"/>
    <cellStyle name="Milliers 2 4 2 4 2 2 2 2 4 2" xfId="26289"/>
    <cellStyle name="Milliers 2 4 2 4 2 2 2 2 5" xfId="26290"/>
    <cellStyle name="Milliers 2 4 2 4 2 2 2 3" xfId="26291"/>
    <cellStyle name="Milliers 2 4 2 4 2 2 2 3 2" xfId="26292"/>
    <cellStyle name="Milliers 2 4 2 4 2 2 2 3 2 2" xfId="26293"/>
    <cellStyle name="Milliers 2 4 2 4 2 2 2 3 2 2 2" xfId="26294"/>
    <cellStyle name="Milliers 2 4 2 4 2 2 2 3 2 3" xfId="26295"/>
    <cellStyle name="Milliers 2 4 2 4 2 2 2 3 3" xfId="26296"/>
    <cellStyle name="Milliers 2 4 2 4 2 2 2 3 3 2" xfId="26297"/>
    <cellStyle name="Milliers 2 4 2 4 2 2 2 3 4" xfId="26298"/>
    <cellStyle name="Milliers 2 4 2 4 2 2 2 4" xfId="26299"/>
    <cellStyle name="Milliers 2 4 2 4 2 2 2 4 2" xfId="26300"/>
    <cellStyle name="Milliers 2 4 2 4 2 2 2 4 2 2" xfId="26301"/>
    <cellStyle name="Milliers 2 4 2 4 2 2 2 4 3" xfId="26302"/>
    <cellStyle name="Milliers 2 4 2 4 2 2 2 5" xfId="26303"/>
    <cellStyle name="Milliers 2 4 2 4 2 2 2 5 2" xfId="26304"/>
    <cellStyle name="Milliers 2 4 2 4 2 2 2 6" xfId="26305"/>
    <cellStyle name="Milliers 2 4 2 4 2 2 3" xfId="26306"/>
    <cellStyle name="Milliers 2 4 2 4 2 2 3 2" xfId="26307"/>
    <cellStyle name="Milliers 2 4 2 4 2 2 3 2 2" xfId="26308"/>
    <cellStyle name="Milliers 2 4 2 4 2 2 3 2 2 2" xfId="26309"/>
    <cellStyle name="Milliers 2 4 2 4 2 2 3 2 2 2 2" xfId="26310"/>
    <cellStyle name="Milliers 2 4 2 4 2 2 3 2 2 3" xfId="26311"/>
    <cellStyle name="Milliers 2 4 2 4 2 2 3 2 3" xfId="26312"/>
    <cellStyle name="Milliers 2 4 2 4 2 2 3 2 3 2" xfId="26313"/>
    <cellStyle name="Milliers 2 4 2 4 2 2 3 2 4" xfId="26314"/>
    <cellStyle name="Milliers 2 4 2 4 2 2 3 3" xfId="26315"/>
    <cellStyle name="Milliers 2 4 2 4 2 2 3 3 2" xfId="26316"/>
    <cellStyle name="Milliers 2 4 2 4 2 2 3 3 2 2" xfId="26317"/>
    <cellStyle name="Milliers 2 4 2 4 2 2 3 3 3" xfId="26318"/>
    <cellStyle name="Milliers 2 4 2 4 2 2 3 4" xfId="26319"/>
    <cellStyle name="Milliers 2 4 2 4 2 2 3 4 2" xfId="26320"/>
    <cellStyle name="Milliers 2 4 2 4 2 2 3 5" xfId="26321"/>
    <cellStyle name="Milliers 2 4 2 4 2 2 4" xfId="26322"/>
    <cellStyle name="Milliers 2 4 2 4 2 2 4 2" xfId="26323"/>
    <cellStyle name="Milliers 2 4 2 4 2 2 4 2 2" xfId="26324"/>
    <cellStyle name="Milliers 2 4 2 4 2 2 4 2 2 2" xfId="26325"/>
    <cellStyle name="Milliers 2 4 2 4 2 2 4 2 3" xfId="26326"/>
    <cellStyle name="Milliers 2 4 2 4 2 2 4 3" xfId="26327"/>
    <cellStyle name="Milliers 2 4 2 4 2 2 4 3 2" xfId="26328"/>
    <cellStyle name="Milliers 2 4 2 4 2 2 4 4" xfId="26329"/>
    <cellStyle name="Milliers 2 4 2 4 2 2 5" xfId="26330"/>
    <cellStyle name="Milliers 2 4 2 4 2 2 5 2" xfId="26331"/>
    <cellStyle name="Milliers 2 4 2 4 2 2 5 2 2" xfId="26332"/>
    <cellStyle name="Milliers 2 4 2 4 2 2 5 3" xfId="26333"/>
    <cellStyle name="Milliers 2 4 2 4 2 2 6" xfId="26334"/>
    <cellStyle name="Milliers 2 4 2 4 2 2 6 2" xfId="26335"/>
    <cellStyle name="Milliers 2 4 2 4 2 2 7" xfId="26336"/>
    <cellStyle name="Milliers 2 4 2 4 2 3" xfId="26337"/>
    <cellStyle name="Milliers 2 4 2 4 2 3 2" xfId="26338"/>
    <cellStyle name="Milliers 2 4 2 4 2 3 2 2" xfId="26339"/>
    <cellStyle name="Milliers 2 4 2 4 2 3 2 2 2" xfId="26340"/>
    <cellStyle name="Milliers 2 4 2 4 2 3 2 2 2 2" xfId="26341"/>
    <cellStyle name="Milliers 2 4 2 4 2 3 2 2 2 2 2" xfId="26342"/>
    <cellStyle name="Milliers 2 4 2 4 2 3 2 2 2 3" xfId="26343"/>
    <cellStyle name="Milliers 2 4 2 4 2 3 2 2 3" xfId="26344"/>
    <cellStyle name="Milliers 2 4 2 4 2 3 2 2 3 2" xfId="26345"/>
    <cellStyle name="Milliers 2 4 2 4 2 3 2 2 4" xfId="26346"/>
    <cellStyle name="Milliers 2 4 2 4 2 3 2 3" xfId="26347"/>
    <cellStyle name="Milliers 2 4 2 4 2 3 2 3 2" xfId="26348"/>
    <cellStyle name="Milliers 2 4 2 4 2 3 2 3 2 2" xfId="26349"/>
    <cellStyle name="Milliers 2 4 2 4 2 3 2 3 3" xfId="26350"/>
    <cellStyle name="Milliers 2 4 2 4 2 3 2 4" xfId="26351"/>
    <cellStyle name="Milliers 2 4 2 4 2 3 2 4 2" xfId="26352"/>
    <cellStyle name="Milliers 2 4 2 4 2 3 2 5" xfId="26353"/>
    <cellStyle name="Milliers 2 4 2 4 2 3 3" xfId="26354"/>
    <cellStyle name="Milliers 2 4 2 4 2 3 3 2" xfId="26355"/>
    <cellStyle name="Milliers 2 4 2 4 2 3 3 2 2" xfId="26356"/>
    <cellStyle name="Milliers 2 4 2 4 2 3 3 2 2 2" xfId="26357"/>
    <cellStyle name="Milliers 2 4 2 4 2 3 3 2 3" xfId="26358"/>
    <cellStyle name="Milliers 2 4 2 4 2 3 3 3" xfId="26359"/>
    <cellStyle name="Milliers 2 4 2 4 2 3 3 3 2" xfId="26360"/>
    <cellStyle name="Milliers 2 4 2 4 2 3 3 4" xfId="26361"/>
    <cellStyle name="Milliers 2 4 2 4 2 3 4" xfId="26362"/>
    <cellStyle name="Milliers 2 4 2 4 2 3 4 2" xfId="26363"/>
    <cellStyle name="Milliers 2 4 2 4 2 3 4 2 2" xfId="26364"/>
    <cellStyle name="Milliers 2 4 2 4 2 3 4 3" xfId="26365"/>
    <cellStyle name="Milliers 2 4 2 4 2 3 5" xfId="26366"/>
    <cellStyle name="Milliers 2 4 2 4 2 3 5 2" xfId="26367"/>
    <cellStyle name="Milliers 2 4 2 4 2 3 6" xfId="26368"/>
    <cellStyle name="Milliers 2 4 2 4 2 4" xfId="26369"/>
    <cellStyle name="Milliers 2 4 2 4 2 4 2" xfId="26370"/>
    <cellStyle name="Milliers 2 4 2 4 2 4 2 2" xfId="26371"/>
    <cellStyle name="Milliers 2 4 2 4 2 4 2 2 2" xfId="26372"/>
    <cellStyle name="Milliers 2 4 2 4 2 4 2 2 2 2" xfId="26373"/>
    <cellStyle name="Milliers 2 4 2 4 2 4 2 2 3" xfId="26374"/>
    <cellStyle name="Milliers 2 4 2 4 2 4 2 3" xfId="26375"/>
    <cellStyle name="Milliers 2 4 2 4 2 4 2 3 2" xfId="26376"/>
    <cellStyle name="Milliers 2 4 2 4 2 4 2 4" xfId="26377"/>
    <cellStyle name="Milliers 2 4 2 4 2 4 3" xfId="26378"/>
    <cellStyle name="Milliers 2 4 2 4 2 4 3 2" xfId="26379"/>
    <cellStyle name="Milliers 2 4 2 4 2 4 3 2 2" xfId="26380"/>
    <cellStyle name="Milliers 2 4 2 4 2 4 3 3" xfId="26381"/>
    <cellStyle name="Milliers 2 4 2 4 2 4 4" xfId="26382"/>
    <cellStyle name="Milliers 2 4 2 4 2 4 4 2" xfId="26383"/>
    <cellStyle name="Milliers 2 4 2 4 2 4 5" xfId="26384"/>
    <cellStyle name="Milliers 2 4 2 4 2 5" xfId="26385"/>
    <cellStyle name="Milliers 2 4 2 4 2 5 2" xfId="26386"/>
    <cellStyle name="Milliers 2 4 2 4 2 5 2 2" xfId="26387"/>
    <cellStyle name="Milliers 2 4 2 4 2 5 2 2 2" xfId="26388"/>
    <cellStyle name="Milliers 2 4 2 4 2 5 2 3" xfId="26389"/>
    <cellStyle name="Milliers 2 4 2 4 2 5 3" xfId="26390"/>
    <cellStyle name="Milliers 2 4 2 4 2 5 3 2" xfId="26391"/>
    <cellStyle name="Milliers 2 4 2 4 2 5 4" xfId="26392"/>
    <cellStyle name="Milliers 2 4 2 4 2 6" xfId="26393"/>
    <cellStyle name="Milliers 2 4 2 4 2 6 2" xfId="26394"/>
    <cellStyle name="Milliers 2 4 2 4 2 6 2 2" xfId="26395"/>
    <cellStyle name="Milliers 2 4 2 4 2 6 3" xfId="26396"/>
    <cellStyle name="Milliers 2 4 2 4 2 7" xfId="26397"/>
    <cellStyle name="Milliers 2 4 2 4 2 7 2" xfId="26398"/>
    <cellStyle name="Milliers 2 4 2 4 2 8" xfId="26399"/>
    <cellStyle name="Milliers 2 4 2 4 3" xfId="26400"/>
    <cellStyle name="Milliers 2 4 2 4 3 2" xfId="26401"/>
    <cellStyle name="Milliers 2 4 2 4 3 2 2" xfId="26402"/>
    <cellStyle name="Milliers 2 4 2 4 3 2 2 2" xfId="26403"/>
    <cellStyle name="Milliers 2 4 2 4 3 2 2 2 2" xfId="26404"/>
    <cellStyle name="Milliers 2 4 2 4 3 2 2 2 2 2" xfId="26405"/>
    <cellStyle name="Milliers 2 4 2 4 3 2 2 2 2 2 2" xfId="26406"/>
    <cellStyle name="Milliers 2 4 2 4 3 2 2 2 2 3" xfId="26407"/>
    <cellStyle name="Milliers 2 4 2 4 3 2 2 2 3" xfId="26408"/>
    <cellStyle name="Milliers 2 4 2 4 3 2 2 2 3 2" xfId="26409"/>
    <cellStyle name="Milliers 2 4 2 4 3 2 2 2 4" xfId="26410"/>
    <cellStyle name="Milliers 2 4 2 4 3 2 2 3" xfId="26411"/>
    <cellStyle name="Milliers 2 4 2 4 3 2 2 3 2" xfId="26412"/>
    <cellStyle name="Milliers 2 4 2 4 3 2 2 3 2 2" xfId="26413"/>
    <cellStyle name="Milliers 2 4 2 4 3 2 2 3 3" xfId="26414"/>
    <cellStyle name="Milliers 2 4 2 4 3 2 2 4" xfId="26415"/>
    <cellStyle name="Milliers 2 4 2 4 3 2 2 4 2" xfId="26416"/>
    <cellStyle name="Milliers 2 4 2 4 3 2 2 5" xfId="26417"/>
    <cellStyle name="Milliers 2 4 2 4 3 2 3" xfId="26418"/>
    <cellStyle name="Milliers 2 4 2 4 3 2 3 2" xfId="26419"/>
    <cellStyle name="Milliers 2 4 2 4 3 2 3 2 2" xfId="26420"/>
    <cellStyle name="Milliers 2 4 2 4 3 2 3 2 2 2" xfId="26421"/>
    <cellStyle name="Milliers 2 4 2 4 3 2 3 2 3" xfId="26422"/>
    <cellStyle name="Milliers 2 4 2 4 3 2 3 3" xfId="26423"/>
    <cellStyle name="Milliers 2 4 2 4 3 2 3 3 2" xfId="26424"/>
    <cellStyle name="Milliers 2 4 2 4 3 2 3 4" xfId="26425"/>
    <cellStyle name="Milliers 2 4 2 4 3 2 4" xfId="26426"/>
    <cellStyle name="Milliers 2 4 2 4 3 2 4 2" xfId="26427"/>
    <cellStyle name="Milliers 2 4 2 4 3 2 4 2 2" xfId="26428"/>
    <cellStyle name="Milliers 2 4 2 4 3 2 4 3" xfId="26429"/>
    <cellStyle name="Milliers 2 4 2 4 3 2 5" xfId="26430"/>
    <cellStyle name="Milliers 2 4 2 4 3 2 5 2" xfId="26431"/>
    <cellStyle name="Milliers 2 4 2 4 3 2 6" xfId="26432"/>
    <cellStyle name="Milliers 2 4 2 4 3 3" xfId="26433"/>
    <cellStyle name="Milliers 2 4 2 4 3 3 2" xfId="26434"/>
    <cellStyle name="Milliers 2 4 2 4 3 3 2 2" xfId="26435"/>
    <cellStyle name="Milliers 2 4 2 4 3 3 2 2 2" xfId="26436"/>
    <cellStyle name="Milliers 2 4 2 4 3 3 2 2 2 2" xfId="26437"/>
    <cellStyle name="Milliers 2 4 2 4 3 3 2 2 3" xfId="26438"/>
    <cellStyle name="Milliers 2 4 2 4 3 3 2 3" xfId="26439"/>
    <cellStyle name="Milliers 2 4 2 4 3 3 2 3 2" xfId="26440"/>
    <cellStyle name="Milliers 2 4 2 4 3 3 2 4" xfId="26441"/>
    <cellStyle name="Milliers 2 4 2 4 3 3 3" xfId="26442"/>
    <cellStyle name="Milliers 2 4 2 4 3 3 3 2" xfId="26443"/>
    <cellStyle name="Milliers 2 4 2 4 3 3 3 2 2" xfId="26444"/>
    <cellStyle name="Milliers 2 4 2 4 3 3 3 3" xfId="26445"/>
    <cellStyle name="Milliers 2 4 2 4 3 3 4" xfId="26446"/>
    <cellStyle name="Milliers 2 4 2 4 3 3 4 2" xfId="26447"/>
    <cellStyle name="Milliers 2 4 2 4 3 3 5" xfId="26448"/>
    <cellStyle name="Milliers 2 4 2 4 3 4" xfId="26449"/>
    <cellStyle name="Milliers 2 4 2 4 3 4 2" xfId="26450"/>
    <cellStyle name="Milliers 2 4 2 4 3 4 2 2" xfId="26451"/>
    <cellStyle name="Milliers 2 4 2 4 3 4 2 2 2" xfId="26452"/>
    <cellStyle name="Milliers 2 4 2 4 3 4 2 3" xfId="26453"/>
    <cellStyle name="Milliers 2 4 2 4 3 4 3" xfId="26454"/>
    <cellStyle name="Milliers 2 4 2 4 3 4 3 2" xfId="26455"/>
    <cellStyle name="Milliers 2 4 2 4 3 4 4" xfId="26456"/>
    <cellStyle name="Milliers 2 4 2 4 3 5" xfId="26457"/>
    <cellStyle name="Milliers 2 4 2 4 3 5 2" xfId="26458"/>
    <cellStyle name="Milliers 2 4 2 4 3 5 2 2" xfId="26459"/>
    <cellStyle name="Milliers 2 4 2 4 3 5 3" xfId="26460"/>
    <cellStyle name="Milliers 2 4 2 4 3 6" xfId="26461"/>
    <cellStyle name="Milliers 2 4 2 4 3 6 2" xfId="26462"/>
    <cellStyle name="Milliers 2 4 2 4 3 7" xfId="26463"/>
    <cellStyle name="Milliers 2 4 2 4 4" xfId="26464"/>
    <cellStyle name="Milliers 2 4 2 4 4 2" xfId="26465"/>
    <cellStyle name="Milliers 2 4 2 4 4 2 2" xfId="26466"/>
    <cellStyle name="Milliers 2 4 2 4 4 2 2 2" xfId="26467"/>
    <cellStyle name="Milliers 2 4 2 4 4 2 2 2 2" xfId="26468"/>
    <cellStyle name="Milliers 2 4 2 4 4 2 2 2 2 2" xfId="26469"/>
    <cellStyle name="Milliers 2 4 2 4 4 2 2 2 3" xfId="26470"/>
    <cellStyle name="Milliers 2 4 2 4 4 2 2 3" xfId="26471"/>
    <cellStyle name="Milliers 2 4 2 4 4 2 2 3 2" xfId="26472"/>
    <cellStyle name="Milliers 2 4 2 4 4 2 2 4" xfId="26473"/>
    <cellStyle name="Milliers 2 4 2 4 4 2 3" xfId="26474"/>
    <cellStyle name="Milliers 2 4 2 4 4 2 3 2" xfId="26475"/>
    <cellStyle name="Milliers 2 4 2 4 4 2 3 2 2" xfId="26476"/>
    <cellStyle name="Milliers 2 4 2 4 4 2 3 3" xfId="26477"/>
    <cellStyle name="Milliers 2 4 2 4 4 2 4" xfId="26478"/>
    <cellStyle name="Milliers 2 4 2 4 4 2 4 2" xfId="26479"/>
    <cellStyle name="Milliers 2 4 2 4 4 2 5" xfId="26480"/>
    <cellStyle name="Milliers 2 4 2 4 4 3" xfId="26481"/>
    <cellStyle name="Milliers 2 4 2 4 4 3 2" xfId="26482"/>
    <cellStyle name="Milliers 2 4 2 4 4 3 2 2" xfId="26483"/>
    <cellStyle name="Milliers 2 4 2 4 4 3 2 2 2" xfId="26484"/>
    <cellStyle name="Milliers 2 4 2 4 4 3 2 3" xfId="26485"/>
    <cellStyle name="Milliers 2 4 2 4 4 3 3" xfId="26486"/>
    <cellStyle name="Milliers 2 4 2 4 4 3 3 2" xfId="26487"/>
    <cellStyle name="Milliers 2 4 2 4 4 3 4" xfId="26488"/>
    <cellStyle name="Milliers 2 4 2 4 4 4" xfId="26489"/>
    <cellStyle name="Milliers 2 4 2 4 4 4 2" xfId="26490"/>
    <cellStyle name="Milliers 2 4 2 4 4 4 2 2" xfId="26491"/>
    <cellStyle name="Milliers 2 4 2 4 4 4 3" xfId="26492"/>
    <cellStyle name="Milliers 2 4 2 4 4 5" xfId="26493"/>
    <cellStyle name="Milliers 2 4 2 4 4 5 2" xfId="26494"/>
    <cellStyle name="Milliers 2 4 2 4 4 6" xfId="26495"/>
    <cellStyle name="Milliers 2 4 2 4 5" xfId="26496"/>
    <cellStyle name="Milliers 2 4 2 4 5 2" xfId="26497"/>
    <cellStyle name="Milliers 2 4 2 4 5 2 2" xfId="26498"/>
    <cellStyle name="Milliers 2 4 2 4 5 2 2 2" xfId="26499"/>
    <cellStyle name="Milliers 2 4 2 4 5 2 2 2 2" xfId="26500"/>
    <cellStyle name="Milliers 2 4 2 4 5 2 2 3" xfId="26501"/>
    <cellStyle name="Milliers 2 4 2 4 5 2 3" xfId="26502"/>
    <cellStyle name="Milliers 2 4 2 4 5 2 3 2" xfId="26503"/>
    <cellStyle name="Milliers 2 4 2 4 5 2 4" xfId="26504"/>
    <cellStyle name="Milliers 2 4 2 4 5 3" xfId="26505"/>
    <cellStyle name="Milliers 2 4 2 4 5 3 2" xfId="26506"/>
    <cellStyle name="Milliers 2 4 2 4 5 3 2 2" xfId="26507"/>
    <cellStyle name="Milliers 2 4 2 4 5 3 3" xfId="26508"/>
    <cellStyle name="Milliers 2 4 2 4 5 4" xfId="26509"/>
    <cellStyle name="Milliers 2 4 2 4 5 4 2" xfId="26510"/>
    <cellStyle name="Milliers 2 4 2 4 5 5" xfId="26511"/>
    <cellStyle name="Milliers 2 4 2 4 6" xfId="26512"/>
    <cellStyle name="Milliers 2 4 2 4 6 2" xfId="26513"/>
    <cellStyle name="Milliers 2 4 2 4 6 2 2" xfId="26514"/>
    <cellStyle name="Milliers 2 4 2 4 6 2 2 2" xfId="26515"/>
    <cellStyle name="Milliers 2 4 2 4 6 2 3" xfId="26516"/>
    <cellStyle name="Milliers 2 4 2 4 6 3" xfId="26517"/>
    <cellStyle name="Milliers 2 4 2 4 6 3 2" xfId="26518"/>
    <cellStyle name="Milliers 2 4 2 4 6 4" xfId="26519"/>
    <cellStyle name="Milliers 2 4 2 4 7" xfId="26520"/>
    <cellStyle name="Milliers 2 4 2 4 7 2" xfId="26521"/>
    <cellStyle name="Milliers 2 4 2 4 7 2 2" xfId="26522"/>
    <cellStyle name="Milliers 2 4 2 4 7 3" xfId="26523"/>
    <cellStyle name="Milliers 2 4 2 4 8" xfId="26524"/>
    <cellStyle name="Milliers 2 4 2 4 8 2" xfId="26525"/>
    <cellStyle name="Milliers 2 4 2 4 9" xfId="26526"/>
    <cellStyle name="Milliers 2 4 2 5" xfId="26527"/>
    <cellStyle name="Milliers 2 4 2 5 2" xfId="26528"/>
    <cellStyle name="Milliers 2 4 2 5 2 2" xfId="26529"/>
    <cellStyle name="Milliers 2 4 2 5 2 2 2" xfId="26530"/>
    <cellStyle name="Milliers 2 4 2 5 2 2 2 2" xfId="26531"/>
    <cellStyle name="Milliers 2 4 2 5 2 2 2 2 2" xfId="26532"/>
    <cellStyle name="Milliers 2 4 2 5 2 2 2 2 2 2" xfId="26533"/>
    <cellStyle name="Milliers 2 4 2 5 2 2 2 2 2 2 2" xfId="26534"/>
    <cellStyle name="Milliers 2 4 2 5 2 2 2 2 2 3" xfId="26535"/>
    <cellStyle name="Milliers 2 4 2 5 2 2 2 2 3" xfId="26536"/>
    <cellStyle name="Milliers 2 4 2 5 2 2 2 2 3 2" xfId="26537"/>
    <cellStyle name="Milliers 2 4 2 5 2 2 2 2 4" xfId="26538"/>
    <cellStyle name="Milliers 2 4 2 5 2 2 2 3" xfId="26539"/>
    <cellStyle name="Milliers 2 4 2 5 2 2 2 3 2" xfId="26540"/>
    <cellStyle name="Milliers 2 4 2 5 2 2 2 3 2 2" xfId="26541"/>
    <cellStyle name="Milliers 2 4 2 5 2 2 2 3 3" xfId="26542"/>
    <cellStyle name="Milliers 2 4 2 5 2 2 2 4" xfId="26543"/>
    <cellStyle name="Milliers 2 4 2 5 2 2 2 4 2" xfId="26544"/>
    <cellStyle name="Milliers 2 4 2 5 2 2 2 5" xfId="26545"/>
    <cellStyle name="Milliers 2 4 2 5 2 2 3" xfId="26546"/>
    <cellStyle name="Milliers 2 4 2 5 2 2 3 2" xfId="26547"/>
    <cellStyle name="Milliers 2 4 2 5 2 2 3 2 2" xfId="26548"/>
    <cellStyle name="Milliers 2 4 2 5 2 2 3 2 2 2" xfId="26549"/>
    <cellStyle name="Milliers 2 4 2 5 2 2 3 2 3" xfId="26550"/>
    <cellStyle name="Milliers 2 4 2 5 2 2 3 3" xfId="26551"/>
    <cellStyle name="Milliers 2 4 2 5 2 2 3 3 2" xfId="26552"/>
    <cellStyle name="Milliers 2 4 2 5 2 2 3 4" xfId="26553"/>
    <cellStyle name="Milliers 2 4 2 5 2 2 4" xfId="26554"/>
    <cellStyle name="Milliers 2 4 2 5 2 2 4 2" xfId="26555"/>
    <cellStyle name="Milliers 2 4 2 5 2 2 4 2 2" xfId="26556"/>
    <cellStyle name="Milliers 2 4 2 5 2 2 4 3" xfId="26557"/>
    <cellStyle name="Milliers 2 4 2 5 2 2 5" xfId="26558"/>
    <cellStyle name="Milliers 2 4 2 5 2 2 5 2" xfId="26559"/>
    <cellStyle name="Milliers 2 4 2 5 2 2 6" xfId="26560"/>
    <cellStyle name="Milliers 2 4 2 5 2 3" xfId="26561"/>
    <cellStyle name="Milliers 2 4 2 5 2 3 2" xfId="26562"/>
    <cellStyle name="Milliers 2 4 2 5 2 3 2 2" xfId="26563"/>
    <cellStyle name="Milliers 2 4 2 5 2 3 2 2 2" xfId="26564"/>
    <cellStyle name="Milliers 2 4 2 5 2 3 2 2 2 2" xfId="26565"/>
    <cellStyle name="Milliers 2 4 2 5 2 3 2 2 3" xfId="26566"/>
    <cellStyle name="Milliers 2 4 2 5 2 3 2 3" xfId="26567"/>
    <cellStyle name="Milliers 2 4 2 5 2 3 2 3 2" xfId="26568"/>
    <cellStyle name="Milliers 2 4 2 5 2 3 2 4" xfId="26569"/>
    <cellStyle name="Milliers 2 4 2 5 2 3 3" xfId="26570"/>
    <cellStyle name="Milliers 2 4 2 5 2 3 3 2" xfId="26571"/>
    <cellStyle name="Milliers 2 4 2 5 2 3 3 2 2" xfId="26572"/>
    <cellStyle name="Milliers 2 4 2 5 2 3 3 3" xfId="26573"/>
    <cellStyle name="Milliers 2 4 2 5 2 3 4" xfId="26574"/>
    <cellStyle name="Milliers 2 4 2 5 2 3 4 2" xfId="26575"/>
    <cellStyle name="Milliers 2 4 2 5 2 3 5" xfId="26576"/>
    <cellStyle name="Milliers 2 4 2 5 2 4" xfId="26577"/>
    <cellStyle name="Milliers 2 4 2 5 2 4 2" xfId="26578"/>
    <cellStyle name="Milliers 2 4 2 5 2 4 2 2" xfId="26579"/>
    <cellStyle name="Milliers 2 4 2 5 2 4 2 2 2" xfId="26580"/>
    <cellStyle name="Milliers 2 4 2 5 2 4 2 3" xfId="26581"/>
    <cellStyle name="Milliers 2 4 2 5 2 4 3" xfId="26582"/>
    <cellStyle name="Milliers 2 4 2 5 2 4 3 2" xfId="26583"/>
    <cellStyle name="Milliers 2 4 2 5 2 4 4" xfId="26584"/>
    <cellStyle name="Milliers 2 4 2 5 2 5" xfId="26585"/>
    <cellStyle name="Milliers 2 4 2 5 2 5 2" xfId="26586"/>
    <cellStyle name="Milliers 2 4 2 5 2 5 2 2" xfId="26587"/>
    <cellStyle name="Milliers 2 4 2 5 2 5 3" xfId="26588"/>
    <cellStyle name="Milliers 2 4 2 5 2 6" xfId="26589"/>
    <cellStyle name="Milliers 2 4 2 5 2 6 2" xfId="26590"/>
    <cellStyle name="Milliers 2 4 2 5 2 7" xfId="26591"/>
    <cellStyle name="Milliers 2 4 2 5 3" xfId="26592"/>
    <cellStyle name="Milliers 2 4 2 5 3 2" xfId="26593"/>
    <cellStyle name="Milliers 2 4 2 5 3 2 2" xfId="26594"/>
    <cellStyle name="Milliers 2 4 2 5 3 2 2 2" xfId="26595"/>
    <cellStyle name="Milliers 2 4 2 5 3 2 2 2 2" xfId="26596"/>
    <cellStyle name="Milliers 2 4 2 5 3 2 2 2 2 2" xfId="26597"/>
    <cellStyle name="Milliers 2 4 2 5 3 2 2 2 3" xfId="26598"/>
    <cellStyle name="Milliers 2 4 2 5 3 2 2 3" xfId="26599"/>
    <cellStyle name="Milliers 2 4 2 5 3 2 2 3 2" xfId="26600"/>
    <cellStyle name="Milliers 2 4 2 5 3 2 2 4" xfId="26601"/>
    <cellStyle name="Milliers 2 4 2 5 3 2 3" xfId="26602"/>
    <cellStyle name="Milliers 2 4 2 5 3 2 3 2" xfId="26603"/>
    <cellStyle name="Milliers 2 4 2 5 3 2 3 2 2" xfId="26604"/>
    <cellStyle name="Milliers 2 4 2 5 3 2 3 3" xfId="26605"/>
    <cellStyle name="Milliers 2 4 2 5 3 2 4" xfId="26606"/>
    <cellStyle name="Milliers 2 4 2 5 3 2 4 2" xfId="26607"/>
    <cellStyle name="Milliers 2 4 2 5 3 2 5" xfId="26608"/>
    <cellStyle name="Milliers 2 4 2 5 3 3" xfId="26609"/>
    <cellStyle name="Milliers 2 4 2 5 3 3 2" xfId="26610"/>
    <cellStyle name="Milliers 2 4 2 5 3 3 2 2" xfId="26611"/>
    <cellStyle name="Milliers 2 4 2 5 3 3 2 2 2" xfId="26612"/>
    <cellStyle name="Milliers 2 4 2 5 3 3 2 3" xfId="26613"/>
    <cellStyle name="Milliers 2 4 2 5 3 3 3" xfId="26614"/>
    <cellStyle name="Milliers 2 4 2 5 3 3 3 2" xfId="26615"/>
    <cellStyle name="Milliers 2 4 2 5 3 3 4" xfId="26616"/>
    <cellStyle name="Milliers 2 4 2 5 3 4" xfId="26617"/>
    <cellStyle name="Milliers 2 4 2 5 3 4 2" xfId="26618"/>
    <cellStyle name="Milliers 2 4 2 5 3 4 2 2" xfId="26619"/>
    <cellStyle name="Milliers 2 4 2 5 3 4 3" xfId="26620"/>
    <cellStyle name="Milliers 2 4 2 5 3 5" xfId="26621"/>
    <cellStyle name="Milliers 2 4 2 5 3 5 2" xfId="26622"/>
    <cellStyle name="Milliers 2 4 2 5 3 6" xfId="26623"/>
    <cellStyle name="Milliers 2 4 2 5 4" xfId="26624"/>
    <cellStyle name="Milliers 2 4 2 5 4 2" xfId="26625"/>
    <cellStyle name="Milliers 2 4 2 5 4 2 2" xfId="26626"/>
    <cellStyle name="Milliers 2 4 2 5 4 2 2 2" xfId="26627"/>
    <cellStyle name="Milliers 2 4 2 5 4 2 2 2 2" xfId="26628"/>
    <cellStyle name="Milliers 2 4 2 5 4 2 2 3" xfId="26629"/>
    <cellStyle name="Milliers 2 4 2 5 4 2 3" xfId="26630"/>
    <cellStyle name="Milliers 2 4 2 5 4 2 3 2" xfId="26631"/>
    <cellStyle name="Milliers 2 4 2 5 4 2 4" xfId="26632"/>
    <cellStyle name="Milliers 2 4 2 5 4 3" xfId="26633"/>
    <cellStyle name="Milliers 2 4 2 5 4 3 2" xfId="26634"/>
    <cellStyle name="Milliers 2 4 2 5 4 3 2 2" xfId="26635"/>
    <cellStyle name="Milliers 2 4 2 5 4 3 3" xfId="26636"/>
    <cellStyle name="Milliers 2 4 2 5 4 4" xfId="26637"/>
    <cellStyle name="Milliers 2 4 2 5 4 4 2" xfId="26638"/>
    <cellStyle name="Milliers 2 4 2 5 4 5" xfId="26639"/>
    <cellStyle name="Milliers 2 4 2 5 5" xfId="26640"/>
    <cellStyle name="Milliers 2 4 2 5 5 2" xfId="26641"/>
    <cellStyle name="Milliers 2 4 2 5 5 2 2" xfId="26642"/>
    <cellStyle name="Milliers 2 4 2 5 5 2 2 2" xfId="26643"/>
    <cellStyle name="Milliers 2 4 2 5 5 2 3" xfId="26644"/>
    <cellStyle name="Milliers 2 4 2 5 5 3" xfId="26645"/>
    <cellStyle name="Milliers 2 4 2 5 5 3 2" xfId="26646"/>
    <cellStyle name="Milliers 2 4 2 5 5 4" xfId="26647"/>
    <cellStyle name="Milliers 2 4 2 5 6" xfId="26648"/>
    <cellStyle name="Milliers 2 4 2 5 6 2" xfId="26649"/>
    <cellStyle name="Milliers 2 4 2 5 6 2 2" xfId="26650"/>
    <cellStyle name="Milliers 2 4 2 5 6 3" xfId="26651"/>
    <cellStyle name="Milliers 2 4 2 5 7" xfId="26652"/>
    <cellStyle name="Milliers 2 4 2 5 7 2" xfId="26653"/>
    <cellStyle name="Milliers 2 4 2 5 8" xfId="26654"/>
    <cellStyle name="Milliers 2 4 2 6" xfId="26655"/>
    <cellStyle name="Milliers 2 4 2 6 2" xfId="26656"/>
    <cellStyle name="Milliers 2 4 2 6 2 2" xfId="26657"/>
    <cellStyle name="Milliers 2 4 2 6 2 2 2" xfId="26658"/>
    <cellStyle name="Milliers 2 4 2 6 2 2 2 2" xfId="26659"/>
    <cellStyle name="Milliers 2 4 2 6 2 2 2 2 2" xfId="26660"/>
    <cellStyle name="Milliers 2 4 2 6 2 2 2 2 2 2" xfId="26661"/>
    <cellStyle name="Milliers 2 4 2 6 2 2 2 2 3" xfId="26662"/>
    <cellStyle name="Milliers 2 4 2 6 2 2 2 3" xfId="26663"/>
    <cellStyle name="Milliers 2 4 2 6 2 2 2 3 2" xfId="26664"/>
    <cellStyle name="Milliers 2 4 2 6 2 2 2 4" xfId="26665"/>
    <cellStyle name="Milliers 2 4 2 6 2 2 3" xfId="26666"/>
    <cellStyle name="Milliers 2 4 2 6 2 2 3 2" xfId="26667"/>
    <cellStyle name="Milliers 2 4 2 6 2 2 3 2 2" xfId="26668"/>
    <cellStyle name="Milliers 2 4 2 6 2 2 3 3" xfId="26669"/>
    <cellStyle name="Milliers 2 4 2 6 2 2 4" xfId="26670"/>
    <cellStyle name="Milliers 2 4 2 6 2 2 4 2" xfId="26671"/>
    <cellStyle name="Milliers 2 4 2 6 2 2 5" xfId="26672"/>
    <cellStyle name="Milliers 2 4 2 6 2 3" xfId="26673"/>
    <cellStyle name="Milliers 2 4 2 6 2 3 2" xfId="26674"/>
    <cellStyle name="Milliers 2 4 2 6 2 3 2 2" xfId="26675"/>
    <cellStyle name="Milliers 2 4 2 6 2 3 2 2 2" xfId="26676"/>
    <cellStyle name="Milliers 2 4 2 6 2 3 2 3" xfId="26677"/>
    <cellStyle name="Milliers 2 4 2 6 2 3 3" xfId="26678"/>
    <cellStyle name="Milliers 2 4 2 6 2 3 3 2" xfId="26679"/>
    <cellStyle name="Milliers 2 4 2 6 2 3 4" xfId="26680"/>
    <cellStyle name="Milliers 2 4 2 6 2 4" xfId="26681"/>
    <cellStyle name="Milliers 2 4 2 6 2 4 2" xfId="26682"/>
    <cellStyle name="Milliers 2 4 2 6 2 4 2 2" xfId="26683"/>
    <cellStyle name="Milliers 2 4 2 6 2 4 3" xfId="26684"/>
    <cellStyle name="Milliers 2 4 2 6 2 5" xfId="26685"/>
    <cellStyle name="Milliers 2 4 2 6 2 5 2" xfId="26686"/>
    <cellStyle name="Milliers 2 4 2 6 2 6" xfId="26687"/>
    <cellStyle name="Milliers 2 4 2 6 3" xfId="26688"/>
    <cellStyle name="Milliers 2 4 2 6 3 2" xfId="26689"/>
    <cellStyle name="Milliers 2 4 2 6 3 2 2" xfId="26690"/>
    <cellStyle name="Milliers 2 4 2 6 3 2 2 2" xfId="26691"/>
    <cellStyle name="Milliers 2 4 2 6 3 2 2 2 2" xfId="26692"/>
    <cellStyle name="Milliers 2 4 2 6 3 2 2 3" xfId="26693"/>
    <cellStyle name="Milliers 2 4 2 6 3 2 3" xfId="26694"/>
    <cellStyle name="Milliers 2 4 2 6 3 2 3 2" xfId="26695"/>
    <cellStyle name="Milliers 2 4 2 6 3 2 4" xfId="26696"/>
    <cellStyle name="Milliers 2 4 2 6 3 3" xfId="26697"/>
    <cellStyle name="Milliers 2 4 2 6 3 3 2" xfId="26698"/>
    <cellStyle name="Milliers 2 4 2 6 3 3 2 2" xfId="26699"/>
    <cellStyle name="Milliers 2 4 2 6 3 3 3" xfId="26700"/>
    <cellStyle name="Milliers 2 4 2 6 3 4" xfId="26701"/>
    <cellStyle name="Milliers 2 4 2 6 3 4 2" xfId="26702"/>
    <cellStyle name="Milliers 2 4 2 6 3 5" xfId="26703"/>
    <cellStyle name="Milliers 2 4 2 6 4" xfId="26704"/>
    <cellStyle name="Milliers 2 4 2 6 4 2" xfId="26705"/>
    <cellStyle name="Milliers 2 4 2 6 4 2 2" xfId="26706"/>
    <cellStyle name="Milliers 2 4 2 6 4 2 2 2" xfId="26707"/>
    <cellStyle name="Milliers 2 4 2 6 4 2 3" xfId="26708"/>
    <cellStyle name="Milliers 2 4 2 6 4 3" xfId="26709"/>
    <cellStyle name="Milliers 2 4 2 6 4 3 2" xfId="26710"/>
    <cellStyle name="Milliers 2 4 2 6 4 4" xfId="26711"/>
    <cellStyle name="Milliers 2 4 2 6 5" xfId="26712"/>
    <cellStyle name="Milliers 2 4 2 6 5 2" xfId="26713"/>
    <cellStyle name="Milliers 2 4 2 6 5 2 2" xfId="26714"/>
    <cellStyle name="Milliers 2 4 2 6 5 3" xfId="26715"/>
    <cellStyle name="Milliers 2 4 2 6 6" xfId="26716"/>
    <cellStyle name="Milliers 2 4 2 6 6 2" xfId="26717"/>
    <cellStyle name="Milliers 2 4 2 6 7" xfId="26718"/>
    <cellStyle name="Milliers 2 4 2 7" xfId="26719"/>
    <cellStyle name="Milliers 2 4 2 7 2" xfId="26720"/>
    <cellStyle name="Milliers 2 4 2 7 2 2" xfId="26721"/>
    <cellStyle name="Milliers 2 4 2 7 2 2 2" xfId="26722"/>
    <cellStyle name="Milliers 2 4 2 7 2 2 2 2" xfId="26723"/>
    <cellStyle name="Milliers 2 4 2 7 2 2 2 2 2" xfId="26724"/>
    <cellStyle name="Milliers 2 4 2 7 2 2 2 3" xfId="26725"/>
    <cellStyle name="Milliers 2 4 2 7 2 2 3" xfId="26726"/>
    <cellStyle name="Milliers 2 4 2 7 2 2 3 2" xfId="26727"/>
    <cellStyle name="Milliers 2 4 2 7 2 2 4" xfId="26728"/>
    <cellStyle name="Milliers 2 4 2 7 2 3" xfId="26729"/>
    <cellStyle name="Milliers 2 4 2 7 2 3 2" xfId="26730"/>
    <cellStyle name="Milliers 2 4 2 7 2 3 2 2" xfId="26731"/>
    <cellStyle name="Milliers 2 4 2 7 2 3 3" xfId="26732"/>
    <cellStyle name="Milliers 2 4 2 7 2 4" xfId="26733"/>
    <cellStyle name="Milliers 2 4 2 7 2 4 2" xfId="26734"/>
    <cellStyle name="Milliers 2 4 2 7 2 5" xfId="26735"/>
    <cellStyle name="Milliers 2 4 2 7 3" xfId="26736"/>
    <cellStyle name="Milliers 2 4 2 7 3 2" xfId="26737"/>
    <cellStyle name="Milliers 2 4 2 7 3 2 2" xfId="26738"/>
    <cellStyle name="Milliers 2 4 2 7 3 2 2 2" xfId="26739"/>
    <cellStyle name="Milliers 2 4 2 7 3 2 3" xfId="26740"/>
    <cellStyle name="Milliers 2 4 2 7 3 3" xfId="26741"/>
    <cellStyle name="Milliers 2 4 2 7 3 3 2" xfId="26742"/>
    <cellStyle name="Milliers 2 4 2 7 3 4" xfId="26743"/>
    <cellStyle name="Milliers 2 4 2 7 4" xfId="26744"/>
    <cellStyle name="Milliers 2 4 2 7 4 2" xfId="26745"/>
    <cellStyle name="Milliers 2 4 2 7 4 2 2" xfId="26746"/>
    <cellStyle name="Milliers 2 4 2 7 4 3" xfId="26747"/>
    <cellStyle name="Milliers 2 4 2 7 5" xfId="26748"/>
    <cellStyle name="Milliers 2 4 2 7 5 2" xfId="26749"/>
    <cellStyle name="Milliers 2 4 2 7 6" xfId="26750"/>
    <cellStyle name="Milliers 2 4 2 8" xfId="26751"/>
    <cellStyle name="Milliers 2 4 2 8 2" xfId="26752"/>
    <cellStyle name="Milliers 2 4 2 8 2 2" xfId="26753"/>
    <cellStyle name="Milliers 2 4 2 8 2 2 2" xfId="26754"/>
    <cellStyle name="Milliers 2 4 2 8 2 2 2 2" xfId="26755"/>
    <cellStyle name="Milliers 2 4 2 8 2 2 3" xfId="26756"/>
    <cellStyle name="Milliers 2 4 2 8 2 3" xfId="26757"/>
    <cellStyle name="Milliers 2 4 2 8 2 3 2" xfId="26758"/>
    <cellStyle name="Milliers 2 4 2 8 2 4" xfId="26759"/>
    <cellStyle name="Milliers 2 4 2 8 3" xfId="26760"/>
    <cellStyle name="Milliers 2 4 2 8 3 2" xfId="26761"/>
    <cellStyle name="Milliers 2 4 2 8 3 2 2" xfId="26762"/>
    <cellStyle name="Milliers 2 4 2 8 3 3" xfId="26763"/>
    <cellStyle name="Milliers 2 4 2 8 4" xfId="26764"/>
    <cellStyle name="Milliers 2 4 2 8 4 2" xfId="26765"/>
    <cellStyle name="Milliers 2 4 2 8 5" xfId="26766"/>
    <cellStyle name="Milliers 2 4 2 9" xfId="26767"/>
    <cellStyle name="Milliers 2 4 2 9 2" xfId="26768"/>
    <cellStyle name="Milliers 2 4 2 9 2 2" xfId="26769"/>
    <cellStyle name="Milliers 2 4 2 9 2 2 2" xfId="26770"/>
    <cellStyle name="Milliers 2 4 2 9 2 3" xfId="26771"/>
    <cellStyle name="Milliers 2 4 2 9 3" xfId="26772"/>
    <cellStyle name="Milliers 2 4 2 9 3 2" xfId="26773"/>
    <cellStyle name="Milliers 2 4 2 9 4" xfId="26774"/>
    <cellStyle name="Milliers 2 4 3" xfId="26775"/>
    <cellStyle name="Milliers 2 4 3 10" xfId="26776"/>
    <cellStyle name="Milliers 2 4 3 10 2" xfId="26777"/>
    <cellStyle name="Milliers 2 4 3 11" xfId="26778"/>
    <cellStyle name="Milliers 2 4 3 2" xfId="26779"/>
    <cellStyle name="Milliers 2 4 3 2 10" xfId="26780"/>
    <cellStyle name="Milliers 2 4 3 2 2" xfId="26781"/>
    <cellStyle name="Milliers 2 4 3 2 2 2" xfId="26782"/>
    <cellStyle name="Milliers 2 4 3 2 2 2 2" xfId="26783"/>
    <cellStyle name="Milliers 2 4 3 2 2 2 2 2" xfId="26784"/>
    <cellStyle name="Milliers 2 4 3 2 2 2 2 2 2" xfId="26785"/>
    <cellStyle name="Milliers 2 4 3 2 2 2 2 2 2 2" xfId="26786"/>
    <cellStyle name="Milliers 2 4 3 2 2 2 2 2 2 2 2" xfId="26787"/>
    <cellStyle name="Milliers 2 4 3 2 2 2 2 2 2 2 2 2" xfId="26788"/>
    <cellStyle name="Milliers 2 4 3 2 2 2 2 2 2 2 2 2 2" xfId="26789"/>
    <cellStyle name="Milliers 2 4 3 2 2 2 2 2 2 2 2 3" xfId="26790"/>
    <cellStyle name="Milliers 2 4 3 2 2 2 2 2 2 2 3" xfId="26791"/>
    <cellStyle name="Milliers 2 4 3 2 2 2 2 2 2 2 3 2" xfId="26792"/>
    <cellStyle name="Milliers 2 4 3 2 2 2 2 2 2 2 4" xfId="26793"/>
    <cellStyle name="Milliers 2 4 3 2 2 2 2 2 2 3" xfId="26794"/>
    <cellStyle name="Milliers 2 4 3 2 2 2 2 2 2 3 2" xfId="26795"/>
    <cellStyle name="Milliers 2 4 3 2 2 2 2 2 2 3 2 2" xfId="26796"/>
    <cellStyle name="Milliers 2 4 3 2 2 2 2 2 2 3 3" xfId="26797"/>
    <cellStyle name="Milliers 2 4 3 2 2 2 2 2 2 4" xfId="26798"/>
    <cellStyle name="Milliers 2 4 3 2 2 2 2 2 2 4 2" xfId="26799"/>
    <cellStyle name="Milliers 2 4 3 2 2 2 2 2 2 5" xfId="26800"/>
    <cellStyle name="Milliers 2 4 3 2 2 2 2 2 3" xfId="26801"/>
    <cellStyle name="Milliers 2 4 3 2 2 2 2 2 3 2" xfId="26802"/>
    <cellStyle name="Milliers 2 4 3 2 2 2 2 2 3 2 2" xfId="26803"/>
    <cellStyle name="Milliers 2 4 3 2 2 2 2 2 3 2 2 2" xfId="26804"/>
    <cellStyle name="Milliers 2 4 3 2 2 2 2 2 3 2 3" xfId="26805"/>
    <cellStyle name="Milliers 2 4 3 2 2 2 2 2 3 3" xfId="26806"/>
    <cellStyle name="Milliers 2 4 3 2 2 2 2 2 3 3 2" xfId="26807"/>
    <cellStyle name="Milliers 2 4 3 2 2 2 2 2 3 4" xfId="26808"/>
    <cellStyle name="Milliers 2 4 3 2 2 2 2 2 4" xfId="26809"/>
    <cellStyle name="Milliers 2 4 3 2 2 2 2 2 4 2" xfId="26810"/>
    <cellStyle name="Milliers 2 4 3 2 2 2 2 2 4 2 2" xfId="26811"/>
    <cellStyle name="Milliers 2 4 3 2 2 2 2 2 4 3" xfId="26812"/>
    <cellStyle name="Milliers 2 4 3 2 2 2 2 2 5" xfId="26813"/>
    <cellStyle name="Milliers 2 4 3 2 2 2 2 2 5 2" xfId="26814"/>
    <cellStyle name="Milliers 2 4 3 2 2 2 2 2 6" xfId="26815"/>
    <cellStyle name="Milliers 2 4 3 2 2 2 2 3" xfId="26816"/>
    <cellStyle name="Milliers 2 4 3 2 2 2 2 3 2" xfId="26817"/>
    <cellStyle name="Milliers 2 4 3 2 2 2 2 3 2 2" xfId="26818"/>
    <cellStyle name="Milliers 2 4 3 2 2 2 2 3 2 2 2" xfId="26819"/>
    <cellStyle name="Milliers 2 4 3 2 2 2 2 3 2 2 2 2" xfId="26820"/>
    <cellStyle name="Milliers 2 4 3 2 2 2 2 3 2 2 3" xfId="26821"/>
    <cellStyle name="Milliers 2 4 3 2 2 2 2 3 2 3" xfId="26822"/>
    <cellStyle name="Milliers 2 4 3 2 2 2 2 3 2 3 2" xfId="26823"/>
    <cellStyle name="Milliers 2 4 3 2 2 2 2 3 2 4" xfId="26824"/>
    <cellStyle name="Milliers 2 4 3 2 2 2 2 3 3" xfId="26825"/>
    <cellStyle name="Milliers 2 4 3 2 2 2 2 3 3 2" xfId="26826"/>
    <cellStyle name="Milliers 2 4 3 2 2 2 2 3 3 2 2" xfId="26827"/>
    <cellStyle name="Milliers 2 4 3 2 2 2 2 3 3 3" xfId="26828"/>
    <cellStyle name="Milliers 2 4 3 2 2 2 2 3 4" xfId="26829"/>
    <cellStyle name="Milliers 2 4 3 2 2 2 2 3 4 2" xfId="26830"/>
    <cellStyle name="Milliers 2 4 3 2 2 2 2 3 5" xfId="26831"/>
    <cellStyle name="Milliers 2 4 3 2 2 2 2 4" xfId="26832"/>
    <cellStyle name="Milliers 2 4 3 2 2 2 2 4 2" xfId="26833"/>
    <cellStyle name="Milliers 2 4 3 2 2 2 2 4 2 2" xfId="26834"/>
    <cellStyle name="Milliers 2 4 3 2 2 2 2 4 2 2 2" xfId="26835"/>
    <cellStyle name="Milliers 2 4 3 2 2 2 2 4 2 3" xfId="26836"/>
    <cellStyle name="Milliers 2 4 3 2 2 2 2 4 3" xfId="26837"/>
    <cellStyle name="Milliers 2 4 3 2 2 2 2 4 3 2" xfId="26838"/>
    <cellStyle name="Milliers 2 4 3 2 2 2 2 4 4" xfId="26839"/>
    <cellStyle name="Milliers 2 4 3 2 2 2 2 5" xfId="26840"/>
    <cellStyle name="Milliers 2 4 3 2 2 2 2 5 2" xfId="26841"/>
    <cellStyle name="Milliers 2 4 3 2 2 2 2 5 2 2" xfId="26842"/>
    <cellStyle name="Milliers 2 4 3 2 2 2 2 5 3" xfId="26843"/>
    <cellStyle name="Milliers 2 4 3 2 2 2 2 6" xfId="26844"/>
    <cellStyle name="Milliers 2 4 3 2 2 2 2 6 2" xfId="26845"/>
    <cellStyle name="Milliers 2 4 3 2 2 2 2 7" xfId="26846"/>
    <cellStyle name="Milliers 2 4 3 2 2 2 3" xfId="26847"/>
    <cellStyle name="Milliers 2 4 3 2 2 2 3 2" xfId="26848"/>
    <cellStyle name="Milliers 2 4 3 2 2 2 3 2 2" xfId="26849"/>
    <cellStyle name="Milliers 2 4 3 2 2 2 3 2 2 2" xfId="26850"/>
    <cellStyle name="Milliers 2 4 3 2 2 2 3 2 2 2 2" xfId="26851"/>
    <cellStyle name="Milliers 2 4 3 2 2 2 3 2 2 2 2 2" xfId="26852"/>
    <cellStyle name="Milliers 2 4 3 2 2 2 3 2 2 2 3" xfId="26853"/>
    <cellStyle name="Milliers 2 4 3 2 2 2 3 2 2 3" xfId="26854"/>
    <cellStyle name="Milliers 2 4 3 2 2 2 3 2 2 3 2" xfId="26855"/>
    <cellStyle name="Milliers 2 4 3 2 2 2 3 2 2 4" xfId="26856"/>
    <cellStyle name="Milliers 2 4 3 2 2 2 3 2 3" xfId="26857"/>
    <cellStyle name="Milliers 2 4 3 2 2 2 3 2 3 2" xfId="26858"/>
    <cellStyle name="Milliers 2 4 3 2 2 2 3 2 3 2 2" xfId="26859"/>
    <cellStyle name="Milliers 2 4 3 2 2 2 3 2 3 3" xfId="26860"/>
    <cellStyle name="Milliers 2 4 3 2 2 2 3 2 4" xfId="26861"/>
    <cellStyle name="Milliers 2 4 3 2 2 2 3 2 4 2" xfId="26862"/>
    <cellStyle name="Milliers 2 4 3 2 2 2 3 2 5" xfId="26863"/>
    <cellStyle name="Milliers 2 4 3 2 2 2 3 3" xfId="26864"/>
    <cellStyle name="Milliers 2 4 3 2 2 2 3 3 2" xfId="26865"/>
    <cellStyle name="Milliers 2 4 3 2 2 2 3 3 2 2" xfId="26866"/>
    <cellStyle name="Milliers 2 4 3 2 2 2 3 3 2 2 2" xfId="26867"/>
    <cellStyle name="Milliers 2 4 3 2 2 2 3 3 2 3" xfId="26868"/>
    <cellStyle name="Milliers 2 4 3 2 2 2 3 3 3" xfId="26869"/>
    <cellStyle name="Milliers 2 4 3 2 2 2 3 3 3 2" xfId="26870"/>
    <cellStyle name="Milliers 2 4 3 2 2 2 3 3 4" xfId="26871"/>
    <cellStyle name="Milliers 2 4 3 2 2 2 3 4" xfId="26872"/>
    <cellStyle name="Milliers 2 4 3 2 2 2 3 4 2" xfId="26873"/>
    <cellStyle name="Milliers 2 4 3 2 2 2 3 4 2 2" xfId="26874"/>
    <cellStyle name="Milliers 2 4 3 2 2 2 3 4 3" xfId="26875"/>
    <cellStyle name="Milliers 2 4 3 2 2 2 3 5" xfId="26876"/>
    <cellStyle name="Milliers 2 4 3 2 2 2 3 5 2" xfId="26877"/>
    <cellStyle name="Milliers 2 4 3 2 2 2 3 6" xfId="26878"/>
    <cellStyle name="Milliers 2 4 3 2 2 2 4" xfId="26879"/>
    <cellStyle name="Milliers 2 4 3 2 2 2 4 2" xfId="26880"/>
    <cellStyle name="Milliers 2 4 3 2 2 2 4 2 2" xfId="26881"/>
    <cellStyle name="Milliers 2 4 3 2 2 2 4 2 2 2" xfId="26882"/>
    <cellStyle name="Milliers 2 4 3 2 2 2 4 2 2 2 2" xfId="26883"/>
    <cellStyle name="Milliers 2 4 3 2 2 2 4 2 2 3" xfId="26884"/>
    <cellStyle name="Milliers 2 4 3 2 2 2 4 2 3" xfId="26885"/>
    <cellStyle name="Milliers 2 4 3 2 2 2 4 2 3 2" xfId="26886"/>
    <cellStyle name="Milliers 2 4 3 2 2 2 4 2 4" xfId="26887"/>
    <cellStyle name="Milliers 2 4 3 2 2 2 4 3" xfId="26888"/>
    <cellStyle name="Milliers 2 4 3 2 2 2 4 3 2" xfId="26889"/>
    <cellStyle name="Milliers 2 4 3 2 2 2 4 3 2 2" xfId="26890"/>
    <cellStyle name="Milliers 2 4 3 2 2 2 4 3 3" xfId="26891"/>
    <cellStyle name="Milliers 2 4 3 2 2 2 4 4" xfId="26892"/>
    <cellStyle name="Milliers 2 4 3 2 2 2 4 4 2" xfId="26893"/>
    <cellStyle name="Milliers 2 4 3 2 2 2 4 5" xfId="26894"/>
    <cellStyle name="Milliers 2 4 3 2 2 2 5" xfId="26895"/>
    <cellStyle name="Milliers 2 4 3 2 2 2 5 2" xfId="26896"/>
    <cellStyle name="Milliers 2 4 3 2 2 2 5 2 2" xfId="26897"/>
    <cellStyle name="Milliers 2 4 3 2 2 2 5 2 2 2" xfId="26898"/>
    <cellStyle name="Milliers 2 4 3 2 2 2 5 2 3" xfId="26899"/>
    <cellStyle name="Milliers 2 4 3 2 2 2 5 3" xfId="26900"/>
    <cellStyle name="Milliers 2 4 3 2 2 2 5 3 2" xfId="26901"/>
    <cellStyle name="Milliers 2 4 3 2 2 2 5 4" xfId="26902"/>
    <cellStyle name="Milliers 2 4 3 2 2 2 6" xfId="26903"/>
    <cellStyle name="Milliers 2 4 3 2 2 2 6 2" xfId="26904"/>
    <cellStyle name="Milliers 2 4 3 2 2 2 6 2 2" xfId="26905"/>
    <cellStyle name="Milliers 2 4 3 2 2 2 6 3" xfId="26906"/>
    <cellStyle name="Milliers 2 4 3 2 2 2 7" xfId="26907"/>
    <cellStyle name="Milliers 2 4 3 2 2 2 7 2" xfId="26908"/>
    <cellStyle name="Milliers 2 4 3 2 2 2 8" xfId="26909"/>
    <cellStyle name="Milliers 2 4 3 2 2 3" xfId="26910"/>
    <cellStyle name="Milliers 2 4 3 2 2 3 2" xfId="26911"/>
    <cellStyle name="Milliers 2 4 3 2 2 3 2 2" xfId="26912"/>
    <cellStyle name="Milliers 2 4 3 2 2 3 2 2 2" xfId="26913"/>
    <cellStyle name="Milliers 2 4 3 2 2 3 2 2 2 2" xfId="26914"/>
    <cellStyle name="Milliers 2 4 3 2 2 3 2 2 2 2 2" xfId="26915"/>
    <cellStyle name="Milliers 2 4 3 2 2 3 2 2 2 2 2 2" xfId="26916"/>
    <cellStyle name="Milliers 2 4 3 2 2 3 2 2 2 2 3" xfId="26917"/>
    <cellStyle name="Milliers 2 4 3 2 2 3 2 2 2 3" xfId="26918"/>
    <cellStyle name="Milliers 2 4 3 2 2 3 2 2 2 3 2" xfId="26919"/>
    <cellStyle name="Milliers 2 4 3 2 2 3 2 2 2 4" xfId="26920"/>
    <cellStyle name="Milliers 2 4 3 2 2 3 2 2 3" xfId="26921"/>
    <cellStyle name="Milliers 2 4 3 2 2 3 2 2 3 2" xfId="26922"/>
    <cellStyle name="Milliers 2 4 3 2 2 3 2 2 3 2 2" xfId="26923"/>
    <cellStyle name="Milliers 2 4 3 2 2 3 2 2 3 3" xfId="26924"/>
    <cellStyle name="Milliers 2 4 3 2 2 3 2 2 4" xfId="26925"/>
    <cellStyle name="Milliers 2 4 3 2 2 3 2 2 4 2" xfId="26926"/>
    <cellStyle name="Milliers 2 4 3 2 2 3 2 2 5" xfId="26927"/>
    <cellStyle name="Milliers 2 4 3 2 2 3 2 3" xfId="26928"/>
    <cellStyle name="Milliers 2 4 3 2 2 3 2 3 2" xfId="26929"/>
    <cellStyle name="Milliers 2 4 3 2 2 3 2 3 2 2" xfId="26930"/>
    <cellStyle name="Milliers 2 4 3 2 2 3 2 3 2 2 2" xfId="26931"/>
    <cellStyle name="Milliers 2 4 3 2 2 3 2 3 2 3" xfId="26932"/>
    <cellStyle name="Milliers 2 4 3 2 2 3 2 3 3" xfId="26933"/>
    <cellStyle name="Milliers 2 4 3 2 2 3 2 3 3 2" xfId="26934"/>
    <cellStyle name="Milliers 2 4 3 2 2 3 2 3 4" xfId="26935"/>
    <cellStyle name="Milliers 2 4 3 2 2 3 2 4" xfId="26936"/>
    <cellStyle name="Milliers 2 4 3 2 2 3 2 4 2" xfId="26937"/>
    <cellStyle name="Milliers 2 4 3 2 2 3 2 4 2 2" xfId="26938"/>
    <cellStyle name="Milliers 2 4 3 2 2 3 2 4 3" xfId="26939"/>
    <cellStyle name="Milliers 2 4 3 2 2 3 2 5" xfId="26940"/>
    <cellStyle name="Milliers 2 4 3 2 2 3 2 5 2" xfId="26941"/>
    <cellStyle name="Milliers 2 4 3 2 2 3 2 6" xfId="26942"/>
    <cellStyle name="Milliers 2 4 3 2 2 3 3" xfId="26943"/>
    <cellStyle name="Milliers 2 4 3 2 2 3 3 2" xfId="26944"/>
    <cellStyle name="Milliers 2 4 3 2 2 3 3 2 2" xfId="26945"/>
    <cellStyle name="Milliers 2 4 3 2 2 3 3 2 2 2" xfId="26946"/>
    <cellStyle name="Milliers 2 4 3 2 2 3 3 2 2 2 2" xfId="26947"/>
    <cellStyle name="Milliers 2 4 3 2 2 3 3 2 2 3" xfId="26948"/>
    <cellStyle name="Milliers 2 4 3 2 2 3 3 2 3" xfId="26949"/>
    <cellStyle name="Milliers 2 4 3 2 2 3 3 2 3 2" xfId="26950"/>
    <cellStyle name="Milliers 2 4 3 2 2 3 3 2 4" xfId="26951"/>
    <cellStyle name="Milliers 2 4 3 2 2 3 3 3" xfId="26952"/>
    <cellStyle name="Milliers 2 4 3 2 2 3 3 3 2" xfId="26953"/>
    <cellStyle name="Milliers 2 4 3 2 2 3 3 3 2 2" xfId="26954"/>
    <cellStyle name="Milliers 2 4 3 2 2 3 3 3 3" xfId="26955"/>
    <cellStyle name="Milliers 2 4 3 2 2 3 3 4" xfId="26956"/>
    <cellStyle name="Milliers 2 4 3 2 2 3 3 4 2" xfId="26957"/>
    <cellStyle name="Milliers 2 4 3 2 2 3 3 5" xfId="26958"/>
    <cellStyle name="Milliers 2 4 3 2 2 3 4" xfId="26959"/>
    <cellStyle name="Milliers 2 4 3 2 2 3 4 2" xfId="26960"/>
    <cellStyle name="Milliers 2 4 3 2 2 3 4 2 2" xfId="26961"/>
    <cellStyle name="Milliers 2 4 3 2 2 3 4 2 2 2" xfId="26962"/>
    <cellStyle name="Milliers 2 4 3 2 2 3 4 2 3" xfId="26963"/>
    <cellStyle name="Milliers 2 4 3 2 2 3 4 3" xfId="26964"/>
    <cellStyle name="Milliers 2 4 3 2 2 3 4 3 2" xfId="26965"/>
    <cellStyle name="Milliers 2 4 3 2 2 3 4 4" xfId="26966"/>
    <cellStyle name="Milliers 2 4 3 2 2 3 5" xfId="26967"/>
    <cellStyle name="Milliers 2 4 3 2 2 3 5 2" xfId="26968"/>
    <cellStyle name="Milliers 2 4 3 2 2 3 5 2 2" xfId="26969"/>
    <cellStyle name="Milliers 2 4 3 2 2 3 5 3" xfId="26970"/>
    <cellStyle name="Milliers 2 4 3 2 2 3 6" xfId="26971"/>
    <cellStyle name="Milliers 2 4 3 2 2 3 6 2" xfId="26972"/>
    <cellStyle name="Milliers 2 4 3 2 2 3 7" xfId="26973"/>
    <cellStyle name="Milliers 2 4 3 2 2 4" xfId="26974"/>
    <cellStyle name="Milliers 2 4 3 2 2 4 2" xfId="26975"/>
    <cellStyle name="Milliers 2 4 3 2 2 4 2 2" xfId="26976"/>
    <cellStyle name="Milliers 2 4 3 2 2 4 2 2 2" xfId="26977"/>
    <cellStyle name="Milliers 2 4 3 2 2 4 2 2 2 2" xfId="26978"/>
    <cellStyle name="Milliers 2 4 3 2 2 4 2 2 2 2 2" xfId="26979"/>
    <cellStyle name="Milliers 2 4 3 2 2 4 2 2 2 3" xfId="26980"/>
    <cellStyle name="Milliers 2 4 3 2 2 4 2 2 3" xfId="26981"/>
    <cellStyle name="Milliers 2 4 3 2 2 4 2 2 3 2" xfId="26982"/>
    <cellStyle name="Milliers 2 4 3 2 2 4 2 2 4" xfId="26983"/>
    <cellStyle name="Milliers 2 4 3 2 2 4 2 3" xfId="26984"/>
    <cellStyle name="Milliers 2 4 3 2 2 4 2 3 2" xfId="26985"/>
    <cellStyle name="Milliers 2 4 3 2 2 4 2 3 2 2" xfId="26986"/>
    <cellStyle name="Milliers 2 4 3 2 2 4 2 3 3" xfId="26987"/>
    <cellStyle name="Milliers 2 4 3 2 2 4 2 4" xfId="26988"/>
    <cellStyle name="Milliers 2 4 3 2 2 4 2 4 2" xfId="26989"/>
    <cellStyle name="Milliers 2 4 3 2 2 4 2 5" xfId="26990"/>
    <cellStyle name="Milliers 2 4 3 2 2 4 3" xfId="26991"/>
    <cellStyle name="Milliers 2 4 3 2 2 4 3 2" xfId="26992"/>
    <cellStyle name="Milliers 2 4 3 2 2 4 3 2 2" xfId="26993"/>
    <cellStyle name="Milliers 2 4 3 2 2 4 3 2 2 2" xfId="26994"/>
    <cellStyle name="Milliers 2 4 3 2 2 4 3 2 3" xfId="26995"/>
    <cellStyle name="Milliers 2 4 3 2 2 4 3 3" xfId="26996"/>
    <cellStyle name="Milliers 2 4 3 2 2 4 3 3 2" xfId="26997"/>
    <cellStyle name="Milliers 2 4 3 2 2 4 3 4" xfId="26998"/>
    <cellStyle name="Milliers 2 4 3 2 2 4 4" xfId="26999"/>
    <cellStyle name="Milliers 2 4 3 2 2 4 4 2" xfId="27000"/>
    <cellStyle name="Milliers 2 4 3 2 2 4 4 2 2" xfId="27001"/>
    <cellStyle name="Milliers 2 4 3 2 2 4 4 3" xfId="27002"/>
    <cellStyle name="Milliers 2 4 3 2 2 4 5" xfId="27003"/>
    <cellStyle name="Milliers 2 4 3 2 2 4 5 2" xfId="27004"/>
    <cellStyle name="Milliers 2 4 3 2 2 4 6" xfId="27005"/>
    <cellStyle name="Milliers 2 4 3 2 2 5" xfId="27006"/>
    <cellStyle name="Milliers 2 4 3 2 2 5 2" xfId="27007"/>
    <cellStyle name="Milliers 2 4 3 2 2 5 2 2" xfId="27008"/>
    <cellStyle name="Milliers 2 4 3 2 2 5 2 2 2" xfId="27009"/>
    <cellStyle name="Milliers 2 4 3 2 2 5 2 2 2 2" xfId="27010"/>
    <cellStyle name="Milliers 2 4 3 2 2 5 2 2 3" xfId="27011"/>
    <cellStyle name="Milliers 2 4 3 2 2 5 2 3" xfId="27012"/>
    <cellStyle name="Milliers 2 4 3 2 2 5 2 3 2" xfId="27013"/>
    <cellStyle name="Milliers 2 4 3 2 2 5 2 4" xfId="27014"/>
    <cellStyle name="Milliers 2 4 3 2 2 5 3" xfId="27015"/>
    <cellStyle name="Milliers 2 4 3 2 2 5 3 2" xfId="27016"/>
    <cellStyle name="Milliers 2 4 3 2 2 5 3 2 2" xfId="27017"/>
    <cellStyle name="Milliers 2 4 3 2 2 5 3 3" xfId="27018"/>
    <cellStyle name="Milliers 2 4 3 2 2 5 4" xfId="27019"/>
    <cellStyle name="Milliers 2 4 3 2 2 5 4 2" xfId="27020"/>
    <cellStyle name="Milliers 2 4 3 2 2 5 5" xfId="27021"/>
    <cellStyle name="Milliers 2 4 3 2 2 6" xfId="27022"/>
    <cellStyle name="Milliers 2 4 3 2 2 6 2" xfId="27023"/>
    <cellStyle name="Milliers 2 4 3 2 2 6 2 2" xfId="27024"/>
    <cellStyle name="Milliers 2 4 3 2 2 6 2 2 2" xfId="27025"/>
    <cellStyle name="Milliers 2 4 3 2 2 6 2 3" xfId="27026"/>
    <cellStyle name="Milliers 2 4 3 2 2 6 3" xfId="27027"/>
    <cellStyle name="Milliers 2 4 3 2 2 6 3 2" xfId="27028"/>
    <cellStyle name="Milliers 2 4 3 2 2 6 4" xfId="27029"/>
    <cellStyle name="Milliers 2 4 3 2 2 7" xfId="27030"/>
    <cellStyle name="Milliers 2 4 3 2 2 7 2" xfId="27031"/>
    <cellStyle name="Milliers 2 4 3 2 2 7 2 2" xfId="27032"/>
    <cellStyle name="Milliers 2 4 3 2 2 7 3" xfId="27033"/>
    <cellStyle name="Milliers 2 4 3 2 2 8" xfId="27034"/>
    <cellStyle name="Milliers 2 4 3 2 2 8 2" xfId="27035"/>
    <cellStyle name="Milliers 2 4 3 2 2 9" xfId="27036"/>
    <cellStyle name="Milliers 2 4 3 2 3" xfId="27037"/>
    <cellStyle name="Milliers 2 4 3 2 3 2" xfId="27038"/>
    <cellStyle name="Milliers 2 4 3 2 3 2 2" xfId="27039"/>
    <cellStyle name="Milliers 2 4 3 2 3 2 2 2" xfId="27040"/>
    <cellStyle name="Milliers 2 4 3 2 3 2 2 2 2" xfId="27041"/>
    <cellStyle name="Milliers 2 4 3 2 3 2 2 2 2 2" xfId="27042"/>
    <cellStyle name="Milliers 2 4 3 2 3 2 2 2 2 2 2" xfId="27043"/>
    <cellStyle name="Milliers 2 4 3 2 3 2 2 2 2 2 2 2" xfId="27044"/>
    <cellStyle name="Milliers 2 4 3 2 3 2 2 2 2 2 3" xfId="27045"/>
    <cellStyle name="Milliers 2 4 3 2 3 2 2 2 2 3" xfId="27046"/>
    <cellStyle name="Milliers 2 4 3 2 3 2 2 2 2 3 2" xfId="27047"/>
    <cellStyle name="Milliers 2 4 3 2 3 2 2 2 2 4" xfId="27048"/>
    <cellStyle name="Milliers 2 4 3 2 3 2 2 2 3" xfId="27049"/>
    <cellStyle name="Milliers 2 4 3 2 3 2 2 2 3 2" xfId="27050"/>
    <cellStyle name="Milliers 2 4 3 2 3 2 2 2 3 2 2" xfId="27051"/>
    <cellStyle name="Milliers 2 4 3 2 3 2 2 2 3 3" xfId="27052"/>
    <cellStyle name="Milliers 2 4 3 2 3 2 2 2 4" xfId="27053"/>
    <cellStyle name="Milliers 2 4 3 2 3 2 2 2 4 2" xfId="27054"/>
    <cellStyle name="Milliers 2 4 3 2 3 2 2 2 5" xfId="27055"/>
    <cellStyle name="Milliers 2 4 3 2 3 2 2 3" xfId="27056"/>
    <cellStyle name="Milliers 2 4 3 2 3 2 2 3 2" xfId="27057"/>
    <cellStyle name="Milliers 2 4 3 2 3 2 2 3 2 2" xfId="27058"/>
    <cellStyle name="Milliers 2 4 3 2 3 2 2 3 2 2 2" xfId="27059"/>
    <cellStyle name="Milliers 2 4 3 2 3 2 2 3 2 3" xfId="27060"/>
    <cellStyle name="Milliers 2 4 3 2 3 2 2 3 3" xfId="27061"/>
    <cellStyle name="Milliers 2 4 3 2 3 2 2 3 3 2" xfId="27062"/>
    <cellStyle name="Milliers 2 4 3 2 3 2 2 3 4" xfId="27063"/>
    <cellStyle name="Milliers 2 4 3 2 3 2 2 4" xfId="27064"/>
    <cellStyle name="Milliers 2 4 3 2 3 2 2 4 2" xfId="27065"/>
    <cellStyle name="Milliers 2 4 3 2 3 2 2 4 2 2" xfId="27066"/>
    <cellStyle name="Milliers 2 4 3 2 3 2 2 4 3" xfId="27067"/>
    <cellStyle name="Milliers 2 4 3 2 3 2 2 5" xfId="27068"/>
    <cellStyle name="Milliers 2 4 3 2 3 2 2 5 2" xfId="27069"/>
    <cellStyle name="Milliers 2 4 3 2 3 2 2 6" xfId="27070"/>
    <cellStyle name="Milliers 2 4 3 2 3 2 3" xfId="27071"/>
    <cellStyle name="Milliers 2 4 3 2 3 2 3 2" xfId="27072"/>
    <cellStyle name="Milliers 2 4 3 2 3 2 3 2 2" xfId="27073"/>
    <cellStyle name="Milliers 2 4 3 2 3 2 3 2 2 2" xfId="27074"/>
    <cellStyle name="Milliers 2 4 3 2 3 2 3 2 2 2 2" xfId="27075"/>
    <cellStyle name="Milliers 2 4 3 2 3 2 3 2 2 3" xfId="27076"/>
    <cellStyle name="Milliers 2 4 3 2 3 2 3 2 3" xfId="27077"/>
    <cellStyle name="Milliers 2 4 3 2 3 2 3 2 3 2" xfId="27078"/>
    <cellStyle name="Milliers 2 4 3 2 3 2 3 2 4" xfId="27079"/>
    <cellStyle name="Milliers 2 4 3 2 3 2 3 3" xfId="27080"/>
    <cellStyle name="Milliers 2 4 3 2 3 2 3 3 2" xfId="27081"/>
    <cellStyle name="Milliers 2 4 3 2 3 2 3 3 2 2" xfId="27082"/>
    <cellStyle name="Milliers 2 4 3 2 3 2 3 3 3" xfId="27083"/>
    <cellStyle name="Milliers 2 4 3 2 3 2 3 4" xfId="27084"/>
    <cellStyle name="Milliers 2 4 3 2 3 2 3 4 2" xfId="27085"/>
    <cellStyle name="Milliers 2 4 3 2 3 2 3 5" xfId="27086"/>
    <cellStyle name="Milliers 2 4 3 2 3 2 4" xfId="27087"/>
    <cellStyle name="Milliers 2 4 3 2 3 2 4 2" xfId="27088"/>
    <cellStyle name="Milliers 2 4 3 2 3 2 4 2 2" xfId="27089"/>
    <cellStyle name="Milliers 2 4 3 2 3 2 4 2 2 2" xfId="27090"/>
    <cellStyle name="Milliers 2 4 3 2 3 2 4 2 3" xfId="27091"/>
    <cellStyle name="Milliers 2 4 3 2 3 2 4 3" xfId="27092"/>
    <cellStyle name="Milliers 2 4 3 2 3 2 4 3 2" xfId="27093"/>
    <cellStyle name="Milliers 2 4 3 2 3 2 4 4" xfId="27094"/>
    <cellStyle name="Milliers 2 4 3 2 3 2 5" xfId="27095"/>
    <cellStyle name="Milliers 2 4 3 2 3 2 5 2" xfId="27096"/>
    <cellStyle name="Milliers 2 4 3 2 3 2 5 2 2" xfId="27097"/>
    <cellStyle name="Milliers 2 4 3 2 3 2 5 3" xfId="27098"/>
    <cellStyle name="Milliers 2 4 3 2 3 2 6" xfId="27099"/>
    <cellStyle name="Milliers 2 4 3 2 3 2 6 2" xfId="27100"/>
    <cellStyle name="Milliers 2 4 3 2 3 2 7" xfId="27101"/>
    <cellStyle name="Milliers 2 4 3 2 3 3" xfId="27102"/>
    <cellStyle name="Milliers 2 4 3 2 3 3 2" xfId="27103"/>
    <cellStyle name="Milliers 2 4 3 2 3 3 2 2" xfId="27104"/>
    <cellStyle name="Milliers 2 4 3 2 3 3 2 2 2" xfId="27105"/>
    <cellStyle name="Milliers 2 4 3 2 3 3 2 2 2 2" xfId="27106"/>
    <cellStyle name="Milliers 2 4 3 2 3 3 2 2 2 2 2" xfId="27107"/>
    <cellStyle name="Milliers 2 4 3 2 3 3 2 2 2 3" xfId="27108"/>
    <cellStyle name="Milliers 2 4 3 2 3 3 2 2 3" xfId="27109"/>
    <cellStyle name="Milliers 2 4 3 2 3 3 2 2 3 2" xfId="27110"/>
    <cellStyle name="Milliers 2 4 3 2 3 3 2 2 4" xfId="27111"/>
    <cellStyle name="Milliers 2 4 3 2 3 3 2 3" xfId="27112"/>
    <cellStyle name="Milliers 2 4 3 2 3 3 2 3 2" xfId="27113"/>
    <cellStyle name="Milliers 2 4 3 2 3 3 2 3 2 2" xfId="27114"/>
    <cellStyle name="Milliers 2 4 3 2 3 3 2 3 3" xfId="27115"/>
    <cellStyle name="Milliers 2 4 3 2 3 3 2 4" xfId="27116"/>
    <cellStyle name="Milliers 2 4 3 2 3 3 2 4 2" xfId="27117"/>
    <cellStyle name="Milliers 2 4 3 2 3 3 2 5" xfId="27118"/>
    <cellStyle name="Milliers 2 4 3 2 3 3 3" xfId="27119"/>
    <cellStyle name="Milliers 2 4 3 2 3 3 3 2" xfId="27120"/>
    <cellStyle name="Milliers 2 4 3 2 3 3 3 2 2" xfId="27121"/>
    <cellStyle name="Milliers 2 4 3 2 3 3 3 2 2 2" xfId="27122"/>
    <cellStyle name="Milliers 2 4 3 2 3 3 3 2 3" xfId="27123"/>
    <cellStyle name="Milliers 2 4 3 2 3 3 3 3" xfId="27124"/>
    <cellStyle name="Milliers 2 4 3 2 3 3 3 3 2" xfId="27125"/>
    <cellStyle name="Milliers 2 4 3 2 3 3 3 4" xfId="27126"/>
    <cellStyle name="Milliers 2 4 3 2 3 3 4" xfId="27127"/>
    <cellStyle name="Milliers 2 4 3 2 3 3 4 2" xfId="27128"/>
    <cellStyle name="Milliers 2 4 3 2 3 3 4 2 2" xfId="27129"/>
    <cellStyle name="Milliers 2 4 3 2 3 3 4 3" xfId="27130"/>
    <cellStyle name="Milliers 2 4 3 2 3 3 5" xfId="27131"/>
    <cellStyle name="Milliers 2 4 3 2 3 3 5 2" xfId="27132"/>
    <cellStyle name="Milliers 2 4 3 2 3 3 6" xfId="27133"/>
    <cellStyle name="Milliers 2 4 3 2 3 4" xfId="27134"/>
    <cellStyle name="Milliers 2 4 3 2 3 4 2" xfId="27135"/>
    <cellStyle name="Milliers 2 4 3 2 3 4 2 2" xfId="27136"/>
    <cellStyle name="Milliers 2 4 3 2 3 4 2 2 2" xfId="27137"/>
    <cellStyle name="Milliers 2 4 3 2 3 4 2 2 2 2" xfId="27138"/>
    <cellStyle name="Milliers 2 4 3 2 3 4 2 2 3" xfId="27139"/>
    <cellStyle name="Milliers 2 4 3 2 3 4 2 3" xfId="27140"/>
    <cellStyle name="Milliers 2 4 3 2 3 4 2 3 2" xfId="27141"/>
    <cellStyle name="Milliers 2 4 3 2 3 4 2 4" xfId="27142"/>
    <cellStyle name="Milliers 2 4 3 2 3 4 3" xfId="27143"/>
    <cellStyle name="Milliers 2 4 3 2 3 4 3 2" xfId="27144"/>
    <cellStyle name="Milliers 2 4 3 2 3 4 3 2 2" xfId="27145"/>
    <cellStyle name="Milliers 2 4 3 2 3 4 3 3" xfId="27146"/>
    <cellStyle name="Milliers 2 4 3 2 3 4 4" xfId="27147"/>
    <cellStyle name="Milliers 2 4 3 2 3 4 4 2" xfId="27148"/>
    <cellStyle name="Milliers 2 4 3 2 3 4 5" xfId="27149"/>
    <cellStyle name="Milliers 2 4 3 2 3 5" xfId="27150"/>
    <cellStyle name="Milliers 2 4 3 2 3 5 2" xfId="27151"/>
    <cellStyle name="Milliers 2 4 3 2 3 5 2 2" xfId="27152"/>
    <cellStyle name="Milliers 2 4 3 2 3 5 2 2 2" xfId="27153"/>
    <cellStyle name="Milliers 2 4 3 2 3 5 2 3" xfId="27154"/>
    <cellStyle name="Milliers 2 4 3 2 3 5 3" xfId="27155"/>
    <cellStyle name="Milliers 2 4 3 2 3 5 3 2" xfId="27156"/>
    <cellStyle name="Milliers 2 4 3 2 3 5 4" xfId="27157"/>
    <cellStyle name="Milliers 2 4 3 2 3 6" xfId="27158"/>
    <cellStyle name="Milliers 2 4 3 2 3 6 2" xfId="27159"/>
    <cellStyle name="Milliers 2 4 3 2 3 6 2 2" xfId="27160"/>
    <cellStyle name="Milliers 2 4 3 2 3 6 3" xfId="27161"/>
    <cellStyle name="Milliers 2 4 3 2 3 7" xfId="27162"/>
    <cellStyle name="Milliers 2 4 3 2 3 7 2" xfId="27163"/>
    <cellStyle name="Milliers 2 4 3 2 3 8" xfId="27164"/>
    <cellStyle name="Milliers 2 4 3 2 4" xfId="27165"/>
    <cellStyle name="Milliers 2 4 3 2 4 2" xfId="27166"/>
    <cellStyle name="Milliers 2 4 3 2 4 2 2" xfId="27167"/>
    <cellStyle name="Milliers 2 4 3 2 4 2 2 2" xfId="27168"/>
    <cellStyle name="Milliers 2 4 3 2 4 2 2 2 2" xfId="27169"/>
    <cellStyle name="Milliers 2 4 3 2 4 2 2 2 2 2" xfId="27170"/>
    <cellStyle name="Milliers 2 4 3 2 4 2 2 2 2 2 2" xfId="27171"/>
    <cellStyle name="Milliers 2 4 3 2 4 2 2 2 2 3" xfId="27172"/>
    <cellStyle name="Milliers 2 4 3 2 4 2 2 2 3" xfId="27173"/>
    <cellStyle name="Milliers 2 4 3 2 4 2 2 2 3 2" xfId="27174"/>
    <cellStyle name="Milliers 2 4 3 2 4 2 2 2 4" xfId="27175"/>
    <cellStyle name="Milliers 2 4 3 2 4 2 2 3" xfId="27176"/>
    <cellStyle name="Milliers 2 4 3 2 4 2 2 3 2" xfId="27177"/>
    <cellStyle name="Milliers 2 4 3 2 4 2 2 3 2 2" xfId="27178"/>
    <cellStyle name="Milliers 2 4 3 2 4 2 2 3 3" xfId="27179"/>
    <cellStyle name="Milliers 2 4 3 2 4 2 2 4" xfId="27180"/>
    <cellStyle name="Milliers 2 4 3 2 4 2 2 4 2" xfId="27181"/>
    <cellStyle name="Milliers 2 4 3 2 4 2 2 5" xfId="27182"/>
    <cellStyle name="Milliers 2 4 3 2 4 2 3" xfId="27183"/>
    <cellStyle name="Milliers 2 4 3 2 4 2 3 2" xfId="27184"/>
    <cellStyle name="Milliers 2 4 3 2 4 2 3 2 2" xfId="27185"/>
    <cellStyle name="Milliers 2 4 3 2 4 2 3 2 2 2" xfId="27186"/>
    <cellStyle name="Milliers 2 4 3 2 4 2 3 2 3" xfId="27187"/>
    <cellStyle name="Milliers 2 4 3 2 4 2 3 3" xfId="27188"/>
    <cellStyle name="Milliers 2 4 3 2 4 2 3 3 2" xfId="27189"/>
    <cellStyle name="Milliers 2 4 3 2 4 2 3 4" xfId="27190"/>
    <cellStyle name="Milliers 2 4 3 2 4 2 4" xfId="27191"/>
    <cellStyle name="Milliers 2 4 3 2 4 2 4 2" xfId="27192"/>
    <cellStyle name="Milliers 2 4 3 2 4 2 4 2 2" xfId="27193"/>
    <cellStyle name="Milliers 2 4 3 2 4 2 4 3" xfId="27194"/>
    <cellStyle name="Milliers 2 4 3 2 4 2 5" xfId="27195"/>
    <cellStyle name="Milliers 2 4 3 2 4 2 5 2" xfId="27196"/>
    <cellStyle name="Milliers 2 4 3 2 4 2 6" xfId="27197"/>
    <cellStyle name="Milliers 2 4 3 2 4 3" xfId="27198"/>
    <cellStyle name="Milliers 2 4 3 2 4 3 2" xfId="27199"/>
    <cellStyle name="Milliers 2 4 3 2 4 3 2 2" xfId="27200"/>
    <cellStyle name="Milliers 2 4 3 2 4 3 2 2 2" xfId="27201"/>
    <cellStyle name="Milliers 2 4 3 2 4 3 2 2 2 2" xfId="27202"/>
    <cellStyle name="Milliers 2 4 3 2 4 3 2 2 3" xfId="27203"/>
    <cellStyle name="Milliers 2 4 3 2 4 3 2 3" xfId="27204"/>
    <cellStyle name="Milliers 2 4 3 2 4 3 2 3 2" xfId="27205"/>
    <cellStyle name="Milliers 2 4 3 2 4 3 2 4" xfId="27206"/>
    <cellStyle name="Milliers 2 4 3 2 4 3 3" xfId="27207"/>
    <cellStyle name="Milliers 2 4 3 2 4 3 3 2" xfId="27208"/>
    <cellStyle name="Milliers 2 4 3 2 4 3 3 2 2" xfId="27209"/>
    <cellStyle name="Milliers 2 4 3 2 4 3 3 3" xfId="27210"/>
    <cellStyle name="Milliers 2 4 3 2 4 3 4" xfId="27211"/>
    <cellStyle name="Milliers 2 4 3 2 4 3 4 2" xfId="27212"/>
    <cellStyle name="Milliers 2 4 3 2 4 3 5" xfId="27213"/>
    <cellStyle name="Milliers 2 4 3 2 4 4" xfId="27214"/>
    <cellStyle name="Milliers 2 4 3 2 4 4 2" xfId="27215"/>
    <cellStyle name="Milliers 2 4 3 2 4 4 2 2" xfId="27216"/>
    <cellStyle name="Milliers 2 4 3 2 4 4 2 2 2" xfId="27217"/>
    <cellStyle name="Milliers 2 4 3 2 4 4 2 3" xfId="27218"/>
    <cellStyle name="Milliers 2 4 3 2 4 4 3" xfId="27219"/>
    <cellStyle name="Milliers 2 4 3 2 4 4 3 2" xfId="27220"/>
    <cellStyle name="Milliers 2 4 3 2 4 4 4" xfId="27221"/>
    <cellStyle name="Milliers 2 4 3 2 4 5" xfId="27222"/>
    <cellStyle name="Milliers 2 4 3 2 4 5 2" xfId="27223"/>
    <cellStyle name="Milliers 2 4 3 2 4 5 2 2" xfId="27224"/>
    <cellStyle name="Milliers 2 4 3 2 4 5 3" xfId="27225"/>
    <cellStyle name="Milliers 2 4 3 2 4 6" xfId="27226"/>
    <cellStyle name="Milliers 2 4 3 2 4 6 2" xfId="27227"/>
    <cellStyle name="Milliers 2 4 3 2 4 7" xfId="27228"/>
    <cellStyle name="Milliers 2 4 3 2 5" xfId="27229"/>
    <cellStyle name="Milliers 2 4 3 2 5 2" xfId="27230"/>
    <cellStyle name="Milliers 2 4 3 2 5 2 2" xfId="27231"/>
    <cellStyle name="Milliers 2 4 3 2 5 2 2 2" xfId="27232"/>
    <cellStyle name="Milliers 2 4 3 2 5 2 2 2 2" xfId="27233"/>
    <cellStyle name="Milliers 2 4 3 2 5 2 2 2 2 2" xfId="27234"/>
    <cellStyle name="Milliers 2 4 3 2 5 2 2 2 3" xfId="27235"/>
    <cellStyle name="Milliers 2 4 3 2 5 2 2 3" xfId="27236"/>
    <cellStyle name="Milliers 2 4 3 2 5 2 2 3 2" xfId="27237"/>
    <cellStyle name="Milliers 2 4 3 2 5 2 2 4" xfId="27238"/>
    <cellStyle name="Milliers 2 4 3 2 5 2 3" xfId="27239"/>
    <cellStyle name="Milliers 2 4 3 2 5 2 3 2" xfId="27240"/>
    <cellStyle name="Milliers 2 4 3 2 5 2 3 2 2" xfId="27241"/>
    <cellStyle name="Milliers 2 4 3 2 5 2 3 3" xfId="27242"/>
    <cellStyle name="Milliers 2 4 3 2 5 2 4" xfId="27243"/>
    <cellStyle name="Milliers 2 4 3 2 5 2 4 2" xfId="27244"/>
    <cellStyle name="Milliers 2 4 3 2 5 2 5" xfId="27245"/>
    <cellStyle name="Milliers 2 4 3 2 5 3" xfId="27246"/>
    <cellStyle name="Milliers 2 4 3 2 5 3 2" xfId="27247"/>
    <cellStyle name="Milliers 2 4 3 2 5 3 2 2" xfId="27248"/>
    <cellStyle name="Milliers 2 4 3 2 5 3 2 2 2" xfId="27249"/>
    <cellStyle name="Milliers 2 4 3 2 5 3 2 3" xfId="27250"/>
    <cellStyle name="Milliers 2 4 3 2 5 3 3" xfId="27251"/>
    <cellStyle name="Milliers 2 4 3 2 5 3 3 2" xfId="27252"/>
    <cellStyle name="Milliers 2 4 3 2 5 3 4" xfId="27253"/>
    <cellStyle name="Milliers 2 4 3 2 5 4" xfId="27254"/>
    <cellStyle name="Milliers 2 4 3 2 5 4 2" xfId="27255"/>
    <cellStyle name="Milliers 2 4 3 2 5 4 2 2" xfId="27256"/>
    <cellStyle name="Milliers 2 4 3 2 5 4 3" xfId="27257"/>
    <cellStyle name="Milliers 2 4 3 2 5 5" xfId="27258"/>
    <cellStyle name="Milliers 2 4 3 2 5 5 2" xfId="27259"/>
    <cellStyle name="Milliers 2 4 3 2 5 6" xfId="27260"/>
    <cellStyle name="Milliers 2 4 3 2 6" xfId="27261"/>
    <cellStyle name="Milliers 2 4 3 2 6 2" xfId="27262"/>
    <cellStyle name="Milliers 2 4 3 2 6 2 2" xfId="27263"/>
    <cellStyle name="Milliers 2 4 3 2 6 2 2 2" xfId="27264"/>
    <cellStyle name="Milliers 2 4 3 2 6 2 2 2 2" xfId="27265"/>
    <cellStyle name="Milliers 2 4 3 2 6 2 2 3" xfId="27266"/>
    <cellStyle name="Milliers 2 4 3 2 6 2 3" xfId="27267"/>
    <cellStyle name="Milliers 2 4 3 2 6 2 3 2" xfId="27268"/>
    <cellStyle name="Milliers 2 4 3 2 6 2 4" xfId="27269"/>
    <cellStyle name="Milliers 2 4 3 2 6 3" xfId="27270"/>
    <cellStyle name="Milliers 2 4 3 2 6 3 2" xfId="27271"/>
    <cellStyle name="Milliers 2 4 3 2 6 3 2 2" xfId="27272"/>
    <cellStyle name="Milliers 2 4 3 2 6 3 3" xfId="27273"/>
    <cellStyle name="Milliers 2 4 3 2 6 4" xfId="27274"/>
    <cellStyle name="Milliers 2 4 3 2 6 4 2" xfId="27275"/>
    <cellStyle name="Milliers 2 4 3 2 6 5" xfId="27276"/>
    <cellStyle name="Milliers 2 4 3 2 7" xfId="27277"/>
    <cellStyle name="Milliers 2 4 3 2 7 2" xfId="27278"/>
    <cellStyle name="Milliers 2 4 3 2 7 2 2" xfId="27279"/>
    <cellStyle name="Milliers 2 4 3 2 7 2 2 2" xfId="27280"/>
    <cellStyle name="Milliers 2 4 3 2 7 2 3" xfId="27281"/>
    <cellStyle name="Milliers 2 4 3 2 7 3" xfId="27282"/>
    <cellStyle name="Milliers 2 4 3 2 7 3 2" xfId="27283"/>
    <cellStyle name="Milliers 2 4 3 2 7 4" xfId="27284"/>
    <cellStyle name="Milliers 2 4 3 2 8" xfId="27285"/>
    <cellStyle name="Milliers 2 4 3 2 8 2" xfId="27286"/>
    <cellStyle name="Milliers 2 4 3 2 8 2 2" xfId="27287"/>
    <cellStyle name="Milliers 2 4 3 2 8 3" xfId="27288"/>
    <cellStyle name="Milliers 2 4 3 2 9" xfId="27289"/>
    <cellStyle name="Milliers 2 4 3 2 9 2" xfId="27290"/>
    <cellStyle name="Milliers 2 4 3 3" xfId="27291"/>
    <cellStyle name="Milliers 2 4 3 3 2" xfId="27292"/>
    <cellStyle name="Milliers 2 4 3 3 2 2" xfId="27293"/>
    <cellStyle name="Milliers 2 4 3 3 2 2 2" xfId="27294"/>
    <cellStyle name="Milliers 2 4 3 3 2 2 2 2" xfId="27295"/>
    <cellStyle name="Milliers 2 4 3 3 2 2 2 2 2" xfId="27296"/>
    <cellStyle name="Milliers 2 4 3 3 2 2 2 2 2 2" xfId="27297"/>
    <cellStyle name="Milliers 2 4 3 3 2 2 2 2 2 2 2" xfId="27298"/>
    <cellStyle name="Milliers 2 4 3 3 2 2 2 2 2 2 2 2" xfId="27299"/>
    <cellStyle name="Milliers 2 4 3 3 2 2 2 2 2 2 3" xfId="27300"/>
    <cellStyle name="Milliers 2 4 3 3 2 2 2 2 2 3" xfId="27301"/>
    <cellStyle name="Milliers 2 4 3 3 2 2 2 2 2 3 2" xfId="27302"/>
    <cellStyle name="Milliers 2 4 3 3 2 2 2 2 2 4" xfId="27303"/>
    <cellStyle name="Milliers 2 4 3 3 2 2 2 2 3" xfId="27304"/>
    <cellStyle name="Milliers 2 4 3 3 2 2 2 2 3 2" xfId="27305"/>
    <cellStyle name="Milliers 2 4 3 3 2 2 2 2 3 2 2" xfId="27306"/>
    <cellStyle name="Milliers 2 4 3 3 2 2 2 2 3 3" xfId="27307"/>
    <cellStyle name="Milliers 2 4 3 3 2 2 2 2 4" xfId="27308"/>
    <cellStyle name="Milliers 2 4 3 3 2 2 2 2 4 2" xfId="27309"/>
    <cellStyle name="Milliers 2 4 3 3 2 2 2 2 5" xfId="27310"/>
    <cellStyle name="Milliers 2 4 3 3 2 2 2 3" xfId="27311"/>
    <cellStyle name="Milliers 2 4 3 3 2 2 2 3 2" xfId="27312"/>
    <cellStyle name="Milliers 2 4 3 3 2 2 2 3 2 2" xfId="27313"/>
    <cellStyle name="Milliers 2 4 3 3 2 2 2 3 2 2 2" xfId="27314"/>
    <cellStyle name="Milliers 2 4 3 3 2 2 2 3 2 3" xfId="27315"/>
    <cellStyle name="Milliers 2 4 3 3 2 2 2 3 3" xfId="27316"/>
    <cellStyle name="Milliers 2 4 3 3 2 2 2 3 3 2" xfId="27317"/>
    <cellStyle name="Milliers 2 4 3 3 2 2 2 3 4" xfId="27318"/>
    <cellStyle name="Milliers 2 4 3 3 2 2 2 4" xfId="27319"/>
    <cellStyle name="Milliers 2 4 3 3 2 2 2 4 2" xfId="27320"/>
    <cellStyle name="Milliers 2 4 3 3 2 2 2 4 2 2" xfId="27321"/>
    <cellStyle name="Milliers 2 4 3 3 2 2 2 4 3" xfId="27322"/>
    <cellStyle name="Milliers 2 4 3 3 2 2 2 5" xfId="27323"/>
    <cellStyle name="Milliers 2 4 3 3 2 2 2 5 2" xfId="27324"/>
    <cellStyle name="Milliers 2 4 3 3 2 2 2 6" xfId="27325"/>
    <cellStyle name="Milliers 2 4 3 3 2 2 3" xfId="27326"/>
    <cellStyle name="Milliers 2 4 3 3 2 2 3 2" xfId="27327"/>
    <cellStyle name="Milliers 2 4 3 3 2 2 3 2 2" xfId="27328"/>
    <cellStyle name="Milliers 2 4 3 3 2 2 3 2 2 2" xfId="27329"/>
    <cellStyle name="Milliers 2 4 3 3 2 2 3 2 2 2 2" xfId="27330"/>
    <cellStyle name="Milliers 2 4 3 3 2 2 3 2 2 3" xfId="27331"/>
    <cellStyle name="Milliers 2 4 3 3 2 2 3 2 3" xfId="27332"/>
    <cellStyle name="Milliers 2 4 3 3 2 2 3 2 3 2" xfId="27333"/>
    <cellStyle name="Milliers 2 4 3 3 2 2 3 2 4" xfId="27334"/>
    <cellStyle name="Milliers 2 4 3 3 2 2 3 3" xfId="27335"/>
    <cellStyle name="Milliers 2 4 3 3 2 2 3 3 2" xfId="27336"/>
    <cellStyle name="Milliers 2 4 3 3 2 2 3 3 2 2" xfId="27337"/>
    <cellStyle name="Milliers 2 4 3 3 2 2 3 3 3" xfId="27338"/>
    <cellStyle name="Milliers 2 4 3 3 2 2 3 4" xfId="27339"/>
    <cellStyle name="Milliers 2 4 3 3 2 2 3 4 2" xfId="27340"/>
    <cellStyle name="Milliers 2 4 3 3 2 2 3 5" xfId="27341"/>
    <cellStyle name="Milliers 2 4 3 3 2 2 4" xfId="27342"/>
    <cellStyle name="Milliers 2 4 3 3 2 2 4 2" xfId="27343"/>
    <cellStyle name="Milliers 2 4 3 3 2 2 4 2 2" xfId="27344"/>
    <cellStyle name="Milliers 2 4 3 3 2 2 4 2 2 2" xfId="27345"/>
    <cellStyle name="Milliers 2 4 3 3 2 2 4 2 3" xfId="27346"/>
    <cellStyle name="Milliers 2 4 3 3 2 2 4 3" xfId="27347"/>
    <cellStyle name="Milliers 2 4 3 3 2 2 4 3 2" xfId="27348"/>
    <cellStyle name="Milliers 2 4 3 3 2 2 4 4" xfId="27349"/>
    <cellStyle name="Milliers 2 4 3 3 2 2 5" xfId="27350"/>
    <cellStyle name="Milliers 2 4 3 3 2 2 5 2" xfId="27351"/>
    <cellStyle name="Milliers 2 4 3 3 2 2 5 2 2" xfId="27352"/>
    <cellStyle name="Milliers 2 4 3 3 2 2 5 3" xfId="27353"/>
    <cellStyle name="Milliers 2 4 3 3 2 2 6" xfId="27354"/>
    <cellStyle name="Milliers 2 4 3 3 2 2 6 2" xfId="27355"/>
    <cellStyle name="Milliers 2 4 3 3 2 2 7" xfId="27356"/>
    <cellStyle name="Milliers 2 4 3 3 2 3" xfId="27357"/>
    <cellStyle name="Milliers 2 4 3 3 2 3 2" xfId="27358"/>
    <cellStyle name="Milliers 2 4 3 3 2 3 2 2" xfId="27359"/>
    <cellStyle name="Milliers 2 4 3 3 2 3 2 2 2" xfId="27360"/>
    <cellStyle name="Milliers 2 4 3 3 2 3 2 2 2 2" xfId="27361"/>
    <cellStyle name="Milliers 2 4 3 3 2 3 2 2 2 2 2" xfId="27362"/>
    <cellStyle name="Milliers 2 4 3 3 2 3 2 2 2 3" xfId="27363"/>
    <cellStyle name="Milliers 2 4 3 3 2 3 2 2 3" xfId="27364"/>
    <cellStyle name="Milliers 2 4 3 3 2 3 2 2 3 2" xfId="27365"/>
    <cellStyle name="Milliers 2 4 3 3 2 3 2 2 4" xfId="27366"/>
    <cellStyle name="Milliers 2 4 3 3 2 3 2 3" xfId="27367"/>
    <cellStyle name="Milliers 2 4 3 3 2 3 2 3 2" xfId="27368"/>
    <cellStyle name="Milliers 2 4 3 3 2 3 2 3 2 2" xfId="27369"/>
    <cellStyle name="Milliers 2 4 3 3 2 3 2 3 3" xfId="27370"/>
    <cellStyle name="Milliers 2 4 3 3 2 3 2 4" xfId="27371"/>
    <cellStyle name="Milliers 2 4 3 3 2 3 2 4 2" xfId="27372"/>
    <cellStyle name="Milliers 2 4 3 3 2 3 2 5" xfId="27373"/>
    <cellStyle name="Milliers 2 4 3 3 2 3 3" xfId="27374"/>
    <cellStyle name="Milliers 2 4 3 3 2 3 3 2" xfId="27375"/>
    <cellStyle name="Milliers 2 4 3 3 2 3 3 2 2" xfId="27376"/>
    <cellStyle name="Milliers 2 4 3 3 2 3 3 2 2 2" xfId="27377"/>
    <cellStyle name="Milliers 2 4 3 3 2 3 3 2 3" xfId="27378"/>
    <cellStyle name="Milliers 2 4 3 3 2 3 3 3" xfId="27379"/>
    <cellStyle name="Milliers 2 4 3 3 2 3 3 3 2" xfId="27380"/>
    <cellStyle name="Milliers 2 4 3 3 2 3 3 4" xfId="27381"/>
    <cellStyle name="Milliers 2 4 3 3 2 3 4" xfId="27382"/>
    <cellStyle name="Milliers 2 4 3 3 2 3 4 2" xfId="27383"/>
    <cellStyle name="Milliers 2 4 3 3 2 3 4 2 2" xfId="27384"/>
    <cellStyle name="Milliers 2 4 3 3 2 3 4 3" xfId="27385"/>
    <cellStyle name="Milliers 2 4 3 3 2 3 5" xfId="27386"/>
    <cellStyle name="Milliers 2 4 3 3 2 3 5 2" xfId="27387"/>
    <cellStyle name="Milliers 2 4 3 3 2 3 6" xfId="27388"/>
    <cellStyle name="Milliers 2 4 3 3 2 4" xfId="27389"/>
    <cellStyle name="Milliers 2 4 3 3 2 4 2" xfId="27390"/>
    <cellStyle name="Milliers 2 4 3 3 2 4 2 2" xfId="27391"/>
    <cellStyle name="Milliers 2 4 3 3 2 4 2 2 2" xfId="27392"/>
    <cellStyle name="Milliers 2 4 3 3 2 4 2 2 2 2" xfId="27393"/>
    <cellStyle name="Milliers 2 4 3 3 2 4 2 2 3" xfId="27394"/>
    <cellStyle name="Milliers 2 4 3 3 2 4 2 3" xfId="27395"/>
    <cellStyle name="Milliers 2 4 3 3 2 4 2 3 2" xfId="27396"/>
    <cellStyle name="Milliers 2 4 3 3 2 4 2 4" xfId="27397"/>
    <cellStyle name="Milliers 2 4 3 3 2 4 3" xfId="27398"/>
    <cellStyle name="Milliers 2 4 3 3 2 4 3 2" xfId="27399"/>
    <cellStyle name="Milliers 2 4 3 3 2 4 3 2 2" xfId="27400"/>
    <cellStyle name="Milliers 2 4 3 3 2 4 3 3" xfId="27401"/>
    <cellStyle name="Milliers 2 4 3 3 2 4 4" xfId="27402"/>
    <cellStyle name="Milliers 2 4 3 3 2 4 4 2" xfId="27403"/>
    <cellStyle name="Milliers 2 4 3 3 2 4 5" xfId="27404"/>
    <cellStyle name="Milliers 2 4 3 3 2 5" xfId="27405"/>
    <cellStyle name="Milliers 2 4 3 3 2 5 2" xfId="27406"/>
    <cellStyle name="Milliers 2 4 3 3 2 5 2 2" xfId="27407"/>
    <cellStyle name="Milliers 2 4 3 3 2 5 2 2 2" xfId="27408"/>
    <cellStyle name="Milliers 2 4 3 3 2 5 2 3" xfId="27409"/>
    <cellStyle name="Milliers 2 4 3 3 2 5 3" xfId="27410"/>
    <cellStyle name="Milliers 2 4 3 3 2 5 3 2" xfId="27411"/>
    <cellStyle name="Milliers 2 4 3 3 2 5 4" xfId="27412"/>
    <cellStyle name="Milliers 2 4 3 3 2 6" xfId="27413"/>
    <cellStyle name="Milliers 2 4 3 3 2 6 2" xfId="27414"/>
    <cellStyle name="Milliers 2 4 3 3 2 6 2 2" xfId="27415"/>
    <cellStyle name="Milliers 2 4 3 3 2 6 3" xfId="27416"/>
    <cellStyle name="Milliers 2 4 3 3 2 7" xfId="27417"/>
    <cellStyle name="Milliers 2 4 3 3 2 7 2" xfId="27418"/>
    <cellStyle name="Milliers 2 4 3 3 2 8" xfId="27419"/>
    <cellStyle name="Milliers 2 4 3 3 3" xfId="27420"/>
    <cellStyle name="Milliers 2 4 3 3 3 2" xfId="27421"/>
    <cellStyle name="Milliers 2 4 3 3 3 2 2" xfId="27422"/>
    <cellStyle name="Milliers 2 4 3 3 3 2 2 2" xfId="27423"/>
    <cellStyle name="Milliers 2 4 3 3 3 2 2 2 2" xfId="27424"/>
    <cellStyle name="Milliers 2 4 3 3 3 2 2 2 2 2" xfId="27425"/>
    <cellStyle name="Milliers 2 4 3 3 3 2 2 2 2 2 2" xfId="27426"/>
    <cellStyle name="Milliers 2 4 3 3 3 2 2 2 2 3" xfId="27427"/>
    <cellStyle name="Milliers 2 4 3 3 3 2 2 2 3" xfId="27428"/>
    <cellStyle name="Milliers 2 4 3 3 3 2 2 2 3 2" xfId="27429"/>
    <cellStyle name="Milliers 2 4 3 3 3 2 2 2 4" xfId="27430"/>
    <cellStyle name="Milliers 2 4 3 3 3 2 2 3" xfId="27431"/>
    <cellStyle name="Milliers 2 4 3 3 3 2 2 3 2" xfId="27432"/>
    <cellStyle name="Milliers 2 4 3 3 3 2 2 3 2 2" xfId="27433"/>
    <cellStyle name="Milliers 2 4 3 3 3 2 2 3 3" xfId="27434"/>
    <cellStyle name="Milliers 2 4 3 3 3 2 2 4" xfId="27435"/>
    <cellStyle name="Milliers 2 4 3 3 3 2 2 4 2" xfId="27436"/>
    <cellStyle name="Milliers 2 4 3 3 3 2 2 5" xfId="27437"/>
    <cellStyle name="Milliers 2 4 3 3 3 2 3" xfId="27438"/>
    <cellStyle name="Milliers 2 4 3 3 3 2 3 2" xfId="27439"/>
    <cellStyle name="Milliers 2 4 3 3 3 2 3 2 2" xfId="27440"/>
    <cellStyle name="Milliers 2 4 3 3 3 2 3 2 2 2" xfId="27441"/>
    <cellStyle name="Milliers 2 4 3 3 3 2 3 2 3" xfId="27442"/>
    <cellStyle name="Milliers 2 4 3 3 3 2 3 3" xfId="27443"/>
    <cellStyle name="Milliers 2 4 3 3 3 2 3 3 2" xfId="27444"/>
    <cellStyle name="Milliers 2 4 3 3 3 2 3 4" xfId="27445"/>
    <cellStyle name="Milliers 2 4 3 3 3 2 4" xfId="27446"/>
    <cellStyle name="Milliers 2 4 3 3 3 2 4 2" xfId="27447"/>
    <cellStyle name="Milliers 2 4 3 3 3 2 4 2 2" xfId="27448"/>
    <cellStyle name="Milliers 2 4 3 3 3 2 4 3" xfId="27449"/>
    <cellStyle name="Milliers 2 4 3 3 3 2 5" xfId="27450"/>
    <cellStyle name="Milliers 2 4 3 3 3 2 5 2" xfId="27451"/>
    <cellStyle name="Milliers 2 4 3 3 3 2 6" xfId="27452"/>
    <cellStyle name="Milliers 2 4 3 3 3 3" xfId="27453"/>
    <cellStyle name="Milliers 2 4 3 3 3 3 2" xfId="27454"/>
    <cellStyle name="Milliers 2 4 3 3 3 3 2 2" xfId="27455"/>
    <cellStyle name="Milliers 2 4 3 3 3 3 2 2 2" xfId="27456"/>
    <cellStyle name="Milliers 2 4 3 3 3 3 2 2 2 2" xfId="27457"/>
    <cellStyle name="Milliers 2 4 3 3 3 3 2 2 3" xfId="27458"/>
    <cellStyle name="Milliers 2 4 3 3 3 3 2 3" xfId="27459"/>
    <cellStyle name="Milliers 2 4 3 3 3 3 2 3 2" xfId="27460"/>
    <cellStyle name="Milliers 2 4 3 3 3 3 2 4" xfId="27461"/>
    <cellStyle name="Milliers 2 4 3 3 3 3 3" xfId="27462"/>
    <cellStyle name="Milliers 2 4 3 3 3 3 3 2" xfId="27463"/>
    <cellStyle name="Milliers 2 4 3 3 3 3 3 2 2" xfId="27464"/>
    <cellStyle name="Milliers 2 4 3 3 3 3 3 3" xfId="27465"/>
    <cellStyle name="Milliers 2 4 3 3 3 3 4" xfId="27466"/>
    <cellStyle name="Milliers 2 4 3 3 3 3 4 2" xfId="27467"/>
    <cellStyle name="Milliers 2 4 3 3 3 3 5" xfId="27468"/>
    <cellStyle name="Milliers 2 4 3 3 3 4" xfId="27469"/>
    <cellStyle name="Milliers 2 4 3 3 3 4 2" xfId="27470"/>
    <cellStyle name="Milliers 2 4 3 3 3 4 2 2" xfId="27471"/>
    <cellStyle name="Milliers 2 4 3 3 3 4 2 2 2" xfId="27472"/>
    <cellStyle name="Milliers 2 4 3 3 3 4 2 3" xfId="27473"/>
    <cellStyle name="Milliers 2 4 3 3 3 4 3" xfId="27474"/>
    <cellStyle name="Milliers 2 4 3 3 3 4 3 2" xfId="27475"/>
    <cellStyle name="Milliers 2 4 3 3 3 4 4" xfId="27476"/>
    <cellStyle name="Milliers 2 4 3 3 3 5" xfId="27477"/>
    <cellStyle name="Milliers 2 4 3 3 3 5 2" xfId="27478"/>
    <cellStyle name="Milliers 2 4 3 3 3 5 2 2" xfId="27479"/>
    <cellStyle name="Milliers 2 4 3 3 3 5 3" xfId="27480"/>
    <cellStyle name="Milliers 2 4 3 3 3 6" xfId="27481"/>
    <cellStyle name="Milliers 2 4 3 3 3 6 2" xfId="27482"/>
    <cellStyle name="Milliers 2 4 3 3 3 7" xfId="27483"/>
    <cellStyle name="Milliers 2 4 3 3 4" xfId="27484"/>
    <cellStyle name="Milliers 2 4 3 3 4 2" xfId="27485"/>
    <cellStyle name="Milliers 2 4 3 3 4 2 2" xfId="27486"/>
    <cellStyle name="Milliers 2 4 3 3 4 2 2 2" xfId="27487"/>
    <cellStyle name="Milliers 2 4 3 3 4 2 2 2 2" xfId="27488"/>
    <cellStyle name="Milliers 2 4 3 3 4 2 2 2 2 2" xfId="27489"/>
    <cellStyle name="Milliers 2 4 3 3 4 2 2 2 3" xfId="27490"/>
    <cellStyle name="Milliers 2 4 3 3 4 2 2 3" xfId="27491"/>
    <cellStyle name="Milliers 2 4 3 3 4 2 2 3 2" xfId="27492"/>
    <cellStyle name="Milliers 2 4 3 3 4 2 2 4" xfId="27493"/>
    <cellStyle name="Milliers 2 4 3 3 4 2 3" xfId="27494"/>
    <cellStyle name="Milliers 2 4 3 3 4 2 3 2" xfId="27495"/>
    <cellStyle name="Milliers 2 4 3 3 4 2 3 2 2" xfId="27496"/>
    <cellStyle name="Milliers 2 4 3 3 4 2 3 3" xfId="27497"/>
    <cellStyle name="Milliers 2 4 3 3 4 2 4" xfId="27498"/>
    <cellStyle name="Milliers 2 4 3 3 4 2 4 2" xfId="27499"/>
    <cellStyle name="Milliers 2 4 3 3 4 2 5" xfId="27500"/>
    <cellStyle name="Milliers 2 4 3 3 4 3" xfId="27501"/>
    <cellStyle name="Milliers 2 4 3 3 4 3 2" xfId="27502"/>
    <cellStyle name="Milliers 2 4 3 3 4 3 2 2" xfId="27503"/>
    <cellStyle name="Milliers 2 4 3 3 4 3 2 2 2" xfId="27504"/>
    <cellStyle name="Milliers 2 4 3 3 4 3 2 3" xfId="27505"/>
    <cellStyle name="Milliers 2 4 3 3 4 3 3" xfId="27506"/>
    <cellStyle name="Milliers 2 4 3 3 4 3 3 2" xfId="27507"/>
    <cellStyle name="Milliers 2 4 3 3 4 3 4" xfId="27508"/>
    <cellStyle name="Milliers 2 4 3 3 4 4" xfId="27509"/>
    <cellStyle name="Milliers 2 4 3 3 4 4 2" xfId="27510"/>
    <cellStyle name="Milliers 2 4 3 3 4 4 2 2" xfId="27511"/>
    <cellStyle name="Milliers 2 4 3 3 4 4 3" xfId="27512"/>
    <cellStyle name="Milliers 2 4 3 3 4 5" xfId="27513"/>
    <cellStyle name="Milliers 2 4 3 3 4 5 2" xfId="27514"/>
    <cellStyle name="Milliers 2 4 3 3 4 6" xfId="27515"/>
    <cellStyle name="Milliers 2 4 3 3 5" xfId="27516"/>
    <cellStyle name="Milliers 2 4 3 3 5 2" xfId="27517"/>
    <cellStyle name="Milliers 2 4 3 3 5 2 2" xfId="27518"/>
    <cellStyle name="Milliers 2 4 3 3 5 2 2 2" xfId="27519"/>
    <cellStyle name="Milliers 2 4 3 3 5 2 2 2 2" xfId="27520"/>
    <cellStyle name="Milliers 2 4 3 3 5 2 2 3" xfId="27521"/>
    <cellStyle name="Milliers 2 4 3 3 5 2 3" xfId="27522"/>
    <cellStyle name="Milliers 2 4 3 3 5 2 3 2" xfId="27523"/>
    <cellStyle name="Milliers 2 4 3 3 5 2 4" xfId="27524"/>
    <cellStyle name="Milliers 2 4 3 3 5 3" xfId="27525"/>
    <cellStyle name="Milliers 2 4 3 3 5 3 2" xfId="27526"/>
    <cellStyle name="Milliers 2 4 3 3 5 3 2 2" xfId="27527"/>
    <cellStyle name="Milliers 2 4 3 3 5 3 3" xfId="27528"/>
    <cellStyle name="Milliers 2 4 3 3 5 4" xfId="27529"/>
    <cellStyle name="Milliers 2 4 3 3 5 4 2" xfId="27530"/>
    <cellStyle name="Milliers 2 4 3 3 5 5" xfId="27531"/>
    <cellStyle name="Milliers 2 4 3 3 6" xfId="27532"/>
    <cellStyle name="Milliers 2 4 3 3 6 2" xfId="27533"/>
    <cellStyle name="Milliers 2 4 3 3 6 2 2" xfId="27534"/>
    <cellStyle name="Milliers 2 4 3 3 6 2 2 2" xfId="27535"/>
    <cellStyle name="Milliers 2 4 3 3 6 2 3" xfId="27536"/>
    <cellStyle name="Milliers 2 4 3 3 6 3" xfId="27537"/>
    <cellStyle name="Milliers 2 4 3 3 6 3 2" xfId="27538"/>
    <cellStyle name="Milliers 2 4 3 3 6 4" xfId="27539"/>
    <cellStyle name="Milliers 2 4 3 3 7" xfId="27540"/>
    <cellStyle name="Milliers 2 4 3 3 7 2" xfId="27541"/>
    <cellStyle name="Milliers 2 4 3 3 7 2 2" xfId="27542"/>
    <cellStyle name="Milliers 2 4 3 3 7 3" xfId="27543"/>
    <cellStyle name="Milliers 2 4 3 3 8" xfId="27544"/>
    <cellStyle name="Milliers 2 4 3 3 8 2" xfId="27545"/>
    <cellStyle name="Milliers 2 4 3 3 9" xfId="27546"/>
    <cellStyle name="Milliers 2 4 3 4" xfId="27547"/>
    <cellStyle name="Milliers 2 4 3 4 2" xfId="27548"/>
    <cellStyle name="Milliers 2 4 3 4 2 2" xfId="27549"/>
    <cellStyle name="Milliers 2 4 3 4 2 2 2" xfId="27550"/>
    <cellStyle name="Milliers 2 4 3 4 2 2 2 2" xfId="27551"/>
    <cellStyle name="Milliers 2 4 3 4 2 2 2 2 2" xfId="27552"/>
    <cellStyle name="Milliers 2 4 3 4 2 2 2 2 2 2" xfId="27553"/>
    <cellStyle name="Milliers 2 4 3 4 2 2 2 2 2 2 2" xfId="27554"/>
    <cellStyle name="Milliers 2 4 3 4 2 2 2 2 2 3" xfId="27555"/>
    <cellStyle name="Milliers 2 4 3 4 2 2 2 2 3" xfId="27556"/>
    <cellStyle name="Milliers 2 4 3 4 2 2 2 2 3 2" xfId="27557"/>
    <cellStyle name="Milliers 2 4 3 4 2 2 2 2 4" xfId="27558"/>
    <cellStyle name="Milliers 2 4 3 4 2 2 2 3" xfId="27559"/>
    <cellStyle name="Milliers 2 4 3 4 2 2 2 3 2" xfId="27560"/>
    <cellStyle name="Milliers 2 4 3 4 2 2 2 3 2 2" xfId="27561"/>
    <cellStyle name="Milliers 2 4 3 4 2 2 2 3 3" xfId="27562"/>
    <cellStyle name="Milliers 2 4 3 4 2 2 2 4" xfId="27563"/>
    <cellStyle name="Milliers 2 4 3 4 2 2 2 4 2" xfId="27564"/>
    <cellStyle name="Milliers 2 4 3 4 2 2 2 5" xfId="27565"/>
    <cellStyle name="Milliers 2 4 3 4 2 2 3" xfId="27566"/>
    <cellStyle name="Milliers 2 4 3 4 2 2 3 2" xfId="27567"/>
    <cellStyle name="Milliers 2 4 3 4 2 2 3 2 2" xfId="27568"/>
    <cellStyle name="Milliers 2 4 3 4 2 2 3 2 2 2" xfId="27569"/>
    <cellStyle name="Milliers 2 4 3 4 2 2 3 2 3" xfId="27570"/>
    <cellStyle name="Milliers 2 4 3 4 2 2 3 3" xfId="27571"/>
    <cellStyle name="Milliers 2 4 3 4 2 2 3 3 2" xfId="27572"/>
    <cellStyle name="Milliers 2 4 3 4 2 2 3 4" xfId="27573"/>
    <cellStyle name="Milliers 2 4 3 4 2 2 4" xfId="27574"/>
    <cellStyle name="Milliers 2 4 3 4 2 2 4 2" xfId="27575"/>
    <cellStyle name="Milliers 2 4 3 4 2 2 4 2 2" xfId="27576"/>
    <cellStyle name="Milliers 2 4 3 4 2 2 4 3" xfId="27577"/>
    <cellStyle name="Milliers 2 4 3 4 2 2 5" xfId="27578"/>
    <cellStyle name="Milliers 2 4 3 4 2 2 5 2" xfId="27579"/>
    <cellStyle name="Milliers 2 4 3 4 2 2 6" xfId="27580"/>
    <cellStyle name="Milliers 2 4 3 4 2 3" xfId="27581"/>
    <cellStyle name="Milliers 2 4 3 4 2 3 2" xfId="27582"/>
    <cellStyle name="Milliers 2 4 3 4 2 3 2 2" xfId="27583"/>
    <cellStyle name="Milliers 2 4 3 4 2 3 2 2 2" xfId="27584"/>
    <cellStyle name="Milliers 2 4 3 4 2 3 2 2 2 2" xfId="27585"/>
    <cellStyle name="Milliers 2 4 3 4 2 3 2 2 3" xfId="27586"/>
    <cellStyle name="Milliers 2 4 3 4 2 3 2 3" xfId="27587"/>
    <cellStyle name="Milliers 2 4 3 4 2 3 2 3 2" xfId="27588"/>
    <cellStyle name="Milliers 2 4 3 4 2 3 2 4" xfId="27589"/>
    <cellStyle name="Milliers 2 4 3 4 2 3 3" xfId="27590"/>
    <cellStyle name="Milliers 2 4 3 4 2 3 3 2" xfId="27591"/>
    <cellStyle name="Milliers 2 4 3 4 2 3 3 2 2" xfId="27592"/>
    <cellStyle name="Milliers 2 4 3 4 2 3 3 3" xfId="27593"/>
    <cellStyle name="Milliers 2 4 3 4 2 3 4" xfId="27594"/>
    <cellStyle name="Milliers 2 4 3 4 2 3 4 2" xfId="27595"/>
    <cellStyle name="Milliers 2 4 3 4 2 3 5" xfId="27596"/>
    <cellStyle name="Milliers 2 4 3 4 2 4" xfId="27597"/>
    <cellStyle name="Milliers 2 4 3 4 2 4 2" xfId="27598"/>
    <cellStyle name="Milliers 2 4 3 4 2 4 2 2" xfId="27599"/>
    <cellStyle name="Milliers 2 4 3 4 2 4 2 2 2" xfId="27600"/>
    <cellStyle name="Milliers 2 4 3 4 2 4 2 3" xfId="27601"/>
    <cellStyle name="Milliers 2 4 3 4 2 4 3" xfId="27602"/>
    <cellStyle name="Milliers 2 4 3 4 2 4 3 2" xfId="27603"/>
    <cellStyle name="Milliers 2 4 3 4 2 4 4" xfId="27604"/>
    <cellStyle name="Milliers 2 4 3 4 2 5" xfId="27605"/>
    <cellStyle name="Milliers 2 4 3 4 2 5 2" xfId="27606"/>
    <cellStyle name="Milliers 2 4 3 4 2 5 2 2" xfId="27607"/>
    <cellStyle name="Milliers 2 4 3 4 2 5 3" xfId="27608"/>
    <cellStyle name="Milliers 2 4 3 4 2 6" xfId="27609"/>
    <cellStyle name="Milliers 2 4 3 4 2 6 2" xfId="27610"/>
    <cellStyle name="Milliers 2 4 3 4 2 7" xfId="27611"/>
    <cellStyle name="Milliers 2 4 3 4 3" xfId="27612"/>
    <cellStyle name="Milliers 2 4 3 4 3 2" xfId="27613"/>
    <cellStyle name="Milliers 2 4 3 4 3 2 2" xfId="27614"/>
    <cellStyle name="Milliers 2 4 3 4 3 2 2 2" xfId="27615"/>
    <cellStyle name="Milliers 2 4 3 4 3 2 2 2 2" xfId="27616"/>
    <cellStyle name="Milliers 2 4 3 4 3 2 2 2 2 2" xfId="27617"/>
    <cellStyle name="Milliers 2 4 3 4 3 2 2 2 3" xfId="27618"/>
    <cellStyle name="Milliers 2 4 3 4 3 2 2 3" xfId="27619"/>
    <cellStyle name="Milliers 2 4 3 4 3 2 2 3 2" xfId="27620"/>
    <cellStyle name="Milliers 2 4 3 4 3 2 2 4" xfId="27621"/>
    <cellStyle name="Milliers 2 4 3 4 3 2 3" xfId="27622"/>
    <cellStyle name="Milliers 2 4 3 4 3 2 3 2" xfId="27623"/>
    <cellStyle name="Milliers 2 4 3 4 3 2 3 2 2" xfId="27624"/>
    <cellStyle name="Milliers 2 4 3 4 3 2 3 3" xfId="27625"/>
    <cellStyle name="Milliers 2 4 3 4 3 2 4" xfId="27626"/>
    <cellStyle name="Milliers 2 4 3 4 3 2 4 2" xfId="27627"/>
    <cellStyle name="Milliers 2 4 3 4 3 2 5" xfId="27628"/>
    <cellStyle name="Milliers 2 4 3 4 3 3" xfId="27629"/>
    <cellStyle name="Milliers 2 4 3 4 3 3 2" xfId="27630"/>
    <cellStyle name="Milliers 2 4 3 4 3 3 2 2" xfId="27631"/>
    <cellStyle name="Milliers 2 4 3 4 3 3 2 2 2" xfId="27632"/>
    <cellStyle name="Milliers 2 4 3 4 3 3 2 3" xfId="27633"/>
    <cellStyle name="Milliers 2 4 3 4 3 3 3" xfId="27634"/>
    <cellStyle name="Milliers 2 4 3 4 3 3 3 2" xfId="27635"/>
    <cellStyle name="Milliers 2 4 3 4 3 3 4" xfId="27636"/>
    <cellStyle name="Milliers 2 4 3 4 3 4" xfId="27637"/>
    <cellStyle name="Milliers 2 4 3 4 3 4 2" xfId="27638"/>
    <cellStyle name="Milliers 2 4 3 4 3 4 2 2" xfId="27639"/>
    <cellStyle name="Milliers 2 4 3 4 3 4 3" xfId="27640"/>
    <cellStyle name="Milliers 2 4 3 4 3 5" xfId="27641"/>
    <cellStyle name="Milliers 2 4 3 4 3 5 2" xfId="27642"/>
    <cellStyle name="Milliers 2 4 3 4 3 6" xfId="27643"/>
    <cellStyle name="Milliers 2 4 3 4 4" xfId="27644"/>
    <cellStyle name="Milliers 2 4 3 4 4 2" xfId="27645"/>
    <cellStyle name="Milliers 2 4 3 4 4 2 2" xfId="27646"/>
    <cellStyle name="Milliers 2 4 3 4 4 2 2 2" xfId="27647"/>
    <cellStyle name="Milliers 2 4 3 4 4 2 2 2 2" xfId="27648"/>
    <cellStyle name="Milliers 2 4 3 4 4 2 2 3" xfId="27649"/>
    <cellStyle name="Milliers 2 4 3 4 4 2 3" xfId="27650"/>
    <cellStyle name="Milliers 2 4 3 4 4 2 3 2" xfId="27651"/>
    <cellStyle name="Milliers 2 4 3 4 4 2 4" xfId="27652"/>
    <cellStyle name="Milliers 2 4 3 4 4 3" xfId="27653"/>
    <cellStyle name="Milliers 2 4 3 4 4 3 2" xfId="27654"/>
    <cellStyle name="Milliers 2 4 3 4 4 3 2 2" xfId="27655"/>
    <cellStyle name="Milliers 2 4 3 4 4 3 3" xfId="27656"/>
    <cellStyle name="Milliers 2 4 3 4 4 4" xfId="27657"/>
    <cellStyle name="Milliers 2 4 3 4 4 4 2" xfId="27658"/>
    <cellStyle name="Milliers 2 4 3 4 4 5" xfId="27659"/>
    <cellStyle name="Milliers 2 4 3 4 5" xfId="27660"/>
    <cellStyle name="Milliers 2 4 3 4 5 2" xfId="27661"/>
    <cellStyle name="Milliers 2 4 3 4 5 2 2" xfId="27662"/>
    <cellStyle name="Milliers 2 4 3 4 5 2 2 2" xfId="27663"/>
    <cellStyle name="Milliers 2 4 3 4 5 2 3" xfId="27664"/>
    <cellStyle name="Milliers 2 4 3 4 5 3" xfId="27665"/>
    <cellStyle name="Milliers 2 4 3 4 5 3 2" xfId="27666"/>
    <cellStyle name="Milliers 2 4 3 4 5 4" xfId="27667"/>
    <cellStyle name="Milliers 2 4 3 4 6" xfId="27668"/>
    <cellStyle name="Milliers 2 4 3 4 6 2" xfId="27669"/>
    <cellStyle name="Milliers 2 4 3 4 6 2 2" xfId="27670"/>
    <cellStyle name="Milliers 2 4 3 4 6 3" xfId="27671"/>
    <cellStyle name="Milliers 2 4 3 4 7" xfId="27672"/>
    <cellStyle name="Milliers 2 4 3 4 7 2" xfId="27673"/>
    <cellStyle name="Milliers 2 4 3 4 8" xfId="27674"/>
    <cellStyle name="Milliers 2 4 3 5" xfId="27675"/>
    <cellStyle name="Milliers 2 4 3 5 2" xfId="27676"/>
    <cellStyle name="Milliers 2 4 3 5 2 2" xfId="27677"/>
    <cellStyle name="Milliers 2 4 3 5 2 2 2" xfId="27678"/>
    <cellStyle name="Milliers 2 4 3 5 2 2 2 2" xfId="27679"/>
    <cellStyle name="Milliers 2 4 3 5 2 2 2 2 2" xfId="27680"/>
    <cellStyle name="Milliers 2 4 3 5 2 2 2 2 2 2" xfId="27681"/>
    <cellStyle name="Milliers 2 4 3 5 2 2 2 2 3" xfId="27682"/>
    <cellStyle name="Milliers 2 4 3 5 2 2 2 3" xfId="27683"/>
    <cellStyle name="Milliers 2 4 3 5 2 2 2 3 2" xfId="27684"/>
    <cellStyle name="Milliers 2 4 3 5 2 2 2 4" xfId="27685"/>
    <cellStyle name="Milliers 2 4 3 5 2 2 3" xfId="27686"/>
    <cellStyle name="Milliers 2 4 3 5 2 2 3 2" xfId="27687"/>
    <cellStyle name="Milliers 2 4 3 5 2 2 3 2 2" xfId="27688"/>
    <cellStyle name="Milliers 2 4 3 5 2 2 3 3" xfId="27689"/>
    <cellStyle name="Milliers 2 4 3 5 2 2 4" xfId="27690"/>
    <cellStyle name="Milliers 2 4 3 5 2 2 4 2" xfId="27691"/>
    <cellStyle name="Milliers 2 4 3 5 2 2 5" xfId="27692"/>
    <cellStyle name="Milliers 2 4 3 5 2 3" xfId="27693"/>
    <cellStyle name="Milliers 2 4 3 5 2 3 2" xfId="27694"/>
    <cellStyle name="Milliers 2 4 3 5 2 3 2 2" xfId="27695"/>
    <cellStyle name="Milliers 2 4 3 5 2 3 2 2 2" xfId="27696"/>
    <cellStyle name="Milliers 2 4 3 5 2 3 2 3" xfId="27697"/>
    <cellStyle name="Milliers 2 4 3 5 2 3 3" xfId="27698"/>
    <cellStyle name="Milliers 2 4 3 5 2 3 3 2" xfId="27699"/>
    <cellStyle name="Milliers 2 4 3 5 2 3 4" xfId="27700"/>
    <cellStyle name="Milliers 2 4 3 5 2 4" xfId="27701"/>
    <cellStyle name="Milliers 2 4 3 5 2 4 2" xfId="27702"/>
    <cellStyle name="Milliers 2 4 3 5 2 4 2 2" xfId="27703"/>
    <cellStyle name="Milliers 2 4 3 5 2 4 3" xfId="27704"/>
    <cellStyle name="Milliers 2 4 3 5 2 5" xfId="27705"/>
    <cellStyle name="Milliers 2 4 3 5 2 5 2" xfId="27706"/>
    <cellStyle name="Milliers 2 4 3 5 2 6" xfId="27707"/>
    <cellStyle name="Milliers 2 4 3 5 3" xfId="27708"/>
    <cellStyle name="Milliers 2 4 3 5 3 2" xfId="27709"/>
    <cellStyle name="Milliers 2 4 3 5 3 2 2" xfId="27710"/>
    <cellStyle name="Milliers 2 4 3 5 3 2 2 2" xfId="27711"/>
    <cellStyle name="Milliers 2 4 3 5 3 2 2 2 2" xfId="27712"/>
    <cellStyle name="Milliers 2 4 3 5 3 2 2 3" xfId="27713"/>
    <cellStyle name="Milliers 2 4 3 5 3 2 3" xfId="27714"/>
    <cellStyle name="Milliers 2 4 3 5 3 2 3 2" xfId="27715"/>
    <cellStyle name="Milliers 2 4 3 5 3 2 4" xfId="27716"/>
    <cellStyle name="Milliers 2 4 3 5 3 3" xfId="27717"/>
    <cellStyle name="Milliers 2 4 3 5 3 3 2" xfId="27718"/>
    <cellStyle name="Milliers 2 4 3 5 3 3 2 2" xfId="27719"/>
    <cellStyle name="Milliers 2 4 3 5 3 3 3" xfId="27720"/>
    <cellStyle name="Milliers 2 4 3 5 3 4" xfId="27721"/>
    <cellStyle name="Milliers 2 4 3 5 3 4 2" xfId="27722"/>
    <cellStyle name="Milliers 2 4 3 5 3 5" xfId="27723"/>
    <cellStyle name="Milliers 2 4 3 5 4" xfId="27724"/>
    <cellStyle name="Milliers 2 4 3 5 4 2" xfId="27725"/>
    <cellStyle name="Milliers 2 4 3 5 4 2 2" xfId="27726"/>
    <cellStyle name="Milliers 2 4 3 5 4 2 2 2" xfId="27727"/>
    <cellStyle name="Milliers 2 4 3 5 4 2 3" xfId="27728"/>
    <cellStyle name="Milliers 2 4 3 5 4 3" xfId="27729"/>
    <cellStyle name="Milliers 2 4 3 5 4 3 2" xfId="27730"/>
    <cellStyle name="Milliers 2 4 3 5 4 4" xfId="27731"/>
    <cellStyle name="Milliers 2 4 3 5 5" xfId="27732"/>
    <cellStyle name="Milliers 2 4 3 5 5 2" xfId="27733"/>
    <cellStyle name="Milliers 2 4 3 5 5 2 2" xfId="27734"/>
    <cellStyle name="Milliers 2 4 3 5 5 3" xfId="27735"/>
    <cellStyle name="Milliers 2 4 3 5 6" xfId="27736"/>
    <cellStyle name="Milliers 2 4 3 5 6 2" xfId="27737"/>
    <cellStyle name="Milliers 2 4 3 5 7" xfId="27738"/>
    <cellStyle name="Milliers 2 4 3 6" xfId="27739"/>
    <cellStyle name="Milliers 2 4 3 6 2" xfId="27740"/>
    <cellStyle name="Milliers 2 4 3 6 2 2" xfId="27741"/>
    <cellStyle name="Milliers 2 4 3 6 2 2 2" xfId="27742"/>
    <cellStyle name="Milliers 2 4 3 6 2 2 2 2" xfId="27743"/>
    <cellStyle name="Milliers 2 4 3 6 2 2 2 2 2" xfId="27744"/>
    <cellStyle name="Milliers 2 4 3 6 2 2 2 3" xfId="27745"/>
    <cellStyle name="Milliers 2 4 3 6 2 2 3" xfId="27746"/>
    <cellStyle name="Milliers 2 4 3 6 2 2 3 2" xfId="27747"/>
    <cellStyle name="Milliers 2 4 3 6 2 2 4" xfId="27748"/>
    <cellStyle name="Milliers 2 4 3 6 2 3" xfId="27749"/>
    <cellStyle name="Milliers 2 4 3 6 2 3 2" xfId="27750"/>
    <cellStyle name="Milliers 2 4 3 6 2 3 2 2" xfId="27751"/>
    <cellStyle name="Milliers 2 4 3 6 2 3 3" xfId="27752"/>
    <cellStyle name="Milliers 2 4 3 6 2 4" xfId="27753"/>
    <cellStyle name="Milliers 2 4 3 6 2 4 2" xfId="27754"/>
    <cellStyle name="Milliers 2 4 3 6 2 5" xfId="27755"/>
    <cellStyle name="Milliers 2 4 3 6 3" xfId="27756"/>
    <cellStyle name="Milliers 2 4 3 6 3 2" xfId="27757"/>
    <cellStyle name="Milliers 2 4 3 6 3 2 2" xfId="27758"/>
    <cellStyle name="Milliers 2 4 3 6 3 2 2 2" xfId="27759"/>
    <cellStyle name="Milliers 2 4 3 6 3 2 3" xfId="27760"/>
    <cellStyle name="Milliers 2 4 3 6 3 3" xfId="27761"/>
    <cellStyle name="Milliers 2 4 3 6 3 3 2" xfId="27762"/>
    <cellStyle name="Milliers 2 4 3 6 3 4" xfId="27763"/>
    <cellStyle name="Milliers 2 4 3 6 4" xfId="27764"/>
    <cellStyle name="Milliers 2 4 3 6 4 2" xfId="27765"/>
    <cellStyle name="Milliers 2 4 3 6 4 2 2" xfId="27766"/>
    <cellStyle name="Milliers 2 4 3 6 4 3" xfId="27767"/>
    <cellStyle name="Milliers 2 4 3 6 5" xfId="27768"/>
    <cellStyle name="Milliers 2 4 3 6 5 2" xfId="27769"/>
    <cellStyle name="Milliers 2 4 3 6 6" xfId="27770"/>
    <cellStyle name="Milliers 2 4 3 7" xfId="27771"/>
    <cellStyle name="Milliers 2 4 3 7 2" xfId="27772"/>
    <cellStyle name="Milliers 2 4 3 7 2 2" xfId="27773"/>
    <cellStyle name="Milliers 2 4 3 7 2 2 2" xfId="27774"/>
    <cellStyle name="Milliers 2 4 3 7 2 2 2 2" xfId="27775"/>
    <cellStyle name="Milliers 2 4 3 7 2 2 3" xfId="27776"/>
    <cellStyle name="Milliers 2 4 3 7 2 3" xfId="27777"/>
    <cellStyle name="Milliers 2 4 3 7 2 3 2" xfId="27778"/>
    <cellStyle name="Milliers 2 4 3 7 2 4" xfId="27779"/>
    <cellStyle name="Milliers 2 4 3 7 3" xfId="27780"/>
    <cellStyle name="Milliers 2 4 3 7 3 2" xfId="27781"/>
    <cellStyle name="Milliers 2 4 3 7 3 2 2" xfId="27782"/>
    <cellStyle name="Milliers 2 4 3 7 3 3" xfId="27783"/>
    <cellStyle name="Milliers 2 4 3 7 4" xfId="27784"/>
    <cellStyle name="Milliers 2 4 3 7 4 2" xfId="27785"/>
    <cellStyle name="Milliers 2 4 3 7 5" xfId="27786"/>
    <cellStyle name="Milliers 2 4 3 8" xfId="27787"/>
    <cellStyle name="Milliers 2 4 3 8 2" xfId="27788"/>
    <cellStyle name="Milliers 2 4 3 8 2 2" xfId="27789"/>
    <cellStyle name="Milliers 2 4 3 8 2 2 2" xfId="27790"/>
    <cellStyle name="Milliers 2 4 3 8 2 3" xfId="27791"/>
    <cellStyle name="Milliers 2 4 3 8 3" xfId="27792"/>
    <cellStyle name="Milliers 2 4 3 8 3 2" xfId="27793"/>
    <cellStyle name="Milliers 2 4 3 8 4" xfId="27794"/>
    <cellStyle name="Milliers 2 4 3 9" xfId="27795"/>
    <cellStyle name="Milliers 2 4 3 9 2" xfId="27796"/>
    <cellStyle name="Milliers 2 4 3 9 2 2" xfId="27797"/>
    <cellStyle name="Milliers 2 4 3 9 3" xfId="27798"/>
    <cellStyle name="Milliers 2 4 4" xfId="27799"/>
    <cellStyle name="Milliers 2 4 4 10" xfId="27800"/>
    <cellStyle name="Milliers 2 4 4 2" xfId="27801"/>
    <cellStyle name="Milliers 2 4 4 2 2" xfId="27802"/>
    <cellStyle name="Milliers 2 4 4 2 2 2" xfId="27803"/>
    <cellStyle name="Milliers 2 4 4 2 2 2 2" xfId="27804"/>
    <cellStyle name="Milliers 2 4 4 2 2 2 2 2" xfId="27805"/>
    <cellStyle name="Milliers 2 4 4 2 2 2 2 2 2" xfId="27806"/>
    <cellStyle name="Milliers 2 4 4 2 2 2 2 2 2 2" xfId="27807"/>
    <cellStyle name="Milliers 2 4 4 2 2 2 2 2 2 2 2" xfId="27808"/>
    <cellStyle name="Milliers 2 4 4 2 2 2 2 2 2 2 2 2" xfId="27809"/>
    <cellStyle name="Milliers 2 4 4 2 2 2 2 2 2 2 3" xfId="27810"/>
    <cellStyle name="Milliers 2 4 4 2 2 2 2 2 2 3" xfId="27811"/>
    <cellStyle name="Milliers 2 4 4 2 2 2 2 2 2 3 2" xfId="27812"/>
    <cellStyle name="Milliers 2 4 4 2 2 2 2 2 2 4" xfId="27813"/>
    <cellStyle name="Milliers 2 4 4 2 2 2 2 2 3" xfId="27814"/>
    <cellStyle name="Milliers 2 4 4 2 2 2 2 2 3 2" xfId="27815"/>
    <cellStyle name="Milliers 2 4 4 2 2 2 2 2 3 2 2" xfId="27816"/>
    <cellStyle name="Milliers 2 4 4 2 2 2 2 2 3 3" xfId="27817"/>
    <cellStyle name="Milliers 2 4 4 2 2 2 2 2 4" xfId="27818"/>
    <cellStyle name="Milliers 2 4 4 2 2 2 2 2 4 2" xfId="27819"/>
    <cellStyle name="Milliers 2 4 4 2 2 2 2 2 5" xfId="27820"/>
    <cellStyle name="Milliers 2 4 4 2 2 2 2 3" xfId="27821"/>
    <cellStyle name="Milliers 2 4 4 2 2 2 2 3 2" xfId="27822"/>
    <cellStyle name="Milliers 2 4 4 2 2 2 2 3 2 2" xfId="27823"/>
    <cellStyle name="Milliers 2 4 4 2 2 2 2 3 2 2 2" xfId="27824"/>
    <cellStyle name="Milliers 2 4 4 2 2 2 2 3 2 3" xfId="27825"/>
    <cellStyle name="Milliers 2 4 4 2 2 2 2 3 3" xfId="27826"/>
    <cellStyle name="Milliers 2 4 4 2 2 2 2 3 3 2" xfId="27827"/>
    <cellStyle name="Milliers 2 4 4 2 2 2 2 3 4" xfId="27828"/>
    <cellStyle name="Milliers 2 4 4 2 2 2 2 4" xfId="27829"/>
    <cellStyle name="Milliers 2 4 4 2 2 2 2 4 2" xfId="27830"/>
    <cellStyle name="Milliers 2 4 4 2 2 2 2 4 2 2" xfId="27831"/>
    <cellStyle name="Milliers 2 4 4 2 2 2 2 4 3" xfId="27832"/>
    <cellStyle name="Milliers 2 4 4 2 2 2 2 5" xfId="27833"/>
    <cellStyle name="Milliers 2 4 4 2 2 2 2 5 2" xfId="27834"/>
    <cellStyle name="Milliers 2 4 4 2 2 2 2 6" xfId="27835"/>
    <cellStyle name="Milliers 2 4 4 2 2 2 3" xfId="27836"/>
    <cellStyle name="Milliers 2 4 4 2 2 2 3 2" xfId="27837"/>
    <cellStyle name="Milliers 2 4 4 2 2 2 3 2 2" xfId="27838"/>
    <cellStyle name="Milliers 2 4 4 2 2 2 3 2 2 2" xfId="27839"/>
    <cellStyle name="Milliers 2 4 4 2 2 2 3 2 2 2 2" xfId="27840"/>
    <cellStyle name="Milliers 2 4 4 2 2 2 3 2 2 3" xfId="27841"/>
    <cellStyle name="Milliers 2 4 4 2 2 2 3 2 3" xfId="27842"/>
    <cellStyle name="Milliers 2 4 4 2 2 2 3 2 3 2" xfId="27843"/>
    <cellStyle name="Milliers 2 4 4 2 2 2 3 2 4" xfId="27844"/>
    <cellStyle name="Milliers 2 4 4 2 2 2 3 3" xfId="27845"/>
    <cellStyle name="Milliers 2 4 4 2 2 2 3 3 2" xfId="27846"/>
    <cellStyle name="Milliers 2 4 4 2 2 2 3 3 2 2" xfId="27847"/>
    <cellStyle name="Milliers 2 4 4 2 2 2 3 3 3" xfId="27848"/>
    <cellStyle name="Milliers 2 4 4 2 2 2 3 4" xfId="27849"/>
    <cellStyle name="Milliers 2 4 4 2 2 2 3 4 2" xfId="27850"/>
    <cellStyle name="Milliers 2 4 4 2 2 2 3 5" xfId="27851"/>
    <cellStyle name="Milliers 2 4 4 2 2 2 4" xfId="27852"/>
    <cellStyle name="Milliers 2 4 4 2 2 2 4 2" xfId="27853"/>
    <cellStyle name="Milliers 2 4 4 2 2 2 4 2 2" xfId="27854"/>
    <cellStyle name="Milliers 2 4 4 2 2 2 4 2 2 2" xfId="27855"/>
    <cellStyle name="Milliers 2 4 4 2 2 2 4 2 3" xfId="27856"/>
    <cellStyle name="Milliers 2 4 4 2 2 2 4 3" xfId="27857"/>
    <cellStyle name="Milliers 2 4 4 2 2 2 4 3 2" xfId="27858"/>
    <cellStyle name="Milliers 2 4 4 2 2 2 4 4" xfId="27859"/>
    <cellStyle name="Milliers 2 4 4 2 2 2 5" xfId="27860"/>
    <cellStyle name="Milliers 2 4 4 2 2 2 5 2" xfId="27861"/>
    <cellStyle name="Milliers 2 4 4 2 2 2 5 2 2" xfId="27862"/>
    <cellStyle name="Milliers 2 4 4 2 2 2 5 3" xfId="27863"/>
    <cellStyle name="Milliers 2 4 4 2 2 2 6" xfId="27864"/>
    <cellStyle name="Milliers 2 4 4 2 2 2 6 2" xfId="27865"/>
    <cellStyle name="Milliers 2 4 4 2 2 2 7" xfId="27866"/>
    <cellStyle name="Milliers 2 4 4 2 2 3" xfId="27867"/>
    <cellStyle name="Milliers 2 4 4 2 2 3 2" xfId="27868"/>
    <cellStyle name="Milliers 2 4 4 2 2 3 2 2" xfId="27869"/>
    <cellStyle name="Milliers 2 4 4 2 2 3 2 2 2" xfId="27870"/>
    <cellStyle name="Milliers 2 4 4 2 2 3 2 2 2 2" xfId="27871"/>
    <cellStyle name="Milliers 2 4 4 2 2 3 2 2 2 2 2" xfId="27872"/>
    <cellStyle name="Milliers 2 4 4 2 2 3 2 2 2 3" xfId="27873"/>
    <cellStyle name="Milliers 2 4 4 2 2 3 2 2 3" xfId="27874"/>
    <cellStyle name="Milliers 2 4 4 2 2 3 2 2 3 2" xfId="27875"/>
    <cellStyle name="Milliers 2 4 4 2 2 3 2 2 4" xfId="27876"/>
    <cellStyle name="Milliers 2 4 4 2 2 3 2 3" xfId="27877"/>
    <cellStyle name="Milliers 2 4 4 2 2 3 2 3 2" xfId="27878"/>
    <cellStyle name="Milliers 2 4 4 2 2 3 2 3 2 2" xfId="27879"/>
    <cellStyle name="Milliers 2 4 4 2 2 3 2 3 3" xfId="27880"/>
    <cellStyle name="Milliers 2 4 4 2 2 3 2 4" xfId="27881"/>
    <cellStyle name="Milliers 2 4 4 2 2 3 2 4 2" xfId="27882"/>
    <cellStyle name="Milliers 2 4 4 2 2 3 2 5" xfId="27883"/>
    <cellStyle name="Milliers 2 4 4 2 2 3 3" xfId="27884"/>
    <cellStyle name="Milliers 2 4 4 2 2 3 3 2" xfId="27885"/>
    <cellStyle name="Milliers 2 4 4 2 2 3 3 2 2" xfId="27886"/>
    <cellStyle name="Milliers 2 4 4 2 2 3 3 2 2 2" xfId="27887"/>
    <cellStyle name="Milliers 2 4 4 2 2 3 3 2 3" xfId="27888"/>
    <cellStyle name="Milliers 2 4 4 2 2 3 3 3" xfId="27889"/>
    <cellStyle name="Milliers 2 4 4 2 2 3 3 3 2" xfId="27890"/>
    <cellStyle name="Milliers 2 4 4 2 2 3 3 4" xfId="27891"/>
    <cellStyle name="Milliers 2 4 4 2 2 3 4" xfId="27892"/>
    <cellStyle name="Milliers 2 4 4 2 2 3 4 2" xfId="27893"/>
    <cellStyle name="Milliers 2 4 4 2 2 3 4 2 2" xfId="27894"/>
    <cellStyle name="Milliers 2 4 4 2 2 3 4 3" xfId="27895"/>
    <cellStyle name="Milliers 2 4 4 2 2 3 5" xfId="27896"/>
    <cellStyle name="Milliers 2 4 4 2 2 3 5 2" xfId="27897"/>
    <cellStyle name="Milliers 2 4 4 2 2 3 6" xfId="27898"/>
    <cellStyle name="Milliers 2 4 4 2 2 4" xfId="27899"/>
    <cellStyle name="Milliers 2 4 4 2 2 4 2" xfId="27900"/>
    <cellStyle name="Milliers 2 4 4 2 2 4 2 2" xfId="27901"/>
    <cellStyle name="Milliers 2 4 4 2 2 4 2 2 2" xfId="27902"/>
    <cellStyle name="Milliers 2 4 4 2 2 4 2 2 2 2" xfId="27903"/>
    <cellStyle name="Milliers 2 4 4 2 2 4 2 2 3" xfId="27904"/>
    <cellStyle name="Milliers 2 4 4 2 2 4 2 3" xfId="27905"/>
    <cellStyle name="Milliers 2 4 4 2 2 4 2 3 2" xfId="27906"/>
    <cellStyle name="Milliers 2 4 4 2 2 4 2 4" xfId="27907"/>
    <cellStyle name="Milliers 2 4 4 2 2 4 3" xfId="27908"/>
    <cellStyle name="Milliers 2 4 4 2 2 4 3 2" xfId="27909"/>
    <cellStyle name="Milliers 2 4 4 2 2 4 3 2 2" xfId="27910"/>
    <cellStyle name="Milliers 2 4 4 2 2 4 3 3" xfId="27911"/>
    <cellStyle name="Milliers 2 4 4 2 2 4 4" xfId="27912"/>
    <cellStyle name="Milliers 2 4 4 2 2 4 4 2" xfId="27913"/>
    <cellStyle name="Milliers 2 4 4 2 2 4 5" xfId="27914"/>
    <cellStyle name="Milliers 2 4 4 2 2 5" xfId="27915"/>
    <cellStyle name="Milliers 2 4 4 2 2 5 2" xfId="27916"/>
    <cellStyle name="Milliers 2 4 4 2 2 5 2 2" xfId="27917"/>
    <cellStyle name="Milliers 2 4 4 2 2 5 2 2 2" xfId="27918"/>
    <cellStyle name="Milliers 2 4 4 2 2 5 2 3" xfId="27919"/>
    <cellStyle name="Milliers 2 4 4 2 2 5 3" xfId="27920"/>
    <cellStyle name="Milliers 2 4 4 2 2 5 3 2" xfId="27921"/>
    <cellStyle name="Milliers 2 4 4 2 2 5 4" xfId="27922"/>
    <cellStyle name="Milliers 2 4 4 2 2 6" xfId="27923"/>
    <cellStyle name="Milliers 2 4 4 2 2 6 2" xfId="27924"/>
    <cellStyle name="Milliers 2 4 4 2 2 6 2 2" xfId="27925"/>
    <cellStyle name="Milliers 2 4 4 2 2 6 3" xfId="27926"/>
    <cellStyle name="Milliers 2 4 4 2 2 7" xfId="27927"/>
    <cellStyle name="Milliers 2 4 4 2 2 7 2" xfId="27928"/>
    <cellStyle name="Milliers 2 4 4 2 2 8" xfId="27929"/>
    <cellStyle name="Milliers 2 4 4 2 3" xfId="27930"/>
    <cellStyle name="Milliers 2 4 4 2 3 2" xfId="27931"/>
    <cellStyle name="Milliers 2 4 4 2 3 2 2" xfId="27932"/>
    <cellStyle name="Milliers 2 4 4 2 3 2 2 2" xfId="27933"/>
    <cellStyle name="Milliers 2 4 4 2 3 2 2 2 2" xfId="27934"/>
    <cellStyle name="Milliers 2 4 4 2 3 2 2 2 2 2" xfId="27935"/>
    <cellStyle name="Milliers 2 4 4 2 3 2 2 2 2 2 2" xfId="27936"/>
    <cellStyle name="Milliers 2 4 4 2 3 2 2 2 2 3" xfId="27937"/>
    <cellStyle name="Milliers 2 4 4 2 3 2 2 2 3" xfId="27938"/>
    <cellStyle name="Milliers 2 4 4 2 3 2 2 2 3 2" xfId="27939"/>
    <cellStyle name="Milliers 2 4 4 2 3 2 2 2 4" xfId="27940"/>
    <cellStyle name="Milliers 2 4 4 2 3 2 2 3" xfId="27941"/>
    <cellStyle name="Milliers 2 4 4 2 3 2 2 3 2" xfId="27942"/>
    <cellStyle name="Milliers 2 4 4 2 3 2 2 3 2 2" xfId="27943"/>
    <cellStyle name="Milliers 2 4 4 2 3 2 2 3 3" xfId="27944"/>
    <cellStyle name="Milliers 2 4 4 2 3 2 2 4" xfId="27945"/>
    <cellStyle name="Milliers 2 4 4 2 3 2 2 4 2" xfId="27946"/>
    <cellStyle name="Milliers 2 4 4 2 3 2 2 5" xfId="27947"/>
    <cellStyle name="Milliers 2 4 4 2 3 2 3" xfId="27948"/>
    <cellStyle name="Milliers 2 4 4 2 3 2 3 2" xfId="27949"/>
    <cellStyle name="Milliers 2 4 4 2 3 2 3 2 2" xfId="27950"/>
    <cellStyle name="Milliers 2 4 4 2 3 2 3 2 2 2" xfId="27951"/>
    <cellStyle name="Milliers 2 4 4 2 3 2 3 2 3" xfId="27952"/>
    <cellStyle name="Milliers 2 4 4 2 3 2 3 3" xfId="27953"/>
    <cellStyle name="Milliers 2 4 4 2 3 2 3 3 2" xfId="27954"/>
    <cellStyle name="Milliers 2 4 4 2 3 2 3 4" xfId="27955"/>
    <cellStyle name="Milliers 2 4 4 2 3 2 4" xfId="27956"/>
    <cellStyle name="Milliers 2 4 4 2 3 2 4 2" xfId="27957"/>
    <cellStyle name="Milliers 2 4 4 2 3 2 4 2 2" xfId="27958"/>
    <cellStyle name="Milliers 2 4 4 2 3 2 4 3" xfId="27959"/>
    <cellStyle name="Milliers 2 4 4 2 3 2 5" xfId="27960"/>
    <cellStyle name="Milliers 2 4 4 2 3 2 5 2" xfId="27961"/>
    <cellStyle name="Milliers 2 4 4 2 3 2 6" xfId="27962"/>
    <cellStyle name="Milliers 2 4 4 2 3 3" xfId="27963"/>
    <cellStyle name="Milliers 2 4 4 2 3 3 2" xfId="27964"/>
    <cellStyle name="Milliers 2 4 4 2 3 3 2 2" xfId="27965"/>
    <cellStyle name="Milliers 2 4 4 2 3 3 2 2 2" xfId="27966"/>
    <cellStyle name="Milliers 2 4 4 2 3 3 2 2 2 2" xfId="27967"/>
    <cellStyle name="Milliers 2 4 4 2 3 3 2 2 3" xfId="27968"/>
    <cellStyle name="Milliers 2 4 4 2 3 3 2 3" xfId="27969"/>
    <cellStyle name="Milliers 2 4 4 2 3 3 2 3 2" xfId="27970"/>
    <cellStyle name="Milliers 2 4 4 2 3 3 2 4" xfId="27971"/>
    <cellStyle name="Milliers 2 4 4 2 3 3 3" xfId="27972"/>
    <cellStyle name="Milliers 2 4 4 2 3 3 3 2" xfId="27973"/>
    <cellStyle name="Milliers 2 4 4 2 3 3 3 2 2" xfId="27974"/>
    <cellStyle name="Milliers 2 4 4 2 3 3 3 3" xfId="27975"/>
    <cellStyle name="Milliers 2 4 4 2 3 3 4" xfId="27976"/>
    <cellStyle name="Milliers 2 4 4 2 3 3 4 2" xfId="27977"/>
    <cellStyle name="Milliers 2 4 4 2 3 3 5" xfId="27978"/>
    <cellStyle name="Milliers 2 4 4 2 3 4" xfId="27979"/>
    <cellStyle name="Milliers 2 4 4 2 3 4 2" xfId="27980"/>
    <cellStyle name="Milliers 2 4 4 2 3 4 2 2" xfId="27981"/>
    <cellStyle name="Milliers 2 4 4 2 3 4 2 2 2" xfId="27982"/>
    <cellStyle name="Milliers 2 4 4 2 3 4 2 3" xfId="27983"/>
    <cellStyle name="Milliers 2 4 4 2 3 4 3" xfId="27984"/>
    <cellStyle name="Milliers 2 4 4 2 3 4 3 2" xfId="27985"/>
    <cellStyle name="Milliers 2 4 4 2 3 4 4" xfId="27986"/>
    <cellStyle name="Milliers 2 4 4 2 3 5" xfId="27987"/>
    <cellStyle name="Milliers 2 4 4 2 3 5 2" xfId="27988"/>
    <cellStyle name="Milliers 2 4 4 2 3 5 2 2" xfId="27989"/>
    <cellStyle name="Milliers 2 4 4 2 3 5 3" xfId="27990"/>
    <cellStyle name="Milliers 2 4 4 2 3 6" xfId="27991"/>
    <cellStyle name="Milliers 2 4 4 2 3 6 2" xfId="27992"/>
    <cellStyle name="Milliers 2 4 4 2 3 7" xfId="27993"/>
    <cellStyle name="Milliers 2 4 4 2 4" xfId="27994"/>
    <cellStyle name="Milliers 2 4 4 2 4 2" xfId="27995"/>
    <cellStyle name="Milliers 2 4 4 2 4 2 2" xfId="27996"/>
    <cellStyle name="Milliers 2 4 4 2 4 2 2 2" xfId="27997"/>
    <cellStyle name="Milliers 2 4 4 2 4 2 2 2 2" xfId="27998"/>
    <cellStyle name="Milliers 2 4 4 2 4 2 2 2 2 2" xfId="27999"/>
    <cellStyle name="Milliers 2 4 4 2 4 2 2 2 3" xfId="28000"/>
    <cellStyle name="Milliers 2 4 4 2 4 2 2 3" xfId="28001"/>
    <cellStyle name="Milliers 2 4 4 2 4 2 2 3 2" xfId="28002"/>
    <cellStyle name="Milliers 2 4 4 2 4 2 2 4" xfId="28003"/>
    <cellStyle name="Milliers 2 4 4 2 4 2 3" xfId="28004"/>
    <cellStyle name="Milliers 2 4 4 2 4 2 3 2" xfId="28005"/>
    <cellStyle name="Milliers 2 4 4 2 4 2 3 2 2" xfId="28006"/>
    <cellStyle name="Milliers 2 4 4 2 4 2 3 3" xfId="28007"/>
    <cellStyle name="Milliers 2 4 4 2 4 2 4" xfId="28008"/>
    <cellStyle name="Milliers 2 4 4 2 4 2 4 2" xfId="28009"/>
    <cellStyle name="Milliers 2 4 4 2 4 2 5" xfId="28010"/>
    <cellStyle name="Milliers 2 4 4 2 4 3" xfId="28011"/>
    <cellStyle name="Milliers 2 4 4 2 4 3 2" xfId="28012"/>
    <cellStyle name="Milliers 2 4 4 2 4 3 2 2" xfId="28013"/>
    <cellStyle name="Milliers 2 4 4 2 4 3 2 2 2" xfId="28014"/>
    <cellStyle name="Milliers 2 4 4 2 4 3 2 3" xfId="28015"/>
    <cellStyle name="Milliers 2 4 4 2 4 3 3" xfId="28016"/>
    <cellStyle name="Milliers 2 4 4 2 4 3 3 2" xfId="28017"/>
    <cellStyle name="Milliers 2 4 4 2 4 3 4" xfId="28018"/>
    <cellStyle name="Milliers 2 4 4 2 4 4" xfId="28019"/>
    <cellStyle name="Milliers 2 4 4 2 4 4 2" xfId="28020"/>
    <cellStyle name="Milliers 2 4 4 2 4 4 2 2" xfId="28021"/>
    <cellStyle name="Milliers 2 4 4 2 4 4 3" xfId="28022"/>
    <cellStyle name="Milliers 2 4 4 2 4 5" xfId="28023"/>
    <cellStyle name="Milliers 2 4 4 2 4 5 2" xfId="28024"/>
    <cellStyle name="Milliers 2 4 4 2 4 6" xfId="28025"/>
    <cellStyle name="Milliers 2 4 4 2 5" xfId="28026"/>
    <cellStyle name="Milliers 2 4 4 2 5 2" xfId="28027"/>
    <cellStyle name="Milliers 2 4 4 2 5 2 2" xfId="28028"/>
    <cellStyle name="Milliers 2 4 4 2 5 2 2 2" xfId="28029"/>
    <cellStyle name="Milliers 2 4 4 2 5 2 2 2 2" xfId="28030"/>
    <cellStyle name="Milliers 2 4 4 2 5 2 2 3" xfId="28031"/>
    <cellStyle name="Milliers 2 4 4 2 5 2 3" xfId="28032"/>
    <cellStyle name="Milliers 2 4 4 2 5 2 3 2" xfId="28033"/>
    <cellStyle name="Milliers 2 4 4 2 5 2 4" xfId="28034"/>
    <cellStyle name="Milliers 2 4 4 2 5 3" xfId="28035"/>
    <cellStyle name="Milliers 2 4 4 2 5 3 2" xfId="28036"/>
    <cellStyle name="Milliers 2 4 4 2 5 3 2 2" xfId="28037"/>
    <cellStyle name="Milliers 2 4 4 2 5 3 3" xfId="28038"/>
    <cellStyle name="Milliers 2 4 4 2 5 4" xfId="28039"/>
    <cellStyle name="Milliers 2 4 4 2 5 4 2" xfId="28040"/>
    <cellStyle name="Milliers 2 4 4 2 5 5" xfId="28041"/>
    <cellStyle name="Milliers 2 4 4 2 6" xfId="28042"/>
    <cellStyle name="Milliers 2 4 4 2 6 2" xfId="28043"/>
    <cellStyle name="Milliers 2 4 4 2 6 2 2" xfId="28044"/>
    <cellStyle name="Milliers 2 4 4 2 6 2 2 2" xfId="28045"/>
    <cellStyle name="Milliers 2 4 4 2 6 2 3" xfId="28046"/>
    <cellStyle name="Milliers 2 4 4 2 6 3" xfId="28047"/>
    <cellStyle name="Milliers 2 4 4 2 6 3 2" xfId="28048"/>
    <cellStyle name="Milliers 2 4 4 2 6 4" xfId="28049"/>
    <cellStyle name="Milliers 2 4 4 2 7" xfId="28050"/>
    <cellStyle name="Milliers 2 4 4 2 7 2" xfId="28051"/>
    <cellStyle name="Milliers 2 4 4 2 7 2 2" xfId="28052"/>
    <cellStyle name="Milliers 2 4 4 2 7 3" xfId="28053"/>
    <cellStyle name="Milliers 2 4 4 2 8" xfId="28054"/>
    <cellStyle name="Milliers 2 4 4 2 8 2" xfId="28055"/>
    <cellStyle name="Milliers 2 4 4 2 9" xfId="28056"/>
    <cellStyle name="Milliers 2 4 4 3" xfId="28057"/>
    <cellStyle name="Milliers 2 4 4 3 2" xfId="28058"/>
    <cellStyle name="Milliers 2 4 4 3 2 2" xfId="28059"/>
    <cellStyle name="Milliers 2 4 4 3 2 2 2" xfId="28060"/>
    <cellStyle name="Milliers 2 4 4 3 2 2 2 2" xfId="28061"/>
    <cellStyle name="Milliers 2 4 4 3 2 2 2 2 2" xfId="28062"/>
    <cellStyle name="Milliers 2 4 4 3 2 2 2 2 2 2" xfId="28063"/>
    <cellStyle name="Milliers 2 4 4 3 2 2 2 2 2 2 2" xfId="28064"/>
    <cellStyle name="Milliers 2 4 4 3 2 2 2 2 2 3" xfId="28065"/>
    <cellStyle name="Milliers 2 4 4 3 2 2 2 2 3" xfId="28066"/>
    <cellStyle name="Milliers 2 4 4 3 2 2 2 2 3 2" xfId="28067"/>
    <cellStyle name="Milliers 2 4 4 3 2 2 2 2 4" xfId="28068"/>
    <cellStyle name="Milliers 2 4 4 3 2 2 2 3" xfId="28069"/>
    <cellStyle name="Milliers 2 4 4 3 2 2 2 3 2" xfId="28070"/>
    <cellStyle name="Milliers 2 4 4 3 2 2 2 3 2 2" xfId="28071"/>
    <cellStyle name="Milliers 2 4 4 3 2 2 2 3 3" xfId="28072"/>
    <cellStyle name="Milliers 2 4 4 3 2 2 2 4" xfId="28073"/>
    <cellStyle name="Milliers 2 4 4 3 2 2 2 4 2" xfId="28074"/>
    <cellStyle name="Milliers 2 4 4 3 2 2 2 5" xfId="28075"/>
    <cellStyle name="Milliers 2 4 4 3 2 2 3" xfId="28076"/>
    <cellStyle name="Milliers 2 4 4 3 2 2 3 2" xfId="28077"/>
    <cellStyle name="Milliers 2 4 4 3 2 2 3 2 2" xfId="28078"/>
    <cellStyle name="Milliers 2 4 4 3 2 2 3 2 2 2" xfId="28079"/>
    <cellStyle name="Milliers 2 4 4 3 2 2 3 2 3" xfId="28080"/>
    <cellStyle name="Milliers 2 4 4 3 2 2 3 3" xfId="28081"/>
    <cellStyle name="Milliers 2 4 4 3 2 2 3 3 2" xfId="28082"/>
    <cellStyle name="Milliers 2 4 4 3 2 2 3 4" xfId="28083"/>
    <cellStyle name="Milliers 2 4 4 3 2 2 4" xfId="28084"/>
    <cellStyle name="Milliers 2 4 4 3 2 2 4 2" xfId="28085"/>
    <cellStyle name="Milliers 2 4 4 3 2 2 4 2 2" xfId="28086"/>
    <cellStyle name="Milliers 2 4 4 3 2 2 4 3" xfId="28087"/>
    <cellStyle name="Milliers 2 4 4 3 2 2 5" xfId="28088"/>
    <cellStyle name="Milliers 2 4 4 3 2 2 5 2" xfId="28089"/>
    <cellStyle name="Milliers 2 4 4 3 2 2 6" xfId="28090"/>
    <cellStyle name="Milliers 2 4 4 3 2 3" xfId="28091"/>
    <cellStyle name="Milliers 2 4 4 3 2 3 2" xfId="28092"/>
    <cellStyle name="Milliers 2 4 4 3 2 3 2 2" xfId="28093"/>
    <cellStyle name="Milliers 2 4 4 3 2 3 2 2 2" xfId="28094"/>
    <cellStyle name="Milliers 2 4 4 3 2 3 2 2 2 2" xfId="28095"/>
    <cellStyle name="Milliers 2 4 4 3 2 3 2 2 3" xfId="28096"/>
    <cellStyle name="Milliers 2 4 4 3 2 3 2 3" xfId="28097"/>
    <cellStyle name="Milliers 2 4 4 3 2 3 2 3 2" xfId="28098"/>
    <cellStyle name="Milliers 2 4 4 3 2 3 2 4" xfId="28099"/>
    <cellStyle name="Milliers 2 4 4 3 2 3 3" xfId="28100"/>
    <cellStyle name="Milliers 2 4 4 3 2 3 3 2" xfId="28101"/>
    <cellStyle name="Milliers 2 4 4 3 2 3 3 2 2" xfId="28102"/>
    <cellStyle name="Milliers 2 4 4 3 2 3 3 3" xfId="28103"/>
    <cellStyle name="Milliers 2 4 4 3 2 3 4" xfId="28104"/>
    <cellStyle name="Milliers 2 4 4 3 2 3 4 2" xfId="28105"/>
    <cellStyle name="Milliers 2 4 4 3 2 3 5" xfId="28106"/>
    <cellStyle name="Milliers 2 4 4 3 2 4" xfId="28107"/>
    <cellStyle name="Milliers 2 4 4 3 2 4 2" xfId="28108"/>
    <cellStyle name="Milliers 2 4 4 3 2 4 2 2" xfId="28109"/>
    <cellStyle name="Milliers 2 4 4 3 2 4 2 2 2" xfId="28110"/>
    <cellStyle name="Milliers 2 4 4 3 2 4 2 3" xfId="28111"/>
    <cellStyle name="Milliers 2 4 4 3 2 4 3" xfId="28112"/>
    <cellStyle name="Milliers 2 4 4 3 2 4 3 2" xfId="28113"/>
    <cellStyle name="Milliers 2 4 4 3 2 4 4" xfId="28114"/>
    <cellStyle name="Milliers 2 4 4 3 2 5" xfId="28115"/>
    <cellStyle name="Milliers 2 4 4 3 2 5 2" xfId="28116"/>
    <cellStyle name="Milliers 2 4 4 3 2 5 2 2" xfId="28117"/>
    <cellStyle name="Milliers 2 4 4 3 2 5 3" xfId="28118"/>
    <cellStyle name="Milliers 2 4 4 3 2 6" xfId="28119"/>
    <cellStyle name="Milliers 2 4 4 3 2 6 2" xfId="28120"/>
    <cellStyle name="Milliers 2 4 4 3 2 7" xfId="28121"/>
    <cellStyle name="Milliers 2 4 4 3 3" xfId="28122"/>
    <cellStyle name="Milliers 2 4 4 3 3 2" xfId="28123"/>
    <cellStyle name="Milliers 2 4 4 3 3 2 2" xfId="28124"/>
    <cellStyle name="Milliers 2 4 4 3 3 2 2 2" xfId="28125"/>
    <cellStyle name="Milliers 2 4 4 3 3 2 2 2 2" xfId="28126"/>
    <cellStyle name="Milliers 2 4 4 3 3 2 2 2 2 2" xfId="28127"/>
    <cellStyle name="Milliers 2 4 4 3 3 2 2 2 3" xfId="28128"/>
    <cellStyle name="Milliers 2 4 4 3 3 2 2 3" xfId="28129"/>
    <cellStyle name="Milliers 2 4 4 3 3 2 2 3 2" xfId="28130"/>
    <cellStyle name="Milliers 2 4 4 3 3 2 2 4" xfId="28131"/>
    <cellStyle name="Milliers 2 4 4 3 3 2 3" xfId="28132"/>
    <cellStyle name="Milliers 2 4 4 3 3 2 3 2" xfId="28133"/>
    <cellStyle name="Milliers 2 4 4 3 3 2 3 2 2" xfId="28134"/>
    <cellStyle name="Milliers 2 4 4 3 3 2 3 3" xfId="28135"/>
    <cellStyle name="Milliers 2 4 4 3 3 2 4" xfId="28136"/>
    <cellStyle name="Milliers 2 4 4 3 3 2 4 2" xfId="28137"/>
    <cellStyle name="Milliers 2 4 4 3 3 2 5" xfId="28138"/>
    <cellStyle name="Milliers 2 4 4 3 3 3" xfId="28139"/>
    <cellStyle name="Milliers 2 4 4 3 3 3 2" xfId="28140"/>
    <cellStyle name="Milliers 2 4 4 3 3 3 2 2" xfId="28141"/>
    <cellStyle name="Milliers 2 4 4 3 3 3 2 2 2" xfId="28142"/>
    <cellStyle name="Milliers 2 4 4 3 3 3 2 3" xfId="28143"/>
    <cellStyle name="Milliers 2 4 4 3 3 3 3" xfId="28144"/>
    <cellStyle name="Milliers 2 4 4 3 3 3 3 2" xfId="28145"/>
    <cellStyle name="Milliers 2 4 4 3 3 3 4" xfId="28146"/>
    <cellStyle name="Milliers 2 4 4 3 3 4" xfId="28147"/>
    <cellStyle name="Milliers 2 4 4 3 3 4 2" xfId="28148"/>
    <cellStyle name="Milliers 2 4 4 3 3 4 2 2" xfId="28149"/>
    <cellStyle name="Milliers 2 4 4 3 3 4 3" xfId="28150"/>
    <cellStyle name="Milliers 2 4 4 3 3 5" xfId="28151"/>
    <cellStyle name="Milliers 2 4 4 3 3 5 2" xfId="28152"/>
    <cellStyle name="Milliers 2 4 4 3 3 6" xfId="28153"/>
    <cellStyle name="Milliers 2 4 4 3 4" xfId="28154"/>
    <cellStyle name="Milliers 2 4 4 3 4 2" xfId="28155"/>
    <cellStyle name="Milliers 2 4 4 3 4 2 2" xfId="28156"/>
    <cellStyle name="Milliers 2 4 4 3 4 2 2 2" xfId="28157"/>
    <cellStyle name="Milliers 2 4 4 3 4 2 2 2 2" xfId="28158"/>
    <cellStyle name="Milliers 2 4 4 3 4 2 2 3" xfId="28159"/>
    <cellStyle name="Milliers 2 4 4 3 4 2 3" xfId="28160"/>
    <cellStyle name="Milliers 2 4 4 3 4 2 3 2" xfId="28161"/>
    <cellStyle name="Milliers 2 4 4 3 4 2 4" xfId="28162"/>
    <cellStyle name="Milliers 2 4 4 3 4 3" xfId="28163"/>
    <cellStyle name="Milliers 2 4 4 3 4 3 2" xfId="28164"/>
    <cellStyle name="Milliers 2 4 4 3 4 3 2 2" xfId="28165"/>
    <cellStyle name="Milliers 2 4 4 3 4 3 3" xfId="28166"/>
    <cellStyle name="Milliers 2 4 4 3 4 4" xfId="28167"/>
    <cellStyle name="Milliers 2 4 4 3 4 4 2" xfId="28168"/>
    <cellStyle name="Milliers 2 4 4 3 4 5" xfId="28169"/>
    <cellStyle name="Milliers 2 4 4 3 5" xfId="28170"/>
    <cellStyle name="Milliers 2 4 4 3 5 2" xfId="28171"/>
    <cellStyle name="Milliers 2 4 4 3 5 2 2" xfId="28172"/>
    <cellStyle name="Milliers 2 4 4 3 5 2 2 2" xfId="28173"/>
    <cellStyle name="Milliers 2 4 4 3 5 2 3" xfId="28174"/>
    <cellStyle name="Milliers 2 4 4 3 5 3" xfId="28175"/>
    <cellStyle name="Milliers 2 4 4 3 5 3 2" xfId="28176"/>
    <cellStyle name="Milliers 2 4 4 3 5 4" xfId="28177"/>
    <cellStyle name="Milliers 2 4 4 3 6" xfId="28178"/>
    <cellStyle name="Milliers 2 4 4 3 6 2" xfId="28179"/>
    <cellStyle name="Milliers 2 4 4 3 6 2 2" xfId="28180"/>
    <cellStyle name="Milliers 2 4 4 3 6 3" xfId="28181"/>
    <cellStyle name="Milliers 2 4 4 3 7" xfId="28182"/>
    <cellStyle name="Milliers 2 4 4 3 7 2" xfId="28183"/>
    <cellStyle name="Milliers 2 4 4 3 8" xfId="28184"/>
    <cellStyle name="Milliers 2 4 4 4" xfId="28185"/>
    <cellStyle name="Milliers 2 4 4 4 2" xfId="28186"/>
    <cellStyle name="Milliers 2 4 4 4 2 2" xfId="28187"/>
    <cellStyle name="Milliers 2 4 4 4 2 2 2" xfId="28188"/>
    <cellStyle name="Milliers 2 4 4 4 2 2 2 2" xfId="28189"/>
    <cellStyle name="Milliers 2 4 4 4 2 2 2 2 2" xfId="28190"/>
    <cellStyle name="Milliers 2 4 4 4 2 2 2 2 2 2" xfId="28191"/>
    <cellStyle name="Milliers 2 4 4 4 2 2 2 2 3" xfId="28192"/>
    <cellStyle name="Milliers 2 4 4 4 2 2 2 3" xfId="28193"/>
    <cellStyle name="Milliers 2 4 4 4 2 2 2 3 2" xfId="28194"/>
    <cellStyle name="Milliers 2 4 4 4 2 2 2 4" xfId="28195"/>
    <cellStyle name="Milliers 2 4 4 4 2 2 3" xfId="28196"/>
    <cellStyle name="Milliers 2 4 4 4 2 2 3 2" xfId="28197"/>
    <cellStyle name="Milliers 2 4 4 4 2 2 3 2 2" xfId="28198"/>
    <cellStyle name="Milliers 2 4 4 4 2 2 3 3" xfId="28199"/>
    <cellStyle name="Milliers 2 4 4 4 2 2 4" xfId="28200"/>
    <cellStyle name="Milliers 2 4 4 4 2 2 4 2" xfId="28201"/>
    <cellStyle name="Milliers 2 4 4 4 2 2 5" xfId="28202"/>
    <cellStyle name="Milliers 2 4 4 4 2 3" xfId="28203"/>
    <cellStyle name="Milliers 2 4 4 4 2 3 2" xfId="28204"/>
    <cellStyle name="Milliers 2 4 4 4 2 3 2 2" xfId="28205"/>
    <cellStyle name="Milliers 2 4 4 4 2 3 2 2 2" xfId="28206"/>
    <cellStyle name="Milliers 2 4 4 4 2 3 2 3" xfId="28207"/>
    <cellStyle name="Milliers 2 4 4 4 2 3 3" xfId="28208"/>
    <cellStyle name="Milliers 2 4 4 4 2 3 3 2" xfId="28209"/>
    <cellStyle name="Milliers 2 4 4 4 2 3 4" xfId="28210"/>
    <cellStyle name="Milliers 2 4 4 4 2 4" xfId="28211"/>
    <cellStyle name="Milliers 2 4 4 4 2 4 2" xfId="28212"/>
    <cellStyle name="Milliers 2 4 4 4 2 4 2 2" xfId="28213"/>
    <cellStyle name="Milliers 2 4 4 4 2 4 3" xfId="28214"/>
    <cellStyle name="Milliers 2 4 4 4 2 5" xfId="28215"/>
    <cellStyle name="Milliers 2 4 4 4 2 5 2" xfId="28216"/>
    <cellStyle name="Milliers 2 4 4 4 2 6" xfId="28217"/>
    <cellStyle name="Milliers 2 4 4 4 3" xfId="28218"/>
    <cellStyle name="Milliers 2 4 4 4 3 2" xfId="28219"/>
    <cellStyle name="Milliers 2 4 4 4 3 2 2" xfId="28220"/>
    <cellStyle name="Milliers 2 4 4 4 3 2 2 2" xfId="28221"/>
    <cellStyle name="Milliers 2 4 4 4 3 2 2 2 2" xfId="28222"/>
    <cellStyle name="Milliers 2 4 4 4 3 2 2 3" xfId="28223"/>
    <cellStyle name="Milliers 2 4 4 4 3 2 3" xfId="28224"/>
    <cellStyle name="Milliers 2 4 4 4 3 2 3 2" xfId="28225"/>
    <cellStyle name="Milliers 2 4 4 4 3 2 4" xfId="28226"/>
    <cellStyle name="Milliers 2 4 4 4 3 3" xfId="28227"/>
    <cellStyle name="Milliers 2 4 4 4 3 3 2" xfId="28228"/>
    <cellStyle name="Milliers 2 4 4 4 3 3 2 2" xfId="28229"/>
    <cellStyle name="Milliers 2 4 4 4 3 3 3" xfId="28230"/>
    <cellStyle name="Milliers 2 4 4 4 3 4" xfId="28231"/>
    <cellStyle name="Milliers 2 4 4 4 3 4 2" xfId="28232"/>
    <cellStyle name="Milliers 2 4 4 4 3 5" xfId="28233"/>
    <cellStyle name="Milliers 2 4 4 4 4" xfId="28234"/>
    <cellStyle name="Milliers 2 4 4 4 4 2" xfId="28235"/>
    <cellStyle name="Milliers 2 4 4 4 4 2 2" xfId="28236"/>
    <cellStyle name="Milliers 2 4 4 4 4 2 2 2" xfId="28237"/>
    <cellStyle name="Milliers 2 4 4 4 4 2 3" xfId="28238"/>
    <cellStyle name="Milliers 2 4 4 4 4 3" xfId="28239"/>
    <cellStyle name="Milliers 2 4 4 4 4 3 2" xfId="28240"/>
    <cellStyle name="Milliers 2 4 4 4 4 4" xfId="28241"/>
    <cellStyle name="Milliers 2 4 4 4 5" xfId="28242"/>
    <cellStyle name="Milliers 2 4 4 4 5 2" xfId="28243"/>
    <cellStyle name="Milliers 2 4 4 4 5 2 2" xfId="28244"/>
    <cellStyle name="Milliers 2 4 4 4 5 3" xfId="28245"/>
    <cellStyle name="Milliers 2 4 4 4 6" xfId="28246"/>
    <cellStyle name="Milliers 2 4 4 4 6 2" xfId="28247"/>
    <cellStyle name="Milliers 2 4 4 4 7" xfId="28248"/>
    <cellStyle name="Milliers 2 4 4 5" xfId="28249"/>
    <cellStyle name="Milliers 2 4 4 5 2" xfId="28250"/>
    <cellStyle name="Milliers 2 4 4 5 2 2" xfId="28251"/>
    <cellStyle name="Milliers 2 4 4 5 2 2 2" xfId="28252"/>
    <cellStyle name="Milliers 2 4 4 5 2 2 2 2" xfId="28253"/>
    <cellStyle name="Milliers 2 4 4 5 2 2 2 2 2" xfId="28254"/>
    <cellStyle name="Milliers 2 4 4 5 2 2 2 3" xfId="28255"/>
    <cellStyle name="Milliers 2 4 4 5 2 2 3" xfId="28256"/>
    <cellStyle name="Milliers 2 4 4 5 2 2 3 2" xfId="28257"/>
    <cellStyle name="Milliers 2 4 4 5 2 2 4" xfId="28258"/>
    <cellStyle name="Milliers 2 4 4 5 2 3" xfId="28259"/>
    <cellStyle name="Milliers 2 4 4 5 2 3 2" xfId="28260"/>
    <cellStyle name="Milliers 2 4 4 5 2 3 2 2" xfId="28261"/>
    <cellStyle name="Milliers 2 4 4 5 2 3 3" xfId="28262"/>
    <cellStyle name="Milliers 2 4 4 5 2 4" xfId="28263"/>
    <cellStyle name="Milliers 2 4 4 5 2 4 2" xfId="28264"/>
    <cellStyle name="Milliers 2 4 4 5 2 5" xfId="28265"/>
    <cellStyle name="Milliers 2 4 4 5 3" xfId="28266"/>
    <cellStyle name="Milliers 2 4 4 5 3 2" xfId="28267"/>
    <cellStyle name="Milliers 2 4 4 5 3 2 2" xfId="28268"/>
    <cellStyle name="Milliers 2 4 4 5 3 2 2 2" xfId="28269"/>
    <cellStyle name="Milliers 2 4 4 5 3 2 3" xfId="28270"/>
    <cellStyle name="Milliers 2 4 4 5 3 3" xfId="28271"/>
    <cellStyle name="Milliers 2 4 4 5 3 3 2" xfId="28272"/>
    <cellStyle name="Milliers 2 4 4 5 3 4" xfId="28273"/>
    <cellStyle name="Milliers 2 4 4 5 4" xfId="28274"/>
    <cellStyle name="Milliers 2 4 4 5 4 2" xfId="28275"/>
    <cellStyle name="Milliers 2 4 4 5 4 2 2" xfId="28276"/>
    <cellStyle name="Milliers 2 4 4 5 4 3" xfId="28277"/>
    <cellStyle name="Milliers 2 4 4 5 5" xfId="28278"/>
    <cellStyle name="Milliers 2 4 4 5 5 2" xfId="28279"/>
    <cellStyle name="Milliers 2 4 4 5 6" xfId="28280"/>
    <cellStyle name="Milliers 2 4 4 6" xfId="28281"/>
    <cellStyle name="Milliers 2 4 4 6 2" xfId="28282"/>
    <cellStyle name="Milliers 2 4 4 6 2 2" xfId="28283"/>
    <cellStyle name="Milliers 2 4 4 6 2 2 2" xfId="28284"/>
    <cellStyle name="Milliers 2 4 4 6 2 2 2 2" xfId="28285"/>
    <cellStyle name="Milliers 2 4 4 6 2 2 3" xfId="28286"/>
    <cellStyle name="Milliers 2 4 4 6 2 3" xfId="28287"/>
    <cellStyle name="Milliers 2 4 4 6 2 3 2" xfId="28288"/>
    <cellStyle name="Milliers 2 4 4 6 2 4" xfId="28289"/>
    <cellStyle name="Milliers 2 4 4 6 3" xfId="28290"/>
    <cellStyle name="Milliers 2 4 4 6 3 2" xfId="28291"/>
    <cellStyle name="Milliers 2 4 4 6 3 2 2" xfId="28292"/>
    <cellStyle name="Milliers 2 4 4 6 3 3" xfId="28293"/>
    <cellStyle name="Milliers 2 4 4 6 4" xfId="28294"/>
    <cellStyle name="Milliers 2 4 4 6 4 2" xfId="28295"/>
    <cellStyle name="Milliers 2 4 4 6 5" xfId="28296"/>
    <cellStyle name="Milliers 2 4 4 7" xfId="28297"/>
    <cellStyle name="Milliers 2 4 4 7 2" xfId="28298"/>
    <cellStyle name="Milliers 2 4 4 7 2 2" xfId="28299"/>
    <cellStyle name="Milliers 2 4 4 7 2 2 2" xfId="28300"/>
    <cellStyle name="Milliers 2 4 4 7 2 3" xfId="28301"/>
    <cellStyle name="Milliers 2 4 4 7 3" xfId="28302"/>
    <cellStyle name="Milliers 2 4 4 7 3 2" xfId="28303"/>
    <cellStyle name="Milliers 2 4 4 7 4" xfId="28304"/>
    <cellStyle name="Milliers 2 4 4 8" xfId="28305"/>
    <cellStyle name="Milliers 2 4 4 8 2" xfId="28306"/>
    <cellStyle name="Milliers 2 4 4 8 2 2" xfId="28307"/>
    <cellStyle name="Milliers 2 4 4 8 3" xfId="28308"/>
    <cellStyle name="Milliers 2 4 4 9" xfId="28309"/>
    <cellStyle name="Milliers 2 4 4 9 2" xfId="28310"/>
    <cellStyle name="Milliers 2 4 5" xfId="28311"/>
    <cellStyle name="Milliers 2 4 5 2" xfId="28312"/>
    <cellStyle name="Milliers 2 4 5 2 2" xfId="28313"/>
    <cellStyle name="Milliers 2 4 5 2 2 2" xfId="28314"/>
    <cellStyle name="Milliers 2 4 5 2 2 2 2" xfId="28315"/>
    <cellStyle name="Milliers 2 4 5 2 2 2 2 2" xfId="28316"/>
    <cellStyle name="Milliers 2 4 5 2 2 2 2 2 2" xfId="28317"/>
    <cellStyle name="Milliers 2 4 5 2 2 2 2 2 2 2" xfId="28318"/>
    <cellStyle name="Milliers 2 4 5 2 2 2 2 2 2 2 2" xfId="28319"/>
    <cellStyle name="Milliers 2 4 5 2 2 2 2 2 2 3" xfId="28320"/>
    <cellStyle name="Milliers 2 4 5 2 2 2 2 2 3" xfId="28321"/>
    <cellStyle name="Milliers 2 4 5 2 2 2 2 2 3 2" xfId="28322"/>
    <cellStyle name="Milliers 2 4 5 2 2 2 2 2 4" xfId="28323"/>
    <cellStyle name="Milliers 2 4 5 2 2 2 2 3" xfId="28324"/>
    <cellStyle name="Milliers 2 4 5 2 2 2 2 3 2" xfId="28325"/>
    <cellStyle name="Milliers 2 4 5 2 2 2 2 3 2 2" xfId="28326"/>
    <cellStyle name="Milliers 2 4 5 2 2 2 2 3 3" xfId="28327"/>
    <cellStyle name="Milliers 2 4 5 2 2 2 2 4" xfId="28328"/>
    <cellStyle name="Milliers 2 4 5 2 2 2 2 4 2" xfId="28329"/>
    <cellStyle name="Milliers 2 4 5 2 2 2 2 5" xfId="28330"/>
    <cellStyle name="Milliers 2 4 5 2 2 2 3" xfId="28331"/>
    <cellStyle name="Milliers 2 4 5 2 2 2 3 2" xfId="28332"/>
    <cellStyle name="Milliers 2 4 5 2 2 2 3 2 2" xfId="28333"/>
    <cellStyle name="Milliers 2 4 5 2 2 2 3 2 2 2" xfId="28334"/>
    <cellStyle name="Milliers 2 4 5 2 2 2 3 2 3" xfId="28335"/>
    <cellStyle name="Milliers 2 4 5 2 2 2 3 3" xfId="28336"/>
    <cellStyle name="Milliers 2 4 5 2 2 2 3 3 2" xfId="28337"/>
    <cellStyle name="Milliers 2 4 5 2 2 2 3 4" xfId="28338"/>
    <cellStyle name="Milliers 2 4 5 2 2 2 4" xfId="28339"/>
    <cellStyle name="Milliers 2 4 5 2 2 2 4 2" xfId="28340"/>
    <cellStyle name="Milliers 2 4 5 2 2 2 4 2 2" xfId="28341"/>
    <cellStyle name="Milliers 2 4 5 2 2 2 4 3" xfId="28342"/>
    <cellStyle name="Milliers 2 4 5 2 2 2 5" xfId="28343"/>
    <cellStyle name="Milliers 2 4 5 2 2 2 5 2" xfId="28344"/>
    <cellStyle name="Milliers 2 4 5 2 2 2 6" xfId="28345"/>
    <cellStyle name="Milliers 2 4 5 2 2 3" xfId="28346"/>
    <cellStyle name="Milliers 2 4 5 2 2 3 2" xfId="28347"/>
    <cellStyle name="Milliers 2 4 5 2 2 3 2 2" xfId="28348"/>
    <cellStyle name="Milliers 2 4 5 2 2 3 2 2 2" xfId="28349"/>
    <cellStyle name="Milliers 2 4 5 2 2 3 2 2 2 2" xfId="28350"/>
    <cellStyle name="Milliers 2 4 5 2 2 3 2 2 3" xfId="28351"/>
    <cellStyle name="Milliers 2 4 5 2 2 3 2 3" xfId="28352"/>
    <cellStyle name="Milliers 2 4 5 2 2 3 2 3 2" xfId="28353"/>
    <cellStyle name="Milliers 2 4 5 2 2 3 2 4" xfId="28354"/>
    <cellStyle name="Milliers 2 4 5 2 2 3 3" xfId="28355"/>
    <cellStyle name="Milliers 2 4 5 2 2 3 3 2" xfId="28356"/>
    <cellStyle name="Milliers 2 4 5 2 2 3 3 2 2" xfId="28357"/>
    <cellStyle name="Milliers 2 4 5 2 2 3 3 3" xfId="28358"/>
    <cellStyle name="Milliers 2 4 5 2 2 3 4" xfId="28359"/>
    <cellStyle name="Milliers 2 4 5 2 2 3 4 2" xfId="28360"/>
    <cellStyle name="Milliers 2 4 5 2 2 3 5" xfId="28361"/>
    <cellStyle name="Milliers 2 4 5 2 2 4" xfId="28362"/>
    <cellStyle name="Milliers 2 4 5 2 2 4 2" xfId="28363"/>
    <cellStyle name="Milliers 2 4 5 2 2 4 2 2" xfId="28364"/>
    <cellStyle name="Milliers 2 4 5 2 2 4 2 2 2" xfId="28365"/>
    <cellStyle name="Milliers 2 4 5 2 2 4 2 3" xfId="28366"/>
    <cellStyle name="Milliers 2 4 5 2 2 4 3" xfId="28367"/>
    <cellStyle name="Milliers 2 4 5 2 2 4 3 2" xfId="28368"/>
    <cellStyle name="Milliers 2 4 5 2 2 4 4" xfId="28369"/>
    <cellStyle name="Milliers 2 4 5 2 2 5" xfId="28370"/>
    <cellStyle name="Milliers 2 4 5 2 2 5 2" xfId="28371"/>
    <cellStyle name="Milliers 2 4 5 2 2 5 2 2" xfId="28372"/>
    <cellStyle name="Milliers 2 4 5 2 2 5 3" xfId="28373"/>
    <cellStyle name="Milliers 2 4 5 2 2 6" xfId="28374"/>
    <cellStyle name="Milliers 2 4 5 2 2 6 2" xfId="28375"/>
    <cellStyle name="Milliers 2 4 5 2 2 7" xfId="28376"/>
    <cellStyle name="Milliers 2 4 5 2 3" xfId="28377"/>
    <cellStyle name="Milliers 2 4 5 2 3 2" xfId="28378"/>
    <cellStyle name="Milliers 2 4 5 2 3 2 2" xfId="28379"/>
    <cellStyle name="Milliers 2 4 5 2 3 2 2 2" xfId="28380"/>
    <cellStyle name="Milliers 2 4 5 2 3 2 2 2 2" xfId="28381"/>
    <cellStyle name="Milliers 2 4 5 2 3 2 2 2 2 2" xfId="28382"/>
    <cellStyle name="Milliers 2 4 5 2 3 2 2 2 3" xfId="28383"/>
    <cellStyle name="Milliers 2 4 5 2 3 2 2 3" xfId="28384"/>
    <cellStyle name="Milliers 2 4 5 2 3 2 2 3 2" xfId="28385"/>
    <cellStyle name="Milliers 2 4 5 2 3 2 2 4" xfId="28386"/>
    <cellStyle name="Milliers 2 4 5 2 3 2 3" xfId="28387"/>
    <cellStyle name="Milliers 2 4 5 2 3 2 3 2" xfId="28388"/>
    <cellStyle name="Milliers 2 4 5 2 3 2 3 2 2" xfId="28389"/>
    <cellStyle name="Milliers 2 4 5 2 3 2 3 3" xfId="28390"/>
    <cellStyle name="Milliers 2 4 5 2 3 2 4" xfId="28391"/>
    <cellStyle name="Milliers 2 4 5 2 3 2 4 2" xfId="28392"/>
    <cellStyle name="Milliers 2 4 5 2 3 2 5" xfId="28393"/>
    <cellStyle name="Milliers 2 4 5 2 3 3" xfId="28394"/>
    <cellStyle name="Milliers 2 4 5 2 3 3 2" xfId="28395"/>
    <cellStyle name="Milliers 2 4 5 2 3 3 2 2" xfId="28396"/>
    <cellStyle name="Milliers 2 4 5 2 3 3 2 2 2" xfId="28397"/>
    <cellStyle name="Milliers 2 4 5 2 3 3 2 3" xfId="28398"/>
    <cellStyle name="Milliers 2 4 5 2 3 3 3" xfId="28399"/>
    <cellStyle name="Milliers 2 4 5 2 3 3 3 2" xfId="28400"/>
    <cellStyle name="Milliers 2 4 5 2 3 3 4" xfId="28401"/>
    <cellStyle name="Milliers 2 4 5 2 3 4" xfId="28402"/>
    <cellStyle name="Milliers 2 4 5 2 3 4 2" xfId="28403"/>
    <cellStyle name="Milliers 2 4 5 2 3 4 2 2" xfId="28404"/>
    <cellStyle name="Milliers 2 4 5 2 3 4 3" xfId="28405"/>
    <cellStyle name="Milliers 2 4 5 2 3 5" xfId="28406"/>
    <cellStyle name="Milliers 2 4 5 2 3 5 2" xfId="28407"/>
    <cellStyle name="Milliers 2 4 5 2 3 6" xfId="28408"/>
    <cellStyle name="Milliers 2 4 5 2 4" xfId="28409"/>
    <cellStyle name="Milliers 2 4 5 2 4 2" xfId="28410"/>
    <cellStyle name="Milliers 2 4 5 2 4 2 2" xfId="28411"/>
    <cellStyle name="Milliers 2 4 5 2 4 2 2 2" xfId="28412"/>
    <cellStyle name="Milliers 2 4 5 2 4 2 2 2 2" xfId="28413"/>
    <cellStyle name="Milliers 2 4 5 2 4 2 2 3" xfId="28414"/>
    <cellStyle name="Milliers 2 4 5 2 4 2 3" xfId="28415"/>
    <cellStyle name="Milliers 2 4 5 2 4 2 3 2" xfId="28416"/>
    <cellStyle name="Milliers 2 4 5 2 4 2 4" xfId="28417"/>
    <cellStyle name="Milliers 2 4 5 2 4 3" xfId="28418"/>
    <cellStyle name="Milliers 2 4 5 2 4 3 2" xfId="28419"/>
    <cellStyle name="Milliers 2 4 5 2 4 3 2 2" xfId="28420"/>
    <cellStyle name="Milliers 2 4 5 2 4 3 3" xfId="28421"/>
    <cellStyle name="Milliers 2 4 5 2 4 4" xfId="28422"/>
    <cellStyle name="Milliers 2 4 5 2 4 4 2" xfId="28423"/>
    <cellStyle name="Milliers 2 4 5 2 4 5" xfId="28424"/>
    <cellStyle name="Milliers 2 4 5 2 5" xfId="28425"/>
    <cellStyle name="Milliers 2 4 5 2 5 2" xfId="28426"/>
    <cellStyle name="Milliers 2 4 5 2 5 2 2" xfId="28427"/>
    <cellStyle name="Milliers 2 4 5 2 5 2 2 2" xfId="28428"/>
    <cellStyle name="Milliers 2 4 5 2 5 2 3" xfId="28429"/>
    <cellStyle name="Milliers 2 4 5 2 5 3" xfId="28430"/>
    <cellStyle name="Milliers 2 4 5 2 5 3 2" xfId="28431"/>
    <cellStyle name="Milliers 2 4 5 2 5 4" xfId="28432"/>
    <cellStyle name="Milliers 2 4 5 2 6" xfId="28433"/>
    <cellStyle name="Milliers 2 4 5 2 6 2" xfId="28434"/>
    <cellStyle name="Milliers 2 4 5 2 6 2 2" xfId="28435"/>
    <cellStyle name="Milliers 2 4 5 2 6 3" xfId="28436"/>
    <cellStyle name="Milliers 2 4 5 2 7" xfId="28437"/>
    <cellStyle name="Milliers 2 4 5 2 7 2" xfId="28438"/>
    <cellStyle name="Milliers 2 4 5 2 8" xfId="28439"/>
    <cellStyle name="Milliers 2 4 5 3" xfId="28440"/>
    <cellStyle name="Milliers 2 4 5 3 2" xfId="28441"/>
    <cellStyle name="Milliers 2 4 5 3 2 2" xfId="28442"/>
    <cellStyle name="Milliers 2 4 5 3 2 2 2" xfId="28443"/>
    <cellStyle name="Milliers 2 4 5 3 2 2 2 2" xfId="28444"/>
    <cellStyle name="Milliers 2 4 5 3 2 2 2 2 2" xfId="28445"/>
    <cellStyle name="Milliers 2 4 5 3 2 2 2 2 2 2" xfId="28446"/>
    <cellStyle name="Milliers 2 4 5 3 2 2 2 2 3" xfId="28447"/>
    <cellStyle name="Milliers 2 4 5 3 2 2 2 3" xfId="28448"/>
    <cellStyle name="Milliers 2 4 5 3 2 2 2 3 2" xfId="28449"/>
    <cellStyle name="Milliers 2 4 5 3 2 2 2 4" xfId="28450"/>
    <cellStyle name="Milliers 2 4 5 3 2 2 3" xfId="28451"/>
    <cellStyle name="Milliers 2 4 5 3 2 2 3 2" xfId="28452"/>
    <cellStyle name="Milliers 2 4 5 3 2 2 3 2 2" xfId="28453"/>
    <cellStyle name="Milliers 2 4 5 3 2 2 3 3" xfId="28454"/>
    <cellStyle name="Milliers 2 4 5 3 2 2 4" xfId="28455"/>
    <cellStyle name="Milliers 2 4 5 3 2 2 4 2" xfId="28456"/>
    <cellStyle name="Milliers 2 4 5 3 2 2 5" xfId="28457"/>
    <cellStyle name="Milliers 2 4 5 3 2 3" xfId="28458"/>
    <cellStyle name="Milliers 2 4 5 3 2 3 2" xfId="28459"/>
    <cellStyle name="Milliers 2 4 5 3 2 3 2 2" xfId="28460"/>
    <cellStyle name="Milliers 2 4 5 3 2 3 2 2 2" xfId="28461"/>
    <cellStyle name="Milliers 2 4 5 3 2 3 2 3" xfId="28462"/>
    <cellStyle name="Milliers 2 4 5 3 2 3 3" xfId="28463"/>
    <cellStyle name="Milliers 2 4 5 3 2 3 3 2" xfId="28464"/>
    <cellStyle name="Milliers 2 4 5 3 2 3 4" xfId="28465"/>
    <cellStyle name="Milliers 2 4 5 3 2 4" xfId="28466"/>
    <cellStyle name="Milliers 2 4 5 3 2 4 2" xfId="28467"/>
    <cellStyle name="Milliers 2 4 5 3 2 4 2 2" xfId="28468"/>
    <cellStyle name="Milliers 2 4 5 3 2 4 3" xfId="28469"/>
    <cellStyle name="Milliers 2 4 5 3 2 5" xfId="28470"/>
    <cellStyle name="Milliers 2 4 5 3 2 5 2" xfId="28471"/>
    <cellStyle name="Milliers 2 4 5 3 2 6" xfId="28472"/>
    <cellStyle name="Milliers 2 4 5 3 3" xfId="28473"/>
    <cellStyle name="Milliers 2 4 5 3 3 2" xfId="28474"/>
    <cellStyle name="Milliers 2 4 5 3 3 2 2" xfId="28475"/>
    <cellStyle name="Milliers 2 4 5 3 3 2 2 2" xfId="28476"/>
    <cellStyle name="Milliers 2 4 5 3 3 2 2 2 2" xfId="28477"/>
    <cellStyle name="Milliers 2 4 5 3 3 2 2 3" xfId="28478"/>
    <cellStyle name="Milliers 2 4 5 3 3 2 3" xfId="28479"/>
    <cellStyle name="Milliers 2 4 5 3 3 2 3 2" xfId="28480"/>
    <cellStyle name="Milliers 2 4 5 3 3 2 4" xfId="28481"/>
    <cellStyle name="Milliers 2 4 5 3 3 3" xfId="28482"/>
    <cellStyle name="Milliers 2 4 5 3 3 3 2" xfId="28483"/>
    <cellStyle name="Milliers 2 4 5 3 3 3 2 2" xfId="28484"/>
    <cellStyle name="Milliers 2 4 5 3 3 3 3" xfId="28485"/>
    <cellStyle name="Milliers 2 4 5 3 3 4" xfId="28486"/>
    <cellStyle name="Milliers 2 4 5 3 3 4 2" xfId="28487"/>
    <cellStyle name="Milliers 2 4 5 3 3 5" xfId="28488"/>
    <cellStyle name="Milliers 2 4 5 3 4" xfId="28489"/>
    <cellStyle name="Milliers 2 4 5 3 4 2" xfId="28490"/>
    <cellStyle name="Milliers 2 4 5 3 4 2 2" xfId="28491"/>
    <cellStyle name="Milliers 2 4 5 3 4 2 2 2" xfId="28492"/>
    <cellStyle name="Milliers 2 4 5 3 4 2 3" xfId="28493"/>
    <cellStyle name="Milliers 2 4 5 3 4 3" xfId="28494"/>
    <cellStyle name="Milliers 2 4 5 3 4 3 2" xfId="28495"/>
    <cellStyle name="Milliers 2 4 5 3 4 4" xfId="28496"/>
    <cellStyle name="Milliers 2 4 5 3 5" xfId="28497"/>
    <cellStyle name="Milliers 2 4 5 3 5 2" xfId="28498"/>
    <cellStyle name="Milliers 2 4 5 3 5 2 2" xfId="28499"/>
    <cellStyle name="Milliers 2 4 5 3 5 3" xfId="28500"/>
    <cellStyle name="Milliers 2 4 5 3 6" xfId="28501"/>
    <cellStyle name="Milliers 2 4 5 3 6 2" xfId="28502"/>
    <cellStyle name="Milliers 2 4 5 3 7" xfId="28503"/>
    <cellStyle name="Milliers 2 4 5 4" xfId="28504"/>
    <cellStyle name="Milliers 2 4 5 4 2" xfId="28505"/>
    <cellStyle name="Milliers 2 4 5 4 2 2" xfId="28506"/>
    <cellStyle name="Milliers 2 4 5 4 2 2 2" xfId="28507"/>
    <cellStyle name="Milliers 2 4 5 4 2 2 2 2" xfId="28508"/>
    <cellStyle name="Milliers 2 4 5 4 2 2 2 2 2" xfId="28509"/>
    <cellStyle name="Milliers 2 4 5 4 2 2 2 3" xfId="28510"/>
    <cellStyle name="Milliers 2 4 5 4 2 2 3" xfId="28511"/>
    <cellStyle name="Milliers 2 4 5 4 2 2 3 2" xfId="28512"/>
    <cellStyle name="Milliers 2 4 5 4 2 2 4" xfId="28513"/>
    <cellStyle name="Milliers 2 4 5 4 2 3" xfId="28514"/>
    <cellStyle name="Milliers 2 4 5 4 2 3 2" xfId="28515"/>
    <cellStyle name="Milliers 2 4 5 4 2 3 2 2" xfId="28516"/>
    <cellStyle name="Milliers 2 4 5 4 2 3 3" xfId="28517"/>
    <cellStyle name="Milliers 2 4 5 4 2 4" xfId="28518"/>
    <cellStyle name="Milliers 2 4 5 4 2 4 2" xfId="28519"/>
    <cellStyle name="Milliers 2 4 5 4 2 5" xfId="28520"/>
    <cellStyle name="Milliers 2 4 5 4 3" xfId="28521"/>
    <cellStyle name="Milliers 2 4 5 4 3 2" xfId="28522"/>
    <cellStyle name="Milliers 2 4 5 4 3 2 2" xfId="28523"/>
    <cellStyle name="Milliers 2 4 5 4 3 2 2 2" xfId="28524"/>
    <cellStyle name="Milliers 2 4 5 4 3 2 3" xfId="28525"/>
    <cellStyle name="Milliers 2 4 5 4 3 3" xfId="28526"/>
    <cellStyle name="Milliers 2 4 5 4 3 3 2" xfId="28527"/>
    <cellStyle name="Milliers 2 4 5 4 3 4" xfId="28528"/>
    <cellStyle name="Milliers 2 4 5 4 4" xfId="28529"/>
    <cellStyle name="Milliers 2 4 5 4 4 2" xfId="28530"/>
    <cellStyle name="Milliers 2 4 5 4 4 2 2" xfId="28531"/>
    <cellStyle name="Milliers 2 4 5 4 4 3" xfId="28532"/>
    <cellStyle name="Milliers 2 4 5 4 5" xfId="28533"/>
    <cellStyle name="Milliers 2 4 5 4 5 2" xfId="28534"/>
    <cellStyle name="Milliers 2 4 5 4 6" xfId="28535"/>
    <cellStyle name="Milliers 2 4 5 5" xfId="28536"/>
    <cellStyle name="Milliers 2 4 5 5 2" xfId="28537"/>
    <cellStyle name="Milliers 2 4 5 5 2 2" xfId="28538"/>
    <cellStyle name="Milliers 2 4 5 5 2 2 2" xfId="28539"/>
    <cellStyle name="Milliers 2 4 5 5 2 2 2 2" xfId="28540"/>
    <cellStyle name="Milliers 2 4 5 5 2 2 3" xfId="28541"/>
    <cellStyle name="Milliers 2 4 5 5 2 3" xfId="28542"/>
    <cellStyle name="Milliers 2 4 5 5 2 3 2" xfId="28543"/>
    <cellStyle name="Milliers 2 4 5 5 2 4" xfId="28544"/>
    <cellStyle name="Milliers 2 4 5 5 3" xfId="28545"/>
    <cellStyle name="Milliers 2 4 5 5 3 2" xfId="28546"/>
    <cellStyle name="Milliers 2 4 5 5 3 2 2" xfId="28547"/>
    <cellStyle name="Milliers 2 4 5 5 3 3" xfId="28548"/>
    <cellStyle name="Milliers 2 4 5 5 4" xfId="28549"/>
    <cellStyle name="Milliers 2 4 5 5 4 2" xfId="28550"/>
    <cellStyle name="Milliers 2 4 5 5 5" xfId="28551"/>
    <cellStyle name="Milliers 2 4 5 6" xfId="28552"/>
    <cellStyle name="Milliers 2 4 5 6 2" xfId="28553"/>
    <cellStyle name="Milliers 2 4 5 6 2 2" xfId="28554"/>
    <cellStyle name="Milliers 2 4 5 6 2 2 2" xfId="28555"/>
    <cellStyle name="Milliers 2 4 5 6 2 3" xfId="28556"/>
    <cellStyle name="Milliers 2 4 5 6 3" xfId="28557"/>
    <cellStyle name="Milliers 2 4 5 6 3 2" xfId="28558"/>
    <cellStyle name="Milliers 2 4 5 6 4" xfId="28559"/>
    <cellStyle name="Milliers 2 4 5 7" xfId="28560"/>
    <cellStyle name="Milliers 2 4 5 7 2" xfId="28561"/>
    <cellStyle name="Milliers 2 4 5 7 2 2" xfId="28562"/>
    <cellStyle name="Milliers 2 4 5 7 3" xfId="28563"/>
    <cellStyle name="Milliers 2 4 5 8" xfId="28564"/>
    <cellStyle name="Milliers 2 4 5 8 2" xfId="28565"/>
    <cellStyle name="Milliers 2 4 5 9" xfId="28566"/>
    <cellStyle name="Milliers 2 4 6" xfId="28567"/>
    <cellStyle name="Milliers 2 4 6 2" xfId="28568"/>
    <cellStyle name="Milliers 2 4 6 2 2" xfId="28569"/>
    <cellStyle name="Milliers 2 4 6 2 2 2" xfId="28570"/>
    <cellStyle name="Milliers 2 4 6 2 2 2 2" xfId="28571"/>
    <cellStyle name="Milliers 2 4 6 2 2 2 2 2" xfId="28572"/>
    <cellStyle name="Milliers 2 4 6 2 2 2 2 2 2" xfId="28573"/>
    <cellStyle name="Milliers 2 4 6 2 2 2 2 2 2 2" xfId="28574"/>
    <cellStyle name="Milliers 2 4 6 2 2 2 2 2 3" xfId="28575"/>
    <cellStyle name="Milliers 2 4 6 2 2 2 2 3" xfId="28576"/>
    <cellStyle name="Milliers 2 4 6 2 2 2 2 3 2" xfId="28577"/>
    <cellStyle name="Milliers 2 4 6 2 2 2 2 4" xfId="28578"/>
    <cellStyle name="Milliers 2 4 6 2 2 2 3" xfId="28579"/>
    <cellStyle name="Milliers 2 4 6 2 2 2 3 2" xfId="28580"/>
    <cellStyle name="Milliers 2 4 6 2 2 2 3 2 2" xfId="28581"/>
    <cellStyle name="Milliers 2 4 6 2 2 2 3 3" xfId="28582"/>
    <cellStyle name="Milliers 2 4 6 2 2 2 4" xfId="28583"/>
    <cellStyle name="Milliers 2 4 6 2 2 2 4 2" xfId="28584"/>
    <cellStyle name="Milliers 2 4 6 2 2 2 5" xfId="28585"/>
    <cellStyle name="Milliers 2 4 6 2 2 3" xfId="28586"/>
    <cellStyle name="Milliers 2 4 6 2 2 3 2" xfId="28587"/>
    <cellStyle name="Milliers 2 4 6 2 2 3 2 2" xfId="28588"/>
    <cellStyle name="Milliers 2 4 6 2 2 3 2 2 2" xfId="28589"/>
    <cellStyle name="Milliers 2 4 6 2 2 3 2 3" xfId="28590"/>
    <cellStyle name="Milliers 2 4 6 2 2 3 3" xfId="28591"/>
    <cellStyle name="Milliers 2 4 6 2 2 3 3 2" xfId="28592"/>
    <cellStyle name="Milliers 2 4 6 2 2 3 4" xfId="28593"/>
    <cellStyle name="Milliers 2 4 6 2 2 4" xfId="28594"/>
    <cellStyle name="Milliers 2 4 6 2 2 4 2" xfId="28595"/>
    <cellStyle name="Milliers 2 4 6 2 2 4 2 2" xfId="28596"/>
    <cellStyle name="Milliers 2 4 6 2 2 4 3" xfId="28597"/>
    <cellStyle name="Milliers 2 4 6 2 2 5" xfId="28598"/>
    <cellStyle name="Milliers 2 4 6 2 2 5 2" xfId="28599"/>
    <cellStyle name="Milliers 2 4 6 2 2 6" xfId="28600"/>
    <cellStyle name="Milliers 2 4 6 2 3" xfId="28601"/>
    <cellStyle name="Milliers 2 4 6 2 3 2" xfId="28602"/>
    <cellStyle name="Milliers 2 4 6 2 3 2 2" xfId="28603"/>
    <cellStyle name="Milliers 2 4 6 2 3 2 2 2" xfId="28604"/>
    <cellStyle name="Milliers 2 4 6 2 3 2 2 2 2" xfId="28605"/>
    <cellStyle name="Milliers 2 4 6 2 3 2 2 3" xfId="28606"/>
    <cellStyle name="Milliers 2 4 6 2 3 2 3" xfId="28607"/>
    <cellStyle name="Milliers 2 4 6 2 3 2 3 2" xfId="28608"/>
    <cellStyle name="Milliers 2 4 6 2 3 2 4" xfId="28609"/>
    <cellStyle name="Milliers 2 4 6 2 3 3" xfId="28610"/>
    <cellStyle name="Milliers 2 4 6 2 3 3 2" xfId="28611"/>
    <cellStyle name="Milliers 2 4 6 2 3 3 2 2" xfId="28612"/>
    <cellStyle name="Milliers 2 4 6 2 3 3 3" xfId="28613"/>
    <cellStyle name="Milliers 2 4 6 2 3 4" xfId="28614"/>
    <cellStyle name="Milliers 2 4 6 2 3 4 2" xfId="28615"/>
    <cellStyle name="Milliers 2 4 6 2 3 5" xfId="28616"/>
    <cellStyle name="Milliers 2 4 6 2 4" xfId="28617"/>
    <cellStyle name="Milliers 2 4 6 2 4 2" xfId="28618"/>
    <cellStyle name="Milliers 2 4 6 2 4 2 2" xfId="28619"/>
    <cellStyle name="Milliers 2 4 6 2 4 2 2 2" xfId="28620"/>
    <cellStyle name="Milliers 2 4 6 2 4 2 3" xfId="28621"/>
    <cellStyle name="Milliers 2 4 6 2 4 3" xfId="28622"/>
    <cellStyle name="Milliers 2 4 6 2 4 3 2" xfId="28623"/>
    <cellStyle name="Milliers 2 4 6 2 4 4" xfId="28624"/>
    <cellStyle name="Milliers 2 4 6 2 5" xfId="28625"/>
    <cellStyle name="Milliers 2 4 6 2 5 2" xfId="28626"/>
    <cellStyle name="Milliers 2 4 6 2 5 2 2" xfId="28627"/>
    <cellStyle name="Milliers 2 4 6 2 5 3" xfId="28628"/>
    <cellStyle name="Milliers 2 4 6 2 6" xfId="28629"/>
    <cellStyle name="Milliers 2 4 6 2 6 2" xfId="28630"/>
    <cellStyle name="Milliers 2 4 6 2 7" xfId="28631"/>
    <cellStyle name="Milliers 2 4 6 3" xfId="28632"/>
    <cellStyle name="Milliers 2 4 6 3 2" xfId="28633"/>
    <cellStyle name="Milliers 2 4 6 3 2 2" xfId="28634"/>
    <cellStyle name="Milliers 2 4 6 3 2 2 2" xfId="28635"/>
    <cellStyle name="Milliers 2 4 6 3 2 2 2 2" xfId="28636"/>
    <cellStyle name="Milliers 2 4 6 3 2 2 2 2 2" xfId="28637"/>
    <cellStyle name="Milliers 2 4 6 3 2 2 2 3" xfId="28638"/>
    <cellStyle name="Milliers 2 4 6 3 2 2 3" xfId="28639"/>
    <cellStyle name="Milliers 2 4 6 3 2 2 3 2" xfId="28640"/>
    <cellStyle name="Milliers 2 4 6 3 2 2 4" xfId="28641"/>
    <cellStyle name="Milliers 2 4 6 3 2 3" xfId="28642"/>
    <cellStyle name="Milliers 2 4 6 3 2 3 2" xfId="28643"/>
    <cellStyle name="Milliers 2 4 6 3 2 3 2 2" xfId="28644"/>
    <cellStyle name="Milliers 2 4 6 3 2 3 3" xfId="28645"/>
    <cellStyle name="Milliers 2 4 6 3 2 4" xfId="28646"/>
    <cellStyle name="Milliers 2 4 6 3 2 4 2" xfId="28647"/>
    <cellStyle name="Milliers 2 4 6 3 2 5" xfId="28648"/>
    <cellStyle name="Milliers 2 4 6 3 3" xfId="28649"/>
    <cellStyle name="Milliers 2 4 6 3 3 2" xfId="28650"/>
    <cellStyle name="Milliers 2 4 6 3 3 2 2" xfId="28651"/>
    <cellStyle name="Milliers 2 4 6 3 3 2 2 2" xfId="28652"/>
    <cellStyle name="Milliers 2 4 6 3 3 2 3" xfId="28653"/>
    <cellStyle name="Milliers 2 4 6 3 3 3" xfId="28654"/>
    <cellStyle name="Milliers 2 4 6 3 3 3 2" xfId="28655"/>
    <cellStyle name="Milliers 2 4 6 3 3 4" xfId="28656"/>
    <cellStyle name="Milliers 2 4 6 3 4" xfId="28657"/>
    <cellStyle name="Milliers 2 4 6 3 4 2" xfId="28658"/>
    <cellStyle name="Milliers 2 4 6 3 4 2 2" xfId="28659"/>
    <cellStyle name="Milliers 2 4 6 3 4 3" xfId="28660"/>
    <cellStyle name="Milliers 2 4 6 3 5" xfId="28661"/>
    <cellStyle name="Milliers 2 4 6 3 5 2" xfId="28662"/>
    <cellStyle name="Milliers 2 4 6 3 6" xfId="28663"/>
    <cellStyle name="Milliers 2 4 6 4" xfId="28664"/>
    <cellStyle name="Milliers 2 4 6 4 2" xfId="28665"/>
    <cellStyle name="Milliers 2 4 6 4 2 2" xfId="28666"/>
    <cellStyle name="Milliers 2 4 6 4 2 2 2" xfId="28667"/>
    <cellStyle name="Milliers 2 4 6 4 2 2 2 2" xfId="28668"/>
    <cellStyle name="Milliers 2 4 6 4 2 2 3" xfId="28669"/>
    <cellStyle name="Milliers 2 4 6 4 2 3" xfId="28670"/>
    <cellStyle name="Milliers 2 4 6 4 2 3 2" xfId="28671"/>
    <cellStyle name="Milliers 2 4 6 4 2 4" xfId="28672"/>
    <cellStyle name="Milliers 2 4 6 4 3" xfId="28673"/>
    <cellStyle name="Milliers 2 4 6 4 3 2" xfId="28674"/>
    <cellStyle name="Milliers 2 4 6 4 3 2 2" xfId="28675"/>
    <cellStyle name="Milliers 2 4 6 4 3 3" xfId="28676"/>
    <cellStyle name="Milliers 2 4 6 4 4" xfId="28677"/>
    <cellStyle name="Milliers 2 4 6 4 4 2" xfId="28678"/>
    <cellStyle name="Milliers 2 4 6 4 5" xfId="28679"/>
    <cellStyle name="Milliers 2 4 6 5" xfId="28680"/>
    <cellStyle name="Milliers 2 4 6 5 2" xfId="28681"/>
    <cellStyle name="Milliers 2 4 6 5 2 2" xfId="28682"/>
    <cellStyle name="Milliers 2 4 6 5 2 2 2" xfId="28683"/>
    <cellStyle name="Milliers 2 4 6 5 2 3" xfId="28684"/>
    <cellStyle name="Milliers 2 4 6 5 3" xfId="28685"/>
    <cellStyle name="Milliers 2 4 6 5 3 2" xfId="28686"/>
    <cellStyle name="Milliers 2 4 6 5 4" xfId="28687"/>
    <cellStyle name="Milliers 2 4 6 6" xfId="28688"/>
    <cellStyle name="Milliers 2 4 6 6 2" xfId="28689"/>
    <cellStyle name="Milliers 2 4 6 6 2 2" xfId="28690"/>
    <cellStyle name="Milliers 2 4 6 6 3" xfId="28691"/>
    <cellStyle name="Milliers 2 4 6 7" xfId="28692"/>
    <cellStyle name="Milliers 2 4 6 7 2" xfId="28693"/>
    <cellStyle name="Milliers 2 4 6 8" xfId="28694"/>
    <cellStyle name="Milliers 2 4 7" xfId="28695"/>
    <cellStyle name="Milliers 2 4 7 2" xfId="28696"/>
    <cellStyle name="Milliers 2 4 7 2 2" xfId="28697"/>
    <cellStyle name="Milliers 2 4 7 2 2 2" xfId="28698"/>
    <cellStyle name="Milliers 2 4 7 2 2 2 2" xfId="28699"/>
    <cellStyle name="Milliers 2 4 7 2 2 2 2 2" xfId="28700"/>
    <cellStyle name="Milliers 2 4 7 2 2 2 2 2 2" xfId="28701"/>
    <cellStyle name="Milliers 2 4 7 2 2 2 2 3" xfId="28702"/>
    <cellStyle name="Milliers 2 4 7 2 2 2 3" xfId="28703"/>
    <cellStyle name="Milliers 2 4 7 2 2 2 3 2" xfId="28704"/>
    <cellStyle name="Milliers 2 4 7 2 2 2 4" xfId="28705"/>
    <cellStyle name="Milliers 2 4 7 2 2 3" xfId="28706"/>
    <cellStyle name="Milliers 2 4 7 2 2 3 2" xfId="28707"/>
    <cellStyle name="Milliers 2 4 7 2 2 3 2 2" xfId="28708"/>
    <cellStyle name="Milliers 2 4 7 2 2 3 3" xfId="28709"/>
    <cellStyle name="Milliers 2 4 7 2 2 4" xfId="28710"/>
    <cellStyle name="Milliers 2 4 7 2 2 4 2" xfId="28711"/>
    <cellStyle name="Milliers 2 4 7 2 2 5" xfId="28712"/>
    <cellStyle name="Milliers 2 4 7 2 3" xfId="28713"/>
    <cellStyle name="Milliers 2 4 7 2 3 2" xfId="28714"/>
    <cellStyle name="Milliers 2 4 7 2 3 2 2" xfId="28715"/>
    <cellStyle name="Milliers 2 4 7 2 3 2 2 2" xfId="28716"/>
    <cellStyle name="Milliers 2 4 7 2 3 2 3" xfId="28717"/>
    <cellStyle name="Milliers 2 4 7 2 3 3" xfId="28718"/>
    <cellStyle name="Milliers 2 4 7 2 3 3 2" xfId="28719"/>
    <cellStyle name="Milliers 2 4 7 2 3 4" xfId="28720"/>
    <cellStyle name="Milliers 2 4 7 2 4" xfId="28721"/>
    <cellStyle name="Milliers 2 4 7 2 4 2" xfId="28722"/>
    <cellStyle name="Milliers 2 4 7 2 4 2 2" xfId="28723"/>
    <cellStyle name="Milliers 2 4 7 2 4 3" xfId="28724"/>
    <cellStyle name="Milliers 2 4 7 2 5" xfId="28725"/>
    <cellStyle name="Milliers 2 4 7 2 5 2" xfId="28726"/>
    <cellStyle name="Milliers 2 4 7 2 6" xfId="28727"/>
    <cellStyle name="Milliers 2 4 7 3" xfId="28728"/>
    <cellStyle name="Milliers 2 4 7 3 2" xfId="28729"/>
    <cellStyle name="Milliers 2 4 7 3 2 2" xfId="28730"/>
    <cellStyle name="Milliers 2 4 7 3 2 2 2" xfId="28731"/>
    <cellStyle name="Milliers 2 4 7 3 2 2 2 2" xfId="28732"/>
    <cellStyle name="Milliers 2 4 7 3 2 2 3" xfId="28733"/>
    <cellStyle name="Milliers 2 4 7 3 2 3" xfId="28734"/>
    <cellStyle name="Milliers 2 4 7 3 2 3 2" xfId="28735"/>
    <cellStyle name="Milliers 2 4 7 3 2 4" xfId="28736"/>
    <cellStyle name="Milliers 2 4 7 3 3" xfId="28737"/>
    <cellStyle name="Milliers 2 4 7 3 3 2" xfId="28738"/>
    <cellStyle name="Milliers 2 4 7 3 3 2 2" xfId="28739"/>
    <cellStyle name="Milliers 2 4 7 3 3 3" xfId="28740"/>
    <cellStyle name="Milliers 2 4 7 3 4" xfId="28741"/>
    <cellStyle name="Milliers 2 4 7 3 4 2" xfId="28742"/>
    <cellStyle name="Milliers 2 4 7 3 5" xfId="28743"/>
    <cellStyle name="Milliers 2 4 7 4" xfId="28744"/>
    <cellStyle name="Milliers 2 4 7 4 2" xfId="28745"/>
    <cellStyle name="Milliers 2 4 7 4 2 2" xfId="28746"/>
    <cellStyle name="Milliers 2 4 7 4 2 2 2" xfId="28747"/>
    <cellStyle name="Milliers 2 4 7 4 2 3" xfId="28748"/>
    <cellStyle name="Milliers 2 4 7 4 3" xfId="28749"/>
    <cellStyle name="Milliers 2 4 7 4 3 2" xfId="28750"/>
    <cellStyle name="Milliers 2 4 7 4 4" xfId="28751"/>
    <cellStyle name="Milliers 2 4 7 5" xfId="28752"/>
    <cellStyle name="Milliers 2 4 7 5 2" xfId="28753"/>
    <cellStyle name="Milliers 2 4 7 5 2 2" xfId="28754"/>
    <cellStyle name="Milliers 2 4 7 5 3" xfId="28755"/>
    <cellStyle name="Milliers 2 4 7 6" xfId="28756"/>
    <cellStyle name="Milliers 2 4 7 6 2" xfId="28757"/>
    <cellStyle name="Milliers 2 4 7 7" xfId="28758"/>
    <cellStyle name="Milliers 2 4 8" xfId="28759"/>
    <cellStyle name="Milliers 2 4 8 2" xfId="28760"/>
    <cellStyle name="Milliers 2 4 8 2 2" xfId="28761"/>
    <cellStyle name="Milliers 2 4 8 2 2 2" xfId="28762"/>
    <cellStyle name="Milliers 2 4 8 2 2 2 2" xfId="28763"/>
    <cellStyle name="Milliers 2 4 8 2 2 2 2 2" xfId="28764"/>
    <cellStyle name="Milliers 2 4 8 2 2 2 3" xfId="28765"/>
    <cellStyle name="Milliers 2 4 8 2 2 3" xfId="28766"/>
    <cellStyle name="Milliers 2 4 8 2 2 3 2" xfId="28767"/>
    <cellStyle name="Milliers 2 4 8 2 2 4" xfId="28768"/>
    <cellStyle name="Milliers 2 4 8 2 3" xfId="28769"/>
    <cellStyle name="Milliers 2 4 8 2 3 2" xfId="28770"/>
    <cellStyle name="Milliers 2 4 8 2 3 2 2" xfId="28771"/>
    <cellStyle name="Milliers 2 4 8 2 3 3" xfId="28772"/>
    <cellStyle name="Milliers 2 4 8 2 4" xfId="28773"/>
    <cellStyle name="Milliers 2 4 8 2 4 2" xfId="28774"/>
    <cellStyle name="Milliers 2 4 8 2 5" xfId="28775"/>
    <cellStyle name="Milliers 2 4 8 3" xfId="28776"/>
    <cellStyle name="Milliers 2 4 8 3 2" xfId="28777"/>
    <cellStyle name="Milliers 2 4 8 3 2 2" xfId="28778"/>
    <cellStyle name="Milliers 2 4 8 3 2 2 2" xfId="28779"/>
    <cellStyle name="Milliers 2 4 8 3 2 3" xfId="28780"/>
    <cellStyle name="Milliers 2 4 8 3 3" xfId="28781"/>
    <cellStyle name="Milliers 2 4 8 3 3 2" xfId="28782"/>
    <cellStyle name="Milliers 2 4 8 3 4" xfId="28783"/>
    <cellStyle name="Milliers 2 4 8 4" xfId="28784"/>
    <cellStyle name="Milliers 2 4 8 4 2" xfId="28785"/>
    <cellStyle name="Milliers 2 4 8 4 2 2" xfId="28786"/>
    <cellStyle name="Milliers 2 4 8 4 3" xfId="28787"/>
    <cellStyle name="Milliers 2 4 8 5" xfId="28788"/>
    <cellStyle name="Milliers 2 4 8 5 2" xfId="28789"/>
    <cellStyle name="Milliers 2 4 8 6" xfId="28790"/>
    <cellStyle name="Milliers 2 4 9" xfId="28791"/>
    <cellStyle name="Milliers 2 4 9 2" xfId="28792"/>
    <cellStyle name="Milliers 2 4 9 2 2" xfId="28793"/>
    <cellStyle name="Milliers 2 4 9 2 2 2" xfId="28794"/>
    <cellStyle name="Milliers 2 4 9 2 2 2 2" xfId="28795"/>
    <cellStyle name="Milliers 2 4 9 2 2 3" xfId="28796"/>
    <cellStyle name="Milliers 2 4 9 2 3" xfId="28797"/>
    <cellStyle name="Milliers 2 4 9 2 3 2" xfId="28798"/>
    <cellStyle name="Milliers 2 4 9 2 4" xfId="28799"/>
    <cellStyle name="Milliers 2 4 9 3" xfId="28800"/>
    <cellStyle name="Milliers 2 4 9 3 2" xfId="28801"/>
    <cellStyle name="Milliers 2 4 9 3 2 2" xfId="28802"/>
    <cellStyle name="Milliers 2 4 9 3 3" xfId="28803"/>
    <cellStyle name="Milliers 2 4 9 4" xfId="28804"/>
    <cellStyle name="Milliers 2 4 9 4 2" xfId="28805"/>
    <cellStyle name="Milliers 2 4 9 5" xfId="28806"/>
    <cellStyle name="Milliers 2 5" xfId="28807"/>
    <cellStyle name="Milliers 2 5 10" xfId="28808"/>
    <cellStyle name="Milliers 2 5 10 2" xfId="28809"/>
    <cellStyle name="Milliers 2 5 10 2 2" xfId="28810"/>
    <cellStyle name="Milliers 2 5 10 3" xfId="28811"/>
    <cellStyle name="Milliers 2 5 11" xfId="28812"/>
    <cellStyle name="Milliers 2 5 11 2" xfId="28813"/>
    <cellStyle name="Milliers 2 5 12" xfId="28814"/>
    <cellStyle name="Milliers 2 5 2" xfId="28815"/>
    <cellStyle name="Milliers 2 5 2 10" xfId="28816"/>
    <cellStyle name="Milliers 2 5 2 10 2" xfId="28817"/>
    <cellStyle name="Milliers 2 5 2 11" xfId="28818"/>
    <cellStyle name="Milliers 2 5 2 2" xfId="28819"/>
    <cellStyle name="Milliers 2 5 2 2 10" xfId="28820"/>
    <cellStyle name="Milliers 2 5 2 2 2" xfId="28821"/>
    <cellStyle name="Milliers 2 5 2 2 2 2" xfId="28822"/>
    <cellStyle name="Milliers 2 5 2 2 2 2 2" xfId="28823"/>
    <cellStyle name="Milliers 2 5 2 2 2 2 2 2" xfId="28824"/>
    <cellStyle name="Milliers 2 5 2 2 2 2 2 2 2" xfId="28825"/>
    <cellStyle name="Milliers 2 5 2 2 2 2 2 2 2 2" xfId="28826"/>
    <cellStyle name="Milliers 2 5 2 2 2 2 2 2 2 2 2" xfId="28827"/>
    <cellStyle name="Milliers 2 5 2 2 2 2 2 2 2 2 2 2" xfId="28828"/>
    <cellStyle name="Milliers 2 5 2 2 2 2 2 2 2 2 2 2 2" xfId="28829"/>
    <cellStyle name="Milliers 2 5 2 2 2 2 2 2 2 2 2 3" xfId="28830"/>
    <cellStyle name="Milliers 2 5 2 2 2 2 2 2 2 2 3" xfId="28831"/>
    <cellStyle name="Milliers 2 5 2 2 2 2 2 2 2 2 3 2" xfId="28832"/>
    <cellStyle name="Milliers 2 5 2 2 2 2 2 2 2 2 4" xfId="28833"/>
    <cellStyle name="Milliers 2 5 2 2 2 2 2 2 2 3" xfId="28834"/>
    <cellStyle name="Milliers 2 5 2 2 2 2 2 2 2 3 2" xfId="28835"/>
    <cellStyle name="Milliers 2 5 2 2 2 2 2 2 2 3 2 2" xfId="28836"/>
    <cellStyle name="Milliers 2 5 2 2 2 2 2 2 2 3 3" xfId="28837"/>
    <cellStyle name="Milliers 2 5 2 2 2 2 2 2 2 4" xfId="28838"/>
    <cellStyle name="Milliers 2 5 2 2 2 2 2 2 2 4 2" xfId="28839"/>
    <cellStyle name="Milliers 2 5 2 2 2 2 2 2 2 5" xfId="28840"/>
    <cellStyle name="Milliers 2 5 2 2 2 2 2 2 3" xfId="28841"/>
    <cellStyle name="Milliers 2 5 2 2 2 2 2 2 3 2" xfId="28842"/>
    <cellStyle name="Milliers 2 5 2 2 2 2 2 2 3 2 2" xfId="28843"/>
    <cellStyle name="Milliers 2 5 2 2 2 2 2 2 3 2 2 2" xfId="28844"/>
    <cellStyle name="Milliers 2 5 2 2 2 2 2 2 3 2 3" xfId="28845"/>
    <cellStyle name="Milliers 2 5 2 2 2 2 2 2 3 3" xfId="28846"/>
    <cellStyle name="Milliers 2 5 2 2 2 2 2 2 3 3 2" xfId="28847"/>
    <cellStyle name="Milliers 2 5 2 2 2 2 2 2 3 4" xfId="28848"/>
    <cellStyle name="Milliers 2 5 2 2 2 2 2 2 4" xfId="28849"/>
    <cellStyle name="Milliers 2 5 2 2 2 2 2 2 4 2" xfId="28850"/>
    <cellStyle name="Milliers 2 5 2 2 2 2 2 2 4 2 2" xfId="28851"/>
    <cellStyle name="Milliers 2 5 2 2 2 2 2 2 4 3" xfId="28852"/>
    <cellStyle name="Milliers 2 5 2 2 2 2 2 2 5" xfId="28853"/>
    <cellStyle name="Milliers 2 5 2 2 2 2 2 2 5 2" xfId="28854"/>
    <cellStyle name="Milliers 2 5 2 2 2 2 2 2 6" xfId="28855"/>
    <cellStyle name="Milliers 2 5 2 2 2 2 2 3" xfId="28856"/>
    <cellStyle name="Milliers 2 5 2 2 2 2 2 3 2" xfId="28857"/>
    <cellStyle name="Milliers 2 5 2 2 2 2 2 3 2 2" xfId="28858"/>
    <cellStyle name="Milliers 2 5 2 2 2 2 2 3 2 2 2" xfId="28859"/>
    <cellStyle name="Milliers 2 5 2 2 2 2 2 3 2 2 2 2" xfId="28860"/>
    <cellStyle name="Milliers 2 5 2 2 2 2 2 3 2 2 3" xfId="28861"/>
    <cellStyle name="Milliers 2 5 2 2 2 2 2 3 2 3" xfId="28862"/>
    <cellStyle name="Milliers 2 5 2 2 2 2 2 3 2 3 2" xfId="28863"/>
    <cellStyle name="Milliers 2 5 2 2 2 2 2 3 2 4" xfId="28864"/>
    <cellStyle name="Milliers 2 5 2 2 2 2 2 3 3" xfId="28865"/>
    <cellStyle name="Milliers 2 5 2 2 2 2 2 3 3 2" xfId="28866"/>
    <cellStyle name="Milliers 2 5 2 2 2 2 2 3 3 2 2" xfId="28867"/>
    <cellStyle name="Milliers 2 5 2 2 2 2 2 3 3 3" xfId="28868"/>
    <cellStyle name="Milliers 2 5 2 2 2 2 2 3 4" xfId="28869"/>
    <cellStyle name="Milliers 2 5 2 2 2 2 2 3 4 2" xfId="28870"/>
    <cellStyle name="Milliers 2 5 2 2 2 2 2 3 5" xfId="28871"/>
    <cellStyle name="Milliers 2 5 2 2 2 2 2 4" xfId="28872"/>
    <cellStyle name="Milliers 2 5 2 2 2 2 2 4 2" xfId="28873"/>
    <cellStyle name="Milliers 2 5 2 2 2 2 2 4 2 2" xfId="28874"/>
    <cellStyle name="Milliers 2 5 2 2 2 2 2 4 2 2 2" xfId="28875"/>
    <cellStyle name="Milliers 2 5 2 2 2 2 2 4 2 3" xfId="28876"/>
    <cellStyle name="Milliers 2 5 2 2 2 2 2 4 3" xfId="28877"/>
    <cellStyle name="Milliers 2 5 2 2 2 2 2 4 3 2" xfId="28878"/>
    <cellStyle name="Milliers 2 5 2 2 2 2 2 4 4" xfId="28879"/>
    <cellStyle name="Milliers 2 5 2 2 2 2 2 5" xfId="28880"/>
    <cellStyle name="Milliers 2 5 2 2 2 2 2 5 2" xfId="28881"/>
    <cellStyle name="Milliers 2 5 2 2 2 2 2 5 2 2" xfId="28882"/>
    <cellStyle name="Milliers 2 5 2 2 2 2 2 5 3" xfId="28883"/>
    <cellStyle name="Milliers 2 5 2 2 2 2 2 6" xfId="28884"/>
    <cellStyle name="Milliers 2 5 2 2 2 2 2 6 2" xfId="28885"/>
    <cellStyle name="Milliers 2 5 2 2 2 2 2 7" xfId="28886"/>
    <cellStyle name="Milliers 2 5 2 2 2 2 3" xfId="28887"/>
    <cellStyle name="Milliers 2 5 2 2 2 2 3 2" xfId="28888"/>
    <cellStyle name="Milliers 2 5 2 2 2 2 3 2 2" xfId="28889"/>
    <cellStyle name="Milliers 2 5 2 2 2 2 3 2 2 2" xfId="28890"/>
    <cellStyle name="Milliers 2 5 2 2 2 2 3 2 2 2 2" xfId="28891"/>
    <cellStyle name="Milliers 2 5 2 2 2 2 3 2 2 2 2 2" xfId="28892"/>
    <cellStyle name="Milliers 2 5 2 2 2 2 3 2 2 2 3" xfId="28893"/>
    <cellStyle name="Milliers 2 5 2 2 2 2 3 2 2 3" xfId="28894"/>
    <cellStyle name="Milliers 2 5 2 2 2 2 3 2 2 3 2" xfId="28895"/>
    <cellStyle name="Milliers 2 5 2 2 2 2 3 2 2 4" xfId="28896"/>
    <cellStyle name="Milliers 2 5 2 2 2 2 3 2 3" xfId="28897"/>
    <cellStyle name="Milliers 2 5 2 2 2 2 3 2 3 2" xfId="28898"/>
    <cellStyle name="Milliers 2 5 2 2 2 2 3 2 3 2 2" xfId="28899"/>
    <cellStyle name="Milliers 2 5 2 2 2 2 3 2 3 3" xfId="28900"/>
    <cellStyle name="Milliers 2 5 2 2 2 2 3 2 4" xfId="28901"/>
    <cellStyle name="Milliers 2 5 2 2 2 2 3 2 4 2" xfId="28902"/>
    <cellStyle name="Milliers 2 5 2 2 2 2 3 2 5" xfId="28903"/>
    <cellStyle name="Milliers 2 5 2 2 2 2 3 3" xfId="28904"/>
    <cellStyle name="Milliers 2 5 2 2 2 2 3 3 2" xfId="28905"/>
    <cellStyle name="Milliers 2 5 2 2 2 2 3 3 2 2" xfId="28906"/>
    <cellStyle name="Milliers 2 5 2 2 2 2 3 3 2 2 2" xfId="28907"/>
    <cellStyle name="Milliers 2 5 2 2 2 2 3 3 2 3" xfId="28908"/>
    <cellStyle name="Milliers 2 5 2 2 2 2 3 3 3" xfId="28909"/>
    <cellStyle name="Milliers 2 5 2 2 2 2 3 3 3 2" xfId="28910"/>
    <cellStyle name="Milliers 2 5 2 2 2 2 3 3 4" xfId="28911"/>
    <cellStyle name="Milliers 2 5 2 2 2 2 3 4" xfId="28912"/>
    <cellStyle name="Milliers 2 5 2 2 2 2 3 4 2" xfId="28913"/>
    <cellStyle name="Milliers 2 5 2 2 2 2 3 4 2 2" xfId="28914"/>
    <cellStyle name="Milliers 2 5 2 2 2 2 3 4 3" xfId="28915"/>
    <cellStyle name="Milliers 2 5 2 2 2 2 3 5" xfId="28916"/>
    <cellStyle name="Milliers 2 5 2 2 2 2 3 5 2" xfId="28917"/>
    <cellStyle name="Milliers 2 5 2 2 2 2 3 6" xfId="28918"/>
    <cellStyle name="Milliers 2 5 2 2 2 2 4" xfId="28919"/>
    <cellStyle name="Milliers 2 5 2 2 2 2 4 2" xfId="28920"/>
    <cellStyle name="Milliers 2 5 2 2 2 2 4 2 2" xfId="28921"/>
    <cellStyle name="Milliers 2 5 2 2 2 2 4 2 2 2" xfId="28922"/>
    <cellStyle name="Milliers 2 5 2 2 2 2 4 2 2 2 2" xfId="28923"/>
    <cellStyle name="Milliers 2 5 2 2 2 2 4 2 2 3" xfId="28924"/>
    <cellStyle name="Milliers 2 5 2 2 2 2 4 2 3" xfId="28925"/>
    <cellStyle name="Milliers 2 5 2 2 2 2 4 2 3 2" xfId="28926"/>
    <cellStyle name="Milliers 2 5 2 2 2 2 4 2 4" xfId="28927"/>
    <cellStyle name="Milliers 2 5 2 2 2 2 4 3" xfId="28928"/>
    <cellStyle name="Milliers 2 5 2 2 2 2 4 3 2" xfId="28929"/>
    <cellStyle name="Milliers 2 5 2 2 2 2 4 3 2 2" xfId="28930"/>
    <cellStyle name="Milliers 2 5 2 2 2 2 4 3 3" xfId="28931"/>
    <cellStyle name="Milliers 2 5 2 2 2 2 4 4" xfId="28932"/>
    <cellStyle name="Milliers 2 5 2 2 2 2 4 4 2" xfId="28933"/>
    <cellStyle name="Milliers 2 5 2 2 2 2 4 5" xfId="28934"/>
    <cellStyle name="Milliers 2 5 2 2 2 2 5" xfId="28935"/>
    <cellStyle name="Milliers 2 5 2 2 2 2 5 2" xfId="28936"/>
    <cellStyle name="Milliers 2 5 2 2 2 2 5 2 2" xfId="28937"/>
    <cellStyle name="Milliers 2 5 2 2 2 2 5 2 2 2" xfId="28938"/>
    <cellStyle name="Milliers 2 5 2 2 2 2 5 2 3" xfId="28939"/>
    <cellStyle name="Milliers 2 5 2 2 2 2 5 3" xfId="28940"/>
    <cellStyle name="Milliers 2 5 2 2 2 2 5 3 2" xfId="28941"/>
    <cellStyle name="Milliers 2 5 2 2 2 2 5 4" xfId="28942"/>
    <cellStyle name="Milliers 2 5 2 2 2 2 6" xfId="28943"/>
    <cellStyle name="Milliers 2 5 2 2 2 2 6 2" xfId="28944"/>
    <cellStyle name="Milliers 2 5 2 2 2 2 6 2 2" xfId="28945"/>
    <cellStyle name="Milliers 2 5 2 2 2 2 6 3" xfId="28946"/>
    <cellStyle name="Milliers 2 5 2 2 2 2 7" xfId="28947"/>
    <cellStyle name="Milliers 2 5 2 2 2 2 7 2" xfId="28948"/>
    <cellStyle name="Milliers 2 5 2 2 2 2 8" xfId="28949"/>
    <cellStyle name="Milliers 2 5 2 2 2 3" xfId="28950"/>
    <cellStyle name="Milliers 2 5 2 2 2 3 2" xfId="28951"/>
    <cellStyle name="Milliers 2 5 2 2 2 3 2 2" xfId="28952"/>
    <cellStyle name="Milliers 2 5 2 2 2 3 2 2 2" xfId="28953"/>
    <cellStyle name="Milliers 2 5 2 2 2 3 2 2 2 2" xfId="28954"/>
    <cellStyle name="Milliers 2 5 2 2 2 3 2 2 2 2 2" xfId="28955"/>
    <cellStyle name="Milliers 2 5 2 2 2 3 2 2 2 2 2 2" xfId="28956"/>
    <cellStyle name="Milliers 2 5 2 2 2 3 2 2 2 2 3" xfId="28957"/>
    <cellStyle name="Milliers 2 5 2 2 2 3 2 2 2 3" xfId="28958"/>
    <cellStyle name="Milliers 2 5 2 2 2 3 2 2 2 3 2" xfId="28959"/>
    <cellStyle name="Milliers 2 5 2 2 2 3 2 2 2 4" xfId="28960"/>
    <cellStyle name="Milliers 2 5 2 2 2 3 2 2 3" xfId="28961"/>
    <cellStyle name="Milliers 2 5 2 2 2 3 2 2 3 2" xfId="28962"/>
    <cellStyle name="Milliers 2 5 2 2 2 3 2 2 3 2 2" xfId="28963"/>
    <cellStyle name="Milliers 2 5 2 2 2 3 2 2 3 3" xfId="28964"/>
    <cellStyle name="Milliers 2 5 2 2 2 3 2 2 4" xfId="28965"/>
    <cellStyle name="Milliers 2 5 2 2 2 3 2 2 4 2" xfId="28966"/>
    <cellStyle name="Milliers 2 5 2 2 2 3 2 2 5" xfId="28967"/>
    <cellStyle name="Milliers 2 5 2 2 2 3 2 3" xfId="28968"/>
    <cellStyle name="Milliers 2 5 2 2 2 3 2 3 2" xfId="28969"/>
    <cellStyle name="Milliers 2 5 2 2 2 3 2 3 2 2" xfId="28970"/>
    <cellStyle name="Milliers 2 5 2 2 2 3 2 3 2 2 2" xfId="28971"/>
    <cellStyle name="Milliers 2 5 2 2 2 3 2 3 2 3" xfId="28972"/>
    <cellStyle name="Milliers 2 5 2 2 2 3 2 3 3" xfId="28973"/>
    <cellStyle name="Milliers 2 5 2 2 2 3 2 3 3 2" xfId="28974"/>
    <cellStyle name="Milliers 2 5 2 2 2 3 2 3 4" xfId="28975"/>
    <cellStyle name="Milliers 2 5 2 2 2 3 2 4" xfId="28976"/>
    <cellStyle name="Milliers 2 5 2 2 2 3 2 4 2" xfId="28977"/>
    <cellStyle name="Milliers 2 5 2 2 2 3 2 4 2 2" xfId="28978"/>
    <cellStyle name="Milliers 2 5 2 2 2 3 2 4 3" xfId="28979"/>
    <cellStyle name="Milliers 2 5 2 2 2 3 2 5" xfId="28980"/>
    <cellStyle name="Milliers 2 5 2 2 2 3 2 5 2" xfId="28981"/>
    <cellStyle name="Milliers 2 5 2 2 2 3 2 6" xfId="28982"/>
    <cellStyle name="Milliers 2 5 2 2 2 3 3" xfId="28983"/>
    <cellStyle name="Milliers 2 5 2 2 2 3 3 2" xfId="28984"/>
    <cellStyle name="Milliers 2 5 2 2 2 3 3 2 2" xfId="28985"/>
    <cellStyle name="Milliers 2 5 2 2 2 3 3 2 2 2" xfId="28986"/>
    <cellStyle name="Milliers 2 5 2 2 2 3 3 2 2 2 2" xfId="28987"/>
    <cellStyle name="Milliers 2 5 2 2 2 3 3 2 2 3" xfId="28988"/>
    <cellStyle name="Milliers 2 5 2 2 2 3 3 2 3" xfId="28989"/>
    <cellStyle name="Milliers 2 5 2 2 2 3 3 2 3 2" xfId="28990"/>
    <cellStyle name="Milliers 2 5 2 2 2 3 3 2 4" xfId="28991"/>
    <cellStyle name="Milliers 2 5 2 2 2 3 3 3" xfId="28992"/>
    <cellStyle name="Milliers 2 5 2 2 2 3 3 3 2" xfId="28993"/>
    <cellStyle name="Milliers 2 5 2 2 2 3 3 3 2 2" xfId="28994"/>
    <cellStyle name="Milliers 2 5 2 2 2 3 3 3 3" xfId="28995"/>
    <cellStyle name="Milliers 2 5 2 2 2 3 3 4" xfId="28996"/>
    <cellStyle name="Milliers 2 5 2 2 2 3 3 4 2" xfId="28997"/>
    <cellStyle name="Milliers 2 5 2 2 2 3 3 5" xfId="28998"/>
    <cellStyle name="Milliers 2 5 2 2 2 3 4" xfId="28999"/>
    <cellStyle name="Milliers 2 5 2 2 2 3 4 2" xfId="29000"/>
    <cellStyle name="Milliers 2 5 2 2 2 3 4 2 2" xfId="29001"/>
    <cellStyle name="Milliers 2 5 2 2 2 3 4 2 2 2" xfId="29002"/>
    <cellStyle name="Milliers 2 5 2 2 2 3 4 2 3" xfId="29003"/>
    <cellStyle name="Milliers 2 5 2 2 2 3 4 3" xfId="29004"/>
    <cellStyle name="Milliers 2 5 2 2 2 3 4 3 2" xfId="29005"/>
    <cellStyle name="Milliers 2 5 2 2 2 3 4 4" xfId="29006"/>
    <cellStyle name="Milliers 2 5 2 2 2 3 5" xfId="29007"/>
    <cellStyle name="Milliers 2 5 2 2 2 3 5 2" xfId="29008"/>
    <cellStyle name="Milliers 2 5 2 2 2 3 5 2 2" xfId="29009"/>
    <cellStyle name="Milliers 2 5 2 2 2 3 5 3" xfId="29010"/>
    <cellStyle name="Milliers 2 5 2 2 2 3 6" xfId="29011"/>
    <cellStyle name="Milliers 2 5 2 2 2 3 6 2" xfId="29012"/>
    <cellStyle name="Milliers 2 5 2 2 2 3 7" xfId="29013"/>
    <cellStyle name="Milliers 2 5 2 2 2 4" xfId="29014"/>
    <cellStyle name="Milliers 2 5 2 2 2 4 2" xfId="29015"/>
    <cellStyle name="Milliers 2 5 2 2 2 4 2 2" xfId="29016"/>
    <cellStyle name="Milliers 2 5 2 2 2 4 2 2 2" xfId="29017"/>
    <cellStyle name="Milliers 2 5 2 2 2 4 2 2 2 2" xfId="29018"/>
    <cellStyle name="Milliers 2 5 2 2 2 4 2 2 2 2 2" xfId="29019"/>
    <cellStyle name="Milliers 2 5 2 2 2 4 2 2 2 3" xfId="29020"/>
    <cellStyle name="Milliers 2 5 2 2 2 4 2 2 3" xfId="29021"/>
    <cellStyle name="Milliers 2 5 2 2 2 4 2 2 3 2" xfId="29022"/>
    <cellStyle name="Milliers 2 5 2 2 2 4 2 2 4" xfId="29023"/>
    <cellStyle name="Milliers 2 5 2 2 2 4 2 3" xfId="29024"/>
    <cellStyle name="Milliers 2 5 2 2 2 4 2 3 2" xfId="29025"/>
    <cellStyle name="Milliers 2 5 2 2 2 4 2 3 2 2" xfId="29026"/>
    <cellStyle name="Milliers 2 5 2 2 2 4 2 3 3" xfId="29027"/>
    <cellStyle name="Milliers 2 5 2 2 2 4 2 4" xfId="29028"/>
    <cellStyle name="Milliers 2 5 2 2 2 4 2 4 2" xfId="29029"/>
    <cellStyle name="Milliers 2 5 2 2 2 4 2 5" xfId="29030"/>
    <cellStyle name="Milliers 2 5 2 2 2 4 3" xfId="29031"/>
    <cellStyle name="Milliers 2 5 2 2 2 4 3 2" xfId="29032"/>
    <cellStyle name="Milliers 2 5 2 2 2 4 3 2 2" xfId="29033"/>
    <cellStyle name="Milliers 2 5 2 2 2 4 3 2 2 2" xfId="29034"/>
    <cellStyle name="Milliers 2 5 2 2 2 4 3 2 3" xfId="29035"/>
    <cellStyle name="Milliers 2 5 2 2 2 4 3 3" xfId="29036"/>
    <cellStyle name="Milliers 2 5 2 2 2 4 3 3 2" xfId="29037"/>
    <cellStyle name="Milliers 2 5 2 2 2 4 3 4" xfId="29038"/>
    <cellStyle name="Milliers 2 5 2 2 2 4 4" xfId="29039"/>
    <cellStyle name="Milliers 2 5 2 2 2 4 4 2" xfId="29040"/>
    <cellStyle name="Milliers 2 5 2 2 2 4 4 2 2" xfId="29041"/>
    <cellStyle name="Milliers 2 5 2 2 2 4 4 3" xfId="29042"/>
    <cellStyle name="Milliers 2 5 2 2 2 4 5" xfId="29043"/>
    <cellStyle name="Milliers 2 5 2 2 2 4 5 2" xfId="29044"/>
    <cellStyle name="Milliers 2 5 2 2 2 4 6" xfId="29045"/>
    <cellStyle name="Milliers 2 5 2 2 2 5" xfId="29046"/>
    <cellStyle name="Milliers 2 5 2 2 2 5 2" xfId="29047"/>
    <cellStyle name="Milliers 2 5 2 2 2 5 2 2" xfId="29048"/>
    <cellStyle name="Milliers 2 5 2 2 2 5 2 2 2" xfId="29049"/>
    <cellStyle name="Milliers 2 5 2 2 2 5 2 2 2 2" xfId="29050"/>
    <cellStyle name="Milliers 2 5 2 2 2 5 2 2 3" xfId="29051"/>
    <cellStyle name="Milliers 2 5 2 2 2 5 2 3" xfId="29052"/>
    <cellStyle name="Milliers 2 5 2 2 2 5 2 3 2" xfId="29053"/>
    <cellStyle name="Milliers 2 5 2 2 2 5 2 4" xfId="29054"/>
    <cellStyle name="Milliers 2 5 2 2 2 5 3" xfId="29055"/>
    <cellStyle name="Milliers 2 5 2 2 2 5 3 2" xfId="29056"/>
    <cellStyle name="Milliers 2 5 2 2 2 5 3 2 2" xfId="29057"/>
    <cellStyle name="Milliers 2 5 2 2 2 5 3 3" xfId="29058"/>
    <cellStyle name="Milliers 2 5 2 2 2 5 4" xfId="29059"/>
    <cellStyle name="Milliers 2 5 2 2 2 5 4 2" xfId="29060"/>
    <cellStyle name="Milliers 2 5 2 2 2 5 5" xfId="29061"/>
    <cellStyle name="Milliers 2 5 2 2 2 6" xfId="29062"/>
    <cellStyle name="Milliers 2 5 2 2 2 6 2" xfId="29063"/>
    <cellStyle name="Milliers 2 5 2 2 2 6 2 2" xfId="29064"/>
    <cellStyle name="Milliers 2 5 2 2 2 6 2 2 2" xfId="29065"/>
    <cellStyle name="Milliers 2 5 2 2 2 6 2 3" xfId="29066"/>
    <cellStyle name="Milliers 2 5 2 2 2 6 3" xfId="29067"/>
    <cellStyle name="Milliers 2 5 2 2 2 6 3 2" xfId="29068"/>
    <cellStyle name="Milliers 2 5 2 2 2 6 4" xfId="29069"/>
    <cellStyle name="Milliers 2 5 2 2 2 7" xfId="29070"/>
    <cellStyle name="Milliers 2 5 2 2 2 7 2" xfId="29071"/>
    <cellStyle name="Milliers 2 5 2 2 2 7 2 2" xfId="29072"/>
    <cellStyle name="Milliers 2 5 2 2 2 7 3" xfId="29073"/>
    <cellStyle name="Milliers 2 5 2 2 2 8" xfId="29074"/>
    <cellStyle name="Milliers 2 5 2 2 2 8 2" xfId="29075"/>
    <cellStyle name="Milliers 2 5 2 2 2 9" xfId="29076"/>
    <cellStyle name="Milliers 2 5 2 2 3" xfId="29077"/>
    <cellStyle name="Milliers 2 5 2 2 3 2" xfId="29078"/>
    <cellStyle name="Milliers 2 5 2 2 3 2 2" xfId="29079"/>
    <cellStyle name="Milliers 2 5 2 2 3 2 2 2" xfId="29080"/>
    <cellStyle name="Milliers 2 5 2 2 3 2 2 2 2" xfId="29081"/>
    <cellStyle name="Milliers 2 5 2 2 3 2 2 2 2 2" xfId="29082"/>
    <cellStyle name="Milliers 2 5 2 2 3 2 2 2 2 2 2" xfId="29083"/>
    <cellStyle name="Milliers 2 5 2 2 3 2 2 2 2 2 2 2" xfId="29084"/>
    <cellStyle name="Milliers 2 5 2 2 3 2 2 2 2 2 3" xfId="29085"/>
    <cellStyle name="Milliers 2 5 2 2 3 2 2 2 2 3" xfId="29086"/>
    <cellStyle name="Milliers 2 5 2 2 3 2 2 2 2 3 2" xfId="29087"/>
    <cellStyle name="Milliers 2 5 2 2 3 2 2 2 2 4" xfId="29088"/>
    <cellStyle name="Milliers 2 5 2 2 3 2 2 2 3" xfId="29089"/>
    <cellStyle name="Milliers 2 5 2 2 3 2 2 2 3 2" xfId="29090"/>
    <cellStyle name="Milliers 2 5 2 2 3 2 2 2 3 2 2" xfId="29091"/>
    <cellStyle name="Milliers 2 5 2 2 3 2 2 2 3 3" xfId="29092"/>
    <cellStyle name="Milliers 2 5 2 2 3 2 2 2 4" xfId="29093"/>
    <cellStyle name="Milliers 2 5 2 2 3 2 2 2 4 2" xfId="29094"/>
    <cellStyle name="Milliers 2 5 2 2 3 2 2 2 5" xfId="29095"/>
    <cellStyle name="Milliers 2 5 2 2 3 2 2 3" xfId="29096"/>
    <cellStyle name="Milliers 2 5 2 2 3 2 2 3 2" xfId="29097"/>
    <cellStyle name="Milliers 2 5 2 2 3 2 2 3 2 2" xfId="29098"/>
    <cellStyle name="Milliers 2 5 2 2 3 2 2 3 2 2 2" xfId="29099"/>
    <cellStyle name="Milliers 2 5 2 2 3 2 2 3 2 3" xfId="29100"/>
    <cellStyle name="Milliers 2 5 2 2 3 2 2 3 3" xfId="29101"/>
    <cellStyle name="Milliers 2 5 2 2 3 2 2 3 3 2" xfId="29102"/>
    <cellStyle name="Milliers 2 5 2 2 3 2 2 3 4" xfId="29103"/>
    <cellStyle name="Milliers 2 5 2 2 3 2 2 4" xfId="29104"/>
    <cellStyle name="Milliers 2 5 2 2 3 2 2 4 2" xfId="29105"/>
    <cellStyle name="Milliers 2 5 2 2 3 2 2 4 2 2" xfId="29106"/>
    <cellStyle name="Milliers 2 5 2 2 3 2 2 4 3" xfId="29107"/>
    <cellStyle name="Milliers 2 5 2 2 3 2 2 5" xfId="29108"/>
    <cellStyle name="Milliers 2 5 2 2 3 2 2 5 2" xfId="29109"/>
    <cellStyle name="Milliers 2 5 2 2 3 2 2 6" xfId="29110"/>
    <cellStyle name="Milliers 2 5 2 2 3 2 3" xfId="29111"/>
    <cellStyle name="Milliers 2 5 2 2 3 2 3 2" xfId="29112"/>
    <cellStyle name="Milliers 2 5 2 2 3 2 3 2 2" xfId="29113"/>
    <cellStyle name="Milliers 2 5 2 2 3 2 3 2 2 2" xfId="29114"/>
    <cellStyle name="Milliers 2 5 2 2 3 2 3 2 2 2 2" xfId="29115"/>
    <cellStyle name="Milliers 2 5 2 2 3 2 3 2 2 3" xfId="29116"/>
    <cellStyle name="Milliers 2 5 2 2 3 2 3 2 3" xfId="29117"/>
    <cellStyle name="Milliers 2 5 2 2 3 2 3 2 3 2" xfId="29118"/>
    <cellStyle name="Milliers 2 5 2 2 3 2 3 2 4" xfId="29119"/>
    <cellStyle name="Milliers 2 5 2 2 3 2 3 3" xfId="29120"/>
    <cellStyle name="Milliers 2 5 2 2 3 2 3 3 2" xfId="29121"/>
    <cellStyle name="Milliers 2 5 2 2 3 2 3 3 2 2" xfId="29122"/>
    <cellStyle name="Milliers 2 5 2 2 3 2 3 3 3" xfId="29123"/>
    <cellStyle name="Milliers 2 5 2 2 3 2 3 4" xfId="29124"/>
    <cellStyle name="Milliers 2 5 2 2 3 2 3 4 2" xfId="29125"/>
    <cellStyle name="Milliers 2 5 2 2 3 2 3 5" xfId="29126"/>
    <cellStyle name="Milliers 2 5 2 2 3 2 4" xfId="29127"/>
    <cellStyle name="Milliers 2 5 2 2 3 2 4 2" xfId="29128"/>
    <cellStyle name="Milliers 2 5 2 2 3 2 4 2 2" xfId="29129"/>
    <cellStyle name="Milliers 2 5 2 2 3 2 4 2 2 2" xfId="29130"/>
    <cellStyle name="Milliers 2 5 2 2 3 2 4 2 3" xfId="29131"/>
    <cellStyle name="Milliers 2 5 2 2 3 2 4 3" xfId="29132"/>
    <cellStyle name="Milliers 2 5 2 2 3 2 4 3 2" xfId="29133"/>
    <cellStyle name="Milliers 2 5 2 2 3 2 4 4" xfId="29134"/>
    <cellStyle name="Milliers 2 5 2 2 3 2 5" xfId="29135"/>
    <cellStyle name="Milliers 2 5 2 2 3 2 5 2" xfId="29136"/>
    <cellStyle name="Milliers 2 5 2 2 3 2 5 2 2" xfId="29137"/>
    <cellStyle name="Milliers 2 5 2 2 3 2 5 3" xfId="29138"/>
    <cellStyle name="Milliers 2 5 2 2 3 2 6" xfId="29139"/>
    <cellStyle name="Milliers 2 5 2 2 3 2 6 2" xfId="29140"/>
    <cellStyle name="Milliers 2 5 2 2 3 2 7" xfId="29141"/>
    <cellStyle name="Milliers 2 5 2 2 3 3" xfId="29142"/>
    <cellStyle name="Milliers 2 5 2 2 3 3 2" xfId="29143"/>
    <cellStyle name="Milliers 2 5 2 2 3 3 2 2" xfId="29144"/>
    <cellStyle name="Milliers 2 5 2 2 3 3 2 2 2" xfId="29145"/>
    <cellStyle name="Milliers 2 5 2 2 3 3 2 2 2 2" xfId="29146"/>
    <cellStyle name="Milliers 2 5 2 2 3 3 2 2 2 2 2" xfId="29147"/>
    <cellStyle name="Milliers 2 5 2 2 3 3 2 2 2 3" xfId="29148"/>
    <cellStyle name="Milliers 2 5 2 2 3 3 2 2 3" xfId="29149"/>
    <cellStyle name="Milliers 2 5 2 2 3 3 2 2 3 2" xfId="29150"/>
    <cellStyle name="Milliers 2 5 2 2 3 3 2 2 4" xfId="29151"/>
    <cellStyle name="Milliers 2 5 2 2 3 3 2 3" xfId="29152"/>
    <cellStyle name="Milliers 2 5 2 2 3 3 2 3 2" xfId="29153"/>
    <cellStyle name="Milliers 2 5 2 2 3 3 2 3 2 2" xfId="29154"/>
    <cellStyle name="Milliers 2 5 2 2 3 3 2 3 3" xfId="29155"/>
    <cellStyle name="Milliers 2 5 2 2 3 3 2 4" xfId="29156"/>
    <cellStyle name="Milliers 2 5 2 2 3 3 2 4 2" xfId="29157"/>
    <cellStyle name="Milliers 2 5 2 2 3 3 2 5" xfId="29158"/>
    <cellStyle name="Milliers 2 5 2 2 3 3 3" xfId="29159"/>
    <cellStyle name="Milliers 2 5 2 2 3 3 3 2" xfId="29160"/>
    <cellStyle name="Milliers 2 5 2 2 3 3 3 2 2" xfId="29161"/>
    <cellStyle name="Milliers 2 5 2 2 3 3 3 2 2 2" xfId="29162"/>
    <cellStyle name="Milliers 2 5 2 2 3 3 3 2 3" xfId="29163"/>
    <cellStyle name="Milliers 2 5 2 2 3 3 3 3" xfId="29164"/>
    <cellStyle name="Milliers 2 5 2 2 3 3 3 3 2" xfId="29165"/>
    <cellStyle name="Milliers 2 5 2 2 3 3 3 4" xfId="29166"/>
    <cellStyle name="Milliers 2 5 2 2 3 3 4" xfId="29167"/>
    <cellStyle name="Milliers 2 5 2 2 3 3 4 2" xfId="29168"/>
    <cellStyle name="Milliers 2 5 2 2 3 3 4 2 2" xfId="29169"/>
    <cellStyle name="Milliers 2 5 2 2 3 3 4 3" xfId="29170"/>
    <cellStyle name="Milliers 2 5 2 2 3 3 5" xfId="29171"/>
    <cellStyle name="Milliers 2 5 2 2 3 3 5 2" xfId="29172"/>
    <cellStyle name="Milliers 2 5 2 2 3 3 6" xfId="29173"/>
    <cellStyle name="Milliers 2 5 2 2 3 4" xfId="29174"/>
    <cellStyle name="Milliers 2 5 2 2 3 4 2" xfId="29175"/>
    <cellStyle name="Milliers 2 5 2 2 3 4 2 2" xfId="29176"/>
    <cellStyle name="Milliers 2 5 2 2 3 4 2 2 2" xfId="29177"/>
    <cellStyle name="Milliers 2 5 2 2 3 4 2 2 2 2" xfId="29178"/>
    <cellStyle name="Milliers 2 5 2 2 3 4 2 2 3" xfId="29179"/>
    <cellStyle name="Milliers 2 5 2 2 3 4 2 3" xfId="29180"/>
    <cellStyle name="Milliers 2 5 2 2 3 4 2 3 2" xfId="29181"/>
    <cellStyle name="Milliers 2 5 2 2 3 4 2 4" xfId="29182"/>
    <cellStyle name="Milliers 2 5 2 2 3 4 3" xfId="29183"/>
    <cellStyle name="Milliers 2 5 2 2 3 4 3 2" xfId="29184"/>
    <cellStyle name="Milliers 2 5 2 2 3 4 3 2 2" xfId="29185"/>
    <cellStyle name="Milliers 2 5 2 2 3 4 3 3" xfId="29186"/>
    <cellStyle name="Milliers 2 5 2 2 3 4 4" xfId="29187"/>
    <cellStyle name="Milliers 2 5 2 2 3 4 4 2" xfId="29188"/>
    <cellStyle name="Milliers 2 5 2 2 3 4 5" xfId="29189"/>
    <cellStyle name="Milliers 2 5 2 2 3 5" xfId="29190"/>
    <cellStyle name="Milliers 2 5 2 2 3 5 2" xfId="29191"/>
    <cellStyle name="Milliers 2 5 2 2 3 5 2 2" xfId="29192"/>
    <cellStyle name="Milliers 2 5 2 2 3 5 2 2 2" xfId="29193"/>
    <cellStyle name="Milliers 2 5 2 2 3 5 2 3" xfId="29194"/>
    <cellStyle name="Milliers 2 5 2 2 3 5 3" xfId="29195"/>
    <cellStyle name="Milliers 2 5 2 2 3 5 3 2" xfId="29196"/>
    <cellStyle name="Milliers 2 5 2 2 3 5 4" xfId="29197"/>
    <cellStyle name="Milliers 2 5 2 2 3 6" xfId="29198"/>
    <cellStyle name="Milliers 2 5 2 2 3 6 2" xfId="29199"/>
    <cellStyle name="Milliers 2 5 2 2 3 6 2 2" xfId="29200"/>
    <cellStyle name="Milliers 2 5 2 2 3 6 3" xfId="29201"/>
    <cellStyle name="Milliers 2 5 2 2 3 7" xfId="29202"/>
    <cellStyle name="Milliers 2 5 2 2 3 7 2" xfId="29203"/>
    <cellStyle name="Milliers 2 5 2 2 3 8" xfId="29204"/>
    <cellStyle name="Milliers 2 5 2 2 4" xfId="29205"/>
    <cellStyle name="Milliers 2 5 2 2 4 2" xfId="29206"/>
    <cellStyle name="Milliers 2 5 2 2 4 2 2" xfId="29207"/>
    <cellStyle name="Milliers 2 5 2 2 4 2 2 2" xfId="29208"/>
    <cellStyle name="Milliers 2 5 2 2 4 2 2 2 2" xfId="29209"/>
    <cellStyle name="Milliers 2 5 2 2 4 2 2 2 2 2" xfId="29210"/>
    <cellStyle name="Milliers 2 5 2 2 4 2 2 2 2 2 2" xfId="29211"/>
    <cellStyle name="Milliers 2 5 2 2 4 2 2 2 2 3" xfId="29212"/>
    <cellStyle name="Milliers 2 5 2 2 4 2 2 2 3" xfId="29213"/>
    <cellStyle name="Milliers 2 5 2 2 4 2 2 2 3 2" xfId="29214"/>
    <cellStyle name="Milliers 2 5 2 2 4 2 2 2 4" xfId="29215"/>
    <cellStyle name="Milliers 2 5 2 2 4 2 2 3" xfId="29216"/>
    <cellStyle name="Milliers 2 5 2 2 4 2 2 3 2" xfId="29217"/>
    <cellStyle name="Milliers 2 5 2 2 4 2 2 3 2 2" xfId="29218"/>
    <cellStyle name="Milliers 2 5 2 2 4 2 2 3 3" xfId="29219"/>
    <cellStyle name="Milliers 2 5 2 2 4 2 2 4" xfId="29220"/>
    <cellStyle name="Milliers 2 5 2 2 4 2 2 4 2" xfId="29221"/>
    <cellStyle name="Milliers 2 5 2 2 4 2 2 5" xfId="29222"/>
    <cellStyle name="Milliers 2 5 2 2 4 2 3" xfId="29223"/>
    <cellStyle name="Milliers 2 5 2 2 4 2 3 2" xfId="29224"/>
    <cellStyle name="Milliers 2 5 2 2 4 2 3 2 2" xfId="29225"/>
    <cellStyle name="Milliers 2 5 2 2 4 2 3 2 2 2" xfId="29226"/>
    <cellStyle name="Milliers 2 5 2 2 4 2 3 2 3" xfId="29227"/>
    <cellStyle name="Milliers 2 5 2 2 4 2 3 3" xfId="29228"/>
    <cellStyle name="Milliers 2 5 2 2 4 2 3 3 2" xfId="29229"/>
    <cellStyle name="Milliers 2 5 2 2 4 2 3 4" xfId="29230"/>
    <cellStyle name="Milliers 2 5 2 2 4 2 4" xfId="29231"/>
    <cellStyle name="Milliers 2 5 2 2 4 2 4 2" xfId="29232"/>
    <cellStyle name="Milliers 2 5 2 2 4 2 4 2 2" xfId="29233"/>
    <cellStyle name="Milliers 2 5 2 2 4 2 4 3" xfId="29234"/>
    <cellStyle name="Milliers 2 5 2 2 4 2 5" xfId="29235"/>
    <cellStyle name="Milliers 2 5 2 2 4 2 5 2" xfId="29236"/>
    <cellStyle name="Milliers 2 5 2 2 4 2 6" xfId="29237"/>
    <cellStyle name="Milliers 2 5 2 2 4 3" xfId="29238"/>
    <cellStyle name="Milliers 2 5 2 2 4 3 2" xfId="29239"/>
    <cellStyle name="Milliers 2 5 2 2 4 3 2 2" xfId="29240"/>
    <cellStyle name="Milliers 2 5 2 2 4 3 2 2 2" xfId="29241"/>
    <cellStyle name="Milliers 2 5 2 2 4 3 2 2 2 2" xfId="29242"/>
    <cellStyle name="Milliers 2 5 2 2 4 3 2 2 3" xfId="29243"/>
    <cellStyle name="Milliers 2 5 2 2 4 3 2 3" xfId="29244"/>
    <cellStyle name="Milliers 2 5 2 2 4 3 2 3 2" xfId="29245"/>
    <cellStyle name="Milliers 2 5 2 2 4 3 2 4" xfId="29246"/>
    <cellStyle name="Milliers 2 5 2 2 4 3 3" xfId="29247"/>
    <cellStyle name="Milliers 2 5 2 2 4 3 3 2" xfId="29248"/>
    <cellStyle name="Milliers 2 5 2 2 4 3 3 2 2" xfId="29249"/>
    <cellStyle name="Milliers 2 5 2 2 4 3 3 3" xfId="29250"/>
    <cellStyle name="Milliers 2 5 2 2 4 3 4" xfId="29251"/>
    <cellStyle name="Milliers 2 5 2 2 4 3 4 2" xfId="29252"/>
    <cellStyle name="Milliers 2 5 2 2 4 3 5" xfId="29253"/>
    <cellStyle name="Milliers 2 5 2 2 4 4" xfId="29254"/>
    <cellStyle name="Milliers 2 5 2 2 4 4 2" xfId="29255"/>
    <cellStyle name="Milliers 2 5 2 2 4 4 2 2" xfId="29256"/>
    <cellStyle name="Milliers 2 5 2 2 4 4 2 2 2" xfId="29257"/>
    <cellStyle name="Milliers 2 5 2 2 4 4 2 3" xfId="29258"/>
    <cellStyle name="Milliers 2 5 2 2 4 4 3" xfId="29259"/>
    <cellStyle name="Milliers 2 5 2 2 4 4 3 2" xfId="29260"/>
    <cellStyle name="Milliers 2 5 2 2 4 4 4" xfId="29261"/>
    <cellStyle name="Milliers 2 5 2 2 4 5" xfId="29262"/>
    <cellStyle name="Milliers 2 5 2 2 4 5 2" xfId="29263"/>
    <cellStyle name="Milliers 2 5 2 2 4 5 2 2" xfId="29264"/>
    <cellStyle name="Milliers 2 5 2 2 4 5 3" xfId="29265"/>
    <cellStyle name="Milliers 2 5 2 2 4 6" xfId="29266"/>
    <cellStyle name="Milliers 2 5 2 2 4 6 2" xfId="29267"/>
    <cellStyle name="Milliers 2 5 2 2 4 7" xfId="29268"/>
    <cellStyle name="Milliers 2 5 2 2 5" xfId="29269"/>
    <cellStyle name="Milliers 2 5 2 2 5 2" xfId="29270"/>
    <cellStyle name="Milliers 2 5 2 2 5 2 2" xfId="29271"/>
    <cellStyle name="Milliers 2 5 2 2 5 2 2 2" xfId="29272"/>
    <cellStyle name="Milliers 2 5 2 2 5 2 2 2 2" xfId="29273"/>
    <cellStyle name="Milliers 2 5 2 2 5 2 2 2 2 2" xfId="29274"/>
    <cellStyle name="Milliers 2 5 2 2 5 2 2 2 3" xfId="29275"/>
    <cellStyle name="Milliers 2 5 2 2 5 2 2 3" xfId="29276"/>
    <cellStyle name="Milliers 2 5 2 2 5 2 2 3 2" xfId="29277"/>
    <cellStyle name="Milliers 2 5 2 2 5 2 2 4" xfId="29278"/>
    <cellStyle name="Milliers 2 5 2 2 5 2 3" xfId="29279"/>
    <cellStyle name="Milliers 2 5 2 2 5 2 3 2" xfId="29280"/>
    <cellStyle name="Milliers 2 5 2 2 5 2 3 2 2" xfId="29281"/>
    <cellStyle name="Milliers 2 5 2 2 5 2 3 3" xfId="29282"/>
    <cellStyle name="Milliers 2 5 2 2 5 2 4" xfId="29283"/>
    <cellStyle name="Milliers 2 5 2 2 5 2 4 2" xfId="29284"/>
    <cellStyle name="Milliers 2 5 2 2 5 2 5" xfId="29285"/>
    <cellStyle name="Milliers 2 5 2 2 5 3" xfId="29286"/>
    <cellStyle name="Milliers 2 5 2 2 5 3 2" xfId="29287"/>
    <cellStyle name="Milliers 2 5 2 2 5 3 2 2" xfId="29288"/>
    <cellStyle name="Milliers 2 5 2 2 5 3 2 2 2" xfId="29289"/>
    <cellStyle name="Milliers 2 5 2 2 5 3 2 3" xfId="29290"/>
    <cellStyle name="Milliers 2 5 2 2 5 3 3" xfId="29291"/>
    <cellStyle name="Milliers 2 5 2 2 5 3 3 2" xfId="29292"/>
    <cellStyle name="Milliers 2 5 2 2 5 3 4" xfId="29293"/>
    <cellStyle name="Milliers 2 5 2 2 5 4" xfId="29294"/>
    <cellStyle name="Milliers 2 5 2 2 5 4 2" xfId="29295"/>
    <cellStyle name="Milliers 2 5 2 2 5 4 2 2" xfId="29296"/>
    <cellStyle name="Milliers 2 5 2 2 5 4 3" xfId="29297"/>
    <cellStyle name="Milliers 2 5 2 2 5 5" xfId="29298"/>
    <cellStyle name="Milliers 2 5 2 2 5 5 2" xfId="29299"/>
    <cellStyle name="Milliers 2 5 2 2 5 6" xfId="29300"/>
    <cellStyle name="Milliers 2 5 2 2 6" xfId="29301"/>
    <cellStyle name="Milliers 2 5 2 2 6 2" xfId="29302"/>
    <cellStyle name="Milliers 2 5 2 2 6 2 2" xfId="29303"/>
    <cellStyle name="Milliers 2 5 2 2 6 2 2 2" xfId="29304"/>
    <cellStyle name="Milliers 2 5 2 2 6 2 2 2 2" xfId="29305"/>
    <cellStyle name="Milliers 2 5 2 2 6 2 2 3" xfId="29306"/>
    <cellStyle name="Milliers 2 5 2 2 6 2 3" xfId="29307"/>
    <cellStyle name="Milliers 2 5 2 2 6 2 3 2" xfId="29308"/>
    <cellStyle name="Milliers 2 5 2 2 6 2 4" xfId="29309"/>
    <cellStyle name="Milliers 2 5 2 2 6 3" xfId="29310"/>
    <cellStyle name="Milliers 2 5 2 2 6 3 2" xfId="29311"/>
    <cellStyle name="Milliers 2 5 2 2 6 3 2 2" xfId="29312"/>
    <cellStyle name="Milliers 2 5 2 2 6 3 3" xfId="29313"/>
    <cellStyle name="Milliers 2 5 2 2 6 4" xfId="29314"/>
    <cellStyle name="Milliers 2 5 2 2 6 4 2" xfId="29315"/>
    <cellStyle name="Milliers 2 5 2 2 6 5" xfId="29316"/>
    <cellStyle name="Milliers 2 5 2 2 7" xfId="29317"/>
    <cellStyle name="Milliers 2 5 2 2 7 2" xfId="29318"/>
    <cellStyle name="Milliers 2 5 2 2 7 2 2" xfId="29319"/>
    <cellStyle name="Milliers 2 5 2 2 7 2 2 2" xfId="29320"/>
    <cellStyle name="Milliers 2 5 2 2 7 2 3" xfId="29321"/>
    <cellStyle name="Milliers 2 5 2 2 7 3" xfId="29322"/>
    <cellStyle name="Milliers 2 5 2 2 7 3 2" xfId="29323"/>
    <cellStyle name="Milliers 2 5 2 2 7 4" xfId="29324"/>
    <cellStyle name="Milliers 2 5 2 2 8" xfId="29325"/>
    <cellStyle name="Milliers 2 5 2 2 8 2" xfId="29326"/>
    <cellStyle name="Milliers 2 5 2 2 8 2 2" xfId="29327"/>
    <cellStyle name="Milliers 2 5 2 2 8 3" xfId="29328"/>
    <cellStyle name="Milliers 2 5 2 2 9" xfId="29329"/>
    <cellStyle name="Milliers 2 5 2 2 9 2" xfId="29330"/>
    <cellStyle name="Milliers 2 5 2 3" xfId="29331"/>
    <cellStyle name="Milliers 2 5 2 3 2" xfId="29332"/>
    <cellStyle name="Milliers 2 5 2 3 2 2" xfId="29333"/>
    <cellStyle name="Milliers 2 5 2 3 2 2 2" xfId="29334"/>
    <cellStyle name="Milliers 2 5 2 3 2 2 2 2" xfId="29335"/>
    <cellStyle name="Milliers 2 5 2 3 2 2 2 2 2" xfId="29336"/>
    <cellStyle name="Milliers 2 5 2 3 2 2 2 2 2 2" xfId="29337"/>
    <cellStyle name="Milliers 2 5 2 3 2 2 2 2 2 2 2" xfId="29338"/>
    <cellStyle name="Milliers 2 5 2 3 2 2 2 2 2 2 2 2" xfId="29339"/>
    <cellStyle name="Milliers 2 5 2 3 2 2 2 2 2 2 3" xfId="29340"/>
    <cellStyle name="Milliers 2 5 2 3 2 2 2 2 2 3" xfId="29341"/>
    <cellStyle name="Milliers 2 5 2 3 2 2 2 2 2 3 2" xfId="29342"/>
    <cellStyle name="Milliers 2 5 2 3 2 2 2 2 2 4" xfId="29343"/>
    <cellStyle name="Milliers 2 5 2 3 2 2 2 2 3" xfId="29344"/>
    <cellStyle name="Milliers 2 5 2 3 2 2 2 2 3 2" xfId="29345"/>
    <cellStyle name="Milliers 2 5 2 3 2 2 2 2 3 2 2" xfId="29346"/>
    <cellStyle name="Milliers 2 5 2 3 2 2 2 2 3 3" xfId="29347"/>
    <cellStyle name="Milliers 2 5 2 3 2 2 2 2 4" xfId="29348"/>
    <cellStyle name="Milliers 2 5 2 3 2 2 2 2 4 2" xfId="29349"/>
    <cellStyle name="Milliers 2 5 2 3 2 2 2 2 5" xfId="29350"/>
    <cellStyle name="Milliers 2 5 2 3 2 2 2 3" xfId="29351"/>
    <cellStyle name="Milliers 2 5 2 3 2 2 2 3 2" xfId="29352"/>
    <cellStyle name="Milliers 2 5 2 3 2 2 2 3 2 2" xfId="29353"/>
    <cellStyle name="Milliers 2 5 2 3 2 2 2 3 2 2 2" xfId="29354"/>
    <cellStyle name="Milliers 2 5 2 3 2 2 2 3 2 3" xfId="29355"/>
    <cellStyle name="Milliers 2 5 2 3 2 2 2 3 3" xfId="29356"/>
    <cellStyle name="Milliers 2 5 2 3 2 2 2 3 3 2" xfId="29357"/>
    <cellStyle name="Milliers 2 5 2 3 2 2 2 3 4" xfId="29358"/>
    <cellStyle name="Milliers 2 5 2 3 2 2 2 4" xfId="29359"/>
    <cellStyle name="Milliers 2 5 2 3 2 2 2 4 2" xfId="29360"/>
    <cellStyle name="Milliers 2 5 2 3 2 2 2 4 2 2" xfId="29361"/>
    <cellStyle name="Milliers 2 5 2 3 2 2 2 4 3" xfId="29362"/>
    <cellStyle name="Milliers 2 5 2 3 2 2 2 5" xfId="29363"/>
    <cellStyle name="Milliers 2 5 2 3 2 2 2 5 2" xfId="29364"/>
    <cellStyle name="Milliers 2 5 2 3 2 2 2 6" xfId="29365"/>
    <cellStyle name="Milliers 2 5 2 3 2 2 3" xfId="29366"/>
    <cellStyle name="Milliers 2 5 2 3 2 2 3 2" xfId="29367"/>
    <cellStyle name="Milliers 2 5 2 3 2 2 3 2 2" xfId="29368"/>
    <cellStyle name="Milliers 2 5 2 3 2 2 3 2 2 2" xfId="29369"/>
    <cellStyle name="Milliers 2 5 2 3 2 2 3 2 2 2 2" xfId="29370"/>
    <cellStyle name="Milliers 2 5 2 3 2 2 3 2 2 3" xfId="29371"/>
    <cellStyle name="Milliers 2 5 2 3 2 2 3 2 3" xfId="29372"/>
    <cellStyle name="Milliers 2 5 2 3 2 2 3 2 3 2" xfId="29373"/>
    <cellStyle name="Milliers 2 5 2 3 2 2 3 2 4" xfId="29374"/>
    <cellStyle name="Milliers 2 5 2 3 2 2 3 3" xfId="29375"/>
    <cellStyle name="Milliers 2 5 2 3 2 2 3 3 2" xfId="29376"/>
    <cellStyle name="Milliers 2 5 2 3 2 2 3 3 2 2" xfId="29377"/>
    <cellStyle name="Milliers 2 5 2 3 2 2 3 3 3" xfId="29378"/>
    <cellStyle name="Milliers 2 5 2 3 2 2 3 4" xfId="29379"/>
    <cellStyle name="Milliers 2 5 2 3 2 2 3 4 2" xfId="29380"/>
    <cellStyle name="Milliers 2 5 2 3 2 2 3 5" xfId="29381"/>
    <cellStyle name="Milliers 2 5 2 3 2 2 4" xfId="29382"/>
    <cellStyle name="Milliers 2 5 2 3 2 2 4 2" xfId="29383"/>
    <cellStyle name="Milliers 2 5 2 3 2 2 4 2 2" xfId="29384"/>
    <cellStyle name="Milliers 2 5 2 3 2 2 4 2 2 2" xfId="29385"/>
    <cellStyle name="Milliers 2 5 2 3 2 2 4 2 3" xfId="29386"/>
    <cellStyle name="Milliers 2 5 2 3 2 2 4 3" xfId="29387"/>
    <cellStyle name="Milliers 2 5 2 3 2 2 4 3 2" xfId="29388"/>
    <cellStyle name="Milliers 2 5 2 3 2 2 4 4" xfId="29389"/>
    <cellStyle name="Milliers 2 5 2 3 2 2 5" xfId="29390"/>
    <cellStyle name="Milliers 2 5 2 3 2 2 5 2" xfId="29391"/>
    <cellStyle name="Milliers 2 5 2 3 2 2 5 2 2" xfId="29392"/>
    <cellStyle name="Milliers 2 5 2 3 2 2 5 3" xfId="29393"/>
    <cellStyle name="Milliers 2 5 2 3 2 2 6" xfId="29394"/>
    <cellStyle name="Milliers 2 5 2 3 2 2 6 2" xfId="29395"/>
    <cellStyle name="Milliers 2 5 2 3 2 2 7" xfId="29396"/>
    <cellStyle name="Milliers 2 5 2 3 2 3" xfId="29397"/>
    <cellStyle name="Milliers 2 5 2 3 2 3 2" xfId="29398"/>
    <cellStyle name="Milliers 2 5 2 3 2 3 2 2" xfId="29399"/>
    <cellStyle name="Milliers 2 5 2 3 2 3 2 2 2" xfId="29400"/>
    <cellStyle name="Milliers 2 5 2 3 2 3 2 2 2 2" xfId="29401"/>
    <cellStyle name="Milliers 2 5 2 3 2 3 2 2 2 2 2" xfId="29402"/>
    <cellStyle name="Milliers 2 5 2 3 2 3 2 2 2 3" xfId="29403"/>
    <cellStyle name="Milliers 2 5 2 3 2 3 2 2 3" xfId="29404"/>
    <cellStyle name="Milliers 2 5 2 3 2 3 2 2 3 2" xfId="29405"/>
    <cellStyle name="Milliers 2 5 2 3 2 3 2 2 4" xfId="29406"/>
    <cellStyle name="Milliers 2 5 2 3 2 3 2 3" xfId="29407"/>
    <cellStyle name="Milliers 2 5 2 3 2 3 2 3 2" xfId="29408"/>
    <cellStyle name="Milliers 2 5 2 3 2 3 2 3 2 2" xfId="29409"/>
    <cellStyle name="Milliers 2 5 2 3 2 3 2 3 3" xfId="29410"/>
    <cellStyle name="Milliers 2 5 2 3 2 3 2 4" xfId="29411"/>
    <cellStyle name="Milliers 2 5 2 3 2 3 2 4 2" xfId="29412"/>
    <cellStyle name="Milliers 2 5 2 3 2 3 2 5" xfId="29413"/>
    <cellStyle name="Milliers 2 5 2 3 2 3 3" xfId="29414"/>
    <cellStyle name="Milliers 2 5 2 3 2 3 3 2" xfId="29415"/>
    <cellStyle name="Milliers 2 5 2 3 2 3 3 2 2" xfId="29416"/>
    <cellStyle name="Milliers 2 5 2 3 2 3 3 2 2 2" xfId="29417"/>
    <cellStyle name="Milliers 2 5 2 3 2 3 3 2 3" xfId="29418"/>
    <cellStyle name="Milliers 2 5 2 3 2 3 3 3" xfId="29419"/>
    <cellStyle name="Milliers 2 5 2 3 2 3 3 3 2" xfId="29420"/>
    <cellStyle name="Milliers 2 5 2 3 2 3 3 4" xfId="29421"/>
    <cellStyle name="Milliers 2 5 2 3 2 3 4" xfId="29422"/>
    <cellStyle name="Milliers 2 5 2 3 2 3 4 2" xfId="29423"/>
    <cellStyle name="Milliers 2 5 2 3 2 3 4 2 2" xfId="29424"/>
    <cellStyle name="Milliers 2 5 2 3 2 3 4 3" xfId="29425"/>
    <cellStyle name="Milliers 2 5 2 3 2 3 5" xfId="29426"/>
    <cellStyle name="Milliers 2 5 2 3 2 3 5 2" xfId="29427"/>
    <cellStyle name="Milliers 2 5 2 3 2 3 6" xfId="29428"/>
    <cellStyle name="Milliers 2 5 2 3 2 4" xfId="29429"/>
    <cellStyle name="Milliers 2 5 2 3 2 4 2" xfId="29430"/>
    <cellStyle name="Milliers 2 5 2 3 2 4 2 2" xfId="29431"/>
    <cellStyle name="Milliers 2 5 2 3 2 4 2 2 2" xfId="29432"/>
    <cellStyle name="Milliers 2 5 2 3 2 4 2 2 2 2" xfId="29433"/>
    <cellStyle name="Milliers 2 5 2 3 2 4 2 2 3" xfId="29434"/>
    <cellStyle name="Milliers 2 5 2 3 2 4 2 3" xfId="29435"/>
    <cellStyle name="Milliers 2 5 2 3 2 4 2 3 2" xfId="29436"/>
    <cellStyle name="Milliers 2 5 2 3 2 4 2 4" xfId="29437"/>
    <cellStyle name="Milliers 2 5 2 3 2 4 3" xfId="29438"/>
    <cellStyle name="Milliers 2 5 2 3 2 4 3 2" xfId="29439"/>
    <cellStyle name="Milliers 2 5 2 3 2 4 3 2 2" xfId="29440"/>
    <cellStyle name="Milliers 2 5 2 3 2 4 3 3" xfId="29441"/>
    <cellStyle name="Milliers 2 5 2 3 2 4 4" xfId="29442"/>
    <cellStyle name="Milliers 2 5 2 3 2 4 4 2" xfId="29443"/>
    <cellStyle name="Milliers 2 5 2 3 2 4 5" xfId="29444"/>
    <cellStyle name="Milliers 2 5 2 3 2 5" xfId="29445"/>
    <cellStyle name="Milliers 2 5 2 3 2 5 2" xfId="29446"/>
    <cellStyle name="Milliers 2 5 2 3 2 5 2 2" xfId="29447"/>
    <cellStyle name="Milliers 2 5 2 3 2 5 2 2 2" xfId="29448"/>
    <cellStyle name="Milliers 2 5 2 3 2 5 2 3" xfId="29449"/>
    <cellStyle name="Milliers 2 5 2 3 2 5 3" xfId="29450"/>
    <cellStyle name="Milliers 2 5 2 3 2 5 3 2" xfId="29451"/>
    <cellStyle name="Milliers 2 5 2 3 2 5 4" xfId="29452"/>
    <cellStyle name="Milliers 2 5 2 3 2 6" xfId="29453"/>
    <cellStyle name="Milliers 2 5 2 3 2 6 2" xfId="29454"/>
    <cellStyle name="Milliers 2 5 2 3 2 6 2 2" xfId="29455"/>
    <cellStyle name="Milliers 2 5 2 3 2 6 3" xfId="29456"/>
    <cellStyle name="Milliers 2 5 2 3 2 7" xfId="29457"/>
    <cellStyle name="Milliers 2 5 2 3 2 7 2" xfId="29458"/>
    <cellStyle name="Milliers 2 5 2 3 2 8" xfId="29459"/>
    <cellStyle name="Milliers 2 5 2 3 3" xfId="29460"/>
    <cellStyle name="Milliers 2 5 2 3 3 2" xfId="29461"/>
    <cellStyle name="Milliers 2 5 2 3 3 2 2" xfId="29462"/>
    <cellStyle name="Milliers 2 5 2 3 3 2 2 2" xfId="29463"/>
    <cellStyle name="Milliers 2 5 2 3 3 2 2 2 2" xfId="29464"/>
    <cellStyle name="Milliers 2 5 2 3 3 2 2 2 2 2" xfId="29465"/>
    <cellStyle name="Milliers 2 5 2 3 3 2 2 2 2 2 2" xfId="29466"/>
    <cellStyle name="Milliers 2 5 2 3 3 2 2 2 2 3" xfId="29467"/>
    <cellStyle name="Milliers 2 5 2 3 3 2 2 2 3" xfId="29468"/>
    <cellStyle name="Milliers 2 5 2 3 3 2 2 2 3 2" xfId="29469"/>
    <cellStyle name="Milliers 2 5 2 3 3 2 2 2 4" xfId="29470"/>
    <cellStyle name="Milliers 2 5 2 3 3 2 2 3" xfId="29471"/>
    <cellStyle name="Milliers 2 5 2 3 3 2 2 3 2" xfId="29472"/>
    <cellStyle name="Milliers 2 5 2 3 3 2 2 3 2 2" xfId="29473"/>
    <cellStyle name="Milliers 2 5 2 3 3 2 2 3 3" xfId="29474"/>
    <cellStyle name="Milliers 2 5 2 3 3 2 2 4" xfId="29475"/>
    <cellStyle name="Milliers 2 5 2 3 3 2 2 4 2" xfId="29476"/>
    <cellStyle name="Milliers 2 5 2 3 3 2 2 5" xfId="29477"/>
    <cellStyle name="Milliers 2 5 2 3 3 2 3" xfId="29478"/>
    <cellStyle name="Milliers 2 5 2 3 3 2 3 2" xfId="29479"/>
    <cellStyle name="Milliers 2 5 2 3 3 2 3 2 2" xfId="29480"/>
    <cellStyle name="Milliers 2 5 2 3 3 2 3 2 2 2" xfId="29481"/>
    <cellStyle name="Milliers 2 5 2 3 3 2 3 2 3" xfId="29482"/>
    <cellStyle name="Milliers 2 5 2 3 3 2 3 3" xfId="29483"/>
    <cellStyle name="Milliers 2 5 2 3 3 2 3 3 2" xfId="29484"/>
    <cellStyle name="Milliers 2 5 2 3 3 2 3 4" xfId="29485"/>
    <cellStyle name="Milliers 2 5 2 3 3 2 4" xfId="29486"/>
    <cellStyle name="Milliers 2 5 2 3 3 2 4 2" xfId="29487"/>
    <cellStyle name="Milliers 2 5 2 3 3 2 4 2 2" xfId="29488"/>
    <cellStyle name="Milliers 2 5 2 3 3 2 4 3" xfId="29489"/>
    <cellStyle name="Milliers 2 5 2 3 3 2 5" xfId="29490"/>
    <cellStyle name="Milliers 2 5 2 3 3 2 5 2" xfId="29491"/>
    <cellStyle name="Milliers 2 5 2 3 3 2 6" xfId="29492"/>
    <cellStyle name="Milliers 2 5 2 3 3 3" xfId="29493"/>
    <cellStyle name="Milliers 2 5 2 3 3 3 2" xfId="29494"/>
    <cellStyle name="Milliers 2 5 2 3 3 3 2 2" xfId="29495"/>
    <cellStyle name="Milliers 2 5 2 3 3 3 2 2 2" xfId="29496"/>
    <cellStyle name="Milliers 2 5 2 3 3 3 2 2 2 2" xfId="29497"/>
    <cellStyle name="Milliers 2 5 2 3 3 3 2 2 3" xfId="29498"/>
    <cellStyle name="Milliers 2 5 2 3 3 3 2 3" xfId="29499"/>
    <cellStyle name="Milliers 2 5 2 3 3 3 2 3 2" xfId="29500"/>
    <cellStyle name="Milliers 2 5 2 3 3 3 2 4" xfId="29501"/>
    <cellStyle name="Milliers 2 5 2 3 3 3 3" xfId="29502"/>
    <cellStyle name="Milliers 2 5 2 3 3 3 3 2" xfId="29503"/>
    <cellStyle name="Milliers 2 5 2 3 3 3 3 2 2" xfId="29504"/>
    <cellStyle name="Milliers 2 5 2 3 3 3 3 3" xfId="29505"/>
    <cellStyle name="Milliers 2 5 2 3 3 3 4" xfId="29506"/>
    <cellStyle name="Milliers 2 5 2 3 3 3 4 2" xfId="29507"/>
    <cellStyle name="Milliers 2 5 2 3 3 3 5" xfId="29508"/>
    <cellStyle name="Milliers 2 5 2 3 3 4" xfId="29509"/>
    <cellStyle name="Milliers 2 5 2 3 3 4 2" xfId="29510"/>
    <cellStyle name="Milliers 2 5 2 3 3 4 2 2" xfId="29511"/>
    <cellStyle name="Milliers 2 5 2 3 3 4 2 2 2" xfId="29512"/>
    <cellStyle name="Milliers 2 5 2 3 3 4 2 3" xfId="29513"/>
    <cellStyle name="Milliers 2 5 2 3 3 4 3" xfId="29514"/>
    <cellStyle name="Milliers 2 5 2 3 3 4 3 2" xfId="29515"/>
    <cellStyle name="Milliers 2 5 2 3 3 4 4" xfId="29516"/>
    <cellStyle name="Milliers 2 5 2 3 3 5" xfId="29517"/>
    <cellStyle name="Milliers 2 5 2 3 3 5 2" xfId="29518"/>
    <cellStyle name="Milliers 2 5 2 3 3 5 2 2" xfId="29519"/>
    <cellStyle name="Milliers 2 5 2 3 3 5 3" xfId="29520"/>
    <cellStyle name="Milliers 2 5 2 3 3 6" xfId="29521"/>
    <cellStyle name="Milliers 2 5 2 3 3 6 2" xfId="29522"/>
    <cellStyle name="Milliers 2 5 2 3 3 7" xfId="29523"/>
    <cellStyle name="Milliers 2 5 2 3 4" xfId="29524"/>
    <cellStyle name="Milliers 2 5 2 3 4 2" xfId="29525"/>
    <cellStyle name="Milliers 2 5 2 3 4 2 2" xfId="29526"/>
    <cellStyle name="Milliers 2 5 2 3 4 2 2 2" xfId="29527"/>
    <cellStyle name="Milliers 2 5 2 3 4 2 2 2 2" xfId="29528"/>
    <cellStyle name="Milliers 2 5 2 3 4 2 2 2 2 2" xfId="29529"/>
    <cellStyle name="Milliers 2 5 2 3 4 2 2 2 3" xfId="29530"/>
    <cellStyle name="Milliers 2 5 2 3 4 2 2 3" xfId="29531"/>
    <cellStyle name="Milliers 2 5 2 3 4 2 2 3 2" xfId="29532"/>
    <cellStyle name="Milliers 2 5 2 3 4 2 2 4" xfId="29533"/>
    <cellStyle name="Milliers 2 5 2 3 4 2 3" xfId="29534"/>
    <cellStyle name="Milliers 2 5 2 3 4 2 3 2" xfId="29535"/>
    <cellStyle name="Milliers 2 5 2 3 4 2 3 2 2" xfId="29536"/>
    <cellStyle name="Milliers 2 5 2 3 4 2 3 3" xfId="29537"/>
    <cellStyle name="Milliers 2 5 2 3 4 2 4" xfId="29538"/>
    <cellStyle name="Milliers 2 5 2 3 4 2 4 2" xfId="29539"/>
    <cellStyle name="Milliers 2 5 2 3 4 2 5" xfId="29540"/>
    <cellStyle name="Milliers 2 5 2 3 4 3" xfId="29541"/>
    <cellStyle name="Milliers 2 5 2 3 4 3 2" xfId="29542"/>
    <cellStyle name="Milliers 2 5 2 3 4 3 2 2" xfId="29543"/>
    <cellStyle name="Milliers 2 5 2 3 4 3 2 2 2" xfId="29544"/>
    <cellStyle name="Milliers 2 5 2 3 4 3 2 3" xfId="29545"/>
    <cellStyle name="Milliers 2 5 2 3 4 3 3" xfId="29546"/>
    <cellStyle name="Milliers 2 5 2 3 4 3 3 2" xfId="29547"/>
    <cellStyle name="Milliers 2 5 2 3 4 3 4" xfId="29548"/>
    <cellStyle name="Milliers 2 5 2 3 4 4" xfId="29549"/>
    <cellStyle name="Milliers 2 5 2 3 4 4 2" xfId="29550"/>
    <cellStyle name="Milliers 2 5 2 3 4 4 2 2" xfId="29551"/>
    <cellStyle name="Milliers 2 5 2 3 4 4 3" xfId="29552"/>
    <cellStyle name="Milliers 2 5 2 3 4 5" xfId="29553"/>
    <cellStyle name="Milliers 2 5 2 3 4 5 2" xfId="29554"/>
    <cellStyle name="Milliers 2 5 2 3 4 6" xfId="29555"/>
    <cellStyle name="Milliers 2 5 2 3 5" xfId="29556"/>
    <cellStyle name="Milliers 2 5 2 3 5 2" xfId="29557"/>
    <cellStyle name="Milliers 2 5 2 3 5 2 2" xfId="29558"/>
    <cellStyle name="Milliers 2 5 2 3 5 2 2 2" xfId="29559"/>
    <cellStyle name="Milliers 2 5 2 3 5 2 2 2 2" xfId="29560"/>
    <cellStyle name="Milliers 2 5 2 3 5 2 2 3" xfId="29561"/>
    <cellStyle name="Milliers 2 5 2 3 5 2 3" xfId="29562"/>
    <cellStyle name="Milliers 2 5 2 3 5 2 3 2" xfId="29563"/>
    <cellStyle name="Milliers 2 5 2 3 5 2 4" xfId="29564"/>
    <cellStyle name="Milliers 2 5 2 3 5 3" xfId="29565"/>
    <cellStyle name="Milliers 2 5 2 3 5 3 2" xfId="29566"/>
    <cellStyle name="Milliers 2 5 2 3 5 3 2 2" xfId="29567"/>
    <cellStyle name="Milliers 2 5 2 3 5 3 3" xfId="29568"/>
    <cellStyle name="Milliers 2 5 2 3 5 4" xfId="29569"/>
    <cellStyle name="Milliers 2 5 2 3 5 4 2" xfId="29570"/>
    <cellStyle name="Milliers 2 5 2 3 5 5" xfId="29571"/>
    <cellStyle name="Milliers 2 5 2 3 6" xfId="29572"/>
    <cellStyle name="Milliers 2 5 2 3 6 2" xfId="29573"/>
    <cellStyle name="Milliers 2 5 2 3 6 2 2" xfId="29574"/>
    <cellStyle name="Milliers 2 5 2 3 6 2 2 2" xfId="29575"/>
    <cellStyle name="Milliers 2 5 2 3 6 2 3" xfId="29576"/>
    <cellStyle name="Milliers 2 5 2 3 6 3" xfId="29577"/>
    <cellStyle name="Milliers 2 5 2 3 6 3 2" xfId="29578"/>
    <cellStyle name="Milliers 2 5 2 3 6 4" xfId="29579"/>
    <cellStyle name="Milliers 2 5 2 3 7" xfId="29580"/>
    <cellStyle name="Milliers 2 5 2 3 7 2" xfId="29581"/>
    <cellStyle name="Milliers 2 5 2 3 7 2 2" xfId="29582"/>
    <cellStyle name="Milliers 2 5 2 3 7 3" xfId="29583"/>
    <cellStyle name="Milliers 2 5 2 3 8" xfId="29584"/>
    <cellStyle name="Milliers 2 5 2 3 8 2" xfId="29585"/>
    <cellStyle name="Milliers 2 5 2 3 9" xfId="29586"/>
    <cellStyle name="Milliers 2 5 2 4" xfId="29587"/>
    <cellStyle name="Milliers 2 5 2 4 2" xfId="29588"/>
    <cellStyle name="Milliers 2 5 2 4 2 2" xfId="29589"/>
    <cellStyle name="Milliers 2 5 2 4 2 2 2" xfId="29590"/>
    <cellStyle name="Milliers 2 5 2 4 2 2 2 2" xfId="29591"/>
    <cellStyle name="Milliers 2 5 2 4 2 2 2 2 2" xfId="29592"/>
    <cellStyle name="Milliers 2 5 2 4 2 2 2 2 2 2" xfId="29593"/>
    <cellStyle name="Milliers 2 5 2 4 2 2 2 2 2 2 2" xfId="29594"/>
    <cellStyle name="Milliers 2 5 2 4 2 2 2 2 2 3" xfId="29595"/>
    <cellStyle name="Milliers 2 5 2 4 2 2 2 2 3" xfId="29596"/>
    <cellStyle name="Milliers 2 5 2 4 2 2 2 2 3 2" xfId="29597"/>
    <cellStyle name="Milliers 2 5 2 4 2 2 2 2 4" xfId="29598"/>
    <cellStyle name="Milliers 2 5 2 4 2 2 2 3" xfId="29599"/>
    <cellStyle name="Milliers 2 5 2 4 2 2 2 3 2" xfId="29600"/>
    <cellStyle name="Milliers 2 5 2 4 2 2 2 3 2 2" xfId="29601"/>
    <cellStyle name="Milliers 2 5 2 4 2 2 2 3 3" xfId="29602"/>
    <cellStyle name="Milliers 2 5 2 4 2 2 2 4" xfId="29603"/>
    <cellStyle name="Milliers 2 5 2 4 2 2 2 4 2" xfId="29604"/>
    <cellStyle name="Milliers 2 5 2 4 2 2 2 5" xfId="29605"/>
    <cellStyle name="Milliers 2 5 2 4 2 2 3" xfId="29606"/>
    <cellStyle name="Milliers 2 5 2 4 2 2 3 2" xfId="29607"/>
    <cellStyle name="Milliers 2 5 2 4 2 2 3 2 2" xfId="29608"/>
    <cellStyle name="Milliers 2 5 2 4 2 2 3 2 2 2" xfId="29609"/>
    <cellStyle name="Milliers 2 5 2 4 2 2 3 2 3" xfId="29610"/>
    <cellStyle name="Milliers 2 5 2 4 2 2 3 3" xfId="29611"/>
    <cellStyle name="Milliers 2 5 2 4 2 2 3 3 2" xfId="29612"/>
    <cellStyle name="Milliers 2 5 2 4 2 2 3 4" xfId="29613"/>
    <cellStyle name="Milliers 2 5 2 4 2 2 4" xfId="29614"/>
    <cellStyle name="Milliers 2 5 2 4 2 2 4 2" xfId="29615"/>
    <cellStyle name="Milliers 2 5 2 4 2 2 4 2 2" xfId="29616"/>
    <cellStyle name="Milliers 2 5 2 4 2 2 4 3" xfId="29617"/>
    <cellStyle name="Milliers 2 5 2 4 2 2 5" xfId="29618"/>
    <cellStyle name="Milliers 2 5 2 4 2 2 5 2" xfId="29619"/>
    <cellStyle name="Milliers 2 5 2 4 2 2 6" xfId="29620"/>
    <cellStyle name="Milliers 2 5 2 4 2 3" xfId="29621"/>
    <cellStyle name="Milliers 2 5 2 4 2 3 2" xfId="29622"/>
    <cellStyle name="Milliers 2 5 2 4 2 3 2 2" xfId="29623"/>
    <cellStyle name="Milliers 2 5 2 4 2 3 2 2 2" xfId="29624"/>
    <cellStyle name="Milliers 2 5 2 4 2 3 2 2 2 2" xfId="29625"/>
    <cellStyle name="Milliers 2 5 2 4 2 3 2 2 3" xfId="29626"/>
    <cellStyle name="Milliers 2 5 2 4 2 3 2 3" xfId="29627"/>
    <cellStyle name="Milliers 2 5 2 4 2 3 2 3 2" xfId="29628"/>
    <cellStyle name="Milliers 2 5 2 4 2 3 2 4" xfId="29629"/>
    <cellStyle name="Milliers 2 5 2 4 2 3 3" xfId="29630"/>
    <cellStyle name="Milliers 2 5 2 4 2 3 3 2" xfId="29631"/>
    <cellStyle name="Milliers 2 5 2 4 2 3 3 2 2" xfId="29632"/>
    <cellStyle name="Milliers 2 5 2 4 2 3 3 3" xfId="29633"/>
    <cellStyle name="Milliers 2 5 2 4 2 3 4" xfId="29634"/>
    <cellStyle name="Milliers 2 5 2 4 2 3 4 2" xfId="29635"/>
    <cellStyle name="Milliers 2 5 2 4 2 3 5" xfId="29636"/>
    <cellStyle name="Milliers 2 5 2 4 2 4" xfId="29637"/>
    <cellStyle name="Milliers 2 5 2 4 2 4 2" xfId="29638"/>
    <cellStyle name="Milliers 2 5 2 4 2 4 2 2" xfId="29639"/>
    <cellStyle name="Milliers 2 5 2 4 2 4 2 2 2" xfId="29640"/>
    <cellStyle name="Milliers 2 5 2 4 2 4 2 3" xfId="29641"/>
    <cellStyle name="Milliers 2 5 2 4 2 4 3" xfId="29642"/>
    <cellStyle name="Milliers 2 5 2 4 2 4 3 2" xfId="29643"/>
    <cellStyle name="Milliers 2 5 2 4 2 4 4" xfId="29644"/>
    <cellStyle name="Milliers 2 5 2 4 2 5" xfId="29645"/>
    <cellStyle name="Milliers 2 5 2 4 2 5 2" xfId="29646"/>
    <cellStyle name="Milliers 2 5 2 4 2 5 2 2" xfId="29647"/>
    <cellStyle name="Milliers 2 5 2 4 2 5 3" xfId="29648"/>
    <cellStyle name="Milliers 2 5 2 4 2 6" xfId="29649"/>
    <cellStyle name="Milliers 2 5 2 4 2 6 2" xfId="29650"/>
    <cellStyle name="Milliers 2 5 2 4 2 7" xfId="29651"/>
    <cellStyle name="Milliers 2 5 2 4 3" xfId="29652"/>
    <cellStyle name="Milliers 2 5 2 4 3 2" xfId="29653"/>
    <cellStyle name="Milliers 2 5 2 4 3 2 2" xfId="29654"/>
    <cellStyle name="Milliers 2 5 2 4 3 2 2 2" xfId="29655"/>
    <cellStyle name="Milliers 2 5 2 4 3 2 2 2 2" xfId="29656"/>
    <cellStyle name="Milliers 2 5 2 4 3 2 2 2 2 2" xfId="29657"/>
    <cellStyle name="Milliers 2 5 2 4 3 2 2 2 3" xfId="29658"/>
    <cellStyle name="Milliers 2 5 2 4 3 2 2 3" xfId="29659"/>
    <cellStyle name="Milliers 2 5 2 4 3 2 2 3 2" xfId="29660"/>
    <cellStyle name="Milliers 2 5 2 4 3 2 2 4" xfId="29661"/>
    <cellStyle name="Milliers 2 5 2 4 3 2 3" xfId="29662"/>
    <cellStyle name="Milliers 2 5 2 4 3 2 3 2" xfId="29663"/>
    <cellStyle name="Milliers 2 5 2 4 3 2 3 2 2" xfId="29664"/>
    <cellStyle name="Milliers 2 5 2 4 3 2 3 3" xfId="29665"/>
    <cellStyle name="Milliers 2 5 2 4 3 2 4" xfId="29666"/>
    <cellStyle name="Milliers 2 5 2 4 3 2 4 2" xfId="29667"/>
    <cellStyle name="Milliers 2 5 2 4 3 2 5" xfId="29668"/>
    <cellStyle name="Milliers 2 5 2 4 3 3" xfId="29669"/>
    <cellStyle name="Milliers 2 5 2 4 3 3 2" xfId="29670"/>
    <cellStyle name="Milliers 2 5 2 4 3 3 2 2" xfId="29671"/>
    <cellStyle name="Milliers 2 5 2 4 3 3 2 2 2" xfId="29672"/>
    <cellStyle name="Milliers 2 5 2 4 3 3 2 3" xfId="29673"/>
    <cellStyle name="Milliers 2 5 2 4 3 3 3" xfId="29674"/>
    <cellStyle name="Milliers 2 5 2 4 3 3 3 2" xfId="29675"/>
    <cellStyle name="Milliers 2 5 2 4 3 3 4" xfId="29676"/>
    <cellStyle name="Milliers 2 5 2 4 3 4" xfId="29677"/>
    <cellStyle name="Milliers 2 5 2 4 3 4 2" xfId="29678"/>
    <cellStyle name="Milliers 2 5 2 4 3 4 2 2" xfId="29679"/>
    <cellStyle name="Milliers 2 5 2 4 3 4 3" xfId="29680"/>
    <cellStyle name="Milliers 2 5 2 4 3 5" xfId="29681"/>
    <cellStyle name="Milliers 2 5 2 4 3 5 2" xfId="29682"/>
    <cellStyle name="Milliers 2 5 2 4 3 6" xfId="29683"/>
    <cellStyle name="Milliers 2 5 2 4 4" xfId="29684"/>
    <cellStyle name="Milliers 2 5 2 4 4 2" xfId="29685"/>
    <cellStyle name="Milliers 2 5 2 4 4 2 2" xfId="29686"/>
    <cellStyle name="Milliers 2 5 2 4 4 2 2 2" xfId="29687"/>
    <cellStyle name="Milliers 2 5 2 4 4 2 2 2 2" xfId="29688"/>
    <cellStyle name="Milliers 2 5 2 4 4 2 2 3" xfId="29689"/>
    <cellStyle name="Milliers 2 5 2 4 4 2 3" xfId="29690"/>
    <cellStyle name="Milliers 2 5 2 4 4 2 3 2" xfId="29691"/>
    <cellStyle name="Milliers 2 5 2 4 4 2 4" xfId="29692"/>
    <cellStyle name="Milliers 2 5 2 4 4 3" xfId="29693"/>
    <cellStyle name="Milliers 2 5 2 4 4 3 2" xfId="29694"/>
    <cellStyle name="Milliers 2 5 2 4 4 3 2 2" xfId="29695"/>
    <cellStyle name="Milliers 2 5 2 4 4 3 3" xfId="29696"/>
    <cellStyle name="Milliers 2 5 2 4 4 4" xfId="29697"/>
    <cellStyle name="Milliers 2 5 2 4 4 4 2" xfId="29698"/>
    <cellStyle name="Milliers 2 5 2 4 4 5" xfId="29699"/>
    <cellStyle name="Milliers 2 5 2 4 5" xfId="29700"/>
    <cellStyle name="Milliers 2 5 2 4 5 2" xfId="29701"/>
    <cellStyle name="Milliers 2 5 2 4 5 2 2" xfId="29702"/>
    <cellStyle name="Milliers 2 5 2 4 5 2 2 2" xfId="29703"/>
    <cellStyle name="Milliers 2 5 2 4 5 2 3" xfId="29704"/>
    <cellStyle name="Milliers 2 5 2 4 5 3" xfId="29705"/>
    <cellStyle name="Milliers 2 5 2 4 5 3 2" xfId="29706"/>
    <cellStyle name="Milliers 2 5 2 4 5 4" xfId="29707"/>
    <cellStyle name="Milliers 2 5 2 4 6" xfId="29708"/>
    <cellStyle name="Milliers 2 5 2 4 6 2" xfId="29709"/>
    <cellStyle name="Milliers 2 5 2 4 6 2 2" xfId="29710"/>
    <cellStyle name="Milliers 2 5 2 4 6 3" xfId="29711"/>
    <cellStyle name="Milliers 2 5 2 4 7" xfId="29712"/>
    <cellStyle name="Milliers 2 5 2 4 7 2" xfId="29713"/>
    <cellStyle name="Milliers 2 5 2 4 8" xfId="29714"/>
    <cellStyle name="Milliers 2 5 2 5" xfId="29715"/>
    <cellStyle name="Milliers 2 5 2 5 2" xfId="29716"/>
    <cellStyle name="Milliers 2 5 2 5 2 2" xfId="29717"/>
    <cellStyle name="Milliers 2 5 2 5 2 2 2" xfId="29718"/>
    <cellStyle name="Milliers 2 5 2 5 2 2 2 2" xfId="29719"/>
    <cellStyle name="Milliers 2 5 2 5 2 2 2 2 2" xfId="29720"/>
    <cellStyle name="Milliers 2 5 2 5 2 2 2 2 2 2" xfId="29721"/>
    <cellStyle name="Milliers 2 5 2 5 2 2 2 2 3" xfId="29722"/>
    <cellStyle name="Milliers 2 5 2 5 2 2 2 3" xfId="29723"/>
    <cellStyle name="Milliers 2 5 2 5 2 2 2 3 2" xfId="29724"/>
    <cellStyle name="Milliers 2 5 2 5 2 2 2 4" xfId="29725"/>
    <cellStyle name="Milliers 2 5 2 5 2 2 3" xfId="29726"/>
    <cellStyle name="Milliers 2 5 2 5 2 2 3 2" xfId="29727"/>
    <cellStyle name="Milliers 2 5 2 5 2 2 3 2 2" xfId="29728"/>
    <cellStyle name="Milliers 2 5 2 5 2 2 3 3" xfId="29729"/>
    <cellStyle name="Milliers 2 5 2 5 2 2 4" xfId="29730"/>
    <cellStyle name="Milliers 2 5 2 5 2 2 4 2" xfId="29731"/>
    <cellStyle name="Milliers 2 5 2 5 2 2 5" xfId="29732"/>
    <cellStyle name="Milliers 2 5 2 5 2 3" xfId="29733"/>
    <cellStyle name="Milliers 2 5 2 5 2 3 2" xfId="29734"/>
    <cellStyle name="Milliers 2 5 2 5 2 3 2 2" xfId="29735"/>
    <cellStyle name="Milliers 2 5 2 5 2 3 2 2 2" xfId="29736"/>
    <cellStyle name="Milliers 2 5 2 5 2 3 2 3" xfId="29737"/>
    <cellStyle name="Milliers 2 5 2 5 2 3 3" xfId="29738"/>
    <cellStyle name="Milliers 2 5 2 5 2 3 3 2" xfId="29739"/>
    <cellStyle name="Milliers 2 5 2 5 2 3 4" xfId="29740"/>
    <cellStyle name="Milliers 2 5 2 5 2 4" xfId="29741"/>
    <cellStyle name="Milliers 2 5 2 5 2 4 2" xfId="29742"/>
    <cellStyle name="Milliers 2 5 2 5 2 4 2 2" xfId="29743"/>
    <cellStyle name="Milliers 2 5 2 5 2 4 3" xfId="29744"/>
    <cellStyle name="Milliers 2 5 2 5 2 5" xfId="29745"/>
    <cellStyle name="Milliers 2 5 2 5 2 5 2" xfId="29746"/>
    <cellStyle name="Milliers 2 5 2 5 2 6" xfId="29747"/>
    <cellStyle name="Milliers 2 5 2 5 3" xfId="29748"/>
    <cellStyle name="Milliers 2 5 2 5 3 2" xfId="29749"/>
    <cellStyle name="Milliers 2 5 2 5 3 2 2" xfId="29750"/>
    <cellStyle name="Milliers 2 5 2 5 3 2 2 2" xfId="29751"/>
    <cellStyle name="Milliers 2 5 2 5 3 2 2 2 2" xfId="29752"/>
    <cellStyle name="Milliers 2 5 2 5 3 2 2 3" xfId="29753"/>
    <cellStyle name="Milliers 2 5 2 5 3 2 3" xfId="29754"/>
    <cellStyle name="Milliers 2 5 2 5 3 2 3 2" xfId="29755"/>
    <cellStyle name="Milliers 2 5 2 5 3 2 4" xfId="29756"/>
    <cellStyle name="Milliers 2 5 2 5 3 3" xfId="29757"/>
    <cellStyle name="Milliers 2 5 2 5 3 3 2" xfId="29758"/>
    <cellStyle name="Milliers 2 5 2 5 3 3 2 2" xfId="29759"/>
    <cellStyle name="Milliers 2 5 2 5 3 3 3" xfId="29760"/>
    <cellStyle name="Milliers 2 5 2 5 3 4" xfId="29761"/>
    <cellStyle name="Milliers 2 5 2 5 3 4 2" xfId="29762"/>
    <cellStyle name="Milliers 2 5 2 5 3 5" xfId="29763"/>
    <cellStyle name="Milliers 2 5 2 5 4" xfId="29764"/>
    <cellStyle name="Milliers 2 5 2 5 4 2" xfId="29765"/>
    <cellStyle name="Milliers 2 5 2 5 4 2 2" xfId="29766"/>
    <cellStyle name="Milliers 2 5 2 5 4 2 2 2" xfId="29767"/>
    <cellStyle name="Milliers 2 5 2 5 4 2 3" xfId="29768"/>
    <cellStyle name="Milliers 2 5 2 5 4 3" xfId="29769"/>
    <cellStyle name="Milliers 2 5 2 5 4 3 2" xfId="29770"/>
    <cellStyle name="Milliers 2 5 2 5 4 4" xfId="29771"/>
    <cellStyle name="Milliers 2 5 2 5 5" xfId="29772"/>
    <cellStyle name="Milliers 2 5 2 5 5 2" xfId="29773"/>
    <cellStyle name="Milliers 2 5 2 5 5 2 2" xfId="29774"/>
    <cellStyle name="Milliers 2 5 2 5 5 3" xfId="29775"/>
    <cellStyle name="Milliers 2 5 2 5 6" xfId="29776"/>
    <cellStyle name="Milliers 2 5 2 5 6 2" xfId="29777"/>
    <cellStyle name="Milliers 2 5 2 5 7" xfId="29778"/>
    <cellStyle name="Milliers 2 5 2 6" xfId="29779"/>
    <cellStyle name="Milliers 2 5 2 6 2" xfId="29780"/>
    <cellStyle name="Milliers 2 5 2 6 2 2" xfId="29781"/>
    <cellStyle name="Milliers 2 5 2 6 2 2 2" xfId="29782"/>
    <cellStyle name="Milliers 2 5 2 6 2 2 2 2" xfId="29783"/>
    <cellStyle name="Milliers 2 5 2 6 2 2 2 2 2" xfId="29784"/>
    <cellStyle name="Milliers 2 5 2 6 2 2 2 3" xfId="29785"/>
    <cellStyle name="Milliers 2 5 2 6 2 2 3" xfId="29786"/>
    <cellStyle name="Milliers 2 5 2 6 2 2 3 2" xfId="29787"/>
    <cellStyle name="Milliers 2 5 2 6 2 2 4" xfId="29788"/>
    <cellStyle name="Milliers 2 5 2 6 2 3" xfId="29789"/>
    <cellStyle name="Milliers 2 5 2 6 2 3 2" xfId="29790"/>
    <cellStyle name="Milliers 2 5 2 6 2 3 2 2" xfId="29791"/>
    <cellStyle name="Milliers 2 5 2 6 2 3 3" xfId="29792"/>
    <cellStyle name="Milliers 2 5 2 6 2 4" xfId="29793"/>
    <cellStyle name="Milliers 2 5 2 6 2 4 2" xfId="29794"/>
    <cellStyle name="Milliers 2 5 2 6 2 5" xfId="29795"/>
    <cellStyle name="Milliers 2 5 2 6 3" xfId="29796"/>
    <cellStyle name="Milliers 2 5 2 6 3 2" xfId="29797"/>
    <cellStyle name="Milliers 2 5 2 6 3 2 2" xfId="29798"/>
    <cellStyle name="Milliers 2 5 2 6 3 2 2 2" xfId="29799"/>
    <cellStyle name="Milliers 2 5 2 6 3 2 3" xfId="29800"/>
    <cellStyle name="Milliers 2 5 2 6 3 3" xfId="29801"/>
    <cellStyle name="Milliers 2 5 2 6 3 3 2" xfId="29802"/>
    <cellStyle name="Milliers 2 5 2 6 3 4" xfId="29803"/>
    <cellStyle name="Milliers 2 5 2 6 4" xfId="29804"/>
    <cellStyle name="Milliers 2 5 2 6 4 2" xfId="29805"/>
    <cellStyle name="Milliers 2 5 2 6 4 2 2" xfId="29806"/>
    <cellStyle name="Milliers 2 5 2 6 4 3" xfId="29807"/>
    <cellStyle name="Milliers 2 5 2 6 5" xfId="29808"/>
    <cellStyle name="Milliers 2 5 2 6 5 2" xfId="29809"/>
    <cellStyle name="Milliers 2 5 2 6 6" xfId="29810"/>
    <cellStyle name="Milliers 2 5 2 7" xfId="29811"/>
    <cellStyle name="Milliers 2 5 2 7 2" xfId="29812"/>
    <cellStyle name="Milliers 2 5 2 7 2 2" xfId="29813"/>
    <cellStyle name="Milliers 2 5 2 7 2 2 2" xfId="29814"/>
    <cellStyle name="Milliers 2 5 2 7 2 2 2 2" xfId="29815"/>
    <cellStyle name="Milliers 2 5 2 7 2 2 3" xfId="29816"/>
    <cellStyle name="Milliers 2 5 2 7 2 3" xfId="29817"/>
    <cellStyle name="Milliers 2 5 2 7 2 3 2" xfId="29818"/>
    <cellStyle name="Milliers 2 5 2 7 2 4" xfId="29819"/>
    <cellStyle name="Milliers 2 5 2 7 3" xfId="29820"/>
    <cellStyle name="Milliers 2 5 2 7 3 2" xfId="29821"/>
    <cellStyle name="Milliers 2 5 2 7 3 2 2" xfId="29822"/>
    <cellStyle name="Milliers 2 5 2 7 3 3" xfId="29823"/>
    <cellStyle name="Milliers 2 5 2 7 4" xfId="29824"/>
    <cellStyle name="Milliers 2 5 2 7 4 2" xfId="29825"/>
    <cellStyle name="Milliers 2 5 2 7 5" xfId="29826"/>
    <cellStyle name="Milliers 2 5 2 8" xfId="29827"/>
    <cellStyle name="Milliers 2 5 2 8 2" xfId="29828"/>
    <cellStyle name="Milliers 2 5 2 8 2 2" xfId="29829"/>
    <cellStyle name="Milliers 2 5 2 8 2 2 2" xfId="29830"/>
    <cellStyle name="Milliers 2 5 2 8 2 3" xfId="29831"/>
    <cellStyle name="Milliers 2 5 2 8 3" xfId="29832"/>
    <cellStyle name="Milliers 2 5 2 8 3 2" xfId="29833"/>
    <cellStyle name="Milliers 2 5 2 8 4" xfId="29834"/>
    <cellStyle name="Milliers 2 5 2 9" xfId="29835"/>
    <cellStyle name="Milliers 2 5 2 9 2" xfId="29836"/>
    <cellStyle name="Milliers 2 5 2 9 2 2" xfId="29837"/>
    <cellStyle name="Milliers 2 5 2 9 3" xfId="29838"/>
    <cellStyle name="Milliers 2 5 3" xfId="29839"/>
    <cellStyle name="Milliers 2 5 3 10" xfId="29840"/>
    <cellStyle name="Milliers 2 5 3 2" xfId="29841"/>
    <cellStyle name="Milliers 2 5 3 2 2" xfId="29842"/>
    <cellStyle name="Milliers 2 5 3 2 2 2" xfId="29843"/>
    <cellStyle name="Milliers 2 5 3 2 2 2 2" xfId="29844"/>
    <cellStyle name="Milliers 2 5 3 2 2 2 2 2" xfId="29845"/>
    <cellStyle name="Milliers 2 5 3 2 2 2 2 2 2" xfId="29846"/>
    <cellStyle name="Milliers 2 5 3 2 2 2 2 2 2 2" xfId="29847"/>
    <cellStyle name="Milliers 2 5 3 2 2 2 2 2 2 2 2" xfId="29848"/>
    <cellStyle name="Milliers 2 5 3 2 2 2 2 2 2 2 2 2" xfId="29849"/>
    <cellStyle name="Milliers 2 5 3 2 2 2 2 2 2 2 3" xfId="29850"/>
    <cellStyle name="Milliers 2 5 3 2 2 2 2 2 2 3" xfId="29851"/>
    <cellStyle name="Milliers 2 5 3 2 2 2 2 2 2 3 2" xfId="29852"/>
    <cellStyle name="Milliers 2 5 3 2 2 2 2 2 2 4" xfId="29853"/>
    <cellStyle name="Milliers 2 5 3 2 2 2 2 2 3" xfId="29854"/>
    <cellStyle name="Milliers 2 5 3 2 2 2 2 2 3 2" xfId="29855"/>
    <cellStyle name="Milliers 2 5 3 2 2 2 2 2 3 2 2" xfId="29856"/>
    <cellStyle name="Milliers 2 5 3 2 2 2 2 2 3 3" xfId="29857"/>
    <cellStyle name="Milliers 2 5 3 2 2 2 2 2 4" xfId="29858"/>
    <cellStyle name="Milliers 2 5 3 2 2 2 2 2 4 2" xfId="29859"/>
    <cellStyle name="Milliers 2 5 3 2 2 2 2 2 5" xfId="29860"/>
    <cellStyle name="Milliers 2 5 3 2 2 2 2 3" xfId="29861"/>
    <cellStyle name="Milliers 2 5 3 2 2 2 2 3 2" xfId="29862"/>
    <cellStyle name="Milliers 2 5 3 2 2 2 2 3 2 2" xfId="29863"/>
    <cellStyle name="Milliers 2 5 3 2 2 2 2 3 2 2 2" xfId="29864"/>
    <cellStyle name="Milliers 2 5 3 2 2 2 2 3 2 3" xfId="29865"/>
    <cellStyle name="Milliers 2 5 3 2 2 2 2 3 3" xfId="29866"/>
    <cellStyle name="Milliers 2 5 3 2 2 2 2 3 3 2" xfId="29867"/>
    <cellStyle name="Milliers 2 5 3 2 2 2 2 3 4" xfId="29868"/>
    <cellStyle name="Milliers 2 5 3 2 2 2 2 4" xfId="29869"/>
    <cellStyle name="Milliers 2 5 3 2 2 2 2 4 2" xfId="29870"/>
    <cellStyle name="Milliers 2 5 3 2 2 2 2 4 2 2" xfId="29871"/>
    <cellStyle name="Milliers 2 5 3 2 2 2 2 4 3" xfId="29872"/>
    <cellStyle name="Milliers 2 5 3 2 2 2 2 5" xfId="29873"/>
    <cellStyle name="Milliers 2 5 3 2 2 2 2 5 2" xfId="29874"/>
    <cellStyle name="Milliers 2 5 3 2 2 2 2 6" xfId="29875"/>
    <cellStyle name="Milliers 2 5 3 2 2 2 3" xfId="29876"/>
    <cellStyle name="Milliers 2 5 3 2 2 2 3 2" xfId="29877"/>
    <cellStyle name="Milliers 2 5 3 2 2 2 3 2 2" xfId="29878"/>
    <cellStyle name="Milliers 2 5 3 2 2 2 3 2 2 2" xfId="29879"/>
    <cellStyle name="Milliers 2 5 3 2 2 2 3 2 2 2 2" xfId="29880"/>
    <cellStyle name="Milliers 2 5 3 2 2 2 3 2 2 3" xfId="29881"/>
    <cellStyle name="Milliers 2 5 3 2 2 2 3 2 3" xfId="29882"/>
    <cellStyle name="Milliers 2 5 3 2 2 2 3 2 3 2" xfId="29883"/>
    <cellStyle name="Milliers 2 5 3 2 2 2 3 2 4" xfId="29884"/>
    <cellStyle name="Milliers 2 5 3 2 2 2 3 3" xfId="29885"/>
    <cellStyle name="Milliers 2 5 3 2 2 2 3 3 2" xfId="29886"/>
    <cellStyle name="Milliers 2 5 3 2 2 2 3 3 2 2" xfId="29887"/>
    <cellStyle name="Milliers 2 5 3 2 2 2 3 3 3" xfId="29888"/>
    <cellStyle name="Milliers 2 5 3 2 2 2 3 4" xfId="29889"/>
    <cellStyle name="Milliers 2 5 3 2 2 2 3 4 2" xfId="29890"/>
    <cellStyle name="Milliers 2 5 3 2 2 2 3 5" xfId="29891"/>
    <cellStyle name="Milliers 2 5 3 2 2 2 4" xfId="29892"/>
    <cellStyle name="Milliers 2 5 3 2 2 2 4 2" xfId="29893"/>
    <cellStyle name="Milliers 2 5 3 2 2 2 4 2 2" xfId="29894"/>
    <cellStyle name="Milliers 2 5 3 2 2 2 4 2 2 2" xfId="29895"/>
    <cellStyle name="Milliers 2 5 3 2 2 2 4 2 3" xfId="29896"/>
    <cellStyle name="Milliers 2 5 3 2 2 2 4 3" xfId="29897"/>
    <cellStyle name="Milliers 2 5 3 2 2 2 4 3 2" xfId="29898"/>
    <cellStyle name="Milliers 2 5 3 2 2 2 4 4" xfId="29899"/>
    <cellStyle name="Milliers 2 5 3 2 2 2 5" xfId="29900"/>
    <cellStyle name="Milliers 2 5 3 2 2 2 5 2" xfId="29901"/>
    <cellStyle name="Milliers 2 5 3 2 2 2 5 2 2" xfId="29902"/>
    <cellStyle name="Milliers 2 5 3 2 2 2 5 3" xfId="29903"/>
    <cellStyle name="Milliers 2 5 3 2 2 2 6" xfId="29904"/>
    <cellStyle name="Milliers 2 5 3 2 2 2 6 2" xfId="29905"/>
    <cellStyle name="Milliers 2 5 3 2 2 2 7" xfId="29906"/>
    <cellStyle name="Milliers 2 5 3 2 2 3" xfId="29907"/>
    <cellStyle name="Milliers 2 5 3 2 2 3 2" xfId="29908"/>
    <cellStyle name="Milliers 2 5 3 2 2 3 2 2" xfId="29909"/>
    <cellStyle name="Milliers 2 5 3 2 2 3 2 2 2" xfId="29910"/>
    <cellStyle name="Milliers 2 5 3 2 2 3 2 2 2 2" xfId="29911"/>
    <cellStyle name="Milliers 2 5 3 2 2 3 2 2 2 2 2" xfId="29912"/>
    <cellStyle name="Milliers 2 5 3 2 2 3 2 2 2 3" xfId="29913"/>
    <cellStyle name="Milliers 2 5 3 2 2 3 2 2 3" xfId="29914"/>
    <cellStyle name="Milliers 2 5 3 2 2 3 2 2 3 2" xfId="29915"/>
    <cellStyle name="Milliers 2 5 3 2 2 3 2 2 4" xfId="29916"/>
    <cellStyle name="Milliers 2 5 3 2 2 3 2 3" xfId="29917"/>
    <cellStyle name="Milliers 2 5 3 2 2 3 2 3 2" xfId="29918"/>
    <cellStyle name="Milliers 2 5 3 2 2 3 2 3 2 2" xfId="29919"/>
    <cellStyle name="Milliers 2 5 3 2 2 3 2 3 3" xfId="29920"/>
    <cellStyle name="Milliers 2 5 3 2 2 3 2 4" xfId="29921"/>
    <cellStyle name="Milliers 2 5 3 2 2 3 2 4 2" xfId="29922"/>
    <cellStyle name="Milliers 2 5 3 2 2 3 2 5" xfId="29923"/>
    <cellStyle name="Milliers 2 5 3 2 2 3 3" xfId="29924"/>
    <cellStyle name="Milliers 2 5 3 2 2 3 3 2" xfId="29925"/>
    <cellStyle name="Milliers 2 5 3 2 2 3 3 2 2" xfId="29926"/>
    <cellStyle name="Milliers 2 5 3 2 2 3 3 2 2 2" xfId="29927"/>
    <cellStyle name="Milliers 2 5 3 2 2 3 3 2 3" xfId="29928"/>
    <cellStyle name="Milliers 2 5 3 2 2 3 3 3" xfId="29929"/>
    <cellStyle name="Milliers 2 5 3 2 2 3 3 3 2" xfId="29930"/>
    <cellStyle name="Milliers 2 5 3 2 2 3 3 4" xfId="29931"/>
    <cellStyle name="Milliers 2 5 3 2 2 3 4" xfId="29932"/>
    <cellStyle name="Milliers 2 5 3 2 2 3 4 2" xfId="29933"/>
    <cellStyle name="Milliers 2 5 3 2 2 3 4 2 2" xfId="29934"/>
    <cellStyle name="Milliers 2 5 3 2 2 3 4 3" xfId="29935"/>
    <cellStyle name="Milliers 2 5 3 2 2 3 5" xfId="29936"/>
    <cellStyle name="Milliers 2 5 3 2 2 3 5 2" xfId="29937"/>
    <cellStyle name="Milliers 2 5 3 2 2 3 6" xfId="29938"/>
    <cellStyle name="Milliers 2 5 3 2 2 4" xfId="29939"/>
    <cellStyle name="Milliers 2 5 3 2 2 4 2" xfId="29940"/>
    <cellStyle name="Milliers 2 5 3 2 2 4 2 2" xfId="29941"/>
    <cellStyle name="Milliers 2 5 3 2 2 4 2 2 2" xfId="29942"/>
    <cellStyle name="Milliers 2 5 3 2 2 4 2 2 2 2" xfId="29943"/>
    <cellStyle name="Milliers 2 5 3 2 2 4 2 2 3" xfId="29944"/>
    <cellStyle name="Milliers 2 5 3 2 2 4 2 3" xfId="29945"/>
    <cellStyle name="Milliers 2 5 3 2 2 4 2 3 2" xfId="29946"/>
    <cellStyle name="Milliers 2 5 3 2 2 4 2 4" xfId="29947"/>
    <cellStyle name="Milliers 2 5 3 2 2 4 3" xfId="29948"/>
    <cellStyle name="Milliers 2 5 3 2 2 4 3 2" xfId="29949"/>
    <cellStyle name="Milliers 2 5 3 2 2 4 3 2 2" xfId="29950"/>
    <cellStyle name="Milliers 2 5 3 2 2 4 3 3" xfId="29951"/>
    <cellStyle name="Milliers 2 5 3 2 2 4 4" xfId="29952"/>
    <cellStyle name="Milliers 2 5 3 2 2 4 4 2" xfId="29953"/>
    <cellStyle name="Milliers 2 5 3 2 2 4 5" xfId="29954"/>
    <cellStyle name="Milliers 2 5 3 2 2 5" xfId="29955"/>
    <cellStyle name="Milliers 2 5 3 2 2 5 2" xfId="29956"/>
    <cellStyle name="Milliers 2 5 3 2 2 5 2 2" xfId="29957"/>
    <cellStyle name="Milliers 2 5 3 2 2 5 2 2 2" xfId="29958"/>
    <cellStyle name="Milliers 2 5 3 2 2 5 2 3" xfId="29959"/>
    <cellStyle name="Milliers 2 5 3 2 2 5 3" xfId="29960"/>
    <cellStyle name="Milliers 2 5 3 2 2 5 3 2" xfId="29961"/>
    <cellStyle name="Milliers 2 5 3 2 2 5 4" xfId="29962"/>
    <cellStyle name="Milliers 2 5 3 2 2 6" xfId="29963"/>
    <cellStyle name="Milliers 2 5 3 2 2 6 2" xfId="29964"/>
    <cellStyle name="Milliers 2 5 3 2 2 6 2 2" xfId="29965"/>
    <cellStyle name="Milliers 2 5 3 2 2 6 3" xfId="29966"/>
    <cellStyle name="Milliers 2 5 3 2 2 7" xfId="29967"/>
    <cellStyle name="Milliers 2 5 3 2 2 7 2" xfId="29968"/>
    <cellStyle name="Milliers 2 5 3 2 2 8" xfId="29969"/>
    <cellStyle name="Milliers 2 5 3 2 3" xfId="29970"/>
    <cellStyle name="Milliers 2 5 3 2 3 2" xfId="29971"/>
    <cellStyle name="Milliers 2 5 3 2 3 2 2" xfId="29972"/>
    <cellStyle name="Milliers 2 5 3 2 3 2 2 2" xfId="29973"/>
    <cellStyle name="Milliers 2 5 3 2 3 2 2 2 2" xfId="29974"/>
    <cellStyle name="Milliers 2 5 3 2 3 2 2 2 2 2" xfId="29975"/>
    <cellStyle name="Milliers 2 5 3 2 3 2 2 2 2 2 2" xfId="29976"/>
    <cellStyle name="Milliers 2 5 3 2 3 2 2 2 2 3" xfId="29977"/>
    <cellStyle name="Milliers 2 5 3 2 3 2 2 2 3" xfId="29978"/>
    <cellStyle name="Milliers 2 5 3 2 3 2 2 2 3 2" xfId="29979"/>
    <cellStyle name="Milliers 2 5 3 2 3 2 2 2 4" xfId="29980"/>
    <cellStyle name="Milliers 2 5 3 2 3 2 2 3" xfId="29981"/>
    <cellStyle name="Milliers 2 5 3 2 3 2 2 3 2" xfId="29982"/>
    <cellStyle name="Milliers 2 5 3 2 3 2 2 3 2 2" xfId="29983"/>
    <cellStyle name="Milliers 2 5 3 2 3 2 2 3 3" xfId="29984"/>
    <cellStyle name="Milliers 2 5 3 2 3 2 2 4" xfId="29985"/>
    <cellStyle name="Milliers 2 5 3 2 3 2 2 4 2" xfId="29986"/>
    <cellStyle name="Milliers 2 5 3 2 3 2 2 5" xfId="29987"/>
    <cellStyle name="Milliers 2 5 3 2 3 2 3" xfId="29988"/>
    <cellStyle name="Milliers 2 5 3 2 3 2 3 2" xfId="29989"/>
    <cellStyle name="Milliers 2 5 3 2 3 2 3 2 2" xfId="29990"/>
    <cellStyle name="Milliers 2 5 3 2 3 2 3 2 2 2" xfId="29991"/>
    <cellStyle name="Milliers 2 5 3 2 3 2 3 2 3" xfId="29992"/>
    <cellStyle name="Milliers 2 5 3 2 3 2 3 3" xfId="29993"/>
    <cellStyle name="Milliers 2 5 3 2 3 2 3 3 2" xfId="29994"/>
    <cellStyle name="Milliers 2 5 3 2 3 2 3 4" xfId="29995"/>
    <cellStyle name="Milliers 2 5 3 2 3 2 4" xfId="29996"/>
    <cellStyle name="Milliers 2 5 3 2 3 2 4 2" xfId="29997"/>
    <cellStyle name="Milliers 2 5 3 2 3 2 4 2 2" xfId="29998"/>
    <cellStyle name="Milliers 2 5 3 2 3 2 4 3" xfId="29999"/>
    <cellStyle name="Milliers 2 5 3 2 3 2 5" xfId="30000"/>
    <cellStyle name="Milliers 2 5 3 2 3 2 5 2" xfId="30001"/>
    <cellStyle name="Milliers 2 5 3 2 3 2 6" xfId="30002"/>
    <cellStyle name="Milliers 2 5 3 2 3 3" xfId="30003"/>
    <cellStyle name="Milliers 2 5 3 2 3 3 2" xfId="30004"/>
    <cellStyle name="Milliers 2 5 3 2 3 3 2 2" xfId="30005"/>
    <cellStyle name="Milliers 2 5 3 2 3 3 2 2 2" xfId="30006"/>
    <cellStyle name="Milliers 2 5 3 2 3 3 2 2 2 2" xfId="30007"/>
    <cellStyle name="Milliers 2 5 3 2 3 3 2 2 3" xfId="30008"/>
    <cellStyle name="Milliers 2 5 3 2 3 3 2 3" xfId="30009"/>
    <cellStyle name="Milliers 2 5 3 2 3 3 2 3 2" xfId="30010"/>
    <cellStyle name="Milliers 2 5 3 2 3 3 2 4" xfId="30011"/>
    <cellStyle name="Milliers 2 5 3 2 3 3 3" xfId="30012"/>
    <cellStyle name="Milliers 2 5 3 2 3 3 3 2" xfId="30013"/>
    <cellStyle name="Milliers 2 5 3 2 3 3 3 2 2" xfId="30014"/>
    <cellStyle name="Milliers 2 5 3 2 3 3 3 3" xfId="30015"/>
    <cellStyle name="Milliers 2 5 3 2 3 3 4" xfId="30016"/>
    <cellStyle name="Milliers 2 5 3 2 3 3 4 2" xfId="30017"/>
    <cellStyle name="Milliers 2 5 3 2 3 3 5" xfId="30018"/>
    <cellStyle name="Milliers 2 5 3 2 3 4" xfId="30019"/>
    <cellStyle name="Milliers 2 5 3 2 3 4 2" xfId="30020"/>
    <cellStyle name="Milliers 2 5 3 2 3 4 2 2" xfId="30021"/>
    <cellStyle name="Milliers 2 5 3 2 3 4 2 2 2" xfId="30022"/>
    <cellStyle name="Milliers 2 5 3 2 3 4 2 3" xfId="30023"/>
    <cellStyle name="Milliers 2 5 3 2 3 4 3" xfId="30024"/>
    <cellStyle name="Milliers 2 5 3 2 3 4 3 2" xfId="30025"/>
    <cellStyle name="Milliers 2 5 3 2 3 4 4" xfId="30026"/>
    <cellStyle name="Milliers 2 5 3 2 3 5" xfId="30027"/>
    <cellStyle name="Milliers 2 5 3 2 3 5 2" xfId="30028"/>
    <cellStyle name="Milliers 2 5 3 2 3 5 2 2" xfId="30029"/>
    <cellStyle name="Milliers 2 5 3 2 3 5 3" xfId="30030"/>
    <cellStyle name="Milliers 2 5 3 2 3 6" xfId="30031"/>
    <cellStyle name="Milliers 2 5 3 2 3 6 2" xfId="30032"/>
    <cellStyle name="Milliers 2 5 3 2 3 7" xfId="30033"/>
    <cellStyle name="Milliers 2 5 3 2 4" xfId="30034"/>
    <cellStyle name="Milliers 2 5 3 2 4 2" xfId="30035"/>
    <cellStyle name="Milliers 2 5 3 2 4 2 2" xfId="30036"/>
    <cellStyle name="Milliers 2 5 3 2 4 2 2 2" xfId="30037"/>
    <cellStyle name="Milliers 2 5 3 2 4 2 2 2 2" xfId="30038"/>
    <cellStyle name="Milliers 2 5 3 2 4 2 2 2 2 2" xfId="30039"/>
    <cellStyle name="Milliers 2 5 3 2 4 2 2 2 3" xfId="30040"/>
    <cellStyle name="Milliers 2 5 3 2 4 2 2 3" xfId="30041"/>
    <cellStyle name="Milliers 2 5 3 2 4 2 2 3 2" xfId="30042"/>
    <cellStyle name="Milliers 2 5 3 2 4 2 2 4" xfId="30043"/>
    <cellStyle name="Milliers 2 5 3 2 4 2 3" xfId="30044"/>
    <cellStyle name="Milliers 2 5 3 2 4 2 3 2" xfId="30045"/>
    <cellStyle name="Milliers 2 5 3 2 4 2 3 2 2" xfId="30046"/>
    <cellStyle name="Milliers 2 5 3 2 4 2 3 3" xfId="30047"/>
    <cellStyle name="Milliers 2 5 3 2 4 2 4" xfId="30048"/>
    <cellStyle name="Milliers 2 5 3 2 4 2 4 2" xfId="30049"/>
    <cellStyle name="Milliers 2 5 3 2 4 2 5" xfId="30050"/>
    <cellStyle name="Milliers 2 5 3 2 4 3" xfId="30051"/>
    <cellStyle name="Milliers 2 5 3 2 4 3 2" xfId="30052"/>
    <cellStyle name="Milliers 2 5 3 2 4 3 2 2" xfId="30053"/>
    <cellStyle name="Milliers 2 5 3 2 4 3 2 2 2" xfId="30054"/>
    <cellStyle name="Milliers 2 5 3 2 4 3 2 3" xfId="30055"/>
    <cellStyle name="Milliers 2 5 3 2 4 3 3" xfId="30056"/>
    <cellStyle name="Milliers 2 5 3 2 4 3 3 2" xfId="30057"/>
    <cellStyle name="Milliers 2 5 3 2 4 3 4" xfId="30058"/>
    <cellStyle name="Milliers 2 5 3 2 4 4" xfId="30059"/>
    <cellStyle name="Milliers 2 5 3 2 4 4 2" xfId="30060"/>
    <cellStyle name="Milliers 2 5 3 2 4 4 2 2" xfId="30061"/>
    <cellStyle name="Milliers 2 5 3 2 4 4 3" xfId="30062"/>
    <cellStyle name="Milliers 2 5 3 2 4 5" xfId="30063"/>
    <cellStyle name="Milliers 2 5 3 2 4 5 2" xfId="30064"/>
    <cellStyle name="Milliers 2 5 3 2 4 6" xfId="30065"/>
    <cellStyle name="Milliers 2 5 3 2 5" xfId="30066"/>
    <cellStyle name="Milliers 2 5 3 2 5 2" xfId="30067"/>
    <cellStyle name="Milliers 2 5 3 2 5 2 2" xfId="30068"/>
    <cellStyle name="Milliers 2 5 3 2 5 2 2 2" xfId="30069"/>
    <cellStyle name="Milliers 2 5 3 2 5 2 2 2 2" xfId="30070"/>
    <cellStyle name="Milliers 2 5 3 2 5 2 2 3" xfId="30071"/>
    <cellStyle name="Milliers 2 5 3 2 5 2 3" xfId="30072"/>
    <cellStyle name="Milliers 2 5 3 2 5 2 3 2" xfId="30073"/>
    <cellStyle name="Milliers 2 5 3 2 5 2 4" xfId="30074"/>
    <cellStyle name="Milliers 2 5 3 2 5 3" xfId="30075"/>
    <cellStyle name="Milliers 2 5 3 2 5 3 2" xfId="30076"/>
    <cellStyle name="Milliers 2 5 3 2 5 3 2 2" xfId="30077"/>
    <cellStyle name="Milliers 2 5 3 2 5 3 3" xfId="30078"/>
    <cellStyle name="Milliers 2 5 3 2 5 4" xfId="30079"/>
    <cellStyle name="Milliers 2 5 3 2 5 4 2" xfId="30080"/>
    <cellStyle name="Milliers 2 5 3 2 5 5" xfId="30081"/>
    <cellStyle name="Milliers 2 5 3 2 6" xfId="30082"/>
    <cellStyle name="Milliers 2 5 3 2 6 2" xfId="30083"/>
    <cellStyle name="Milliers 2 5 3 2 6 2 2" xfId="30084"/>
    <cellStyle name="Milliers 2 5 3 2 6 2 2 2" xfId="30085"/>
    <cellStyle name="Milliers 2 5 3 2 6 2 3" xfId="30086"/>
    <cellStyle name="Milliers 2 5 3 2 6 3" xfId="30087"/>
    <cellStyle name="Milliers 2 5 3 2 6 3 2" xfId="30088"/>
    <cellStyle name="Milliers 2 5 3 2 6 4" xfId="30089"/>
    <cellStyle name="Milliers 2 5 3 2 7" xfId="30090"/>
    <cellStyle name="Milliers 2 5 3 2 7 2" xfId="30091"/>
    <cellStyle name="Milliers 2 5 3 2 7 2 2" xfId="30092"/>
    <cellStyle name="Milliers 2 5 3 2 7 3" xfId="30093"/>
    <cellStyle name="Milliers 2 5 3 2 8" xfId="30094"/>
    <cellStyle name="Milliers 2 5 3 2 8 2" xfId="30095"/>
    <cellStyle name="Milliers 2 5 3 2 9" xfId="30096"/>
    <cellStyle name="Milliers 2 5 3 3" xfId="30097"/>
    <cellStyle name="Milliers 2 5 3 3 2" xfId="30098"/>
    <cellStyle name="Milliers 2 5 3 3 2 2" xfId="30099"/>
    <cellStyle name="Milliers 2 5 3 3 2 2 2" xfId="30100"/>
    <cellStyle name="Milliers 2 5 3 3 2 2 2 2" xfId="30101"/>
    <cellStyle name="Milliers 2 5 3 3 2 2 2 2 2" xfId="30102"/>
    <cellStyle name="Milliers 2 5 3 3 2 2 2 2 2 2" xfId="30103"/>
    <cellStyle name="Milliers 2 5 3 3 2 2 2 2 2 2 2" xfId="30104"/>
    <cellStyle name="Milliers 2 5 3 3 2 2 2 2 2 3" xfId="30105"/>
    <cellStyle name="Milliers 2 5 3 3 2 2 2 2 3" xfId="30106"/>
    <cellStyle name="Milliers 2 5 3 3 2 2 2 2 3 2" xfId="30107"/>
    <cellStyle name="Milliers 2 5 3 3 2 2 2 2 4" xfId="30108"/>
    <cellStyle name="Milliers 2 5 3 3 2 2 2 3" xfId="30109"/>
    <cellStyle name="Milliers 2 5 3 3 2 2 2 3 2" xfId="30110"/>
    <cellStyle name="Milliers 2 5 3 3 2 2 2 3 2 2" xfId="30111"/>
    <cellStyle name="Milliers 2 5 3 3 2 2 2 3 3" xfId="30112"/>
    <cellStyle name="Milliers 2 5 3 3 2 2 2 4" xfId="30113"/>
    <cellStyle name="Milliers 2 5 3 3 2 2 2 4 2" xfId="30114"/>
    <cellStyle name="Milliers 2 5 3 3 2 2 2 5" xfId="30115"/>
    <cellStyle name="Milliers 2 5 3 3 2 2 3" xfId="30116"/>
    <cellStyle name="Milliers 2 5 3 3 2 2 3 2" xfId="30117"/>
    <cellStyle name="Milliers 2 5 3 3 2 2 3 2 2" xfId="30118"/>
    <cellStyle name="Milliers 2 5 3 3 2 2 3 2 2 2" xfId="30119"/>
    <cellStyle name="Milliers 2 5 3 3 2 2 3 2 3" xfId="30120"/>
    <cellStyle name="Milliers 2 5 3 3 2 2 3 3" xfId="30121"/>
    <cellStyle name="Milliers 2 5 3 3 2 2 3 3 2" xfId="30122"/>
    <cellStyle name="Milliers 2 5 3 3 2 2 3 4" xfId="30123"/>
    <cellStyle name="Milliers 2 5 3 3 2 2 4" xfId="30124"/>
    <cellStyle name="Milliers 2 5 3 3 2 2 4 2" xfId="30125"/>
    <cellStyle name="Milliers 2 5 3 3 2 2 4 2 2" xfId="30126"/>
    <cellStyle name="Milliers 2 5 3 3 2 2 4 3" xfId="30127"/>
    <cellStyle name="Milliers 2 5 3 3 2 2 5" xfId="30128"/>
    <cellStyle name="Milliers 2 5 3 3 2 2 5 2" xfId="30129"/>
    <cellStyle name="Milliers 2 5 3 3 2 2 6" xfId="30130"/>
    <cellStyle name="Milliers 2 5 3 3 2 3" xfId="30131"/>
    <cellStyle name="Milliers 2 5 3 3 2 3 2" xfId="30132"/>
    <cellStyle name="Milliers 2 5 3 3 2 3 2 2" xfId="30133"/>
    <cellStyle name="Milliers 2 5 3 3 2 3 2 2 2" xfId="30134"/>
    <cellStyle name="Milliers 2 5 3 3 2 3 2 2 2 2" xfId="30135"/>
    <cellStyle name="Milliers 2 5 3 3 2 3 2 2 3" xfId="30136"/>
    <cellStyle name="Milliers 2 5 3 3 2 3 2 3" xfId="30137"/>
    <cellStyle name="Milliers 2 5 3 3 2 3 2 3 2" xfId="30138"/>
    <cellStyle name="Milliers 2 5 3 3 2 3 2 4" xfId="30139"/>
    <cellStyle name="Milliers 2 5 3 3 2 3 3" xfId="30140"/>
    <cellStyle name="Milliers 2 5 3 3 2 3 3 2" xfId="30141"/>
    <cellStyle name="Milliers 2 5 3 3 2 3 3 2 2" xfId="30142"/>
    <cellStyle name="Milliers 2 5 3 3 2 3 3 3" xfId="30143"/>
    <cellStyle name="Milliers 2 5 3 3 2 3 4" xfId="30144"/>
    <cellStyle name="Milliers 2 5 3 3 2 3 4 2" xfId="30145"/>
    <cellStyle name="Milliers 2 5 3 3 2 3 5" xfId="30146"/>
    <cellStyle name="Milliers 2 5 3 3 2 4" xfId="30147"/>
    <cellStyle name="Milliers 2 5 3 3 2 4 2" xfId="30148"/>
    <cellStyle name="Milliers 2 5 3 3 2 4 2 2" xfId="30149"/>
    <cellStyle name="Milliers 2 5 3 3 2 4 2 2 2" xfId="30150"/>
    <cellStyle name="Milliers 2 5 3 3 2 4 2 3" xfId="30151"/>
    <cellStyle name="Milliers 2 5 3 3 2 4 3" xfId="30152"/>
    <cellStyle name="Milliers 2 5 3 3 2 4 3 2" xfId="30153"/>
    <cellStyle name="Milliers 2 5 3 3 2 4 4" xfId="30154"/>
    <cellStyle name="Milliers 2 5 3 3 2 5" xfId="30155"/>
    <cellStyle name="Milliers 2 5 3 3 2 5 2" xfId="30156"/>
    <cellStyle name="Milliers 2 5 3 3 2 5 2 2" xfId="30157"/>
    <cellStyle name="Milliers 2 5 3 3 2 5 3" xfId="30158"/>
    <cellStyle name="Milliers 2 5 3 3 2 6" xfId="30159"/>
    <cellStyle name="Milliers 2 5 3 3 2 6 2" xfId="30160"/>
    <cellStyle name="Milliers 2 5 3 3 2 7" xfId="30161"/>
    <cellStyle name="Milliers 2 5 3 3 3" xfId="30162"/>
    <cellStyle name="Milliers 2 5 3 3 3 2" xfId="30163"/>
    <cellStyle name="Milliers 2 5 3 3 3 2 2" xfId="30164"/>
    <cellStyle name="Milliers 2 5 3 3 3 2 2 2" xfId="30165"/>
    <cellStyle name="Milliers 2 5 3 3 3 2 2 2 2" xfId="30166"/>
    <cellStyle name="Milliers 2 5 3 3 3 2 2 2 2 2" xfId="30167"/>
    <cellStyle name="Milliers 2 5 3 3 3 2 2 2 3" xfId="30168"/>
    <cellStyle name="Milliers 2 5 3 3 3 2 2 3" xfId="30169"/>
    <cellStyle name="Milliers 2 5 3 3 3 2 2 3 2" xfId="30170"/>
    <cellStyle name="Milliers 2 5 3 3 3 2 2 4" xfId="30171"/>
    <cellStyle name="Milliers 2 5 3 3 3 2 3" xfId="30172"/>
    <cellStyle name="Milliers 2 5 3 3 3 2 3 2" xfId="30173"/>
    <cellStyle name="Milliers 2 5 3 3 3 2 3 2 2" xfId="30174"/>
    <cellStyle name="Milliers 2 5 3 3 3 2 3 3" xfId="30175"/>
    <cellStyle name="Milliers 2 5 3 3 3 2 4" xfId="30176"/>
    <cellStyle name="Milliers 2 5 3 3 3 2 4 2" xfId="30177"/>
    <cellStyle name="Milliers 2 5 3 3 3 2 5" xfId="30178"/>
    <cellStyle name="Milliers 2 5 3 3 3 3" xfId="30179"/>
    <cellStyle name="Milliers 2 5 3 3 3 3 2" xfId="30180"/>
    <cellStyle name="Milliers 2 5 3 3 3 3 2 2" xfId="30181"/>
    <cellStyle name="Milliers 2 5 3 3 3 3 2 2 2" xfId="30182"/>
    <cellStyle name="Milliers 2 5 3 3 3 3 2 3" xfId="30183"/>
    <cellStyle name="Milliers 2 5 3 3 3 3 3" xfId="30184"/>
    <cellStyle name="Milliers 2 5 3 3 3 3 3 2" xfId="30185"/>
    <cellStyle name="Milliers 2 5 3 3 3 3 4" xfId="30186"/>
    <cellStyle name="Milliers 2 5 3 3 3 4" xfId="30187"/>
    <cellStyle name="Milliers 2 5 3 3 3 4 2" xfId="30188"/>
    <cellStyle name="Milliers 2 5 3 3 3 4 2 2" xfId="30189"/>
    <cellStyle name="Milliers 2 5 3 3 3 4 3" xfId="30190"/>
    <cellStyle name="Milliers 2 5 3 3 3 5" xfId="30191"/>
    <cellStyle name="Milliers 2 5 3 3 3 5 2" xfId="30192"/>
    <cellStyle name="Milliers 2 5 3 3 3 6" xfId="30193"/>
    <cellStyle name="Milliers 2 5 3 3 4" xfId="30194"/>
    <cellStyle name="Milliers 2 5 3 3 4 2" xfId="30195"/>
    <cellStyle name="Milliers 2 5 3 3 4 2 2" xfId="30196"/>
    <cellStyle name="Milliers 2 5 3 3 4 2 2 2" xfId="30197"/>
    <cellStyle name="Milliers 2 5 3 3 4 2 2 2 2" xfId="30198"/>
    <cellStyle name="Milliers 2 5 3 3 4 2 2 3" xfId="30199"/>
    <cellStyle name="Milliers 2 5 3 3 4 2 3" xfId="30200"/>
    <cellStyle name="Milliers 2 5 3 3 4 2 3 2" xfId="30201"/>
    <cellStyle name="Milliers 2 5 3 3 4 2 4" xfId="30202"/>
    <cellStyle name="Milliers 2 5 3 3 4 3" xfId="30203"/>
    <cellStyle name="Milliers 2 5 3 3 4 3 2" xfId="30204"/>
    <cellStyle name="Milliers 2 5 3 3 4 3 2 2" xfId="30205"/>
    <cellStyle name="Milliers 2 5 3 3 4 3 3" xfId="30206"/>
    <cellStyle name="Milliers 2 5 3 3 4 4" xfId="30207"/>
    <cellStyle name="Milliers 2 5 3 3 4 4 2" xfId="30208"/>
    <cellStyle name="Milliers 2 5 3 3 4 5" xfId="30209"/>
    <cellStyle name="Milliers 2 5 3 3 5" xfId="30210"/>
    <cellStyle name="Milliers 2 5 3 3 5 2" xfId="30211"/>
    <cellStyle name="Milliers 2 5 3 3 5 2 2" xfId="30212"/>
    <cellStyle name="Milliers 2 5 3 3 5 2 2 2" xfId="30213"/>
    <cellStyle name="Milliers 2 5 3 3 5 2 3" xfId="30214"/>
    <cellStyle name="Milliers 2 5 3 3 5 3" xfId="30215"/>
    <cellStyle name="Milliers 2 5 3 3 5 3 2" xfId="30216"/>
    <cellStyle name="Milliers 2 5 3 3 5 4" xfId="30217"/>
    <cellStyle name="Milliers 2 5 3 3 6" xfId="30218"/>
    <cellStyle name="Milliers 2 5 3 3 6 2" xfId="30219"/>
    <cellStyle name="Milliers 2 5 3 3 6 2 2" xfId="30220"/>
    <cellStyle name="Milliers 2 5 3 3 6 3" xfId="30221"/>
    <cellStyle name="Milliers 2 5 3 3 7" xfId="30222"/>
    <cellStyle name="Milliers 2 5 3 3 7 2" xfId="30223"/>
    <cellStyle name="Milliers 2 5 3 3 8" xfId="30224"/>
    <cellStyle name="Milliers 2 5 3 4" xfId="30225"/>
    <cellStyle name="Milliers 2 5 3 4 2" xfId="30226"/>
    <cellStyle name="Milliers 2 5 3 4 2 2" xfId="30227"/>
    <cellStyle name="Milliers 2 5 3 4 2 2 2" xfId="30228"/>
    <cellStyle name="Milliers 2 5 3 4 2 2 2 2" xfId="30229"/>
    <cellStyle name="Milliers 2 5 3 4 2 2 2 2 2" xfId="30230"/>
    <cellStyle name="Milliers 2 5 3 4 2 2 2 2 2 2" xfId="30231"/>
    <cellStyle name="Milliers 2 5 3 4 2 2 2 2 3" xfId="30232"/>
    <cellStyle name="Milliers 2 5 3 4 2 2 2 3" xfId="30233"/>
    <cellStyle name="Milliers 2 5 3 4 2 2 2 3 2" xfId="30234"/>
    <cellStyle name="Milliers 2 5 3 4 2 2 2 4" xfId="30235"/>
    <cellStyle name="Milliers 2 5 3 4 2 2 3" xfId="30236"/>
    <cellStyle name="Milliers 2 5 3 4 2 2 3 2" xfId="30237"/>
    <cellStyle name="Milliers 2 5 3 4 2 2 3 2 2" xfId="30238"/>
    <cellStyle name="Milliers 2 5 3 4 2 2 3 3" xfId="30239"/>
    <cellStyle name="Milliers 2 5 3 4 2 2 4" xfId="30240"/>
    <cellStyle name="Milliers 2 5 3 4 2 2 4 2" xfId="30241"/>
    <cellStyle name="Milliers 2 5 3 4 2 2 5" xfId="30242"/>
    <cellStyle name="Milliers 2 5 3 4 2 3" xfId="30243"/>
    <cellStyle name="Milliers 2 5 3 4 2 3 2" xfId="30244"/>
    <cellStyle name="Milliers 2 5 3 4 2 3 2 2" xfId="30245"/>
    <cellStyle name="Milliers 2 5 3 4 2 3 2 2 2" xfId="30246"/>
    <cellStyle name="Milliers 2 5 3 4 2 3 2 3" xfId="30247"/>
    <cellStyle name="Milliers 2 5 3 4 2 3 3" xfId="30248"/>
    <cellStyle name="Milliers 2 5 3 4 2 3 3 2" xfId="30249"/>
    <cellStyle name="Milliers 2 5 3 4 2 3 4" xfId="30250"/>
    <cellStyle name="Milliers 2 5 3 4 2 4" xfId="30251"/>
    <cellStyle name="Milliers 2 5 3 4 2 4 2" xfId="30252"/>
    <cellStyle name="Milliers 2 5 3 4 2 4 2 2" xfId="30253"/>
    <cellStyle name="Milliers 2 5 3 4 2 4 3" xfId="30254"/>
    <cellStyle name="Milliers 2 5 3 4 2 5" xfId="30255"/>
    <cellStyle name="Milliers 2 5 3 4 2 5 2" xfId="30256"/>
    <cellStyle name="Milliers 2 5 3 4 2 6" xfId="30257"/>
    <cellStyle name="Milliers 2 5 3 4 3" xfId="30258"/>
    <cellStyle name="Milliers 2 5 3 4 3 2" xfId="30259"/>
    <cellStyle name="Milliers 2 5 3 4 3 2 2" xfId="30260"/>
    <cellStyle name="Milliers 2 5 3 4 3 2 2 2" xfId="30261"/>
    <cellStyle name="Milliers 2 5 3 4 3 2 2 2 2" xfId="30262"/>
    <cellStyle name="Milliers 2 5 3 4 3 2 2 3" xfId="30263"/>
    <cellStyle name="Milliers 2 5 3 4 3 2 3" xfId="30264"/>
    <cellStyle name="Milliers 2 5 3 4 3 2 3 2" xfId="30265"/>
    <cellStyle name="Milliers 2 5 3 4 3 2 4" xfId="30266"/>
    <cellStyle name="Milliers 2 5 3 4 3 3" xfId="30267"/>
    <cellStyle name="Milliers 2 5 3 4 3 3 2" xfId="30268"/>
    <cellStyle name="Milliers 2 5 3 4 3 3 2 2" xfId="30269"/>
    <cellStyle name="Milliers 2 5 3 4 3 3 3" xfId="30270"/>
    <cellStyle name="Milliers 2 5 3 4 3 4" xfId="30271"/>
    <cellStyle name="Milliers 2 5 3 4 3 4 2" xfId="30272"/>
    <cellStyle name="Milliers 2 5 3 4 3 5" xfId="30273"/>
    <cellStyle name="Milliers 2 5 3 4 4" xfId="30274"/>
    <cellStyle name="Milliers 2 5 3 4 4 2" xfId="30275"/>
    <cellStyle name="Milliers 2 5 3 4 4 2 2" xfId="30276"/>
    <cellStyle name="Milliers 2 5 3 4 4 2 2 2" xfId="30277"/>
    <cellStyle name="Milliers 2 5 3 4 4 2 3" xfId="30278"/>
    <cellStyle name="Milliers 2 5 3 4 4 3" xfId="30279"/>
    <cellStyle name="Milliers 2 5 3 4 4 3 2" xfId="30280"/>
    <cellStyle name="Milliers 2 5 3 4 4 4" xfId="30281"/>
    <cellStyle name="Milliers 2 5 3 4 5" xfId="30282"/>
    <cellStyle name="Milliers 2 5 3 4 5 2" xfId="30283"/>
    <cellStyle name="Milliers 2 5 3 4 5 2 2" xfId="30284"/>
    <cellStyle name="Milliers 2 5 3 4 5 3" xfId="30285"/>
    <cellStyle name="Milliers 2 5 3 4 6" xfId="30286"/>
    <cellStyle name="Milliers 2 5 3 4 6 2" xfId="30287"/>
    <cellStyle name="Milliers 2 5 3 4 7" xfId="30288"/>
    <cellStyle name="Milliers 2 5 3 5" xfId="30289"/>
    <cellStyle name="Milliers 2 5 3 5 2" xfId="30290"/>
    <cellStyle name="Milliers 2 5 3 5 2 2" xfId="30291"/>
    <cellStyle name="Milliers 2 5 3 5 2 2 2" xfId="30292"/>
    <cellStyle name="Milliers 2 5 3 5 2 2 2 2" xfId="30293"/>
    <cellStyle name="Milliers 2 5 3 5 2 2 2 2 2" xfId="30294"/>
    <cellStyle name="Milliers 2 5 3 5 2 2 2 3" xfId="30295"/>
    <cellStyle name="Milliers 2 5 3 5 2 2 3" xfId="30296"/>
    <cellStyle name="Milliers 2 5 3 5 2 2 3 2" xfId="30297"/>
    <cellStyle name="Milliers 2 5 3 5 2 2 4" xfId="30298"/>
    <cellStyle name="Milliers 2 5 3 5 2 3" xfId="30299"/>
    <cellStyle name="Milliers 2 5 3 5 2 3 2" xfId="30300"/>
    <cellStyle name="Milliers 2 5 3 5 2 3 2 2" xfId="30301"/>
    <cellStyle name="Milliers 2 5 3 5 2 3 3" xfId="30302"/>
    <cellStyle name="Milliers 2 5 3 5 2 4" xfId="30303"/>
    <cellStyle name="Milliers 2 5 3 5 2 4 2" xfId="30304"/>
    <cellStyle name="Milliers 2 5 3 5 2 5" xfId="30305"/>
    <cellStyle name="Milliers 2 5 3 5 3" xfId="30306"/>
    <cellStyle name="Milliers 2 5 3 5 3 2" xfId="30307"/>
    <cellStyle name="Milliers 2 5 3 5 3 2 2" xfId="30308"/>
    <cellStyle name="Milliers 2 5 3 5 3 2 2 2" xfId="30309"/>
    <cellStyle name="Milliers 2 5 3 5 3 2 3" xfId="30310"/>
    <cellStyle name="Milliers 2 5 3 5 3 3" xfId="30311"/>
    <cellStyle name="Milliers 2 5 3 5 3 3 2" xfId="30312"/>
    <cellStyle name="Milliers 2 5 3 5 3 4" xfId="30313"/>
    <cellStyle name="Milliers 2 5 3 5 4" xfId="30314"/>
    <cellStyle name="Milliers 2 5 3 5 4 2" xfId="30315"/>
    <cellStyle name="Milliers 2 5 3 5 4 2 2" xfId="30316"/>
    <cellStyle name="Milliers 2 5 3 5 4 3" xfId="30317"/>
    <cellStyle name="Milliers 2 5 3 5 5" xfId="30318"/>
    <cellStyle name="Milliers 2 5 3 5 5 2" xfId="30319"/>
    <cellStyle name="Milliers 2 5 3 5 6" xfId="30320"/>
    <cellStyle name="Milliers 2 5 3 6" xfId="30321"/>
    <cellStyle name="Milliers 2 5 3 6 2" xfId="30322"/>
    <cellStyle name="Milliers 2 5 3 6 2 2" xfId="30323"/>
    <cellStyle name="Milliers 2 5 3 6 2 2 2" xfId="30324"/>
    <cellStyle name="Milliers 2 5 3 6 2 2 2 2" xfId="30325"/>
    <cellStyle name="Milliers 2 5 3 6 2 2 3" xfId="30326"/>
    <cellStyle name="Milliers 2 5 3 6 2 3" xfId="30327"/>
    <cellStyle name="Milliers 2 5 3 6 2 3 2" xfId="30328"/>
    <cellStyle name="Milliers 2 5 3 6 2 4" xfId="30329"/>
    <cellStyle name="Milliers 2 5 3 6 3" xfId="30330"/>
    <cellStyle name="Milliers 2 5 3 6 3 2" xfId="30331"/>
    <cellStyle name="Milliers 2 5 3 6 3 2 2" xfId="30332"/>
    <cellStyle name="Milliers 2 5 3 6 3 3" xfId="30333"/>
    <cellStyle name="Milliers 2 5 3 6 4" xfId="30334"/>
    <cellStyle name="Milliers 2 5 3 6 4 2" xfId="30335"/>
    <cellStyle name="Milliers 2 5 3 6 5" xfId="30336"/>
    <cellStyle name="Milliers 2 5 3 7" xfId="30337"/>
    <cellStyle name="Milliers 2 5 3 7 2" xfId="30338"/>
    <cellStyle name="Milliers 2 5 3 7 2 2" xfId="30339"/>
    <cellStyle name="Milliers 2 5 3 7 2 2 2" xfId="30340"/>
    <cellStyle name="Milliers 2 5 3 7 2 3" xfId="30341"/>
    <cellStyle name="Milliers 2 5 3 7 3" xfId="30342"/>
    <cellStyle name="Milliers 2 5 3 7 3 2" xfId="30343"/>
    <cellStyle name="Milliers 2 5 3 7 4" xfId="30344"/>
    <cellStyle name="Milliers 2 5 3 8" xfId="30345"/>
    <cellStyle name="Milliers 2 5 3 8 2" xfId="30346"/>
    <cellStyle name="Milliers 2 5 3 8 2 2" xfId="30347"/>
    <cellStyle name="Milliers 2 5 3 8 3" xfId="30348"/>
    <cellStyle name="Milliers 2 5 3 9" xfId="30349"/>
    <cellStyle name="Milliers 2 5 3 9 2" xfId="30350"/>
    <cellStyle name="Milliers 2 5 4" xfId="30351"/>
    <cellStyle name="Milliers 2 5 4 2" xfId="30352"/>
    <cellStyle name="Milliers 2 5 4 2 2" xfId="30353"/>
    <cellStyle name="Milliers 2 5 4 2 2 2" xfId="30354"/>
    <cellStyle name="Milliers 2 5 4 2 2 2 2" xfId="30355"/>
    <cellStyle name="Milliers 2 5 4 2 2 2 2 2" xfId="30356"/>
    <cellStyle name="Milliers 2 5 4 2 2 2 2 2 2" xfId="30357"/>
    <cellStyle name="Milliers 2 5 4 2 2 2 2 2 2 2" xfId="30358"/>
    <cellStyle name="Milliers 2 5 4 2 2 2 2 2 2 2 2" xfId="30359"/>
    <cellStyle name="Milliers 2 5 4 2 2 2 2 2 2 3" xfId="30360"/>
    <cellStyle name="Milliers 2 5 4 2 2 2 2 2 3" xfId="30361"/>
    <cellStyle name="Milliers 2 5 4 2 2 2 2 2 3 2" xfId="30362"/>
    <cellStyle name="Milliers 2 5 4 2 2 2 2 2 4" xfId="30363"/>
    <cellStyle name="Milliers 2 5 4 2 2 2 2 3" xfId="30364"/>
    <cellStyle name="Milliers 2 5 4 2 2 2 2 3 2" xfId="30365"/>
    <cellStyle name="Milliers 2 5 4 2 2 2 2 3 2 2" xfId="30366"/>
    <cellStyle name="Milliers 2 5 4 2 2 2 2 3 3" xfId="30367"/>
    <cellStyle name="Milliers 2 5 4 2 2 2 2 4" xfId="30368"/>
    <cellStyle name="Milliers 2 5 4 2 2 2 2 4 2" xfId="30369"/>
    <cellStyle name="Milliers 2 5 4 2 2 2 2 5" xfId="30370"/>
    <cellStyle name="Milliers 2 5 4 2 2 2 3" xfId="30371"/>
    <cellStyle name="Milliers 2 5 4 2 2 2 3 2" xfId="30372"/>
    <cellStyle name="Milliers 2 5 4 2 2 2 3 2 2" xfId="30373"/>
    <cellStyle name="Milliers 2 5 4 2 2 2 3 2 2 2" xfId="30374"/>
    <cellStyle name="Milliers 2 5 4 2 2 2 3 2 3" xfId="30375"/>
    <cellStyle name="Milliers 2 5 4 2 2 2 3 3" xfId="30376"/>
    <cellStyle name="Milliers 2 5 4 2 2 2 3 3 2" xfId="30377"/>
    <cellStyle name="Milliers 2 5 4 2 2 2 3 4" xfId="30378"/>
    <cellStyle name="Milliers 2 5 4 2 2 2 4" xfId="30379"/>
    <cellStyle name="Milliers 2 5 4 2 2 2 4 2" xfId="30380"/>
    <cellStyle name="Milliers 2 5 4 2 2 2 4 2 2" xfId="30381"/>
    <cellStyle name="Milliers 2 5 4 2 2 2 4 3" xfId="30382"/>
    <cellStyle name="Milliers 2 5 4 2 2 2 5" xfId="30383"/>
    <cellStyle name="Milliers 2 5 4 2 2 2 5 2" xfId="30384"/>
    <cellStyle name="Milliers 2 5 4 2 2 2 6" xfId="30385"/>
    <cellStyle name="Milliers 2 5 4 2 2 3" xfId="30386"/>
    <cellStyle name="Milliers 2 5 4 2 2 3 2" xfId="30387"/>
    <cellStyle name="Milliers 2 5 4 2 2 3 2 2" xfId="30388"/>
    <cellStyle name="Milliers 2 5 4 2 2 3 2 2 2" xfId="30389"/>
    <cellStyle name="Milliers 2 5 4 2 2 3 2 2 2 2" xfId="30390"/>
    <cellStyle name="Milliers 2 5 4 2 2 3 2 2 3" xfId="30391"/>
    <cellStyle name="Milliers 2 5 4 2 2 3 2 3" xfId="30392"/>
    <cellStyle name="Milliers 2 5 4 2 2 3 2 3 2" xfId="30393"/>
    <cellStyle name="Milliers 2 5 4 2 2 3 2 4" xfId="30394"/>
    <cellStyle name="Milliers 2 5 4 2 2 3 3" xfId="30395"/>
    <cellStyle name="Milliers 2 5 4 2 2 3 3 2" xfId="30396"/>
    <cellStyle name="Milliers 2 5 4 2 2 3 3 2 2" xfId="30397"/>
    <cellStyle name="Milliers 2 5 4 2 2 3 3 3" xfId="30398"/>
    <cellStyle name="Milliers 2 5 4 2 2 3 4" xfId="30399"/>
    <cellStyle name="Milliers 2 5 4 2 2 3 4 2" xfId="30400"/>
    <cellStyle name="Milliers 2 5 4 2 2 3 5" xfId="30401"/>
    <cellStyle name="Milliers 2 5 4 2 2 4" xfId="30402"/>
    <cellStyle name="Milliers 2 5 4 2 2 4 2" xfId="30403"/>
    <cellStyle name="Milliers 2 5 4 2 2 4 2 2" xfId="30404"/>
    <cellStyle name="Milliers 2 5 4 2 2 4 2 2 2" xfId="30405"/>
    <cellStyle name="Milliers 2 5 4 2 2 4 2 3" xfId="30406"/>
    <cellStyle name="Milliers 2 5 4 2 2 4 3" xfId="30407"/>
    <cellStyle name="Milliers 2 5 4 2 2 4 3 2" xfId="30408"/>
    <cellStyle name="Milliers 2 5 4 2 2 4 4" xfId="30409"/>
    <cellStyle name="Milliers 2 5 4 2 2 5" xfId="30410"/>
    <cellStyle name="Milliers 2 5 4 2 2 5 2" xfId="30411"/>
    <cellStyle name="Milliers 2 5 4 2 2 5 2 2" xfId="30412"/>
    <cellStyle name="Milliers 2 5 4 2 2 5 3" xfId="30413"/>
    <cellStyle name="Milliers 2 5 4 2 2 6" xfId="30414"/>
    <cellStyle name="Milliers 2 5 4 2 2 6 2" xfId="30415"/>
    <cellStyle name="Milliers 2 5 4 2 2 7" xfId="30416"/>
    <cellStyle name="Milliers 2 5 4 2 3" xfId="30417"/>
    <cellStyle name="Milliers 2 5 4 2 3 2" xfId="30418"/>
    <cellStyle name="Milliers 2 5 4 2 3 2 2" xfId="30419"/>
    <cellStyle name="Milliers 2 5 4 2 3 2 2 2" xfId="30420"/>
    <cellStyle name="Milliers 2 5 4 2 3 2 2 2 2" xfId="30421"/>
    <cellStyle name="Milliers 2 5 4 2 3 2 2 2 2 2" xfId="30422"/>
    <cellStyle name="Milliers 2 5 4 2 3 2 2 2 3" xfId="30423"/>
    <cellStyle name="Milliers 2 5 4 2 3 2 2 3" xfId="30424"/>
    <cellStyle name="Milliers 2 5 4 2 3 2 2 3 2" xfId="30425"/>
    <cellStyle name="Milliers 2 5 4 2 3 2 2 4" xfId="30426"/>
    <cellStyle name="Milliers 2 5 4 2 3 2 3" xfId="30427"/>
    <cellStyle name="Milliers 2 5 4 2 3 2 3 2" xfId="30428"/>
    <cellStyle name="Milliers 2 5 4 2 3 2 3 2 2" xfId="30429"/>
    <cellStyle name="Milliers 2 5 4 2 3 2 3 3" xfId="30430"/>
    <cellStyle name="Milliers 2 5 4 2 3 2 4" xfId="30431"/>
    <cellStyle name="Milliers 2 5 4 2 3 2 4 2" xfId="30432"/>
    <cellStyle name="Milliers 2 5 4 2 3 2 5" xfId="30433"/>
    <cellStyle name="Milliers 2 5 4 2 3 3" xfId="30434"/>
    <cellStyle name="Milliers 2 5 4 2 3 3 2" xfId="30435"/>
    <cellStyle name="Milliers 2 5 4 2 3 3 2 2" xfId="30436"/>
    <cellStyle name="Milliers 2 5 4 2 3 3 2 2 2" xfId="30437"/>
    <cellStyle name="Milliers 2 5 4 2 3 3 2 3" xfId="30438"/>
    <cellStyle name="Milliers 2 5 4 2 3 3 3" xfId="30439"/>
    <cellStyle name="Milliers 2 5 4 2 3 3 3 2" xfId="30440"/>
    <cellStyle name="Milliers 2 5 4 2 3 3 4" xfId="30441"/>
    <cellStyle name="Milliers 2 5 4 2 3 4" xfId="30442"/>
    <cellStyle name="Milliers 2 5 4 2 3 4 2" xfId="30443"/>
    <cellStyle name="Milliers 2 5 4 2 3 4 2 2" xfId="30444"/>
    <cellStyle name="Milliers 2 5 4 2 3 4 3" xfId="30445"/>
    <cellStyle name="Milliers 2 5 4 2 3 5" xfId="30446"/>
    <cellStyle name="Milliers 2 5 4 2 3 5 2" xfId="30447"/>
    <cellStyle name="Milliers 2 5 4 2 3 6" xfId="30448"/>
    <cellStyle name="Milliers 2 5 4 2 4" xfId="30449"/>
    <cellStyle name="Milliers 2 5 4 2 4 2" xfId="30450"/>
    <cellStyle name="Milliers 2 5 4 2 4 2 2" xfId="30451"/>
    <cellStyle name="Milliers 2 5 4 2 4 2 2 2" xfId="30452"/>
    <cellStyle name="Milliers 2 5 4 2 4 2 2 2 2" xfId="30453"/>
    <cellStyle name="Milliers 2 5 4 2 4 2 2 3" xfId="30454"/>
    <cellStyle name="Milliers 2 5 4 2 4 2 3" xfId="30455"/>
    <cellStyle name="Milliers 2 5 4 2 4 2 3 2" xfId="30456"/>
    <cellStyle name="Milliers 2 5 4 2 4 2 4" xfId="30457"/>
    <cellStyle name="Milliers 2 5 4 2 4 3" xfId="30458"/>
    <cellStyle name="Milliers 2 5 4 2 4 3 2" xfId="30459"/>
    <cellStyle name="Milliers 2 5 4 2 4 3 2 2" xfId="30460"/>
    <cellStyle name="Milliers 2 5 4 2 4 3 3" xfId="30461"/>
    <cellStyle name="Milliers 2 5 4 2 4 4" xfId="30462"/>
    <cellStyle name="Milliers 2 5 4 2 4 4 2" xfId="30463"/>
    <cellStyle name="Milliers 2 5 4 2 4 5" xfId="30464"/>
    <cellStyle name="Milliers 2 5 4 2 5" xfId="30465"/>
    <cellStyle name="Milliers 2 5 4 2 5 2" xfId="30466"/>
    <cellStyle name="Milliers 2 5 4 2 5 2 2" xfId="30467"/>
    <cellStyle name="Milliers 2 5 4 2 5 2 2 2" xfId="30468"/>
    <cellStyle name="Milliers 2 5 4 2 5 2 3" xfId="30469"/>
    <cellStyle name="Milliers 2 5 4 2 5 3" xfId="30470"/>
    <cellStyle name="Milliers 2 5 4 2 5 3 2" xfId="30471"/>
    <cellStyle name="Milliers 2 5 4 2 5 4" xfId="30472"/>
    <cellStyle name="Milliers 2 5 4 2 6" xfId="30473"/>
    <cellStyle name="Milliers 2 5 4 2 6 2" xfId="30474"/>
    <cellStyle name="Milliers 2 5 4 2 6 2 2" xfId="30475"/>
    <cellStyle name="Milliers 2 5 4 2 6 3" xfId="30476"/>
    <cellStyle name="Milliers 2 5 4 2 7" xfId="30477"/>
    <cellStyle name="Milliers 2 5 4 2 7 2" xfId="30478"/>
    <cellStyle name="Milliers 2 5 4 2 8" xfId="30479"/>
    <cellStyle name="Milliers 2 5 4 3" xfId="30480"/>
    <cellStyle name="Milliers 2 5 4 3 2" xfId="30481"/>
    <cellStyle name="Milliers 2 5 4 3 2 2" xfId="30482"/>
    <cellStyle name="Milliers 2 5 4 3 2 2 2" xfId="30483"/>
    <cellStyle name="Milliers 2 5 4 3 2 2 2 2" xfId="30484"/>
    <cellStyle name="Milliers 2 5 4 3 2 2 2 2 2" xfId="30485"/>
    <cellStyle name="Milliers 2 5 4 3 2 2 2 2 2 2" xfId="30486"/>
    <cellStyle name="Milliers 2 5 4 3 2 2 2 2 3" xfId="30487"/>
    <cellStyle name="Milliers 2 5 4 3 2 2 2 3" xfId="30488"/>
    <cellStyle name="Milliers 2 5 4 3 2 2 2 3 2" xfId="30489"/>
    <cellStyle name="Milliers 2 5 4 3 2 2 2 4" xfId="30490"/>
    <cellStyle name="Milliers 2 5 4 3 2 2 3" xfId="30491"/>
    <cellStyle name="Milliers 2 5 4 3 2 2 3 2" xfId="30492"/>
    <cellStyle name="Milliers 2 5 4 3 2 2 3 2 2" xfId="30493"/>
    <cellStyle name="Milliers 2 5 4 3 2 2 3 3" xfId="30494"/>
    <cellStyle name="Milliers 2 5 4 3 2 2 4" xfId="30495"/>
    <cellStyle name="Milliers 2 5 4 3 2 2 4 2" xfId="30496"/>
    <cellStyle name="Milliers 2 5 4 3 2 2 5" xfId="30497"/>
    <cellStyle name="Milliers 2 5 4 3 2 3" xfId="30498"/>
    <cellStyle name="Milliers 2 5 4 3 2 3 2" xfId="30499"/>
    <cellStyle name="Milliers 2 5 4 3 2 3 2 2" xfId="30500"/>
    <cellStyle name="Milliers 2 5 4 3 2 3 2 2 2" xfId="30501"/>
    <cellStyle name="Milliers 2 5 4 3 2 3 2 3" xfId="30502"/>
    <cellStyle name="Milliers 2 5 4 3 2 3 3" xfId="30503"/>
    <cellStyle name="Milliers 2 5 4 3 2 3 3 2" xfId="30504"/>
    <cellStyle name="Milliers 2 5 4 3 2 3 4" xfId="30505"/>
    <cellStyle name="Milliers 2 5 4 3 2 4" xfId="30506"/>
    <cellStyle name="Milliers 2 5 4 3 2 4 2" xfId="30507"/>
    <cellStyle name="Milliers 2 5 4 3 2 4 2 2" xfId="30508"/>
    <cellStyle name="Milliers 2 5 4 3 2 4 3" xfId="30509"/>
    <cellStyle name="Milliers 2 5 4 3 2 5" xfId="30510"/>
    <cellStyle name="Milliers 2 5 4 3 2 5 2" xfId="30511"/>
    <cellStyle name="Milliers 2 5 4 3 2 6" xfId="30512"/>
    <cellStyle name="Milliers 2 5 4 3 3" xfId="30513"/>
    <cellStyle name="Milliers 2 5 4 3 3 2" xfId="30514"/>
    <cellStyle name="Milliers 2 5 4 3 3 2 2" xfId="30515"/>
    <cellStyle name="Milliers 2 5 4 3 3 2 2 2" xfId="30516"/>
    <cellStyle name="Milliers 2 5 4 3 3 2 2 2 2" xfId="30517"/>
    <cellStyle name="Milliers 2 5 4 3 3 2 2 3" xfId="30518"/>
    <cellStyle name="Milliers 2 5 4 3 3 2 3" xfId="30519"/>
    <cellStyle name="Milliers 2 5 4 3 3 2 3 2" xfId="30520"/>
    <cellStyle name="Milliers 2 5 4 3 3 2 4" xfId="30521"/>
    <cellStyle name="Milliers 2 5 4 3 3 3" xfId="30522"/>
    <cellStyle name="Milliers 2 5 4 3 3 3 2" xfId="30523"/>
    <cellStyle name="Milliers 2 5 4 3 3 3 2 2" xfId="30524"/>
    <cellStyle name="Milliers 2 5 4 3 3 3 3" xfId="30525"/>
    <cellStyle name="Milliers 2 5 4 3 3 4" xfId="30526"/>
    <cellStyle name="Milliers 2 5 4 3 3 4 2" xfId="30527"/>
    <cellStyle name="Milliers 2 5 4 3 3 5" xfId="30528"/>
    <cellStyle name="Milliers 2 5 4 3 4" xfId="30529"/>
    <cellStyle name="Milliers 2 5 4 3 4 2" xfId="30530"/>
    <cellStyle name="Milliers 2 5 4 3 4 2 2" xfId="30531"/>
    <cellStyle name="Milliers 2 5 4 3 4 2 2 2" xfId="30532"/>
    <cellStyle name="Milliers 2 5 4 3 4 2 3" xfId="30533"/>
    <cellStyle name="Milliers 2 5 4 3 4 3" xfId="30534"/>
    <cellStyle name="Milliers 2 5 4 3 4 3 2" xfId="30535"/>
    <cellStyle name="Milliers 2 5 4 3 4 4" xfId="30536"/>
    <cellStyle name="Milliers 2 5 4 3 5" xfId="30537"/>
    <cellStyle name="Milliers 2 5 4 3 5 2" xfId="30538"/>
    <cellStyle name="Milliers 2 5 4 3 5 2 2" xfId="30539"/>
    <cellStyle name="Milliers 2 5 4 3 5 3" xfId="30540"/>
    <cellStyle name="Milliers 2 5 4 3 6" xfId="30541"/>
    <cellStyle name="Milliers 2 5 4 3 6 2" xfId="30542"/>
    <cellStyle name="Milliers 2 5 4 3 7" xfId="30543"/>
    <cellStyle name="Milliers 2 5 4 4" xfId="30544"/>
    <cellStyle name="Milliers 2 5 4 4 2" xfId="30545"/>
    <cellStyle name="Milliers 2 5 4 4 2 2" xfId="30546"/>
    <cellStyle name="Milliers 2 5 4 4 2 2 2" xfId="30547"/>
    <cellStyle name="Milliers 2 5 4 4 2 2 2 2" xfId="30548"/>
    <cellStyle name="Milliers 2 5 4 4 2 2 2 2 2" xfId="30549"/>
    <cellStyle name="Milliers 2 5 4 4 2 2 2 3" xfId="30550"/>
    <cellStyle name="Milliers 2 5 4 4 2 2 3" xfId="30551"/>
    <cellStyle name="Milliers 2 5 4 4 2 2 3 2" xfId="30552"/>
    <cellStyle name="Milliers 2 5 4 4 2 2 4" xfId="30553"/>
    <cellStyle name="Milliers 2 5 4 4 2 3" xfId="30554"/>
    <cellStyle name="Milliers 2 5 4 4 2 3 2" xfId="30555"/>
    <cellStyle name="Milliers 2 5 4 4 2 3 2 2" xfId="30556"/>
    <cellStyle name="Milliers 2 5 4 4 2 3 3" xfId="30557"/>
    <cellStyle name="Milliers 2 5 4 4 2 4" xfId="30558"/>
    <cellStyle name="Milliers 2 5 4 4 2 4 2" xfId="30559"/>
    <cellStyle name="Milliers 2 5 4 4 2 5" xfId="30560"/>
    <cellStyle name="Milliers 2 5 4 4 3" xfId="30561"/>
    <cellStyle name="Milliers 2 5 4 4 3 2" xfId="30562"/>
    <cellStyle name="Milliers 2 5 4 4 3 2 2" xfId="30563"/>
    <cellStyle name="Milliers 2 5 4 4 3 2 2 2" xfId="30564"/>
    <cellStyle name="Milliers 2 5 4 4 3 2 3" xfId="30565"/>
    <cellStyle name="Milliers 2 5 4 4 3 3" xfId="30566"/>
    <cellStyle name="Milliers 2 5 4 4 3 3 2" xfId="30567"/>
    <cellStyle name="Milliers 2 5 4 4 3 4" xfId="30568"/>
    <cellStyle name="Milliers 2 5 4 4 4" xfId="30569"/>
    <cellStyle name="Milliers 2 5 4 4 4 2" xfId="30570"/>
    <cellStyle name="Milliers 2 5 4 4 4 2 2" xfId="30571"/>
    <cellStyle name="Milliers 2 5 4 4 4 3" xfId="30572"/>
    <cellStyle name="Milliers 2 5 4 4 5" xfId="30573"/>
    <cellStyle name="Milliers 2 5 4 4 5 2" xfId="30574"/>
    <cellStyle name="Milliers 2 5 4 4 6" xfId="30575"/>
    <cellStyle name="Milliers 2 5 4 5" xfId="30576"/>
    <cellStyle name="Milliers 2 5 4 5 2" xfId="30577"/>
    <cellStyle name="Milliers 2 5 4 5 2 2" xfId="30578"/>
    <cellStyle name="Milliers 2 5 4 5 2 2 2" xfId="30579"/>
    <cellStyle name="Milliers 2 5 4 5 2 2 2 2" xfId="30580"/>
    <cellStyle name="Milliers 2 5 4 5 2 2 3" xfId="30581"/>
    <cellStyle name="Milliers 2 5 4 5 2 3" xfId="30582"/>
    <cellStyle name="Milliers 2 5 4 5 2 3 2" xfId="30583"/>
    <cellStyle name="Milliers 2 5 4 5 2 4" xfId="30584"/>
    <cellStyle name="Milliers 2 5 4 5 3" xfId="30585"/>
    <cellStyle name="Milliers 2 5 4 5 3 2" xfId="30586"/>
    <cellStyle name="Milliers 2 5 4 5 3 2 2" xfId="30587"/>
    <cellStyle name="Milliers 2 5 4 5 3 3" xfId="30588"/>
    <cellStyle name="Milliers 2 5 4 5 4" xfId="30589"/>
    <cellStyle name="Milliers 2 5 4 5 4 2" xfId="30590"/>
    <cellStyle name="Milliers 2 5 4 5 5" xfId="30591"/>
    <cellStyle name="Milliers 2 5 4 6" xfId="30592"/>
    <cellStyle name="Milliers 2 5 4 6 2" xfId="30593"/>
    <cellStyle name="Milliers 2 5 4 6 2 2" xfId="30594"/>
    <cellStyle name="Milliers 2 5 4 6 2 2 2" xfId="30595"/>
    <cellStyle name="Milliers 2 5 4 6 2 3" xfId="30596"/>
    <cellStyle name="Milliers 2 5 4 6 3" xfId="30597"/>
    <cellStyle name="Milliers 2 5 4 6 3 2" xfId="30598"/>
    <cellStyle name="Milliers 2 5 4 6 4" xfId="30599"/>
    <cellStyle name="Milliers 2 5 4 7" xfId="30600"/>
    <cellStyle name="Milliers 2 5 4 7 2" xfId="30601"/>
    <cellStyle name="Milliers 2 5 4 7 2 2" xfId="30602"/>
    <cellStyle name="Milliers 2 5 4 7 3" xfId="30603"/>
    <cellStyle name="Milliers 2 5 4 8" xfId="30604"/>
    <cellStyle name="Milliers 2 5 4 8 2" xfId="30605"/>
    <cellStyle name="Milliers 2 5 4 9" xfId="30606"/>
    <cellStyle name="Milliers 2 5 5" xfId="30607"/>
    <cellStyle name="Milliers 2 5 5 2" xfId="30608"/>
    <cellStyle name="Milliers 2 5 5 2 2" xfId="30609"/>
    <cellStyle name="Milliers 2 5 5 2 2 2" xfId="30610"/>
    <cellStyle name="Milliers 2 5 5 2 2 2 2" xfId="30611"/>
    <cellStyle name="Milliers 2 5 5 2 2 2 2 2" xfId="30612"/>
    <cellStyle name="Milliers 2 5 5 2 2 2 2 2 2" xfId="30613"/>
    <cellStyle name="Milliers 2 5 5 2 2 2 2 2 2 2" xfId="30614"/>
    <cellStyle name="Milliers 2 5 5 2 2 2 2 2 3" xfId="30615"/>
    <cellStyle name="Milliers 2 5 5 2 2 2 2 3" xfId="30616"/>
    <cellStyle name="Milliers 2 5 5 2 2 2 2 3 2" xfId="30617"/>
    <cellStyle name="Milliers 2 5 5 2 2 2 2 4" xfId="30618"/>
    <cellStyle name="Milliers 2 5 5 2 2 2 3" xfId="30619"/>
    <cellStyle name="Milliers 2 5 5 2 2 2 3 2" xfId="30620"/>
    <cellStyle name="Milliers 2 5 5 2 2 2 3 2 2" xfId="30621"/>
    <cellStyle name="Milliers 2 5 5 2 2 2 3 3" xfId="30622"/>
    <cellStyle name="Milliers 2 5 5 2 2 2 4" xfId="30623"/>
    <cellStyle name="Milliers 2 5 5 2 2 2 4 2" xfId="30624"/>
    <cellStyle name="Milliers 2 5 5 2 2 2 5" xfId="30625"/>
    <cellStyle name="Milliers 2 5 5 2 2 3" xfId="30626"/>
    <cellStyle name="Milliers 2 5 5 2 2 3 2" xfId="30627"/>
    <cellStyle name="Milliers 2 5 5 2 2 3 2 2" xfId="30628"/>
    <cellStyle name="Milliers 2 5 5 2 2 3 2 2 2" xfId="30629"/>
    <cellStyle name="Milliers 2 5 5 2 2 3 2 3" xfId="30630"/>
    <cellStyle name="Milliers 2 5 5 2 2 3 3" xfId="30631"/>
    <cellStyle name="Milliers 2 5 5 2 2 3 3 2" xfId="30632"/>
    <cellStyle name="Milliers 2 5 5 2 2 3 4" xfId="30633"/>
    <cellStyle name="Milliers 2 5 5 2 2 4" xfId="30634"/>
    <cellStyle name="Milliers 2 5 5 2 2 4 2" xfId="30635"/>
    <cellStyle name="Milliers 2 5 5 2 2 4 2 2" xfId="30636"/>
    <cellStyle name="Milliers 2 5 5 2 2 4 3" xfId="30637"/>
    <cellStyle name="Milliers 2 5 5 2 2 5" xfId="30638"/>
    <cellStyle name="Milliers 2 5 5 2 2 5 2" xfId="30639"/>
    <cellStyle name="Milliers 2 5 5 2 2 6" xfId="30640"/>
    <cellStyle name="Milliers 2 5 5 2 3" xfId="30641"/>
    <cellStyle name="Milliers 2 5 5 2 3 2" xfId="30642"/>
    <cellStyle name="Milliers 2 5 5 2 3 2 2" xfId="30643"/>
    <cellStyle name="Milliers 2 5 5 2 3 2 2 2" xfId="30644"/>
    <cellStyle name="Milliers 2 5 5 2 3 2 2 2 2" xfId="30645"/>
    <cellStyle name="Milliers 2 5 5 2 3 2 2 3" xfId="30646"/>
    <cellStyle name="Milliers 2 5 5 2 3 2 3" xfId="30647"/>
    <cellStyle name="Milliers 2 5 5 2 3 2 3 2" xfId="30648"/>
    <cellStyle name="Milliers 2 5 5 2 3 2 4" xfId="30649"/>
    <cellStyle name="Milliers 2 5 5 2 3 3" xfId="30650"/>
    <cellStyle name="Milliers 2 5 5 2 3 3 2" xfId="30651"/>
    <cellStyle name="Milliers 2 5 5 2 3 3 2 2" xfId="30652"/>
    <cellStyle name="Milliers 2 5 5 2 3 3 3" xfId="30653"/>
    <cellStyle name="Milliers 2 5 5 2 3 4" xfId="30654"/>
    <cellStyle name="Milliers 2 5 5 2 3 4 2" xfId="30655"/>
    <cellStyle name="Milliers 2 5 5 2 3 5" xfId="30656"/>
    <cellStyle name="Milliers 2 5 5 2 4" xfId="30657"/>
    <cellStyle name="Milliers 2 5 5 2 4 2" xfId="30658"/>
    <cellStyle name="Milliers 2 5 5 2 4 2 2" xfId="30659"/>
    <cellStyle name="Milliers 2 5 5 2 4 2 2 2" xfId="30660"/>
    <cellStyle name="Milliers 2 5 5 2 4 2 3" xfId="30661"/>
    <cellStyle name="Milliers 2 5 5 2 4 3" xfId="30662"/>
    <cellStyle name="Milliers 2 5 5 2 4 3 2" xfId="30663"/>
    <cellStyle name="Milliers 2 5 5 2 4 4" xfId="30664"/>
    <cellStyle name="Milliers 2 5 5 2 5" xfId="30665"/>
    <cellStyle name="Milliers 2 5 5 2 5 2" xfId="30666"/>
    <cellStyle name="Milliers 2 5 5 2 5 2 2" xfId="30667"/>
    <cellStyle name="Milliers 2 5 5 2 5 3" xfId="30668"/>
    <cellStyle name="Milliers 2 5 5 2 6" xfId="30669"/>
    <cellStyle name="Milliers 2 5 5 2 6 2" xfId="30670"/>
    <cellStyle name="Milliers 2 5 5 2 7" xfId="30671"/>
    <cellStyle name="Milliers 2 5 5 3" xfId="30672"/>
    <cellStyle name="Milliers 2 5 5 3 2" xfId="30673"/>
    <cellStyle name="Milliers 2 5 5 3 2 2" xfId="30674"/>
    <cellStyle name="Milliers 2 5 5 3 2 2 2" xfId="30675"/>
    <cellStyle name="Milliers 2 5 5 3 2 2 2 2" xfId="30676"/>
    <cellStyle name="Milliers 2 5 5 3 2 2 2 2 2" xfId="30677"/>
    <cellStyle name="Milliers 2 5 5 3 2 2 2 3" xfId="30678"/>
    <cellStyle name="Milliers 2 5 5 3 2 2 3" xfId="30679"/>
    <cellStyle name="Milliers 2 5 5 3 2 2 3 2" xfId="30680"/>
    <cellStyle name="Milliers 2 5 5 3 2 2 4" xfId="30681"/>
    <cellStyle name="Milliers 2 5 5 3 2 3" xfId="30682"/>
    <cellStyle name="Milliers 2 5 5 3 2 3 2" xfId="30683"/>
    <cellStyle name="Milliers 2 5 5 3 2 3 2 2" xfId="30684"/>
    <cellStyle name="Milliers 2 5 5 3 2 3 3" xfId="30685"/>
    <cellStyle name="Milliers 2 5 5 3 2 4" xfId="30686"/>
    <cellStyle name="Milliers 2 5 5 3 2 4 2" xfId="30687"/>
    <cellStyle name="Milliers 2 5 5 3 2 5" xfId="30688"/>
    <cellStyle name="Milliers 2 5 5 3 3" xfId="30689"/>
    <cellStyle name="Milliers 2 5 5 3 3 2" xfId="30690"/>
    <cellStyle name="Milliers 2 5 5 3 3 2 2" xfId="30691"/>
    <cellStyle name="Milliers 2 5 5 3 3 2 2 2" xfId="30692"/>
    <cellStyle name="Milliers 2 5 5 3 3 2 3" xfId="30693"/>
    <cellStyle name="Milliers 2 5 5 3 3 3" xfId="30694"/>
    <cellStyle name="Milliers 2 5 5 3 3 3 2" xfId="30695"/>
    <cellStyle name="Milliers 2 5 5 3 3 4" xfId="30696"/>
    <cellStyle name="Milliers 2 5 5 3 4" xfId="30697"/>
    <cellStyle name="Milliers 2 5 5 3 4 2" xfId="30698"/>
    <cellStyle name="Milliers 2 5 5 3 4 2 2" xfId="30699"/>
    <cellStyle name="Milliers 2 5 5 3 4 3" xfId="30700"/>
    <cellStyle name="Milliers 2 5 5 3 5" xfId="30701"/>
    <cellStyle name="Milliers 2 5 5 3 5 2" xfId="30702"/>
    <cellStyle name="Milliers 2 5 5 3 6" xfId="30703"/>
    <cellStyle name="Milliers 2 5 5 4" xfId="30704"/>
    <cellStyle name="Milliers 2 5 5 4 2" xfId="30705"/>
    <cellStyle name="Milliers 2 5 5 4 2 2" xfId="30706"/>
    <cellStyle name="Milliers 2 5 5 4 2 2 2" xfId="30707"/>
    <cellStyle name="Milliers 2 5 5 4 2 2 2 2" xfId="30708"/>
    <cellStyle name="Milliers 2 5 5 4 2 2 3" xfId="30709"/>
    <cellStyle name="Milliers 2 5 5 4 2 3" xfId="30710"/>
    <cellStyle name="Milliers 2 5 5 4 2 3 2" xfId="30711"/>
    <cellStyle name="Milliers 2 5 5 4 2 4" xfId="30712"/>
    <cellStyle name="Milliers 2 5 5 4 3" xfId="30713"/>
    <cellStyle name="Milliers 2 5 5 4 3 2" xfId="30714"/>
    <cellStyle name="Milliers 2 5 5 4 3 2 2" xfId="30715"/>
    <cellStyle name="Milliers 2 5 5 4 3 3" xfId="30716"/>
    <cellStyle name="Milliers 2 5 5 4 4" xfId="30717"/>
    <cellStyle name="Milliers 2 5 5 4 4 2" xfId="30718"/>
    <cellStyle name="Milliers 2 5 5 4 5" xfId="30719"/>
    <cellStyle name="Milliers 2 5 5 5" xfId="30720"/>
    <cellStyle name="Milliers 2 5 5 5 2" xfId="30721"/>
    <cellStyle name="Milliers 2 5 5 5 2 2" xfId="30722"/>
    <cellStyle name="Milliers 2 5 5 5 2 2 2" xfId="30723"/>
    <cellStyle name="Milliers 2 5 5 5 2 3" xfId="30724"/>
    <cellStyle name="Milliers 2 5 5 5 3" xfId="30725"/>
    <cellStyle name="Milliers 2 5 5 5 3 2" xfId="30726"/>
    <cellStyle name="Milliers 2 5 5 5 4" xfId="30727"/>
    <cellStyle name="Milliers 2 5 5 6" xfId="30728"/>
    <cellStyle name="Milliers 2 5 5 6 2" xfId="30729"/>
    <cellStyle name="Milliers 2 5 5 6 2 2" xfId="30730"/>
    <cellStyle name="Milliers 2 5 5 6 3" xfId="30731"/>
    <cellStyle name="Milliers 2 5 5 7" xfId="30732"/>
    <cellStyle name="Milliers 2 5 5 7 2" xfId="30733"/>
    <cellStyle name="Milliers 2 5 5 8" xfId="30734"/>
    <cellStyle name="Milliers 2 5 6" xfId="30735"/>
    <cellStyle name="Milliers 2 5 6 2" xfId="30736"/>
    <cellStyle name="Milliers 2 5 6 2 2" xfId="30737"/>
    <cellStyle name="Milliers 2 5 6 2 2 2" xfId="30738"/>
    <cellStyle name="Milliers 2 5 6 2 2 2 2" xfId="30739"/>
    <cellStyle name="Milliers 2 5 6 2 2 2 2 2" xfId="30740"/>
    <cellStyle name="Milliers 2 5 6 2 2 2 2 2 2" xfId="30741"/>
    <cellStyle name="Milliers 2 5 6 2 2 2 2 3" xfId="30742"/>
    <cellStyle name="Milliers 2 5 6 2 2 2 3" xfId="30743"/>
    <cellStyle name="Milliers 2 5 6 2 2 2 3 2" xfId="30744"/>
    <cellStyle name="Milliers 2 5 6 2 2 2 4" xfId="30745"/>
    <cellStyle name="Milliers 2 5 6 2 2 3" xfId="30746"/>
    <cellStyle name="Milliers 2 5 6 2 2 3 2" xfId="30747"/>
    <cellStyle name="Milliers 2 5 6 2 2 3 2 2" xfId="30748"/>
    <cellStyle name="Milliers 2 5 6 2 2 3 3" xfId="30749"/>
    <cellStyle name="Milliers 2 5 6 2 2 4" xfId="30750"/>
    <cellStyle name="Milliers 2 5 6 2 2 4 2" xfId="30751"/>
    <cellStyle name="Milliers 2 5 6 2 2 5" xfId="30752"/>
    <cellStyle name="Milliers 2 5 6 2 3" xfId="30753"/>
    <cellStyle name="Milliers 2 5 6 2 3 2" xfId="30754"/>
    <cellStyle name="Milliers 2 5 6 2 3 2 2" xfId="30755"/>
    <cellStyle name="Milliers 2 5 6 2 3 2 2 2" xfId="30756"/>
    <cellStyle name="Milliers 2 5 6 2 3 2 3" xfId="30757"/>
    <cellStyle name="Milliers 2 5 6 2 3 3" xfId="30758"/>
    <cellStyle name="Milliers 2 5 6 2 3 3 2" xfId="30759"/>
    <cellStyle name="Milliers 2 5 6 2 3 4" xfId="30760"/>
    <cellStyle name="Milliers 2 5 6 2 4" xfId="30761"/>
    <cellStyle name="Milliers 2 5 6 2 4 2" xfId="30762"/>
    <cellStyle name="Milliers 2 5 6 2 4 2 2" xfId="30763"/>
    <cellStyle name="Milliers 2 5 6 2 4 3" xfId="30764"/>
    <cellStyle name="Milliers 2 5 6 2 5" xfId="30765"/>
    <cellStyle name="Milliers 2 5 6 2 5 2" xfId="30766"/>
    <cellStyle name="Milliers 2 5 6 2 6" xfId="30767"/>
    <cellStyle name="Milliers 2 5 6 3" xfId="30768"/>
    <cellStyle name="Milliers 2 5 6 3 2" xfId="30769"/>
    <cellStyle name="Milliers 2 5 6 3 2 2" xfId="30770"/>
    <cellStyle name="Milliers 2 5 6 3 2 2 2" xfId="30771"/>
    <cellStyle name="Milliers 2 5 6 3 2 2 2 2" xfId="30772"/>
    <cellStyle name="Milliers 2 5 6 3 2 2 3" xfId="30773"/>
    <cellStyle name="Milliers 2 5 6 3 2 3" xfId="30774"/>
    <cellStyle name="Milliers 2 5 6 3 2 3 2" xfId="30775"/>
    <cellStyle name="Milliers 2 5 6 3 2 4" xfId="30776"/>
    <cellStyle name="Milliers 2 5 6 3 3" xfId="30777"/>
    <cellStyle name="Milliers 2 5 6 3 3 2" xfId="30778"/>
    <cellStyle name="Milliers 2 5 6 3 3 2 2" xfId="30779"/>
    <cellStyle name="Milliers 2 5 6 3 3 3" xfId="30780"/>
    <cellStyle name="Milliers 2 5 6 3 4" xfId="30781"/>
    <cellStyle name="Milliers 2 5 6 3 4 2" xfId="30782"/>
    <cellStyle name="Milliers 2 5 6 3 5" xfId="30783"/>
    <cellStyle name="Milliers 2 5 6 4" xfId="30784"/>
    <cellStyle name="Milliers 2 5 6 4 2" xfId="30785"/>
    <cellStyle name="Milliers 2 5 6 4 2 2" xfId="30786"/>
    <cellStyle name="Milliers 2 5 6 4 2 2 2" xfId="30787"/>
    <cellStyle name="Milliers 2 5 6 4 2 3" xfId="30788"/>
    <cellStyle name="Milliers 2 5 6 4 3" xfId="30789"/>
    <cellStyle name="Milliers 2 5 6 4 3 2" xfId="30790"/>
    <cellStyle name="Milliers 2 5 6 4 4" xfId="30791"/>
    <cellStyle name="Milliers 2 5 6 5" xfId="30792"/>
    <cellStyle name="Milliers 2 5 6 5 2" xfId="30793"/>
    <cellStyle name="Milliers 2 5 6 5 2 2" xfId="30794"/>
    <cellStyle name="Milliers 2 5 6 5 3" xfId="30795"/>
    <cellStyle name="Milliers 2 5 6 6" xfId="30796"/>
    <cellStyle name="Milliers 2 5 6 6 2" xfId="30797"/>
    <cellStyle name="Milliers 2 5 6 7" xfId="30798"/>
    <cellStyle name="Milliers 2 5 7" xfId="30799"/>
    <cellStyle name="Milliers 2 5 7 2" xfId="30800"/>
    <cellStyle name="Milliers 2 5 7 2 2" xfId="30801"/>
    <cellStyle name="Milliers 2 5 7 2 2 2" xfId="30802"/>
    <cellStyle name="Milliers 2 5 7 2 2 2 2" xfId="30803"/>
    <cellStyle name="Milliers 2 5 7 2 2 2 2 2" xfId="30804"/>
    <cellStyle name="Milliers 2 5 7 2 2 2 3" xfId="30805"/>
    <cellStyle name="Milliers 2 5 7 2 2 3" xfId="30806"/>
    <cellStyle name="Milliers 2 5 7 2 2 3 2" xfId="30807"/>
    <cellStyle name="Milliers 2 5 7 2 2 4" xfId="30808"/>
    <cellStyle name="Milliers 2 5 7 2 3" xfId="30809"/>
    <cellStyle name="Milliers 2 5 7 2 3 2" xfId="30810"/>
    <cellStyle name="Milliers 2 5 7 2 3 2 2" xfId="30811"/>
    <cellStyle name="Milliers 2 5 7 2 3 3" xfId="30812"/>
    <cellStyle name="Milliers 2 5 7 2 4" xfId="30813"/>
    <cellStyle name="Milliers 2 5 7 2 4 2" xfId="30814"/>
    <cellStyle name="Milliers 2 5 7 2 5" xfId="30815"/>
    <cellStyle name="Milliers 2 5 7 3" xfId="30816"/>
    <cellStyle name="Milliers 2 5 7 3 2" xfId="30817"/>
    <cellStyle name="Milliers 2 5 7 3 2 2" xfId="30818"/>
    <cellStyle name="Milliers 2 5 7 3 2 2 2" xfId="30819"/>
    <cellStyle name="Milliers 2 5 7 3 2 3" xfId="30820"/>
    <cellStyle name="Milliers 2 5 7 3 3" xfId="30821"/>
    <cellStyle name="Milliers 2 5 7 3 3 2" xfId="30822"/>
    <cellStyle name="Milliers 2 5 7 3 4" xfId="30823"/>
    <cellStyle name="Milliers 2 5 7 4" xfId="30824"/>
    <cellStyle name="Milliers 2 5 7 4 2" xfId="30825"/>
    <cellStyle name="Milliers 2 5 7 4 2 2" xfId="30826"/>
    <cellStyle name="Milliers 2 5 7 4 3" xfId="30827"/>
    <cellStyle name="Milliers 2 5 7 5" xfId="30828"/>
    <cellStyle name="Milliers 2 5 7 5 2" xfId="30829"/>
    <cellStyle name="Milliers 2 5 7 6" xfId="30830"/>
    <cellStyle name="Milliers 2 5 8" xfId="30831"/>
    <cellStyle name="Milliers 2 5 8 2" xfId="30832"/>
    <cellStyle name="Milliers 2 5 8 2 2" xfId="30833"/>
    <cellStyle name="Milliers 2 5 8 2 2 2" xfId="30834"/>
    <cellStyle name="Milliers 2 5 8 2 2 2 2" xfId="30835"/>
    <cellStyle name="Milliers 2 5 8 2 2 3" xfId="30836"/>
    <cellStyle name="Milliers 2 5 8 2 3" xfId="30837"/>
    <cellStyle name="Milliers 2 5 8 2 3 2" xfId="30838"/>
    <cellStyle name="Milliers 2 5 8 2 4" xfId="30839"/>
    <cellStyle name="Milliers 2 5 8 3" xfId="30840"/>
    <cellStyle name="Milliers 2 5 8 3 2" xfId="30841"/>
    <cellStyle name="Milliers 2 5 8 3 2 2" xfId="30842"/>
    <cellStyle name="Milliers 2 5 8 3 3" xfId="30843"/>
    <cellStyle name="Milliers 2 5 8 4" xfId="30844"/>
    <cellStyle name="Milliers 2 5 8 4 2" xfId="30845"/>
    <cellStyle name="Milliers 2 5 8 5" xfId="30846"/>
    <cellStyle name="Milliers 2 5 9" xfId="30847"/>
    <cellStyle name="Milliers 2 5 9 2" xfId="30848"/>
    <cellStyle name="Milliers 2 5 9 2 2" xfId="30849"/>
    <cellStyle name="Milliers 2 5 9 2 2 2" xfId="30850"/>
    <cellStyle name="Milliers 2 5 9 2 3" xfId="30851"/>
    <cellStyle name="Milliers 2 5 9 3" xfId="30852"/>
    <cellStyle name="Milliers 2 5 9 3 2" xfId="30853"/>
    <cellStyle name="Milliers 2 5 9 4" xfId="30854"/>
    <cellStyle name="Milliers 2 6" xfId="30855"/>
    <cellStyle name="Milliers 2 6 10" xfId="30856"/>
    <cellStyle name="Milliers 2 6 10 2" xfId="30857"/>
    <cellStyle name="Milliers 2 6 11" xfId="30858"/>
    <cellStyle name="Milliers 2 6 2" xfId="30859"/>
    <cellStyle name="Milliers 2 6 2 10" xfId="30860"/>
    <cellStyle name="Milliers 2 6 2 2" xfId="30861"/>
    <cellStyle name="Milliers 2 6 2 2 2" xfId="30862"/>
    <cellStyle name="Milliers 2 6 2 2 2 2" xfId="30863"/>
    <cellStyle name="Milliers 2 6 2 2 2 2 2" xfId="30864"/>
    <cellStyle name="Milliers 2 6 2 2 2 2 2 2" xfId="30865"/>
    <cellStyle name="Milliers 2 6 2 2 2 2 2 2 2" xfId="30866"/>
    <cellStyle name="Milliers 2 6 2 2 2 2 2 2 2 2" xfId="30867"/>
    <cellStyle name="Milliers 2 6 2 2 2 2 2 2 2 2 2" xfId="30868"/>
    <cellStyle name="Milliers 2 6 2 2 2 2 2 2 2 2 2 2" xfId="30869"/>
    <cellStyle name="Milliers 2 6 2 2 2 2 2 2 2 2 3" xfId="30870"/>
    <cellStyle name="Milliers 2 6 2 2 2 2 2 2 2 3" xfId="30871"/>
    <cellStyle name="Milliers 2 6 2 2 2 2 2 2 2 3 2" xfId="30872"/>
    <cellStyle name="Milliers 2 6 2 2 2 2 2 2 2 4" xfId="30873"/>
    <cellStyle name="Milliers 2 6 2 2 2 2 2 2 3" xfId="30874"/>
    <cellStyle name="Milliers 2 6 2 2 2 2 2 2 3 2" xfId="30875"/>
    <cellStyle name="Milliers 2 6 2 2 2 2 2 2 3 2 2" xfId="30876"/>
    <cellStyle name="Milliers 2 6 2 2 2 2 2 2 3 3" xfId="30877"/>
    <cellStyle name="Milliers 2 6 2 2 2 2 2 2 4" xfId="30878"/>
    <cellStyle name="Milliers 2 6 2 2 2 2 2 2 4 2" xfId="30879"/>
    <cellStyle name="Milliers 2 6 2 2 2 2 2 2 5" xfId="30880"/>
    <cellStyle name="Milliers 2 6 2 2 2 2 2 3" xfId="30881"/>
    <cellStyle name="Milliers 2 6 2 2 2 2 2 3 2" xfId="30882"/>
    <cellStyle name="Milliers 2 6 2 2 2 2 2 3 2 2" xfId="30883"/>
    <cellStyle name="Milliers 2 6 2 2 2 2 2 3 2 2 2" xfId="30884"/>
    <cellStyle name="Milliers 2 6 2 2 2 2 2 3 2 3" xfId="30885"/>
    <cellStyle name="Milliers 2 6 2 2 2 2 2 3 3" xfId="30886"/>
    <cellStyle name="Milliers 2 6 2 2 2 2 2 3 3 2" xfId="30887"/>
    <cellStyle name="Milliers 2 6 2 2 2 2 2 3 4" xfId="30888"/>
    <cellStyle name="Milliers 2 6 2 2 2 2 2 4" xfId="30889"/>
    <cellStyle name="Milliers 2 6 2 2 2 2 2 4 2" xfId="30890"/>
    <cellStyle name="Milliers 2 6 2 2 2 2 2 4 2 2" xfId="30891"/>
    <cellStyle name="Milliers 2 6 2 2 2 2 2 4 3" xfId="30892"/>
    <cellStyle name="Milliers 2 6 2 2 2 2 2 5" xfId="30893"/>
    <cellStyle name="Milliers 2 6 2 2 2 2 2 5 2" xfId="30894"/>
    <cellStyle name="Milliers 2 6 2 2 2 2 2 6" xfId="30895"/>
    <cellStyle name="Milliers 2 6 2 2 2 2 3" xfId="30896"/>
    <cellStyle name="Milliers 2 6 2 2 2 2 3 2" xfId="30897"/>
    <cellStyle name="Milliers 2 6 2 2 2 2 3 2 2" xfId="30898"/>
    <cellStyle name="Milliers 2 6 2 2 2 2 3 2 2 2" xfId="30899"/>
    <cellStyle name="Milliers 2 6 2 2 2 2 3 2 2 2 2" xfId="30900"/>
    <cellStyle name="Milliers 2 6 2 2 2 2 3 2 2 3" xfId="30901"/>
    <cellStyle name="Milliers 2 6 2 2 2 2 3 2 3" xfId="30902"/>
    <cellStyle name="Milliers 2 6 2 2 2 2 3 2 3 2" xfId="30903"/>
    <cellStyle name="Milliers 2 6 2 2 2 2 3 2 4" xfId="30904"/>
    <cellStyle name="Milliers 2 6 2 2 2 2 3 3" xfId="30905"/>
    <cellStyle name="Milliers 2 6 2 2 2 2 3 3 2" xfId="30906"/>
    <cellStyle name="Milliers 2 6 2 2 2 2 3 3 2 2" xfId="30907"/>
    <cellStyle name="Milliers 2 6 2 2 2 2 3 3 3" xfId="30908"/>
    <cellStyle name="Milliers 2 6 2 2 2 2 3 4" xfId="30909"/>
    <cellStyle name="Milliers 2 6 2 2 2 2 3 4 2" xfId="30910"/>
    <cellStyle name="Milliers 2 6 2 2 2 2 3 5" xfId="30911"/>
    <cellStyle name="Milliers 2 6 2 2 2 2 4" xfId="30912"/>
    <cellStyle name="Milliers 2 6 2 2 2 2 4 2" xfId="30913"/>
    <cellStyle name="Milliers 2 6 2 2 2 2 4 2 2" xfId="30914"/>
    <cellStyle name="Milliers 2 6 2 2 2 2 4 2 2 2" xfId="30915"/>
    <cellStyle name="Milliers 2 6 2 2 2 2 4 2 3" xfId="30916"/>
    <cellStyle name="Milliers 2 6 2 2 2 2 4 3" xfId="30917"/>
    <cellStyle name="Milliers 2 6 2 2 2 2 4 3 2" xfId="30918"/>
    <cellStyle name="Milliers 2 6 2 2 2 2 4 4" xfId="30919"/>
    <cellStyle name="Milliers 2 6 2 2 2 2 5" xfId="30920"/>
    <cellStyle name="Milliers 2 6 2 2 2 2 5 2" xfId="30921"/>
    <cellStyle name="Milliers 2 6 2 2 2 2 5 2 2" xfId="30922"/>
    <cellStyle name="Milliers 2 6 2 2 2 2 5 3" xfId="30923"/>
    <cellStyle name="Milliers 2 6 2 2 2 2 6" xfId="30924"/>
    <cellStyle name="Milliers 2 6 2 2 2 2 6 2" xfId="30925"/>
    <cellStyle name="Milliers 2 6 2 2 2 2 7" xfId="30926"/>
    <cellStyle name="Milliers 2 6 2 2 2 3" xfId="30927"/>
    <cellStyle name="Milliers 2 6 2 2 2 3 2" xfId="30928"/>
    <cellStyle name="Milliers 2 6 2 2 2 3 2 2" xfId="30929"/>
    <cellStyle name="Milliers 2 6 2 2 2 3 2 2 2" xfId="30930"/>
    <cellStyle name="Milliers 2 6 2 2 2 3 2 2 2 2" xfId="30931"/>
    <cellStyle name="Milliers 2 6 2 2 2 3 2 2 2 2 2" xfId="30932"/>
    <cellStyle name="Milliers 2 6 2 2 2 3 2 2 2 3" xfId="30933"/>
    <cellStyle name="Milliers 2 6 2 2 2 3 2 2 3" xfId="30934"/>
    <cellStyle name="Milliers 2 6 2 2 2 3 2 2 3 2" xfId="30935"/>
    <cellStyle name="Milliers 2 6 2 2 2 3 2 2 4" xfId="30936"/>
    <cellStyle name="Milliers 2 6 2 2 2 3 2 3" xfId="30937"/>
    <cellStyle name="Milliers 2 6 2 2 2 3 2 3 2" xfId="30938"/>
    <cellStyle name="Milliers 2 6 2 2 2 3 2 3 2 2" xfId="30939"/>
    <cellStyle name="Milliers 2 6 2 2 2 3 2 3 3" xfId="30940"/>
    <cellStyle name="Milliers 2 6 2 2 2 3 2 4" xfId="30941"/>
    <cellStyle name="Milliers 2 6 2 2 2 3 2 4 2" xfId="30942"/>
    <cellStyle name="Milliers 2 6 2 2 2 3 2 5" xfId="30943"/>
    <cellStyle name="Milliers 2 6 2 2 2 3 3" xfId="30944"/>
    <cellStyle name="Milliers 2 6 2 2 2 3 3 2" xfId="30945"/>
    <cellStyle name="Milliers 2 6 2 2 2 3 3 2 2" xfId="30946"/>
    <cellStyle name="Milliers 2 6 2 2 2 3 3 2 2 2" xfId="30947"/>
    <cellStyle name="Milliers 2 6 2 2 2 3 3 2 3" xfId="30948"/>
    <cellStyle name="Milliers 2 6 2 2 2 3 3 3" xfId="30949"/>
    <cellStyle name="Milliers 2 6 2 2 2 3 3 3 2" xfId="30950"/>
    <cellStyle name="Milliers 2 6 2 2 2 3 3 4" xfId="30951"/>
    <cellStyle name="Milliers 2 6 2 2 2 3 4" xfId="30952"/>
    <cellStyle name="Milliers 2 6 2 2 2 3 4 2" xfId="30953"/>
    <cellStyle name="Milliers 2 6 2 2 2 3 4 2 2" xfId="30954"/>
    <cellStyle name="Milliers 2 6 2 2 2 3 4 3" xfId="30955"/>
    <cellStyle name="Milliers 2 6 2 2 2 3 5" xfId="30956"/>
    <cellStyle name="Milliers 2 6 2 2 2 3 5 2" xfId="30957"/>
    <cellStyle name="Milliers 2 6 2 2 2 3 6" xfId="30958"/>
    <cellStyle name="Milliers 2 6 2 2 2 4" xfId="30959"/>
    <cellStyle name="Milliers 2 6 2 2 2 4 2" xfId="30960"/>
    <cellStyle name="Milliers 2 6 2 2 2 4 2 2" xfId="30961"/>
    <cellStyle name="Milliers 2 6 2 2 2 4 2 2 2" xfId="30962"/>
    <cellStyle name="Milliers 2 6 2 2 2 4 2 2 2 2" xfId="30963"/>
    <cellStyle name="Milliers 2 6 2 2 2 4 2 2 3" xfId="30964"/>
    <cellStyle name="Milliers 2 6 2 2 2 4 2 3" xfId="30965"/>
    <cellStyle name="Milliers 2 6 2 2 2 4 2 3 2" xfId="30966"/>
    <cellStyle name="Milliers 2 6 2 2 2 4 2 4" xfId="30967"/>
    <cellStyle name="Milliers 2 6 2 2 2 4 3" xfId="30968"/>
    <cellStyle name="Milliers 2 6 2 2 2 4 3 2" xfId="30969"/>
    <cellStyle name="Milliers 2 6 2 2 2 4 3 2 2" xfId="30970"/>
    <cellStyle name="Milliers 2 6 2 2 2 4 3 3" xfId="30971"/>
    <cellStyle name="Milliers 2 6 2 2 2 4 4" xfId="30972"/>
    <cellStyle name="Milliers 2 6 2 2 2 4 4 2" xfId="30973"/>
    <cellStyle name="Milliers 2 6 2 2 2 4 5" xfId="30974"/>
    <cellStyle name="Milliers 2 6 2 2 2 5" xfId="30975"/>
    <cellStyle name="Milliers 2 6 2 2 2 5 2" xfId="30976"/>
    <cellStyle name="Milliers 2 6 2 2 2 5 2 2" xfId="30977"/>
    <cellStyle name="Milliers 2 6 2 2 2 5 2 2 2" xfId="30978"/>
    <cellStyle name="Milliers 2 6 2 2 2 5 2 3" xfId="30979"/>
    <cellStyle name="Milliers 2 6 2 2 2 5 3" xfId="30980"/>
    <cellStyle name="Milliers 2 6 2 2 2 5 3 2" xfId="30981"/>
    <cellStyle name="Milliers 2 6 2 2 2 5 4" xfId="30982"/>
    <cellStyle name="Milliers 2 6 2 2 2 6" xfId="30983"/>
    <cellStyle name="Milliers 2 6 2 2 2 6 2" xfId="30984"/>
    <cellStyle name="Milliers 2 6 2 2 2 6 2 2" xfId="30985"/>
    <cellStyle name="Milliers 2 6 2 2 2 6 3" xfId="30986"/>
    <cellStyle name="Milliers 2 6 2 2 2 7" xfId="30987"/>
    <cellStyle name="Milliers 2 6 2 2 2 7 2" xfId="30988"/>
    <cellStyle name="Milliers 2 6 2 2 2 8" xfId="30989"/>
    <cellStyle name="Milliers 2 6 2 2 3" xfId="30990"/>
    <cellStyle name="Milliers 2 6 2 2 3 2" xfId="30991"/>
    <cellStyle name="Milliers 2 6 2 2 3 2 2" xfId="30992"/>
    <cellStyle name="Milliers 2 6 2 2 3 2 2 2" xfId="30993"/>
    <cellStyle name="Milliers 2 6 2 2 3 2 2 2 2" xfId="30994"/>
    <cellStyle name="Milliers 2 6 2 2 3 2 2 2 2 2" xfId="30995"/>
    <cellStyle name="Milliers 2 6 2 2 3 2 2 2 2 2 2" xfId="30996"/>
    <cellStyle name="Milliers 2 6 2 2 3 2 2 2 2 3" xfId="30997"/>
    <cellStyle name="Milliers 2 6 2 2 3 2 2 2 3" xfId="30998"/>
    <cellStyle name="Milliers 2 6 2 2 3 2 2 2 3 2" xfId="30999"/>
    <cellStyle name="Milliers 2 6 2 2 3 2 2 2 4" xfId="31000"/>
    <cellStyle name="Milliers 2 6 2 2 3 2 2 3" xfId="31001"/>
    <cellStyle name="Milliers 2 6 2 2 3 2 2 3 2" xfId="31002"/>
    <cellStyle name="Milliers 2 6 2 2 3 2 2 3 2 2" xfId="31003"/>
    <cellStyle name="Milliers 2 6 2 2 3 2 2 3 3" xfId="31004"/>
    <cellStyle name="Milliers 2 6 2 2 3 2 2 4" xfId="31005"/>
    <cellStyle name="Milliers 2 6 2 2 3 2 2 4 2" xfId="31006"/>
    <cellStyle name="Milliers 2 6 2 2 3 2 2 5" xfId="31007"/>
    <cellStyle name="Milliers 2 6 2 2 3 2 3" xfId="31008"/>
    <cellStyle name="Milliers 2 6 2 2 3 2 3 2" xfId="31009"/>
    <cellStyle name="Milliers 2 6 2 2 3 2 3 2 2" xfId="31010"/>
    <cellStyle name="Milliers 2 6 2 2 3 2 3 2 2 2" xfId="31011"/>
    <cellStyle name="Milliers 2 6 2 2 3 2 3 2 3" xfId="31012"/>
    <cellStyle name="Milliers 2 6 2 2 3 2 3 3" xfId="31013"/>
    <cellStyle name="Milliers 2 6 2 2 3 2 3 3 2" xfId="31014"/>
    <cellStyle name="Milliers 2 6 2 2 3 2 3 4" xfId="31015"/>
    <cellStyle name="Milliers 2 6 2 2 3 2 4" xfId="31016"/>
    <cellStyle name="Milliers 2 6 2 2 3 2 4 2" xfId="31017"/>
    <cellStyle name="Milliers 2 6 2 2 3 2 4 2 2" xfId="31018"/>
    <cellStyle name="Milliers 2 6 2 2 3 2 4 3" xfId="31019"/>
    <cellStyle name="Milliers 2 6 2 2 3 2 5" xfId="31020"/>
    <cellStyle name="Milliers 2 6 2 2 3 2 5 2" xfId="31021"/>
    <cellStyle name="Milliers 2 6 2 2 3 2 6" xfId="31022"/>
    <cellStyle name="Milliers 2 6 2 2 3 3" xfId="31023"/>
    <cellStyle name="Milliers 2 6 2 2 3 3 2" xfId="31024"/>
    <cellStyle name="Milliers 2 6 2 2 3 3 2 2" xfId="31025"/>
    <cellStyle name="Milliers 2 6 2 2 3 3 2 2 2" xfId="31026"/>
    <cellStyle name="Milliers 2 6 2 2 3 3 2 2 2 2" xfId="31027"/>
    <cellStyle name="Milliers 2 6 2 2 3 3 2 2 3" xfId="31028"/>
    <cellStyle name="Milliers 2 6 2 2 3 3 2 3" xfId="31029"/>
    <cellStyle name="Milliers 2 6 2 2 3 3 2 3 2" xfId="31030"/>
    <cellStyle name="Milliers 2 6 2 2 3 3 2 4" xfId="31031"/>
    <cellStyle name="Milliers 2 6 2 2 3 3 3" xfId="31032"/>
    <cellStyle name="Milliers 2 6 2 2 3 3 3 2" xfId="31033"/>
    <cellStyle name="Milliers 2 6 2 2 3 3 3 2 2" xfId="31034"/>
    <cellStyle name="Milliers 2 6 2 2 3 3 3 3" xfId="31035"/>
    <cellStyle name="Milliers 2 6 2 2 3 3 4" xfId="31036"/>
    <cellStyle name="Milliers 2 6 2 2 3 3 4 2" xfId="31037"/>
    <cellStyle name="Milliers 2 6 2 2 3 3 5" xfId="31038"/>
    <cellStyle name="Milliers 2 6 2 2 3 4" xfId="31039"/>
    <cellStyle name="Milliers 2 6 2 2 3 4 2" xfId="31040"/>
    <cellStyle name="Milliers 2 6 2 2 3 4 2 2" xfId="31041"/>
    <cellStyle name="Milliers 2 6 2 2 3 4 2 2 2" xfId="31042"/>
    <cellStyle name="Milliers 2 6 2 2 3 4 2 3" xfId="31043"/>
    <cellStyle name="Milliers 2 6 2 2 3 4 3" xfId="31044"/>
    <cellStyle name="Milliers 2 6 2 2 3 4 3 2" xfId="31045"/>
    <cellStyle name="Milliers 2 6 2 2 3 4 4" xfId="31046"/>
    <cellStyle name="Milliers 2 6 2 2 3 5" xfId="31047"/>
    <cellStyle name="Milliers 2 6 2 2 3 5 2" xfId="31048"/>
    <cellStyle name="Milliers 2 6 2 2 3 5 2 2" xfId="31049"/>
    <cellStyle name="Milliers 2 6 2 2 3 5 3" xfId="31050"/>
    <cellStyle name="Milliers 2 6 2 2 3 6" xfId="31051"/>
    <cellStyle name="Milliers 2 6 2 2 3 6 2" xfId="31052"/>
    <cellStyle name="Milliers 2 6 2 2 3 7" xfId="31053"/>
    <cellStyle name="Milliers 2 6 2 2 4" xfId="31054"/>
    <cellStyle name="Milliers 2 6 2 2 4 2" xfId="31055"/>
    <cellStyle name="Milliers 2 6 2 2 4 2 2" xfId="31056"/>
    <cellStyle name="Milliers 2 6 2 2 4 2 2 2" xfId="31057"/>
    <cellStyle name="Milliers 2 6 2 2 4 2 2 2 2" xfId="31058"/>
    <cellStyle name="Milliers 2 6 2 2 4 2 2 2 2 2" xfId="31059"/>
    <cellStyle name="Milliers 2 6 2 2 4 2 2 2 3" xfId="31060"/>
    <cellStyle name="Milliers 2 6 2 2 4 2 2 3" xfId="31061"/>
    <cellStyle name="Milliers 2 6 2 2 4 2 2 3 2" xfId="31062"/>
    <cellStyle name="Milliers 2 6 2 2 4 2 2 4" xfId="31063"/>
    <cellStyle name="Milliers 2 6 2 2 4 2 3" xfId="31064"/>
    <cellStyle name="Milliers 2 6 2 2 4 2 3 2" xfId="31065"/>
    <cellStyle name="Milliers 2 6 2 2 4 2 3 2 2" xfId="31066"/>
    <cellStyle name="Milliers 2 6 2 2 4 2 3 3" xfId="31067"/>
    <cellStyle name="Milliers 2 6 2 2 4 2 4" xfId="31068"/>
    <cellStyle name="Milliers 2 6 2 2 4 2 4 2" xfId="31069"/>
    <cellStyle name="Milliers 2 6 2 2 4 2 5" xfId="31070"/>
    <cellStyle name="Milliers 2 6 2 2 4 3" xfId="31071"/>
    <cellStyle name="Milliers 2 6 2 2 4 3 2" xfId="31072"/>
    <cellStyle name="Milliers 2 6 2 2 4 3 2 2" xfId="31073"/>
    <cellStyle name="Milliers 2 6 2 2 4 3 2 2 2" xfId="31074"/>
    <cellStyle name="Milliers 2 6 2 2 4 3 2 3" xfId="31075"/>
    <cellStyle name="Milliers 2 6 2 2 4 3 3" xfId="31076"/>
    <cellStyle name="Milliers 2 6 2 2 4 3 3 2" xfId="31077"/>
    <cellStyle name="Milliers 2 6 2 2 4 3 4" xfId="31078"/>
    <cellStyle name="Milliers 2 6 2 2 4 4" xfId="31079"/>
    <cellStyle name="Milliers 2 6 2 2 4 4 2" xfId="31080"/>
    <cellStyle name="Milliers 2 6 2 2 4 4 2 2" xfId="31081"/>
    <cellStyle name="Milliers 2 6 2 2 4 4 3" xfId="31082"/>
    <cellStyle name="Milliers 2 6 2 2 4 5" xfId="31083"/>
    <cellStyle name="Milliers 2 6 2 2 4 5 2" xfId="31084"/>
    <cellStyle name="Milliers 2 6 2 2 4 6" xfId="31085"/>
    <cellStyle name="Milliers 2 6 2 2 5" xfId="31086"/>
    <cellStyle name="Milliers 2 6 2 2 5 2" xfId="31087"/>
    <cellStyle name="Milliers 2 6 2 2 5 2 2" xfId="31088"/>
    <cellStyle name="Milliers 2 6 2 2 5 2 2 2" xfId="31089"/>
    <cellStyle name="Milliers 2 6 2 2 5 2 2 2 2" xfId="31090"/>
    <cellStyle name="Milliers 2 6 2 2 5 2 2 3" xfId="31091"/>
    <cellStyle name="Milliers 2 6 2 2 5 2 3" xfId="31092"/>
    <cellStyle name="Milliers 2 6 2 2 5 2 3 2" xfId="31093"/>
    <cellStyle name="Milliers 2 6 2 2 5 2 4" xfId="31094"/>
    <cellStyle name="Milliers 2 6 2 2 5 3" xfId="31095"/>
    <cellStyle name="Milliers 2 6 2 2 5 3 2" xfId="31096"/>
    <cellStyle name="Milliers 2 6 2 2 5 3 2 2" xfId="31097"/>
    <cellStyle name="Milliers 2 6 2 2 5 3 3" xfId="31098"/>
    <cellStyle name="Milliers 2 6 2 2 5 4" xfId="31099"/>
    <cellStyle name="Milliers 2 6 2 2 5 4 2" xfId="31100"/>
    <cellStyle name="Milliers 2 6 2 2 5 5" xfId="31101"/>
    <cellStyle name="Milliers 2 6 2 2 6" xfId="31102"/>
    <cellStyle name="Milliers 2 6 2 2 6 2" xfId="31103"/>
    <cellStyle name="Milliers 2 6 2 2 6 2 2" xfId="31104"/>
    <cellStyle name="Milliers 2 6 2 2 6 2 2 2" xfId="31105"/>
    <cellStyle name="Milliers 2 6 2 2 6 2 3" xfId="31106"/>
    <cellStyle name="Milliers 2 6 2 2 6 3" xfId="31107"/>
    <cellStyle name="Milliers 2 6 2 2 6 3 2" xfId="31108"/>
    <cellStyle name="Milliers 2 6 2 2 6 4" xfId="31109"/>
    <cellStyle name="Milliers 2 6 2 2 7" xfId="31110"/>
    <cellStyle name="Milliers 2 6 2 2 7 2" xfId="31111"/>
    <cellStyle name="Milliers 2 6 2 2 7 2 2" xfId="31112"/>
    <cellStyle name="Milliers 2 6 2 2 7 3" xfId="31113"/>
    <cellStyle name="Milliers 2 6 2 2 8" xfId="31114"/>
    <cellStyle name="Milliers 2 6 2 2 8 2" xfId="31115"/>
    <cellStyle name="Milliers 2 6 2 2 9" xfId="31116"/>
    <cellStyle name="Milliers 2 6 2 3" xfId="31117"/>
    <cellStyle name="Milliers 2 6 2 3 2" xfId="31118"/>
    <cellStyle name="Milliers 2 6 2 3 2 2" xfId="31119"/>
    <cellStyle name="Milliers 2 6 2 3 2 2 2" xfId="31120"/>
    <cellStyle name="Milliers 2 6 2 3 2 2 2 2" xfId="31121"/>
    <cellStyle name="Milliers 2 6 2 3 2 2 2 2 2" xfId="31122"/>
    <cellStyle name="Milliers 2 6 2 3 2 2 2 2 2 2" xfId="31123"/>
    <cellStyle name="Milliers 2 6 2 3 2 2 2 2 2 2 2" xfId="31124"/>
    <cellStyle name="Milliers 2 6 2 3 2 2 2 2 2 3" xfId="31125"/>
    <cellStyle name="Milliers 2 6 2 3 2 2 2 2 3" xfId="31126"/>
    <cellStyle name="Milliers 2 6 2 3 2 2 2 2 3 2" xfId="31127"/>
    <cellStyle name="Milliers 2 6 2 3 2 2 2 2 4" xfId="31128"/>
    <cellStyle name="Milliers 2 6 2 3 2 2 2 3" xfId="31129"/>
    <cellStyle name="Milliers 2 6 2 3 2 2 2 3 2" xfId="31130"/>
    <cellStyle name="Milliers 2 6 2 3 2 2 2 3 2 2" xfId="31131"/>
    <cellStyle name="Milliers 2 6 2 3 2 2 2 3 3" xfId="31132"/>
    <cellStyle name="Milliers 2 6 2 3 2 2 2 4" xfId="31133"/>
    <cellStyle name="Milliers 2 6 2 3 2 2 2 4 2" xfId="31134"/>
    <cellStyle name="Milliers 2 6 2 3 2 2 2 5" xfId="31135"/>
    <cellStyle name="Milliers 2 6 2 3 2 2 3" xfId="31136"/>
    <cellStyle name="Milliers 2 6 2 3 2 2 3 2" xfId="31137"/>
    <cellStyle name="Milliers 2 6 2 3 2 2 3 2 2" xfId="31138"/>
    <cellStyle name="Milliers 2 6 2 3 2 2 3 2 2 2" xfId="31139"/>
    <cellStyle name="Milliers 2 6 2 3 2 2 3 2 3" xfId="31140"/>
    <cellStyle name="Milliers 2 6 2 3 2 2 3 3" xfId="31141"/>
    <cellStyle name="Milliers 2 6 2 3 2 2 3 3 2" xfId="31142"/>
    <cellStyle name="Milliers 2 6 2 3 2 2 3 4" xfId="31143"/>
    <cellStyle name="Milliers 2 6 2 3 2 2 4" xfId="31144"/>
    <cellStyle name="Milliers 2 6 2 3 2 2 4 2" xfId="31145"/>
    <cellStyle name="Milliers 2 6 2 3 2 2 4 2 2" xfId="31146"/>
    <cellStyle name="Milliers 2 6 2 3 2 2 4 3" xfId="31147"/>
    <cellStyle name="Milliers 2 6 2 3 2 2 5" xfId="31148"/>
    <cellStyle name="Milliers 2 6 2 3 2 2 5 2" xfId="31149"/>
    <cellStyle name="Milliers 2 6 2 3 2 2 6" xfId="31150"/>
    <cellStyle name="Milliers 2 6 2 3 2 3" xfId="31151"/>
    <cellStyle name="Milliers 2 6 2 3 2 3 2" xfId="31152"/>
    <cellStyle name="Milliers 2 6 2 3 2 3 2 2" xfId="31153"/>
    <cellStyle name="Milliers 2 6 2 3 2 3 2 2 2" xfId="31154"/>
    <cellStyle name="Milliers 2 6 2 3 2 3 2 2 2 2" xfId="31155"/>
    <cellStyle name="Milliers 2 6 2 3 2 3 2 2 3" xfId="31156"/>
    <cellStyle name="Milliers 2 6 2 3 2 3 2 3" xfId="31157"/>
    <cellStyle name="Milliers 2 6 2 3 2 3 2 3 2" xfId="31158"/>
    <cellStyle name="Milliers 2 6 2 3 2 3 2 4" xfId="31159"/>
    <cellStyle name="Milliers 2 6 2 3 2 3 3" xfId="31160"/>
    <cellStyle name="Milliers 2 6 2 3 2 3 3 2" xfId="31161"/>
    <cellStyle name="Milliers 2 6 2 3 2 3 3 2 2" xfId="31162"/>
    <cellStyle name="Milliers 2 6 2 3 2 3 3 3" xfId="31163"/>
    <cellStyle name="Milliers 2 6 2 3 2 3 4" xfId="31164"/>
    <cellStyle name="Milliers 2 6 2 3 2 3 4 2" xfId="31165"/>
    <cellStyle name="Milliers 2 6 2 3 2 3 5" xfId="31166"/>
    <cellStyle name="Milliers 2 6 2 3 2 4" xfId="31167"/>
    <cellStyle name="Milliers 2 6 2 3 2 4 2" xfId="31168"/>
    <cellStyle name="Milliers 2 6 2 3 2 4 2 2" xfId="31169"/>
    <cellStyle name="Milliers 2 6 2 3 2 4 2 2 2" xfId="31170"/>
    <cellStyle name="Milliers 2 6 2 3 2 4 2 3" xfId="31171"/>
    <cellStyle name="Milliers 2 6 2 3 2 4 3" xfId="31172"/>
    <cellStyle name="Milliers 2 6 2 3 2 4 3 2" xfId="31173"/>
    <cellStyle name="Milliers 2 6 2 3 2 4 4" xfId="31174"/>
    <cellStyle name="Milliers 2 6 2 3 2 5" xfId="31175"/>
    <cellStyle name="Milliers 2 6 2 3 2 5 2" xfId="31176"/>
    <cellStyle name="Milliers 2 6 2 3 2 5 2 2" xfId="31177"/>
    <cellStyle name="Milliers 2 6 2 3 2 5 3" xfId="31178"/>
    <cellStyle name="Milliers 2 6 2 3 2 6" xfId="31179"/>
    <cellStyle name="Milliers 2 6 2 3 2 6 2" xfId="31180"/>
    <cellStyle name="Milliers 2 6 2 3 2 7" xfId="31181"/>
    <cellStyle name="Milliers 2 6 2 3 3" xfId="31182"/>
    <cellStyle name="Milliers 2 6 2 3 3 2" xfId="31183"/>
    <cellStyle name="Milliers 2 6 2 3 3 2 2" xfId="31184"/>
    <cellStyle name="Milliers 2 6 2 3 3 2 2 2" xfId="31185"/>
    <cellStyle name="Milliers 2 6 2 3 3 2 2 2 2" xfId="31186"/>
    <cellStyle name="Milliers 2 6 2 3 3 2 2 2 2 2" xfId="31187"/>
    <cellStyle name="Milliers 2 6 2 3 3 2 2 2 3" xfId="31188"/>
    <cellStyle name="Milliers 2 6 2 3 3 2 2 3" xfId="31189"/>
    <cellStyle name="Milliers 2 6 2 3 3 2 2 3 2" xfId="31190"/>
    <cellStyle name="Milliers 2 6 2 3 3 2 2 4" xfId="31191"/>
    <cellStyle name="Milliers 2 6 2 3 3 2 3" xfId="31192"/>
    <cellStyle name="Milliers 2 6 2 3 3 2 3 2" xfId="31193"/>
    <cellStyle name="Milliers 2 6 2 3 3 2 3 2 2" xfId="31194"/>
    <cellStyle name="Milliers 2 6 2 3 3 2 3 3" xfId="31195"/>
    <cellStyle name="Milliers 2 6 2 3 3 2 4" xfId="31196"/>
    <cellStyle name="Milliers 2 6 2 3 3 2 4 2" xfId="31197"/>
    <cellStyle name="Milliers 2 6 2 3 3 2 5" xfId="31198"/>
    <cellStyle name="Milliers 2 6 2 3 3 3" xfId="31199"/>
    <cellStyle name="Milliers 2 6 2 3 3 3 2" xfId="31200"/>
    <cellStyle name="Milliers 2 6 2 3 3 3 2 2" xfId="31201"/>
    <cellStyle name="Milliers 2 6 2 3 3 3 2 2 2" xfId="31202"/>
    <cellStyle name="Milliers 2 6 2 3 3 3 2 3" xfId="31203"/>
    <cellStyle name="Milliers 2 6 2 3 3 3 3" xfId="31204"/>
    <cellStyle name="Milliers 2 6 2 3 3 3 3 2" xfId="31205"/>
    <cellStyle name="Milliers 2 6 2 3 3 3 4" xfId="31206"/>
    <cellStyle name="Milliers 2 6 2 3 3 4" xfId="31207"/>
    <cellStyle name="Milliers 2 6 2 3 3 4 2" xfId="31208"/>
    <cellStyle name="Milliers 2 6 2 3 3 4 2 2" xfId="31209"/>
    <cellStyle name="Milliers 2 6 2 3 3 4 3" xfId="31210"/>
    <cellStyle name="Milliers 2 6 2 3 3 5" xfId="31211"/>
    <cellStyle name="Milliers 2 6 2 3 3 5 2" xfId="31212"/>
    <cellStyle name="Milliers 2 6 2 3 3 6" xfId="31213"/>
    <cellStyle name="Milliers 2 6 2 3 4" xfId="31214"/>
    <cellStyle name="Milliers 2 6 2 3 4 2" xfId="31215"/>
    <cellStyle name="Milliers 2 6 2 3 4 2 2" xfId="31216"/>
    <cellStyle name="Milliers 2 6 2 3 4 2 2 2" xfId="31217"/>
    <cellStyle name="Milliers 2 6 2 3 4 2 2 2 2" xfId="31218"/>
    <cellStyle name="Milliers 2 6 2 3 4 2 2 3" xfId="31219"/>
    <cellStyle name="Milliers 2 6 2 3 4 2 3" xfId="31220"/>
    <cellStyle name="Milliers 2 6 2 3 4 2 3 2" xfId="31221"/>
    <cellStyle name="Milliers 2 6 2 3 4 2 4" xfId="31222"/>
    <cellStyle name="Milliers 2 6 2 3 4 3" xfId="31223"/>
    <cellStyle name="Milliers 2 6 2 3 4 3 2" xfId="31224"/>
    <cellStyle name="Milliers 2 6 2 3 4 3 2 2" xfId="31225"/>
    <cellStyle name="Milliers 2 6 2 3 4 3 3" xfId="31226"/>
    <cellStyle name="Milliers 2 6 2 3 4 4" xfId="31227"/>
    <cellStyle name="Milliers 2 6 2 3 4 4 2" xfId="31228"/>
    <cellStyle name="Milliers 2 6 2 3 4 5" xfId="31229"/>
    <cellStyle name="Milliers 2 6 2 3 5" xfId="31230"/>
    <cellStyle name="Milliers 2 6 2 3 5 2" xfId="31231"/>
    <cellStyle name="Milliers 2 6 2 3 5 2 2" xfId="31232"/>
    <cellStyle name="Milliers 2 6 2 3 5 2 2 2" xfId="31233"/>
    <cellStyle name="Milliers 2 6 2 3 5 2 3" xfId="31234"/>
    <cellStyle name="Milliers 2 6 2 3 5 3" xfId="31235"/>
    <cellStyle name="Milliers 2 6 2 3 5 3 2" xfId="31236"/>
    <cellStyle name="Milliers 2 6 2 3 5 4" xfId="31237"/>
    <cellStyle name="Milliers 2 6 2 3 6" xfId="31238"/>
    <cellStyle name="Milliers 2 6 2 3 6 2" xfId="31239"/>
    <cellStyle name="Milliers 2 6 2 3 6 2 2" xfId="31240"/>
    <cellStyle name="Milliers 2 6 2 3 6 3" xfId="31241"/>
    <cellStyle name="Milliers 2 6 2 3 7" xfId="31242"/>
    <cellStyle name="Milliers 2 6 2 3 7 2" xfId="31243"/>
    <cellStyle name="Milliers 2 6 2 3 8" xfId="31244"/>
    <cellStyle name="Milliers 2 6 2 4" xfId="31245"/>
    <cellStyle name="Milliers 2 6 2 4 2" xfId="31246"/>
    <cellStyle name="Milliers 2 6 2 4 2 2" xfId="31247"/>
    <cellStyle name="Milliers 2 6 2 4 2 2 2" xfId="31248"/>
    <cellStyle name="Milliers 2 6 2 4 2 2 2 2" xfId="31249"/>
    <cellStyle name="Milliers 2 6 2 4 2 2 2 2 2" xfId="31250"/>
    <cellStyle name="Milliers 2 6 2 4 2 2 2 2 2 2" xfId="31251"/>
    <cellStyle name="Milliers 2 6 2 4 2 2 2 2 3" xfId="31252"/>
    <cellStyle name="Milliers 2 6 2 4 2 2 2 3" xfId="31253"/>
    <cellStyle name="Milliers 2 6 2 4 2 2 2 3 2" xfId="31254"/>
    <cellStyle name="Milliers 2 6 2 4 2 2 2 4" xfId="31255"/>
    <cellStyle name="Milliers 2 6 2 4 2 2 3" xfId="31256"/>
    <cellStyle name="Milliers 2 6 2 4 2 2 3 2" xfId="31257"/>
    <cellStyle name="Milliers 2 6 2 4 2 2 3 2 2" xfId="31258"/>
    <cellStyle name="Milliers 2 6 2 4 2 2 3 3" xfId="31259"/>
    <cellStyle name="Milliers 2 6 2 4 2 2 4" xfId="31260"/>
    <cellStyle name="Milliers 2 6 2 4 2 2 4 2" xfId="31261"/>
    <cellStyle name="Milliers 2 6 2 4 2 2 5" xfId="31262"/>
    <cellStyle name="Milliers 2 6 2 4 2 3" xfId="31263"/>
    <cellStyle name="Milliers 2 6 2 4 2 3 2" xfId="31264"/>
    <cellStyle name="Milliers 2 6 2 4 2 3 2 2" xfId="31265"/>
    <cellStyle name="Milliers 2 6 2 4 2 3 2 2 2" xfId="31266"/>
    <cellStyle name="Milliers 2 6 2 4 2 3 2 3" xfId="31267"/>
    <cellStyle name="Milliers 2 6 2 4 2 3 3" xfId="31268"/>
    <cellStyle name="Milliers 2 6 2 4 2 3 3 2" xfId="31269"/>
    <cellStyle name="Milliers 2 6 2 4 2 3 4" xfId="31270"/>
    <cellStyle name="Milliers 2 6 2 4 2 4" xfId="31271"/>
    <cellStyle name="Milliers 2 6 2 4 2 4 2" xfId="31272"/>
    <cellStyle name="Milliers 2 6 2 4 2 4 2 2" xfId="31273"/>
    <cellStyle name="Milliers 2 6 2 4 2 4 3" xfId="31274"/>
    <cellStyle name="Milliers 2 6 2 4 2 5" xfId="31275"/>
    <cellStyle name="Milliers 2 6 2 4 2 5 2" xfId="31276"/>
    <cellStyle name="Milliers 2 6 2 4 2 6" xfId="31277"/>
    <cellStyle name="Milliers 2 6 2 4 3" xfId="31278"/>
    <cellStyle name="Milliers 2 6 2 4 3 2" xfId="31279"/>
    <cellStyle name="Milliers 2 6 2 4 3 2 2" xfId="31280"/>
    <cellStyle name="Milliers 2 6 2 4 3 2 2 2" xfId="31281"/>
    <cellStyle name="Milliers 2 6 2 4 3 2 2 2 2" xfId="31282"/>
    <cellStyle name="Milliers 2 6 2 4 3 2 2 3" xfId="31283"/>
    <cellStyle name="Milliers 2 6 2 4 3 2 3" xfId="31284"/>
    <cellStyle name="Milliers 2 6 2 4 3 2 3 2" xfId="31285"/>
    <cellStyle name="Milliers 2 6 2 4 3 2 4" xfId="31286"/>
    <cellStyle name="Milliers 2 6 2 4 3 3" xfId="31287"/>
    <cellStyle name="Milliers 2 6 2 4 3 3 2" xfId="31288"/>
    <cellStyle name="Milliers 2 6 2 4 3 3 2 2" xfId="31289"/>
    <cellStyle name="Milliers 2 6 2 4 3 3 3" xfId="31290"/>
    <cellStyle name="Milliers 2 6 2 4 3 4" xfId="31291"/>
    <cellStyle name="Milliers 2 6 2 4 3 4 2" xfId="31292"/>
    <cellStyle name="Milliers 2 6 2 4 3 5" xfId="31293"/>
    <cellStyle name="Milliers 2 6 2 4 4" xfId="31294"/>
    <cellStyle name="Milliers 2 6 2 4 4 2" xfId="31295"/>
    <cellStyle name="Milliers 2 6 2 4 4 2 2" xfId="31296"/>
    <cellStyle name="Milliers 2 6 2 4 4 2 2 2" xfId="31297"/>
    <cellStyle name="Milliers 2 6 2 4 4 2 3" xfId="31298"/>
    <cellStyle name="Milliers 2 6 2 4 4 3" xfId="31299"/>
    <cellStyle name="Milliers 2 6 2 4 4 3 2" xfId="31300"/>
    <cellStyle name="Milliers 2 6 2 4 4 4" xfId="31301"/>
    <cellStyle name="Milliers 2 6 2 4 5" xfId="31302"/>
    <cellStyle name="Milliers 2 6 2 4 5 2" xfId="31303"/>
    <cellStyle name="Milliers 2 6 2 4 5 2 2" xfId="31304"/>
    <cellStyle name="Milliers 2 6 2 4 5 3" xfId="31305"/>
    <cellStyle name="Milliers 2 6 2 4 6" xfId="31306"/>
    <cellStyle name="Milliers 2 6 2 4 6 2" xfId="31307"/>
    <cellStyle name="Milliers 2 6 2 4 7" xfId="31308"/>
    <cellStyle name="Milliers 2 6 2 5" xfId="31309"/>
    <cellStyle name="Milliers 2 6 2 5 2" xfId="31310"/>
    <cellStyle name="Milliers 2 6 2 5 2 2" xfId="31311"/>
    <cellStyle name="Milliers 2 6 2 5 2 2 2" xfId="31312"/>
    <cellStyle name="Milliers 2 6 2 5 2 2 2 2" xfId="31313"/>
    <cellStyle name="Milliers 2 6 2 5 2 2 2 2 2" xfId="31314"/>
    <cellStyle name="Milliers 2 6 2 5 2 2 2 3" xfId="31315"/>
    <cellStyle name="Milliers 2 6 2 5 2 2 3" xfId="31316"/>
    <cellStyle name="Milliers 2 6 2 5 2 2 3 2" xfId="31317"/>
    <cellStyle name="Milliers 2 6 2 5 2 2 4" xfId="31318"/>
    <cellStyle name="Milliers 2 6 2 5 2 3" xfId="31319"/>
    <cellStyle name="Milliers 2 6 2 5 2 3 2" xfId="31320"/>
    <cellStyle name="Milliers 2 6 2 5 2 3 2 2" xfId="31321"/>
    <cellStyle name="Milliers 2 6 2 5 2 3 3" xfId="31322"/>
    <cellStyle name="Milliers 2 6 2 5 2 4" xfId="31323"/>
    <cellStyle name="Milliers 2 6 2 5 2 4 2" xfId="31324"/>
    <cellStyle name="Milliers 2 6 2 5 2 5" xfId="31325"/>
    <cellStyle name="Milliers 2 6 2 5 3" xfId="31326"/>
    <cellStyle name="Milliers 2 6 2 5 3 2" xfId="31327"/>
    <cellStyle name="Milliers 2 6 2 5 3 2 2" xfId="31328"/>
    <cellStyle name="Milliers 2 6 2 5 3 2 2 2" xfId="31329"/>
    <cellStyle name="Milliers 2 6 2 5 3 2 3" xfId="31330"/>
    <cellStyle name="Milliers 2 6 2 5 3 3" xfId="31331"/>
    <cellStyle name="Milliers 2 6 2 5 3 3 2" xfId="31332"/>
    <cellStyle name="Milliers 2 6 2 5 3 4" xfId="31333"/>
    <cellStyle name="Milliers 2 6 2 5 4" xfId="31334"/>
    <cellStyle name="Milliers 2 6 2 5 4 2" xfId="31335"/>
    <cellStyle name="Milliers 2 6 2 5 4 2 2" xfId="31336"/>
    <cellStyle name="Milliers 2 6 2 5 4 3" xfId="31337"/>
    <cellStyle name="Milliers 2 6 2 5 5" xfId="31338"/>
    <cellStyle name="Milliers 2 6 2 5 5 2" xfId="31339"/>
    <cellStyle name="Milliers 2 6 2 5 6" xfId="31340"/>
    <cellStyle name="Milliers 2 6 2 6" xfId="31341"/>
    <cellStyle name="Milliers 2 6 2 6 2" xfId="31342"/>
    <cellStyle name="Milliers 2 6 2 6 2 2" xfId="31343"/>
    <cellStyle name="Milliers 2 6 2 6 2 2 2" xfId="31344"/>
    <cellStyle name="Milliers 2 6 2 6 2 2 2 2" xfId="31345"/>
    <cellStyle name="Milliers 2 6 2 6 2 2 3" xfId="31346"/>
    <cellStyle name="Milliers 2 6 2 6 2 3" xfId="31347"/>
    <cellStyle name="Milliers 2 6 2 6 2 3 2" xfId="31348"/>
    <cellStyle name="Milliers 2 6 2 6 2 4" xfId="31349"/>
    <cellStyle name="Milliers 2 6 2 6 3" xfId="31350"/>
    <cellStyle name="Milliers 2 6 2 6 3 2" xfId="31351"/>
    <cellStyle name="Milliers 2 6 2 6 3 2 2" xfId="31352"/>
    <cellStyle name="Milliers 2 6 2 6 3 3" xfId="31353"/>
    <cellStyle name="Milliers 2 6 2 6 4" xfId="31354"/>
    <cellStyle name="Milliers 2 6 2 6 4 2" xfId="31355"/>
    <cellStyle name="Milliers 2 6 2 6 5" xfId="31356"/>
    <cellStyle name="Milliers 2 6 2 7" xfId="31357"/>
    <cellStyle name="Milliers 2 6 2 7 2" xfId="31358"/>
    <cellStyle name="Milliers 2 6 2 7 2 2" xfId="31359"/>
    <cellStyle name="Milliers 2 6 2 7 2 2 2" xfId="31360"/>
    <cellStyle name="Milliers 2 6 2 7 2 3" xfId="31361"/>
    <cellStyle name="Milliers 2 6 2 7 3" xfId="31362"/>
    <cellStyle name="Milliers 2 6 2 7 3 2" xfId="31363"/>
    <cellStyle name="Milliers 2 6 2 7 4" xfId="31364"/>
    <cellStyle name="Milliers 2 6 2 8" xfId="31365"/>
    <cellStyle name="Milliers 2 6 2 8 2" xfId="31366"/>
    <cellStyle name="Milliers 2 6 2 8 2 2" xfId="31367"/>
    <cellStyle name="Milliers 2 6 2 8 3" xfId="31368"/>
    <cellStyle name="Milliers 2 6 2 9" xfId="31369"/>
    <cellStyle name="Milliers 2 6 2 9 2" xfId="31370"/>
    <cellStyle name="Milliers 2 6 3" xfId="31371"/>
    <cellStyle name="Milliers 2 6 3 2" xfId="31372"/>
    <cellStyle name="Milliers 2 6 3 2 2" xfId="31373"/>
    <cellStyle name="Milliers 2 6 3 2 2 2" xfId="31374"/>
    <cellStyle name="Milliers 2 6 3 2 2 2 2" xfId="31375"/>
    <cellStyle name="Milliers 2 6 3 2 2 2 2 2" xfId="31376"/>
    <cellStyle name="Milliers 2 6 3 2 2 2 2 2 2" xfId="31377"/>
    <cellStyle name="Milliers 2 6 3 2 2 2 2 2 2 2" xfId="31378"/>
    <cellStyle name="Milliers 2 6 3 2 2 2 2 2 2 2 2" xfId="31379"/>
    <cellStyle name="Milliers 2 6 3 2 2 2 2 2 2 3" xfId="31380"/>
    <cellStyle name="Milliers 2 6 3 2 2 2 2 2 3" xfId="31381"/>
    <cellStyle name="Milliers 2 6 3 2 2 2 2 2 3 2" xfId="31382"/>
    <cellStyle name="Milliers 2 6 3 2 2 2 2 2 4" xfId="31383"/>
    <cellStyle name="Milliers 2 6 3 2 2 2 2 3" xfId="31384"/>
    <cellStyle name="Milliers 2 6 3 2 2 2 2 3 2" xfId="31385"/>
    <cellStyle name="Milliers 2 6 3 2 2 2 2 3 2 2" xfId="31386"/>
    <cellStyle name="Milliers 2 6 3 2 2 2 2 3 3" xfId="31387"/>
    <cellStyle name="Milliers 2 6 3 2 2 2 2 4" xfId="31388"/>
    <cellStyle name="Milliers 2 6 3 2 2 2 2 4 2" xfId="31389"/>
    <cellStyle name="Milliers 2 6 3 2 2 2 2 5" xfId="31390"/>
    <cellStyle name="Milliers 2 6 3 2 2 2 3" xfId="31391"/>
    <cellStyle name="Milliers 2 6 3 2 2 2 3 2" xfId="31392"/>
    <cellStyle name="Milliers 2 6 3 2 2 2 3 2 2" xfId="31393"/>
    <cellStyle name="Milliers 2 6 3 2 2 2 3 2 2 2" xfId="31394"/>
    <cellStyle name="Milliers 2 6 3 2 2 2 3 2 3" xfId="31395"/>
    <cellStyle name="Milliers 2 6 3 2 2 2 3 3" xfId="31396"/>
    <cellStyle name="Milliers 2 6 3 2 2 2 3 3 2" xfId="31397"/>
    <cellStyle name="Milliers 2 6 3 2 2 2 3 4" xfId="31398"/>
    <cellStyle name="Milliers 2 6 3 2 2 2 4" xfId="31399"/>
    <cellStyle name="Milliers 2 6 3 2 2 2 4 2" xfId="31400"/>
    <cellStyle name="Milliers 2 6 3 2 2 2 4 2 2" xfId="31401"/>
    <cellStyle name="Milliers 2 6 3 2 2 2 4 3" xfId="31402"/>
    <cellStyle name="Milliers 2 6 3 2 2 2 5" xfId="31403"/>
    <cellStyle name="Milliers 2 6 3 2 2 2 5 2" xfId="31404"/>
    <cellStyle name="Milliers 2 6 3 2 2 2 6" xfId="31405"/>
    <cellStyle name="Milliers 2 6 3 2 2 3" xfId="31406"/>
    <cellStyle name="Milliers 2 6 3 2 2 3 2" xfId="31407"/>
    <cellStyle name="Milliers 2 6 3 2 2 3 2 2" xfId="31408"/>
    <cellStyle name="Milliers 2 6 3 2 2 3 2 2 2" xfId="31409"/>
    <cellStyle name="Milliers 2 6 3 2 2 3 2 2 2 2" xfId="31410"/>
    <cellStyle name="Milliers 2 6 3 2 2 3 2 2 3" xfId="31411"/>
    <cellStyle name="Milliers 2 6 3 2 2 3 2 3" xfId="31412"/>
    <cellStyle name="Milliers 2 6 3 2 2 3 2 3 2" xfId="31413"/>
    <cellStyle name="Milliers 2 6 3 2 2 3 2 4" xfId="31414"/>
    <cellStyle name="Milliers 2 6 3 2 2 3 3" xfId="31415"/>
    <cellStyle name="Milliers 2 6 3 2 2 3 3 2" xfId="31416"/>
    <cellStyle name="Milliers 2 6 3 2 2 3 3 2 2" xfId="31417"/>
    <cellStyle name="Milliers 2 6 3 2 2 3 3 3" xfId="31418"/>
    <cellStyle name="Milliers 2 6 3 2 2 3 4" xfId="31419"/>
    <cellStyle name="Milliers 2 6 3 2 2 3 4 2" xfId="31420"/>
    <cellStyle name="Milliers 2 6 3 2 2 3 5" xfId="31421"/>
    <cellStyle name="Milliers 2 6 3 2 2 4" xfId="31422"/>
    <cellStyle name="Milliers 2 6 3 2 2 4 2" xfId="31423"/>
    <cellStyle name="Milliers 2 6 3 2 2 4 2 2" xfId="31424"/>
    <cellStyle name="Milliers 2 6 3 2 2 4 2 2 2" xfId="31425"/>
    <cellStyle name="Milliers 2 6 3 2 2 4 2 3" xfId="31426"/>
    <cellStyle name="Milliers 2 6 3 2 2 4 3" xfId="31427"/>
    <cellStyle name="Milliers 2 6 3 2 2 4 3 2" xfId="31428"/>
    <cellStyle name="Milliers 2 6 3 2 2 4 4" xfId="31429"/>
    <cellStyle name="Milliers 2 6 3 2 2 5" xfId="31430"/>
    <cellStyle name="Milliers 2 6 3 2 2 5 2" xfId="31431"/>
    <cellStyle name="Milliers 2 6 3 2 2 5 2 2" xfId="31432"/>
    <cellStyle name="Milliers 2 6 3 2 2 5 3" xfId="31433"/>
    <cellStyle name="Milliers 2 6 3 2 2 6" xfId="31434"/>
    <cellStyle name="Milliers 2 6 3 2 2 6 2" xfId="31435"/>
    <cellStyle name="Milliers 2 6 3 2 2 7" xfId="31436"/>
    <cellStyle name="Milliers 2 6 3 2 3" xfId="31437"/>
    <cellStyle name="Milliers 2 6 3 2 3 2" xfId="31438"/>
    <cellStyle name="Milliers 2 6 3 2 3 2 2" xfId="31439"/>
    <cellStyle name="Milliers 2 6 3 2 3 2 2 2" xfId="31440"/>
    <cellStyle name="Milliers 2 6 3 2 3 2 2 2 2" xfId="31441"/>
    <cellStyle name="Milliers 2 6 3 2 3 2 2 2 2 2" xfId="31442"/>
    <cellStyle name="Milliers 2 6 3 2 3 2 2 2 3" xfId="31443"/>
    <cellStyle name="Milliers 2 6 3 2 3 2 2 3" xfId="31444"/>
    <cellStyle name="Milliers 2 6 3 2 3 2 2 3 2" xfId="31445"/>
    <cellStyle name="Milliers 2 6 3 2 3 2 2 4" xfId="31446"/>
    <cellStyle name="Milliers 2 6 3 2 3 2 3" xfId="31447"/>
    <cellStyle name="Milliers 2 6 3 2 3 2 3 2" xfId="31448"/>
    <cellStyle name="Milliers 2 6 3 2 3 2 3 2 2" xfId="31449"/>
    <cellStyle name="Milliers 2 6 3 2 3 2 3 3" xfId="31450"/>
    <cellStyle name="Milliers 2 6 3 2 3 2 4" xfId="31451"/>
    <cellStyle name="Milliers 2 6 3 2 3 2 4 2" xfId="31452"/>
    <cellStyle name="Milliers 2 6 3 2 3 2 5" xfId="31453"/>
    <cellStyle name="Milliers 2 6 3 2 3 3" xfId="31454"/>
    <cellStyle name="Milliers 2 6 3 2 3 3 2" xfId="31455"/>
    <cellStyle name="Milliers 2 6 3 2 3 3 2 2" xfId="31456"/>
    <cellStyle name="Milliers 2 6 3 2 3 3 2 2 2" xfId="31457"/>
    <cellStyle name="Milliers 2 6 3 2 3 3 2 3" xfId="31458"/>
    <cellStyle name="Milliers 2 6 3 2 3 3 3" xfId="31459"/>
    <cellStyle name="Milliers 2 6 3 2 3 3 3 2" xfId="31460"/>
    <cellStyle name="Milliers 2 6 3 2 3 3 4" xfId="31461"/>
    <cellStyle name="Milliers 2 6 3 2 3 4" xfId="31462"/>
    <cellStyle name="Milliers 2 6 3 2 3 4 2" xfId="31463"/>
    <cellStyle name="Milliers 2 6 3 2 3 4 2 2" xfId="31464"/>
    <cellStyle name="Milliers 2 6 3 2 3 4 3" xfId="31465"/>
    <cellStyle name="Milliers 2 6 3 2 3 5" xfId="31466"/>
    <cellStyle name="Milliers 2 6 3 2 3 5 2" xfId="31467"/>
    <cellStyle name="Milliers 2 6 3 2 3 6" xfId="31468"/>
    <cellStyle name="Milliers 2 6 3 2 4" xfId="31469"/>
    <cellStyle name="Milliers 2 6 3 2 4 2" xfId="31470"/>
    <cellStyle name="Milliers 2 6 3 2 4 2 2" xfId="31471"/>
    <cellStyle name="Milliers 2 6 3 2 4 2 2 2" xfId="31472"/>
    <cellStyle name="Milliers 2 6 3 2 4 2 2 2 2" xfId="31473"/>
    <cellStyle name="Milliers 2 6 3 2 4 2 2 3" xfId="31474"/>
    <cellStyle name="Milliers 2 6 3 2 4 2 3" xfId="31475"/>
    <cellStyle name="Milliers 2 6 3 2 4 2 3 2" xfId="31476"/>
    <cellStyle name="Milliers 2 6 3 2 4 2 4" xfId="31477"/>
    <cellStyle name="Milliers 2 6 3 2 4 3" xfId="31478"/>
    <cellStyle name="Milliers 2 6 3 2 4 3 2" xfId="31479"/>
    <cellStyle name="Milliers 2 6 3 2 4 3 2 2" xfId="31480"/>
    <cellStyle name="Milliers 2 6 3 2 4 3 3" xfId="31481"/>
    <cellStyle name="Milliers 2 6 3 2 4 4" xfId="31482"/>
    <cellStyle name="Milliers 2 6 3 2 4 4 2" xfId="31483"/>
    <cellStyle name="Milliers 2 6 3 2 4 5" xfId="31484"/>
    <cellStyle name="Milliers 2 6 3 2 5" xfId="31485"/>
    <cellStyle name="Milliers 2 6 3 2 5 2" xfId="31486"/>
    <cellStyle name="Milliers 2 6 3 2 5 2 2" xfId="31487"/>
    <cellStyle name="Milliers 2 6 3 2 5 2 2 2" xfId="31488"/>
    <cellStyle name="Milliers 2 6 3 2 5 2 3" xfId="31489"/>
    <cellStyle name="Milliers 2 6 3 2 5 3" xfId="31490"/>
    <cellStyle name="Milliers 2 6 3 2 5 3 2" xfId="31491"/>
    <cellStyle name="Milliers 2 6 3 2 5 4" xfId="31492"/>
    <cellStyle name="Milliers 2 6 3 2 6" xfId="31493"/>
    <cellStyle name="Milliers 2 6 3 2 6 2" xfId="31494"/>
    <cellStyle name="Milliers 2 6 3 2 6 2 2" xfId="31495"/>
    <cellStyle name="Milliers 2 6 3 2 6 3" xfId="31496"/>
    <cellStyle name="Milliers 2 6 3 2 7" xfId="31497"/>
    <cellStyle name="Milliers 2 6 3 2 7 2" xfId="31498"/>
    <cellStyle name="Milliers 2 6 3 2 8" xfId="31499"/>
    <cellStyle name="Milliers 2 6 3 3" xfId="31500"/>
    <cellStyle name="Milliers 2 6 3 3 2" xfId="31501"/>
    <cellStyle name="Milliers 2 6 3 3 2 2" xfId="31502"/>
    <cellStyle name="Milliers 2 6 3 3 2 2 2" xfId="31503"/>
    <cellStyle name="Milliers 2 6 3 3 2 2 2 2" xfId="31504"/>
    <cellStyle name="Milliers 2 6 3 3 2 2 2 2 2" xfId="31505"/>
    <cellStyle name="Milliers 2 6 3 3 2 2 2 2 2 2" xfId="31506"/>
    <cellStyle name="Milliers 2 6 3 3 2 2 2 2 3" xfId="31507"/>
    <cellStyle name="Milliers 2 6 3 3 2 2 2 3" xfId="31508"/>
    <cellStyle name="Milliers 2 6 3 3 2 2 2 3 2" xfId="31509"/>
    <cellStyle name="Milliers 2 6 3 3 2 2 2 4" xfId="31510"/>
    <cellStyle name="Milliers 2 6 3 3 2 2 3" xfId="31511"/>
    <cellStyle name="Milliers 2 6 3 3 2 2 3 2" xfId="31512"/>
    <cellStyle name="Milliers 2 6 3 3 2 2 3 2 2" xfId="31513"/>
    <cellStyle name="Milliers 2 6 3 3 2 2 3 3" xfId="31514"/>
    <cellStyle name="Milliers 2 6 3 3 2 2 4" xfId="31515"/>
    <cellStyle name="Milliers 2 6 3 3 2 2 4 2" xfId="31516"/>
    <cellStyle name="Milliers 2 6 3 3 2 2 5" xfId="31517"/>
    <cellStyle name="Milliers 2 6 3 3 2 3" xfId="31518"/>
    <cellStyle name="Milliers 2 6 3 3 2 3 2" xfId="31519"/>
    <cellStyle name="Milliers 2 6 3 3 2 3 2 2" xfId="31520"/>
    <cellStyle name="Milliers 2 6 3 3 2 3 2 2 2" xfId="31521"/>
    <cellStyle name="Milliers 2 6 3 3 2 3 2 3" xfId="31522"/>
    <cellStyle name="Milliers 2 6 3 3 2 3 3" xfId="31523"/>
    <cellStyle name="Milliers 2 6 3 3 2 3 3 2" xfId="31524"/>
    <cellStyle name="Milliers 2 6 3 3 2 3 4" xfId="31525"/>
    <cellStyle name="Milliers 2 6 3 3 2 4" xfId="31526"/>
    <cellStyle name="Milliers 2 6 3 3 2 4 2" xfId="31527"/>
    <cellStyle name="Milliers 2 6 3 3 2 4 2 2" xfId="31528"/>
    <cellStyle name="Milliers 2 6 3 3 2 4 3" xfId="31529"/>
    <cellStyle name="Milliers 2 6 3 3 2 5" xfId="31530"/>
    <cellStyle name="Milliers 2 6 3 3 2 5 2" xfId="31531"/>
    <cellStyle name="Milliers 2 6 3 3 2 6" xfId="31532"/>
    <cellStyle name="Milliers 2 6 3 3 3" xfId="31533"/>
    <cellStyle name="Milliers 2 6 3 3 3 2" xfId="31534"/>
    <cellStyle name="Milliers 2 6 3 3 3 2 2" xfId="31535"/>
    <cellStyle name="Milliers 2 6 3 3 3 2 2 2" xfId="31536"/>
    <cellStyle name="Milliers 2 6 3 3 3 2 2 2 2" xfId="31537"/>
    <cellStyle name="Milliers 2 6 3 3 3 2 2 3" xfId="31538"/>
    <cellStyle name="Milliers 2 6 3 3 3 2 3" xfId="31539"/>
    <cellStyle name="Milliers 2 6 3 3 3 2 3 2" xfId="31540"/>
    <cellStyle name="Milliers 2 6 3 3 3 2 4" xfId="31541"/>
    <cellStyle name="Milliers 2 6 3 3 3 3" xfId="31542"/>
    <cellStyle name="Milliers 2 6 3 3 3 3 2" xfId="31543"/>
    <cellStyle name="Milliers 2 6 3 3 3 3 2 2" xfId="31544"/>
    <cellStyle name="Milliers 2 6 3 3 3 3 3" xfId="31545"/>
    <cellStyle name="Milliers 2 6 3 3 3 4" xfId="31546"/>
    <cellStyle name="Milliers 2 6 3 3 3 4 2" xfId="31547"/>
    <cellStyle name="Milliers 2 6 3 3 3 5" xfId="31548"/>
    <cellStyle name="Milliers 2 6 3 3 4" xfId="31549"/>
    <cellStyle name="Milliers 2 6 3 3 4 2" xfId="31550"/>
    <cellStyle name="Milliers 2 6 3 3 4 2 2" xfId="31551"/>
    <cellStyle name="Milliers 2 6 3 3 4 2 2 2" xfId="31552"/>
    <cellStyle name="Milliers 2 6 3 3 4 2 3" xfId="31553"/>
    <cellStyle name="Milliers 2 6 3 3 4 3" xfId="31554"/>
    <cellStyle name="Milliers 2 6 3 3 4 3 2" xfId="31555"/>
    <cellStyle name="Milliers 2 6 3 3 4 4" xfId="31556"/>
    <cellStyle name="Milliers 2 6 3 3 5" xfId="31557"/>
    <cellStyle name="Milliers 2 6 3 3 5 2" xfId="31558"/>
    <cellStyle name="Milliers 2 6 3 3 5 2 2" xfId="31559"/>
    <cellStyle name="Milliers 2 6 3 3 5 3" xfId="31560"/>
    <cellStyle name="Milliers 2 6 3 3 6" xfId="31561"/>
    <cellStyle name="Milliers 2 6 3 3 6 2" xfId="31562"/>
    <cellStyle name="Milliers 2 6 3 3 7" xfId="31563"/>
    <cellStyle name="Milliers 2 6 3 4" xfId="31564"/>
    <cellStyle name="Milliers 2 6 3 4 2" xfId="31565"/>
    <cellStyle name="Milliers 2 6 3 4 2 2" xfId="31566"/>
    <cellStyle name="Milliers 2 6 3 4 2 2 2" xfId="31567"/>
    <cellStyle name="Milliers 2 6 3 4 2 2 2 2" xfId="31568"/>
    <cellStyle name="Milliers 2 6 3 4 2 2 2 2 2" xfId="31569"/>
    <cellStyle name="Milliers 2 6 3 4 2 2 2 3" xfId="31570"/>
    <cellStyle name="Milliers 2 6 3 4 2 2 3" xfId="31571"/>
    <cellStyle name="Milliers 2 6 3 4 2 2 3 2" xfId="31572"/>
    <cellStyle name="Milliers 2 6 3 4 2 2 4" xfId="31573"/>
    <cellStyle name="Milliers 2 6 3 4 2 3" xfId="31574"/>
    <cellStyle name="Milliers 2 6 3 4 2 3 2" xfId="31575"/>
    <cellStyle name="Milliers 2 6 3 4 2 3 2 2" xfId="31576"/>
    <cellStyle name="Milliers 2 6 3 4 2 3 3" xfId="31577"/>
    <cellStyle name="Milliers 2 6 3 4 2 4" xfId="31578"/>
    <cellStyle name="Milliers 2 6 3 4 2 4 2" xfId="31579"/>
    <cellStyle name="Milliers 2 6 3 4 2 5" xfId="31580"/>
    <cellStyle name="Milliers 2 6 3 4 3" xfId="31581"/>
    <cellStyle name="Milliers 2 6 3 4 3 2" xfId="31582"/>
    <cellStyle name="Milliers 2 6 3 4 3 2 2" xfId="31583"/>
    <cellStyle name="Milliers 2 6 3 4 3 2 2 2" xfId="31584"/>
    <cellStyle name="Milliers 2 6 3 4 3 2 3" xfId="31585"/>
    <cellStyle name="Milliers 2 6 3 4 3 3" xfId="31586"/>
    <cellStyle name="Milliers 2 6 3 4 3 3 2" xfId="31587"/>
    <cellStyle name="Milliers 2 6 3 4 3 4" xfId="31588"/>
    <cellStyle name="Milliers 2 6 3 4 4" xfId="31589"/>
    <cellStyle name="Milliers 2 6 3 4 4 2" xfId="31590"/>
    <cellStyle name="Milliers 2 6 3 4 4 2 2" xfId="31591"/>
    <cellStyle name="Milliers 2 6 3 4 4 3" xfId="31592"/>
    <cellStyle name="Milliers 2 6 3 4 5" xfId="31593"/>
    <cellStyle name="Milliers 2 6 3 4 5 2" xfId="31594"/>
    <cellStyle name="Milliers 2 6 3 4 6" xfId="31595"/>
    <cellStyle name="Milliers 2 6 3 5" xfId="31596"/>
    <cellStyle name="Milliers 2 6 3 5 2" xfId="31597"/>
    <cellStyle name="Milliers 2 6 3 5 2 2" xfId="31598"/>
    <cellStyle name="Milliers 2 6 3 5 2 2 2" xfId="31599"/>
    <cellStyle name="Milliers 2 6 3 5 2 2 2 2" xfId="31600"/>
    <cellStyle name="Milliers 2 6 3 5 2 2 3" xfId="31601"/>
    <cellStyle name="Milliers 2 6 3 5 2 3" xfId="31602"/>
    <cellStyle name="Milliers 2 6 3 5 2 3 2" xfId="31603"/>
    <cellStyle name="Milliers 2 6 3 5 2 4" xfId="31604"/>
    <cellStyle name="Milliers 2 6 3 5 3" xfId="31605"/>
    <cellStyle name="Milliers 2 6 3 5 3 2" xfId="31606"/>
    <cellStyle name="Milliers 2 6 3 5 3 2 2" xfId="31607"/>
    <cellStyle name="Milliers 2 6 3 5 3 3" xfId="31608"/>
    <cellStyle name="Milliers 2 6 3 5 4" xfId="31609"/>
    <cellStyle name="Milliers 2 6 3 5 4 2" xfId="31610"/>
    <cellStyle name="Milliers 2 6 3 5 5" xfId="31611"/>
    <cellStyle name="Milliers 2 6 3 6" xfId="31612"/>
    <cellStyle name="Milliers 2 6 3 6 2" xfId="31613"/>
    <cellStyle name="Milliers 2 6 3 6 2 2" xfId="31614"/>
    <cellStyle name="Milliers 2 6 3 6 2 2 2" xfId="31615"/>
    <cellStyle name="Milliers 2 6 3 6 2 3" xfId="31616"/>
    <cellStyle name="Milliers 2 6 3 6 3" xfId="31617"/>
    <cellStyle name="Milliers 2 6 3 6 3 2" xfId="31618"/>
    <cellStyle name="Milliers 2 6 3 6 4" xfId="31619"/>
    <cellStyle name="Milliers 2 6 3 7" xfId="31620"/>
    <cellStyle name="Milliers 2 6 3 7 2" xfId="31621"/>
    <cellStyle name="Milliers 2 6 3 7 2 2" xfId="31622"/>
    <cellStyle name="Milliers 2 6 3 7 3" xfId="31623"/>
    <cellStyle name="Milliers 2 6 3 8" xfId="31624"/>
    <cellStyle name="Milliers 2 6 3 8 2" xfId="31625"/>
    <cellStyle name="Milliers 2 6 3 9" xfId="31626"/>
    <cellStyle name="Milliers 2 6 4" xfId="31627"/>
    <cellStyle name="Milliers 2 6 4 2" xfId="31628"/>
    <cellStyle name="Milliers 2 6 4 2 2" xfId="31629"/>
    <cellStyle name="Milliers 2 6 4 2 2 2" xfId="31630"/>
    <cellStyle name="Milliers 2 6 4 2 2 2 2" xfId="31631"/>
    <cellStyle name="Milliers 2 6 4 2 2 2 2 2" xfId="31632"/>
    <cellStyle name="Milliers 2 6 4 2 2 2 2 2 2" xfId="31633"/>
    <cellStyle name="Milliers 2 6 4 2 2 2 2 2 2 2" xfId="31634"/>
    <cellStyle name="Milliers 2 6 4 2 2 2 2 2 3" xfId="31635"/>
    <cellStyle name="Milliers 2 6 4 2 2 2 2 3" xfId="31636"/>
    <cellStyle name="Milliers 2 6 4 2 2 2 2 3 2" xfId="31637"/>
    <cellStyle name="Milliers 2 6 4 2 2 2 2 4" xfId="31638"/>
    <cellStyle name="Milliers 2 6 4 2 2 2 3" xfId="31639"/>
    <cellStyle name="Milliers 2 6 4 2 2 2 3 2" xfId="31640"/>
    <cellStyle name="Milliers 2 6 4 2 2 2 3 2 2" xfId="31641"/>
    <cellStyle name="Milliers 2 6 4 2 2 2 3 3" xfId="31642"/>
    <cellStyle name="Milliers 2 6 4 2 2 2 4" xfId="31643"/>
    <cellStyle name="Milliers 2 6 4 2 2 2 4 2" xfId="31644"/>
    <cellStyle name="Milliers 2 6 4 2 2 2 5" xfId="31645"/>
    <cellStyle name="Milliers 2 6 4 2 2 3" xfId="31646"/>
    <cellStyle name="Milliers 2 6 4 2 2 3 2" xfId="31647"/>
    <cellStyle name="Milliers 2 6 4 2 2 3 2 2" xfId="31648"/>
    <cellStyle name="Milliers 2 6 4 2 2 3 2 2 2" xfId="31649"/>
    <cellStyle name="Milliers 2 6 4 2 2 3 2 3" xfId="31650"/>
    <cellStyle name="Milliers 2 6 4 2 2 3 3" xfId="31651"/>
    <cellStyle name="Milliers 2 6 4 2 2 3 3 2" xfId="31652"/>
    <cellStyle name="Milliers 2 6 4 2 2 3 4" xfId="31653"/>
    <cellStyle name="Milliers 2 6 4 2 2 4" xfId="31654"/>
    <cellStyle name="Milliers 2 6 4 2 2 4 2" xfId="31655"/>
    <cellStyle name="Milliers 2 6 4 2 2 4 2 2" xfId="31656"/>
    <cellStyle name="Milliers 2 6 4 2 2 4 3" xfId="31657"/>
    <cellStyle name="Milliers 2 6 4 2 2 5" xfId="31658"/>
    <cellStyle name="Milliers 2 6 4 2 2 5 2" xfId="31659"/>
    <cellStyle name="Milliers 2 6 4 2 2 6" xfId="31660"/>
    <cellStyle name="Milliers 2 6 4 2 3" xfId="31661"/>
    <cellStyle name="Milliers 2 6 4 2 3 2" xfId="31662"/>
    <cellStyle name="Milliers 2 6 4 2 3 2 2" xfId="31663"/>
    <cellStyle name="Milliers 2 6 4 2 3 2 2 2" xfId="31664"/>
    <cellStyle name="Milliers 2 6 4 2 3 2 2 2 2" xfId="31665"/>
    <cellStyle name="Milliers 2 6 4 2 3 2 2 3" xfId="31666"/>
    <cellStyle name="Milliers 2 6 4 2 3 2 3" xfId="31667"/>
    <cellStyle name="Milliers 2 6 4 2 3 2 3 2" xfId="31668"/>
    <cellStyle name="Milliers 2 6 4 2 3 2 4" xfId="31669"/>
    <cellStyle name="Milliers 2 6 4 2 3 3" xfId="31670"/>
    <cellStyle name="Milliers 2 6 4 2 3 3 2" xfId="31671"/>
    <cellStyle name="Milliers 2 6 4 2 3 3 2 2" xfId="31672"/>
    <cellStyle name="Milliers 2 6 4 2 3 3 3" xfId="31673"/>
    <cellStyle name="Milliers 2 6 4 2 3 4" xfId="31674"/>
    <cellStyle name="Milliers 2 6 4 2 3 4 2" xfId="31675"/>
    <cellStyle name="Milliers 2 6 4 2 3 5" xfId="31676"/>
    <cellStyle name="Milliers 2 6 4 2 4" xfId="31677"/>
    <cellStyle name="Milliers 2 6 4 2 4 2" xfId="31678"/>
    <cellStyle name="Milliers 2 6 4 2 4 2 2" xfId="31679"/>
    <cellStyle name="Milliers 2 6 4 2 4 2 2 2" xfId="31680"/>
    <cellStyle name="Milliers 2 6 4 2 4 2 3" xfId="31681"/>
    <cellStyle name="Milliers 2 6 4 2 4 3" xfId="31682"/>
    <cellStyle name="Milliers 2 6 4 2 4 3 2" xfId="31683"/>
    <cellStyle name="Milliers 2 6 4 2 4 4" xfId="31684"/>
    <cellStyle name="Milliers 2 6 4 2 5" xfId="31685"/>
    <cellStyle name="Milliers 2 6 4 2 5 2" xfId="31686"/>
    <cellStyle name="Milliers 2 6 4 2 5 2 2" xfId="31687"/>
    <cellStyle name="Milliers 2 6 4 2 5 3" xfId="31688"/>
    <cellStyle name="Milliers 2 6 4 2 6" xfId="31689"/>
    <cellStyle name="Milliers 2 6 4 2 6 2" xfId="31690"/>
    <cellStyle name="Milliers 2 6 4 2 7" xfId="31691"/>
    <cellStyle name="Milliers 2 6 4 3" xfId="31692"/>
    <cellStyle name="Milliers 2 6 4 3 2" xfId="31693"/>
    <cellStyle name="Milliers 2 6 4 3 2 2" xfId="31694"/>
    <cellStyle name="Milliers 2 6 4 3 2 2 2" xfId="31695"/>
    <cellStyle name="Milliers 2 6 4 3 2 2 2 2" xfId="31696"/>
    <cellStyle name="Milliers 2 6 4 3 2 2 2 2 2" xfId="31697"/>
    <cellStyle name="Milliers 2 6 4 3 2 2 2 3" xfId="31698"/>
    <cellStyle name="Milliers 2 6 4 3 2 2 3" xfId="31699"/>
    <cellStyle name="Milliers 2 6 4 3 2 2 3 2" xfId="31700"/>
    <cellStyle name="Milliers 2 6 4 3 2 2 4" xfId="31701"/>
    <cellStyle name="Milliers 2 6 4 3 2 3" xfId="31702"/>
    <cellStyle name="Milliers 2 6 4 3 2 3 2" xfId="31703"/>
    <cellStyle name="Milliers 2 6 4 3 2 3 2 2" xfId="31704"/>
    <cellStyle name="Milliers 2 6 4 3 2 3 3" xfId="31705"/>
    <cellStyle name="Milliers 2 6 4 3 2 4" xfId="31706"/>
    <cellStyle name="Milliers 2 6 4 3 2 4 2" xfId="31707"/>
    <cellStyle name="Milliers 2 6 4 3 2 5" xfId="31708"/>
    <cellStyle name="Milliers 2 6 4 3 3" xfId="31709"/>
    <cellStyle name="Milliers 2 6 4 3 3 2" xfId="31710"/>
    <cellStyle name="Milliers 2 6 4 3 3 2 2" xfId="31711"/>
    <cellStyle name="Milliers 2 6 4 3 3 2 2 2" xfId="31712"/>
    <cellStyle name="Milliers 2 6 4 3 3 2 3" xfId="31713"/>
    <cellStyle name="Milliers 2 6 4 3 3 3" xfId="31714"/>
    <cellStyle name="Milliers 2 6 4 3 3 3 2" xfId="31715"/>
    <cellStyle name="Milliers 2 6 4 3 3 4" xfId="31716"/>
    <cellStyle name="Milliers 2 6 4 3 4" xfId="31717"/>
    <cellStyle name="Milliers 2 6 4 3 4 2" xfId="31718"/>
    <cellStyle name="Milliers 2 6 4 3 4 2 2" xfId="31719"/>
    <cellStyle name="Milliers 2 6 4 3 4 3" xfId="31720"/>
    <cellStyle name="Milliers 2 6 4 3 5" xfId="31721"/>
    <cellStyle name="Milliers 2 6 4 3 5 2" xfId="31722"/>
    <cellStyle name="Milliers 2 6 4 3 6" xfId="31723"/>
    <cellStyle name="Milliers 2 6 4 4" xfId="31724"/>
    <cellStyle name="Milliers 2 6 4 4 2" xfId="31725"/>
    <cellStyle name="Milliers 2 6 4 4 2 2" xfId="31726"/>
    <cellStyle name="Milliers 2 6 4 4 2 2 2" xfId="31727"/>
    <cellStyle name="Milliers 2 6 4 4 2 2 2 2" xfId="31728"/>
    <cellStyle name="Milliers 2 6 4 4 2 2 3" xfId="31729"/>
    <cellStyle name="Milliers 2 6 4 4 2 3" xfId="31730"/>
    <cellStyle name="Milliers 2 6 4 4 2 3 2" xfId="31731"/>
    <cellStyle name="Milliers 2 6 4 4 2 4" xfId="31732"/>
    <cellStyle name="Milliers 2 6 4 4 3" xfId="31733"/>
    <cellStyle name="Milliers 2 6 4 4 3 2" xfId="31734"/>
    <cellStyle name="Milliers 2 6 4 4 3 2 2" xfId="31735"/>
    <cellStyle name="Milliers 2 6 4 4 3 3" xfId="31736"/>
    <cellStyle name="Milliers 2 6 4 4 4" xfId="31737"/>
    <cellStyle name="Milliers 2 6 4 4 4 2" xfId="31738"/>
    <cellStyle name="Milliers 2 6 4 4 5" xfId="31739"/>
    <cellStyle name="Milliers 2 6 4 5" xfId="31740"/>
    <cellStyle name="Milliers 2 6 4 5 2" xfId="31741"/>
    <cellStyle name="Milliers 2 6 4 5 2 2" xfId="31742"/>
    <cellStyle name="Milliers 2 6 4 5 2 2 2" xfId="31743"/>
    <cellStyle name="Milliers 2 6 4 5 2 3" xfId="31744"/>
    <cellStyle name="Milliers 2 6 4 5 3" xfId="31745"/>
    <cellStyle name="Milliers 2 6 4 5 3 2" xfId="31746"/>
    <cellStyle name="Milliers 2 6 4 5 4" xfId="31747"/>
    <cellStyle name="Milliers 2 6 4 6" xfId="31748"/>
    <cellStyle name="Milliers 2 6 4 6 2" xfId="31749"/>
    <cellStyle name="Milliers 2 6 4 6 2 2" xfId="31750"/>
    <cellStyle name="Milliers 2 6 4 6 3" xfId="31751"/>
    <cellStyle name="Milliers 2 6 4 7" xfId="31752"/>
    <cellStyle name="Milliers 2 6 4 7 2" xfId="31753"/>
    <cellStyle name="Milliers 2 6 4 8" xfId="31754"/>
    <cellStyle name="Milliers 2 6 5" xfId="31755"/>
    <cellStyle name="Milliers 2 6 5 2" xfId="31756"/>
    <cellStyle name="Milliers 2 6 5 2 2" xfId="31757"/>
    <cellStyle name="Milliers 2 6 5 2 2 2" xfId="31758"/>
    <cellStyle name="Milliers 2 6 5 2 2 2 2" xfId="31759"/>
    <cellStyle name="Milliers 2 6 5 2 2 2 2 2" xfId="31760"/>
    <cellStyle name="Milliers 2 6 5 2 2 2 2 2 2" xfId="31761"/>
    <cellStyle name="Milliers 2 6 5 2 2 2 2 3" xfId="31762"/>
    <cellStyle name="Milliers 2 6 5 2 2 2 3" xfId="31763"/>
    <cellStyle name="Milliers 2 6 5 2 2 2 3 2" xfId="31764"/>
    <cellStyle name="Milliers 2 6 5 2 2 2 4" xfId="31765"/>
    <cellStyle name="Milliers 2 6 5 2 2 3" xfId="31766"/>
    <cellStyle name="Milliers 2 6 5 2 2 3 2" xfId="31767"/>
    <cellStyle name="Milliers 2 6 5 2 2 3 2 2" xfId="31768"/>
    <cellStyle name="Milliers 2 6 5 2 2 3 3" xfId="31769"/>
    <cellStyle name="Milliers 2 6 5 2 2 4" xfId="31770"/>
    <cellStyle name="Milliers 2 6 5 2 2 4 2" xfId="31771"/>
    <cellStyle name="Milliers 2 6 5 2 2 5" xfId="31772"/>
    <cellStyle name="Milliers 2 6 5 2 3" xfId="31773"/>
    <cellStyle name="Milliers 2 6 5 2 3 2" xfId="31774"/>
    <cellStyle name="Milliers 2 6 5 2 3 2 2" xfId="31775"/>
    <cellStyle name="Milliers 2 6 5 2 3 2 2 2" xfId="31776"/>
    <cellStyle name="Milliers 2 6 5 2 3 2 3" xfId="31777"/>
    <cellStyle name="Milliers 2 6 5 2 3 3" xfId="31778"/>
    <cellStyle name="Milliers 2 6 5 2 3 3 2" xfId="31779"/>
    <cellStyle name="Milliers 2 6 5 2 3 4" xfId="31780"/>
    <cellStyle name="Milliers 2 6 5 2 4" xfId="31781"/>
    <cellStyle name="Milliers 2 6 5 2 4 2" xfId="31782"/>
    <cellStyle name="Milliers 2 6 5 2 4 2 2" xfId="31783"/>
    <cellStyle name="Milliers 2 6 5 2 4 3" xfId="31784"/>
    <cellStyle name="Milliers 2 6 5 2 5" xfId="31785"/>
    <cellStyle name="Milliers 2 6 5 2 5 2" xfId="31786"/>
    <cellStyle name="Milliers 2 6 5 2 6" xfId="31787"/>
    <cellStyle name="Milliers 2 6 5 3" xfId="31788"/>
    <cellStyle name="Milliers 2 6 5 3 2" xfId="31789"/>
    <cellStyle name="Milliers 2 6 5 3 2 2" xfId="31790"/>
    <cellStyle name="Milliers 2 6 5 3 2 2 2" xfId="31791"/>
    <cellStyle name="Milliers 2 6 5 3 2 2 2 2" xfId="31792"/>
    <cellStyle name="Milliers 2 6 5 3 2 2 3" xfId="31793"/>
    <cellStyle name="Milliers 2 6 5 3 2 3" xfId="31794"/>
    <cellStyle name="Milliers 2 6 5 3 2 3 2" xfId="31795"/>
    <cellStyle name="Milliers 2 6 5 3 2 4" xfId="31796"/>
    <cellStyle name="Milliers 2 6 5 3 3" xfId="31797"/>
    <cellStyle name="Milliers 2 6 5 3 3 2" xfId="31798"/>
    <cellStyle name="Milliers 2 6 5 3 3 2 2" xfId="31799"/>
    <cellStyle name="Milliers 2 6 5 3 3 3" xfId="31800"/>
    <cellStyle name="Milliers 2 6 5 3 4" xfId="31801"/>
    <cellStyle name="Milliers 2 6 5 3 4 2" xfId="31802"/>
    <cellStyle name="Milliers 2 6 5 3 5" xfId="31803"/>
    <cellStyle name="Milliers 2 6 5 4" xfId="31804"/>
    <cellStyle name="Milliers 2 6 5 4 2" xfId="31805"/>
    <cellStyle name="Milliers 2 6 5 4 2 2" xfId="31806"/>
    <cellStyle name="Milliers 2 6 5 4 2 2 2" xfId="31807"/>
    <cellStyle name="Milliers 2 6 5 4 2 3" xfId="31808"/>
    <cellStyle name="Milliers 2 6 5 4 3" xfId="31809"/>
    <cellStyle name="Milliers 2 6 5 4 3 2" xfId="31810"/>
    <cellStyle name="Milliers 2 6 5 4 4" xfId="31811"/>
    <cellStyle name="Milliers 2 6 5 5" xfId="31812"/>
    <cellStyle name="Milliers 2 6 5 5 2" xfId="31813"/>
    <cellStyle name="Milliers 2 6 5 5 2 2" xfId="31814"/>
    <cellStyle name="Milliers 2 6 5 5 3" xfId="31815"/>
    <cellStyle name="Milliers 2 6 5 6" xfId="31816"/>
    <cellStyle name="Milliers 2 6 5 6 2" xfId="31817"/>
    <cellStyle name="Milliers 2 6 5 7" xfId="31818"/>
    <cellStyle name="Milliers 2 6 6" xfId="31819"/>
    <cellStyle name="Milliers 2 6 6 2" xfId="31820"/>
    <cellStyle name="Milliers 2 6 6 2 2" xfId="31821"/>
    <cellStyle name="Milliers 2 6 6 2 2 2" xfId="31822"/>
    <cellStyle name="Milliers 2 6 6 2 2 2 2" xfId="31823"/>
    <cellStyle name="Milliers 2 6 6 2 2 2 2 2" xfId="31824"/>
    <cellStyle name="Milliers 2 6 6 2 2 2 3" xfId="31825"/>
    <cellStyle name="Milliers 2 6 6 2 2 3" xfId="31826"/>
    <cellStyle name="Milliers 2 6 6 2 2 3 2" xfId="31827"/>
    <cellStyle name="Milliers 2 6 6 2 2 4" xfId="31828"/>
    <cellStyle name="Milliers 2 6 6 2 3" xfId="31829"/>
    <cellStyle name="Milliers 2 6 6 2 3 2" xfId="31830"/>
    <cellStyle name="Milliers 2 6 6 2 3 2 2" xfId="31831"/>
    <cellStyle name="Milliers 2 6 6 2 3 3" xfId="31832"/>
    <cellStyle name="Milliers 2 6 6 2 4" xfId="31833"/>
    <cellStyle name="Milliers 2 6 6 2 4 2" xfId="31834"/>
    <cellStyle name="Milliers 2 6 6 2 5" xfId="31835"/>
    <cellStyle name="Milliers 2 6 6 3" xfId="31836"/>
    <cellStyle name="Milliers 2 6 6 3 2" xfId="31837"/>
    <cellStyle name="Milliers 2 6 6 3 2 2" xfId="31838"/>
    <cellStyle name="Milliers 2 6 6 3 2 2 2" xfId="31839"/>
    <cellStyle name="Milliers 2 6 6 3 2 3" xfId="31840"/>
    <cellStyle name="Milliers 2 6 6 3 3" xfId="31841"/>
    <cellStyle name="Milliers 2 6 6 3 3 2" xfId="31842"/>
    <cellStyle name="Milliers 2 6 6 3 4" xfId="31843"/>
    <cellStyle name="Milliers 2 6 6 4" xfId="31844"/>
    <cellStyle name="Milliers 2 6 6 4 2" xfId="31845"/>
    <cellStyle name="Milliers 2 6 6 4 2 2" xfId="31846"/>
    <cellStyle name="Milliers 2 6 6 4 3" xfId="31847"/>
    <cellStyle name="Milliers 2 6 6 5" xfId="31848"/>
    <cellStyle name="Milliers 2 6 6 5 2" xfId="31849"/>
    <cellStyle name="Milliers 2 6 6 6" xfId="31850"/>
    <cellStyle name="Milliers 2 6 7" xfId="31851"/>
    <cellStyle name="Milliers 2 6 7 2" xfId="31852"/>
    <cellStyle name="Milliers 2 6 7 2 2" xfId="31853"/>
    <cellStyle name="Milliers 2 6 7 2 2 2" xfId="31854"/>
    <cellStyle name="Milliers 2 6 7 2 2 2 2" xfId="31855"/>
    <cellStyle name="Milliers 2 6 7 2 2 3" xfId="31856"/>
    <cellStyle name="Milliers 2 6 7 2 3" xfId="31857"/>
    <cellStyle name="Milliers 2 6 7 2 3 2" xfId="31858"/>
    <cellStyle name="Milliers 2 6 7 2 4" xfId="31859"/>
    <cellStyle name="Milliers 2 6 7 3" xfId="31860"/>
    <cellStyle name="Milliers 2 6 7 3 2" xfId="31861"/>
    <cellStyle name="Milliers 2 6 7 3 2 2" xfId="31862"/>
    <cellStyle name="Milliers 2 6 7 3 3" xfId="31863"/>
    <cellStyle name="Milliers 2 6 7 4" xfId="31864"/>
    <cellStyle name="Milliers 2 6 7 4 2" xfId="31865"/>
    <cellStyle name="Milliers 2 6 7 5" xfId="31866"/>
    <cellStyle name="Milliers 2 6 8" xfId="31867"/>
    <cellStyle name="Milliers 2 6 8 2" xfId="31868"/>
    <cellStyle name="Milliers 2 6 8 2 2" xfId="31869"/>
    <cellStyle name="Milliers 2 6 8 2 2 2" xfId="31870"/>
    <cellStyle name="Milliers 2 6 8 2 3" xfId="31871"/>
    <cellStyle name="Milliers 2 6 8 3" xfId="31872"/>
    <cellStyle name="Milliers 2 6 8 3 2" xfId="31873"/>
    <cellStyle name="Milliers 2 6 8 4" xfId="31874"/>
    <cellStyle name="Milliers 2 6 9" xfId="31875"/>
    <cellStyle name="Milliers 2 6 9 2" xfId="31876"/>
    <cellStyle name="Milliers 2 6 9 2 2" xfId="31877"/>
    <cellStyle name="Milliers 2 6 9 3" xfId="31878"/>
    <cellStyle name="Milliers 2 7" xfId="31879"/>
    <cellStyle name="Milliers 2 7 10" xfId="31880"/>
    <cellStyle name="Milliers 2 7 2" xfId="31881"/>
    <cellStyle name="Milliers 2 7 2 2" xfId="31882"/>
    <cellStyle name="Milliers 2 7 2 2 2" xfId="31883"/>
    <cellStyle name="Milliers 2 7 2 2 2 2" xfId="31884"/>
    <cellStyle name="Milliers 2 7 2 2 2 2 2" xfId="31885"/>
    <cellStyle name="Milliers 2 7 2 2 2 2 2 2" xfId="31886"/>
    <cellStyle name="Milliers 2 7 2 2 2 2 2 2 2" xfId="31887"/>
    <cellStyle name="Milliers 2 7 2 2 2 2 2 2 2 2" xfId="31888"/>
    <cellStyle name="Milliers 2 7 2 2 2 2 2 2 2 2 2" xfId="31889"/>
    <cellStyle name="Milliers 2 7 2 2 2 2 2 2 2 3" xfId="31890"/>
    <cellStyle name="Milliers 2 7 2 2 2 2 2 2 3" xfId="31891"/>
    <cellStyle name="Milliers 2 7 2 2 2 2 2 2 3 2" xfId="31892"/>
    <cellStyle name="Milliers 2 7 2 2 2 2 2 2 4" xfId="31893"/>
    <cellStyle name="Milliers 2 7 2 2 2 2 2 3" xfId="31894"/>
    <cellStyle name="Milliers 2 7 2 2 2 2 2 3 2" xfId="31895"/>
    <cellStyle name="Milliers 2 7 2 2 2 2 2 3 2 2" xfId="31896"/>
    <cellStyle name="Milliers 2 7 2 2 2 2 2 3 3" xfId="31897"/>
    <cellStyle name="Milliers 2 7 2 2 2 2 2 4" xfId="31898"/>
    <cellStyle name="Milliers 2 7 2 2 2 2 2 4 2" xfId="31899"/>
    <cellStyle name="Milliers 2 7 2 2 2 2 2 5" xfId="31900"/>
    <cellStyle name="Milliers 2 7 2 2 2 2 3" xfId="31901"/>
    <cellStyle name="Milliers 2 7 2 2 2 2 3 2" xfId="31902"/>
    <cellStyle name="Milliers 2 7 2 2 2 2 3 2 2" xfId="31903"/>
    <cellStyle name="Milliers 2 7 2 2 2 2 3 2 2 2" xfId="31904"/>
    <cellStyle name="Milliers 2 7 2 2 2 2 3 2 3" xfId="31905"/>
    <cellStyle name="Milliers 2 7 2 2 2 2 3 3" xfId="31906"/>
    <cellStyle name="Milliers 2 7 2 2 2 2 3 3 2" xfId="31907"/>
    <cellStyle name="Milliers 2 7 2 2 2 2 3 4" xfId="31908"/>
    <cellStyle name="Milliers 2 7 2 2 2 2 4" xfId="31909"/>
    <cellStyle name="Milliers 2 7 2 2 2 2 4 2" xfId="31910"/>
    <cellStyle name="Milliers 2 7 2 2 2 2 4 2 2" xfId="31911"/>
    <cellStyle name="Milliers 2 7 2 2 2 2 4 3" xfId="31912"/>
    <cellStyle name="Milliers 2 7 2 2 2 2 5" xfId="31913"/>
    <cellStyle name="Milliers 2 7 2 2 2 2 5 2" xfId="31914"/>
    <cellStyle name="Milliers 2 7 2 2 2 2 6" xfId="31915"/>
    <cellStyle name="Milliers 2 7 2 2 2 3" xfId="31916"/>
    <cellStyle name="Milliers 2 7 2 2 2 3 2" xfId="31917"/>
    <cellStyle name="Milliers 2 7 2 2 2 3 2 2" xfId="31918"/>
    <cellStyle name="Milliers 2 7 2 2 2 3 2 2 2" xfId="31919"/>
    <cellStyle name="Milliers 2 7 2 2 2 3 2 2 2 2" xfId="31920"/>
    <cellStyle name="Milliers 2 7 2 2 2 3 2 2 3" xfId="31921"/>
    <cellStyle name="Milliers 2 7 2 2 2 3 2 3" xfId="31922"/>
    <cellStyle name="Milliers 2 7 2 2 2 3 2 3 2" xfId="31923"/>
    <cellStyle name="Milliers 2 7 2 2 2 3 2 4" xfId="31924"/>
    <cellStyle name="Milliers 2 7 2 2 2 3 3" xfId="31925"/>
    <cellStyle name="Milliers 2 7 2 2 2 3 3 2" xfId="31926"/>
    <cellStyle name="Milliers 2 7 2 2 2 3 3 2 2" xfId="31927"/>
    <cellStyle name="Milliers 2 7 2 2 2 3 3 3" xfId="31928"/>
    <cellStyle name="Milliers 2 7 2 2 2 3 4" xfId="31929"/>
    <cellStyle name="Milliers 2 7 2 2 2 3 4 2" xfId="31930"/>
    <cellStyle name="Milliers 2 7 2 2 2 3 5" xfId="31931"/>
    <cellStyle name="Milliers 2 7 2 2 2 4" xfId="31932"/>
    <cellStyle name="Milliers 2 7 2 2 2 4 2" xfId="31933"/>
    <cellStyle name="Milliers 2 7 2 2 2 4 2 2" xfId="31934"/>
    <cellStyle name="Milliers 2 7 2 2 2 4 2 2 2" xfId="31935"/>
    <cellStyle name="Milliers 2 7 2 2 2 4 2 3" xfId="31936"/>
    <cellStyle name="Milliers 2 7 2 2 2 4 3" xfId="31937"/>
    <cellStyle name="Milliers 2 7 2 2 2 4 3 2" xfId="31938"/>
    <cellStyle name="Milliers 2 7 2 2 2 4 4" xfId="31939"/>
    <cellStyle name="Milliers 2 7 2 2 2 5" xfId="31940"/>
    <cellStyle name="Milliers 2 7 2 2 2 5 2" xfId="31941"/>
    <cellStyle name="Milliers 2 7 2 2 2 5 2 2" xfId="31942"/>
    <cellStyle name="Milliers 2 7 2 2 2 5 3" xfId="31943"/>
    <cellStyle name="Milliers 2 7 2 2 2 6" xfId="31944"/>
    <cellStyle name="Milliers 2 7 2 2 2 6 2" xfId="31945"/>
    <cellStyle name="Milliers 2 7 2 2 2 7" xfId="31946"/>
    <cellStyle name="Milliers 2 7 2 2 3" xfId="31947"/>
    <cellStyle name="Milliers 2 7 2 2 3 2" xfId="31948"/>
    <cellStyle name="Milliers 2 7 2 2 3 2 2" xfId="31949"/>
    <cellStyle name="Milliers 2 7 2 2 3 2 2 2" xfId="31950"/>
    <cellStyle name="Milliers 2 7 2 2 3 2 2 2 2" xfId="31951"/>
    <cellStyle name="Milliers 2 7 2 2 3 2 2 2 2 2" xfId="31952"/>
    <cellStyle name="Milliers 2 7 2 2 3 2 2 2 3" xfId="31953"/>
    <cellStyle name="Milliers 2 7 2 2 3 2 2 3" xfId="31954"/>
    <cellStyle name="Milliers 2 7 2 2 3 2 2 3 2" xfId="31955"/>
    <cellStyle name="Milliers 2 7 2 2 3 2 2 4" xfId="31956"/>
    <cellStyle name="Milliers 2 7 2 2 3 2 3" xfId="31957"/>
    <cellStyle name="Milliers 2 7 2 2 3 2 3 2" xfId="31958"/>
    <cellStyle name="Milliers 2 7 2 2 3 2 3 2 2" xfId="31959"/>
    <cellStyle name="Milliers 2 7 2 2 3 2 3 3" xfId="31960"/>
    <cellStyle name="Milliers 2 7 2 2 3 2 4" xfId="31961"/>
    <cellStyle name="Milliers 2 7 2 2 3 2 4 2" xfId="31962"/>
    <cellStyle name="Milliers 2 7 2 2 3 2 5" xfId="31963"/>
    <cellStyle name="Milliers 2 7 2 2 3 3" xfId="31964"/>
    <cellStyle name="Milliers 2 7 2 2 3 3 2" xfId="31965"/>
    <cellStyle name="Milliers 2 7 2 2 3 3 2 2" xfId="31966"/>
    <cellStyle name="Milliers 2 7 2 2 3 3 2 2 2" xfId="31967"/>
    <cellStyle name="Milliers 2 7 2 2 3 3 2 3" xfId="31968"/>
    <cellStyle name="Milliers 2 7 2 2 3 3 3" xfId="31969"/>
    <cellStyle name="Milliers 2 7 2 2 3 3 3 2" xfId="31970"/>
    <cellStyle name="Milliers 2 7 2 2 3 3 4" xfId="31971"/>
    <cellStyle name="Milliers 2 7 2 2 3 4" xfId="31972"/>
    <cellStyle name="Milliers 2 7 2 2 3 4 2" xfId="31973"/>
    <cellStyle name="Milliers 2 7 2 2 3 4 2 2" xfId="31974"/>
    <cellStyle name="Milliers 2 7 2 2 3 4 3" xfId="31975"/>
    <cellStyle name="Milliers 2 7 2 2 3 5" xfId="31976"/>
    <cellStyle name="Milliers 2 7 2 2 3 5 2" xfId="31977"/>
    <cellStyle name="Milliers 2 7 2 2 3 6" xfId="31978"/>
    <cellStyle name="Milliers 2 7 2 2 4" xfId="31979"/>
    <cellStyle name="Milliers 2 7 2 2 4 2" xfId="31980"/>
    <cellStyle name="Milliers 2 7 2 2 4 2 2" xfId="31981"/>
    <cellStyle name="Milliers 2 7 2 2 4 2 2 2" xfId="31982"/>
    <cellStyle name="Milliers 2 7 2 2 4 2 2 2 2" xfId="31983"/>
    <cellStyle name="Milliers 2 7 2 2 4 2 2 3" xfId="31984"/>
    <cellStyle name="Milliers 2 7 2 2 4 2 3" xfId="31985"/>
    <cellStyle name="Milliers 2 7 2 2 4 2 3 2" xfId="31986"/>
    <cellStyle name="Milliers 2 7 2 2 4 2 4" xfId="31987"/>
    <cellStyle name="Milliers 2 7 2 2 4 3" xfId="31988"/>
    <cellStyle name="Milliers 2 7 2 2 4 3 2" xfId="31989"/>
    <cellStyle name="Milliers 2 7 2 2 4 3 2 2" xfId="31990"/>
    <cellStyle name="Milliers 2 7 2 2 4 3 3" xfId="31991"/>
    <cellStyle name="Milliers 2 7 2 2 4 4" xfId="31992"/>
    <cellStyle name="Milliers 2 7 2 2 4 4 2" xfId="31993"/>
    <cellStyle name="Milliers 2 7 2 2 4 5" xfId="31994"/>
    <cellStyle name="Milliers 2 7 2 2 5" xfId="31995"/>
    <cellStyle name="Milliers 2 7 2 2 5 2" xfId="31996"/>
    <cellStyle name="Milliers 2 7 2 2 5 2 2" xfId="31997"/>
    <cellStyle name="Milliers 2 7 2 2 5 2 2 2" xfId="31998"/>
    <cellStyle name="Milliers 2 7 2 2 5 2 3" xfId="31999"/>
    <cellStyle name="Milliers 2 7 2 2 5 3" xfId="32000"/>
    <cellStyle name="Milliers 2 7 2 2 5 3 2" xfId="32001"/>
    <cellStyle name="Milliers 2 7 2 2 5 4" xfId="32002"/>
    <cellStyle name="Milliers 2 7 2 2 6" xfId="32003"/>
    <cellStyle name="Milliers 2 7 2 2 6 2" xfId="32004"/>
    <cellStyle name="Milliers 2 7 2 2 6 2 2" xfId="32005"/>
    <cellStyle name="Milliers 2 7 2 2 6 3" xfId="32006"/>
    <cellStyle name="Milliers 2 7 2 2 7" xfId="32007"/>
    <cellStyle name="Milliers 2 7 2 2 7 2" xfId="32008"/>
    <cellStyle name="Milliers 2 7 2 2 8" xfId="32009"/>
    <cellStyle name="Milliers 2 7 2 3" xfId="32010"/>
    <cellStyle name="Milliers 2 7 2 3 2" xfId="32011"/>
    <cellStyle name="Milliers 2 7 2 3 2 2" xfId="32012"/>
    <cellStyle name="Milliers 2 7 2 3 2 2 2" xfId="32013"/>
    <cellStyle name="Milliers 2 7 2 3 2 2 2 2" xfId="32014"/>
    <cellStyle name="Milliers 2 7 2 3 2 2 2 2 2" xfId="32015"/>
    <cellStyle name="Milliers 2 7 2 3 2 2 2 2 2 2" xfId="32016"/>
    <cellStyle name="Milliers 2 7 2 3 2 2 2 2 3" xfId="32017"/>
    <cellStyle name="Milliers 2 7 2 3 2 2 2 3" xfId="32018"/>
    <cellStyle name="Milliers 2 7 2 3 2 2 2 3 2" xfId="32019"/>
    <cellStyle name="Milliers 2 7 2 3 2 2 2 4" xfId="32020"/>
    <cellStyle name="Milliers 2 7 2 3 2 2 3" xfId="32021"/>
    <cellStyle name="Milliers 2 7 2 3 2 2 3 2" xfId="32022"/>
    <cellStyle name="Milliers 2 7 2 3 2 2 3 2 2" xfId="32023"/>
    <cellStyle name="Milliers 2 7 2 3 2 2 3 3" xfId="32024"/>
    <cellStyle name="Milliers 2 7 2 3 2 2 4" xfId="32025"/>
    <cellStyle name="Milliers 2 7 2 3 2 2 4 2" xfId="32026"/>
    <cellStyle name="Milliers 2 7 2 3 2 2 5" xfId="32027"/>
    <cellStyle name="Milliers 2 7 2 3 2 3" xfId="32028"/>
    <cellStyle name="Milliers 2 7 2 3 2 3 2" xfId="32029"/>
    <cellStyle name="Milliers 2 7 2 3 2 3 2 2" xfId="32030"/>
    <cellStyle name="Milliers 2 7 2 3 2 3 2 2 2" xfId="32031"/>
    <cellStyle name="Milliers 2 7 2 3 2 3 2 3" xfId="32032"/>
    <cellStyle name="Milliers 2 7 2 3 2 3 3" xfId="32033"/>
    <cellStyle name="Milliers 2 7 2 3 2 3 3 2" xfId="32034"/>
    <cellStyle name="Milliers 2 7 2 3 2 3 4" xfId="32035"/>
    <cellStyle name="Milliers 2 7 2 3 2 4" xfId="32036"/>
    <cellStyle name="Milliers 2 7 2 3 2 4 2" xfId="32037"/>
    <cellStyle name="Milliers 2 7 2 3 2 4 2 2" xfId="32038"/>
    <cellStyle name="Milliers 2 7 2 3 2 4 3" xfId="32039"/>
    <cellStyle name="Milliers 2 7 2 3 2 5" xfId="32040"/>
    <cellStyle name="Milliers 2 7 2 3 2 5 2" xfId="32041"/>
    <cellStyle name="Milliers 2 7 2 3 2 6" xfId="32042"/>
    <cellStyle name="Milliers 2 7 2 3 3" xfId="32043"/>
    <cellStyle name="Milliers 2 7 2 3 3 2" xfId="32044"/>
    <cellStyle name="Milliers 2 7 2 3 3 2 2" xfId="32045"/>
    <cellStyle name="Milliers 2 7 2 3 3 2 2 2" xfId="32046"/>
    <cellStyle name="Milliers 2 7 2 3 3 2 2 2 2" xfId="32047"/>
    <cellStyle name="Milliers 2 7 2 3 3 2 2 3" xfId="32048"/>
    <cellStyle name="Milliers 2 7 2 3 3 2 3" xfId="32049"/>
    <cellStyle name="Milliers 2 7 2 3 3 2 3 2" xfId="32050"/>
    <cellStyle name="Milliers 2 7 2 3 3 2 4" xfId="32051"/>
    <cellStyle name="Milliers 2 7 2 3 3 3" xfId="32052"/>
    <cellStyle name="Milliers 2 7 2 3 3 3 2" xfId="32053"/>
    <cellStyle name="Milliers 2 7 2 3 3 3 2 2" xfId="32054"/>
    <cellStyle name="Milliers 2 7 2 3 3 3 3" xfId="32055"/>
    <cellStyle name="Milliers 2 7 2 3 3 4" xfId="32056"/>
    <cellStyle name="Milliers 2 7 2 3 3 4 2" xfId="32057"/>
    <cellStyle name="Milliers 2 7 2 3 3 5" xfId="32058"/>
    <cellStyle name="Milliers 2 7 2 3 4" xfId="32059"/>
    <cellStyle name="Milliers 2 7 2 3 4 2" xfId="32060"/>
    <cellStyle name="Milliers 2 7 2 3 4 2 2" xfId="32061"/>
    <cellStyle name="Milliers 2 7 2 3 4 2 2 2" xfId="32062"/>
    <cellStyle name="Milliers 2 7 2 3 4 2 3" xfId="32063"/>
    <cellStyle name="Milliers 2 7 2 3 4 3" xfId="32064"/>
    <cellStyle name="Milliers 2 7 2 3 4 3 2" xfId="32065"/>
    <cellStyle name="Milliers 2 7 2 3 4 4" xfId="32066"/>
    <cellStyle name="Milliers 2 7 2 3 5" xfId="32067"/>
    <cellStyle name="Milliers 2 7 2 3 5 2" xfId="32068"/>
    <cellStyle name="Milliers 2 7 2 3 5 2 2" xfId="32069"/>
    <cellStyle name="Milliers 2 7 2 3 5 3" xfId="32070"/>
    <cellStyle name="Milliers 2 7 2 3 6" xfId="32071"/>
    <cellStyle name="Milliers 2 7 2 3 6 2" xfId="32072"/>
    <cellStyle name="Milliers 2 7 2 3 7" xfId="32073"/>
    <cellStyle name="Milliers 2 7 2 4" xfId="32074"/>
    <cellStyle name="Milliers 2 7 2 4 2" xfId="32075"/>
    <cellStyle name="Milliers 2 7 2 4 2 2" xfId="32076"/>
    <cellStyle name="Milliers 2 7 2 4 2 2 2" xfId="32077"/>
    <cellStyle name="Milliers 2 7 2 4 2 2 2 2" xfId="32078"/>
    <cellStyle name="Milliers 2 7 2 4 2 2 2 2 2" xfId="32079"/>
    <cellStyle name="Milliers 2 7 2 4 2 2 2 3" xfId="32080"/>
    <cellStyle name="Milliers 2 7 2 4 2 2 3" xfId="32081"/>
    <cellStyle name="Milliers 2 7 2 4 2 2 3 2" xfId="32082"/>
    <cellStyle name="Milliers 2 7 2 4 2 2 4" xfId="32083"/>
    <cellStyle name="Milliers 2 7 2 4 2 3" xfId="32084"/>
    <cellStyle name="Milliers 2 7 2 4 2 3 2" xfId="32085"/>
    <cellStyle name="Milliers 2 7 2 4 2 3 2 2" xfId="32086"/>
    <cellStyle name="Milliers 2 7 2 4 2 3 3" xfId="32087"/>
    <cellStyle name="Milliers 2 7 2 4 2 4" xfId="32088"/>
    <cellStyle name="Milliers 2 7 2 4 2 4 2" xfId="32089"/>
    <cellStyle name="Milliers 2 7 2 4 2 5" xfId="32090"/>
    <cellStyle name="Milliers 2 7 2 4 3" xfId="32091"/>
    <cellStyle name="Milliers 2 7 2 4 3 2" xfId="32092"/>
    <cellStyle name="Milliers 2 7 2 4 3 2 2" xfId="32093"/>
    <cellStyle name="Milliers 2 7 2 4 3 2 2 2" xfId="32094"/>
    <cellStyle name="Milliers 2 7 2 4 3 2 3" xfId="32095"/>
    <cellStyle name="Milliers 2 7 2 4 3 3" xfId="32096"/>
    <cellStyle name="Milliers 2 7 2 4 3 3 2" xfId="32097"/>
    <cellStyle name="Milliers 2 7 2 4 3 4" xfId="32098"/>
    <cellStyle name="Milliers 2 7 2 4 4" xfId="32099"/>
    <cellStyle name="Milliers 2 7 2 4 4 2" xfId="32100"/>
    <cellStyle name="Milliers 2 7 2 4 4 2 2" xfId="32101"/>
    <cellStyle name="Milliers 2 7 2 4 4 3" xfId="32102"/>
    <cellStyle name="Milliers 2 7 2 4 5" xfId="32103"/>
    <cellStyle name="Milliers 2 7 2 4 5 2" xfId="32104"/>
    <cellStyle name="Milliers 2 7 2 4 6" xfId="32105"/>
    <cellStyle name="Milliers 2 7 2 5" xfId="32106"/>
    <cellStyle name="Milliers 2 7 2 5 2" xfId="32107"/>
    <cellStyle name="Milliers 2 7 2 5 2 2" xfId="32108"/>
    <cellStyle name="Milliers 2 7 2 5 2 2 2" xfId="32109"/>
    <cellStyle name="Milliers 2 7 2 5 2 2 2 2" xfId="32110"/>
    <cellStyle name="Milliers 2 7 2 5 2 2 3" xfId="32111"/>
    <cellStyle name="Milliers 2 7 2 5 2 3" xfId="32112"/>
    <cellStyle name="Milliers 2 7 2 5 2 3 2" xfId="32113"/>
    <cellStyle name="Milliers 2 7 2 5 2 4" xfId="32114"/>
    <cellStyle name="Milliers 2 7 2 5 3" xfId="32115"/>
    <cellStyle name="Milliers 2 7 2 5 3 2" xfId="32116"/>
    <cellStyle name="Milliers 2 7 2 5 3 2 2" xfId="32117"/>
    <cellStyle name="Milliers 2 7 2 5 3 3" xfId="32118"/>
    <cellStyle name="Milliers 2 7 2 5 4" xfId="32119"/>
    <cellStyle name="Milliers 2 7 2 5 4 2" xfId="32120"/>
    <cellStyle name="Milliers 2 7 2 5 5" xfId="32121"/>
    <cellStyle name="Milliers 2 7 2 6" xfId="32122"/>
    <cellStyle name="Milliers 2 7 2 6 2" xfId="32123"/>
    <cellStyle name="Milliers 2 7 2 6 2 2" xfId="32124"/>
    <cellStyle name="Milliers 2 7 2 6 2 2 2" xfId="32125"/>
    <cellStyle name="Milliers 2 7 2 6 2 3" xfId="32126"/>
    <cellStyle name="Milliers 2 7 2 6 3" xfId="32127"/>
    <cellStyle name="Milliers 2 7 2 6 3 2" xfId="32128"/>
    <cellStyle name="Milliers 2 7 2 6 4" xfId="32129"/>
    <cellStyle name="Milliers 2 7 2 7" xfId="32130"/>
    <cellStyle name="Milliers 2 7 2 7 2" xfId="32131"/>
    <cellStyle name="Milliers 2 7 2 7 2 2" xfId="32132"/>
    <cellStyle name="Milliers 2 7 2 7 3" xfId="32133"/>
    <cellStyle name="Milliers 2 7 2 8" xfId="32134"/>
    <cellStyle name="Milliers 2 7 2 8 2" xfId="32135"/>
    <cellStyle name="Milliers 2 7 2 9" xfId="32136"/>
    <cellStyle name="Milliers 2 7 3" xfId="32137"/>
    <cellStyle name="Milliers 2 7 3 2" xfId="32138"/>
    <cellStyle name="Milliers 2 7 3 2 2" xfId="32139"/>
    <cellStyle name="Milliers 2 7 3 2 2 2" xfId="32140"/>
    <cellStyle name="Milliers 2 7 3 2 2 2 2" xfId="32141"/>
    <cellStyle name="Milliers 2 7 3 2 2 2 2 2" xfId="32142"/>
    <cellStyle name="Milliers 2 7 3 2 2 2 2 2 2" xfId="32143"/>
    <cellStyle name="Milliers 2 7 3 2 2 2 2 2 2 2" xfId="32144"/>
    <cellStyle name="Milliers 2 7 3 2 2 2 2 2 3" xfId="32145"/>
    <cellStyle name="Milliers 2 7 3 2 2 2 2 3" xfId="32146"/>
    <cellStyle name="Milliers 2 7 3 2 2 2 2 3 2" xfId="32147"/>
    <cellStyle name="Milliers 2 7 3 2 2 2 2 4" xfId="32148"/>
    <cellStyle name="Milliers 2 7 3 2 2 2 3" xfId="32149"/>
    <cellStyle name="Milliers 2 7 3 2 2 2 3 2" xfId="32150"/>
    <cellStyle name="Milliers 2 7 3 2 2 2 3 2 2" xfId="32151"/>
    <cellStyle name="Milliers 2 7 3 2 2 2 3 3" xfId="32152"/>
    <cellStyle name="Milliers 2 7 3 2 2 2 4" xfId="32153"/>
    <cellStyle name="Milliers 2 7 3 2 2 2 4 2" xfId="32154"/>
    <cellStyle name="Milliers 2 7 3 2 2 2 5" xfId="32155"/>
    <cellStyle name="Milliers 2 7 3 2 2 3" xfId="32156"/>
    <cellStyle name="Milliers 2 7 3 2 2 3 2" xfId="32157"/>
    <cellStyle name="Milliers 2 7 3 2 2 3 2 2" xfId="32158"/>
    <cellStyle name="Milliers 2 7 3 2 2 3 2 2 2" xfId="32159"/>
    <cellStyle name="Milliers 2 7 3 2 2 3 2 3" xfId="32160"/>
    <cellStyle name="Milliers 2 7 3 2 2 3 3" xfId="32161"/>
    <cellStyle name="Milliers 2 7 3 2 2 3 3 2" xfId="32162"/>
    <cellStyle name="Milliers 2 7 3 2 2 3 4" xfId="32163"/>
    <cellStyle name="Milliers 2 7 3 2 2 4" xfId="32164"/>
    <cellStyle name="Milliers 2 7 3 2 2 4 2" xfId="32165"/>
    <cellStyle name="Milliers 2 7 3 2 2 4 2 2" xfId="32166"/>
    <cellStyle name="Milliers 2 7 3 2 2 4 3" xfId="32167"/>
    <cellStyle name="Milliers 2 7 3 2 2 5" xfId="32168"/>
    <cellStyle name="Milliers 2 7 3 2 2 5 2" xfId="32169"/>
    <cellStyle name="Milliers 2 7 3 2 2 6" xfId="32170"/>
    <cellStyle name="Milliers 2 7 3 2 3" xfId="32171"/>
    <cellStyle name="Milliers 2 7 3 2 3 2" xfId="32172"/>
    <cellStyle name="Milliers 2 7 3 2 3 2 2" xfId="32173"/>
    <cellStyle name="Milliers 2 7 3 2 3 2 2 2" xfId="32174"/>
    <cellStyle name="Milliers 2 7 3 2 3 2 2 2 2" xfId="32175"/>
    <cellStyle name="Milliers 2 7 3 2 3 2 2 3" xfId="32176"/>
    <cellStyle name="Milliers 2 7 3 2 3 2 3" xfId="32177"/>
    <cellStyle name="Milliers 2 7 3 2 3 2 3 2" xfId="32178"/>
    <cellStyle name="Milliers 2 7 3 2 3 2 4" xfId="32179"/>
    <cellStyle name="Milliers 2 7 3 2 3 3" xfId="32180"/>
    <cellStyle name="Milliers 2 7 3 2 3 3 2" xfId="32181"/>
    <cellStyle name="Milliers 2 7 3 2 3 3 2 2" xfId="32182"/>
    <cellStyle name="Milliers 2 7 3 2 3 3 3" xfId="32183"/>
    <cellStyle name="Milliers 2 7 3 2 3 4" xfId="32184"/>
    <cellStyle name="Milliers 2 7 3 2 3 4 2" xfId="32185"/>
    <cellStyle name="Milliers 2 7 3 2 3 5" xfId="32186"/>
    <cellStyle name="Milliers 2 7 3 2 4" xfId="32187"/>
    <cellStyle name="Milliers 2 7 3 2 4 2" xfId="32188"/>
    <cellStyle name="Milliers 2 7 3 2 4 2 2" xfId="32189"/>
    <cellStyle name="Milliers 2 7 3 2 4 2 2 2" xfId="32190"/>
    <cellStyle name="Milliers 2 7 3 2 4 2 3" xfId="32191"/>
    <cellStyle name="Milliers 2 7 3 2 4 3" xfId="32192"/>
    <cellStyle name="Milliers 2 7 3 2 4 3 2" xfId="32193"/>
    <cellStyle name="Milliers 2 7 3 2 4 4" xfId="32194"/>
    <cellStyle name="Milliers 2 7 3 2 5" xfId="32195"/>
    <cellStyle name="Milliers 2 7 3 2 5 2" xfId="32196"/>
    <cellStyle name="Milliers 2 7 3 2 5 2 2" xfId="32197"/>
    <cellStyle name="Milliers 2 7 3 2 5 3" xfId="32198"/>
    <cellStyle name="Milliers 2 7 3 2 6" xfId="32199"/>
    <cellStyle name="Milliers 2 7 3 2 6 2" xfId="32200"/>
    <cellStyle name="Milliers 2 7 3 2 7" xfId="32201"/>
    <cellStyle name="Milliers 2 7 3 3" xfId="32202"/>
    <cellStyle name="Milliers 2 7 3 3 2" xfId="32203"/>
    <cellStyle name="Milliers 2 7 3 3 2 2" xfId="32204"/>
    <cellStyle name="Milliers 2 7 3 3 2 2 2" xfId="32205"/>
    <cellStyle name="Milliers 2 7 3 3 2 2 2 2" xfId="32206"/>
    <cellStyle name="Milliers 2 7 3 3 2 2 2 2 2" xfId="32207"/>
    <cellStyle name="Milliers 2 7 3 3 2 2 2 3" xfId="32208"/>
    <cellStyle name="Milliers 2 7 3 3 2 2 3" xfId="32209"/>
    <cellStyle name="Milliers 2 7 3 3 2 2 3 2" xfId="32210"/>
    <cellStyle name="Milliers 2 7 3 3 2 2 4" xfId="32211"/>
    <cellStyle name="Milliers 2 7 3 3 2 3" xfId="32212"/>
    <cellStyle name="Milliers 2 7 3 3 2 3 2" xfId="32213"/>
    <cellStyle name="Milliers 2 7 3 3 2 3 2 2" xfId="32214"/>
    <cellStyle name="Milliers 2 7 3 3 2 3 3" xfId="32215"/>
    <cellStyle name="Milliers 2 7 3 3 2 4" xfId="32216"/>
    <cellStyle name="Milliers 2 7 3 3 2 4 2" xfId="32217"/>
    <cellStyle name="Milliers 2 7 3 3 2 5" xfId="32218"/>
    <cellStyle name="Milliers 2 7 3 3 3" xfId="32219"/>
    <cellStyle name="Milliers 2 7 3 3 3 2" xfId="32220"/>
    <cellStyle name="Milliers 2 7 3 3 3 2 2" xfId="32221"/>
    <cellStyle name="Milliers 2 7 3 3 3 2 2 2" xfId="32222"/>
    <cellStyle name="Milliers 2 7 3 3 3 2 3" xfId="32223"/>
    <cellStyle name="Milliers 2 7 3 3 3 3" xfId="32224"/>
    <cellStyle name="Milliers 2 7 3 3 3 3 2" xfId="32225"/>
    <cellStyle name="Milliers 2 7 3 3 3 4" xfId="32226"/>
    <cellStyle name="Milliers 2 7 3 3 4" xfId="32227"/>
    <cellStyle name="Milliers 2 7 3 3 4 2" xfId="32228"/>
    <cellStyle name="Milliers 2 7 3 3 4 2 2" xfId="32229"/>
    <cellStyle name="Milliers 2 7 3 3 4 3" xfId="32230"/>
    <cellStyle name="Milliers 2 7 3 3 5" xfId="32231"/>
    <cellStyle name="Milliers 2 7 3 3 5 2" xfId="32232"/>
    <cellStyle name="Milliers 2 7 3 3 6" xfId="32233"/>
    <cellStyle name="Milliers 2 7 3 4" xfId="32234"/>
    <cellStyle name="Milliers 2 7 3 4 2" xfId="32235"/>
    <cellStyle name="Milliers 2 7 3 4 2 2" xfId="32236"/>
    <cellStyle name="Milliers 2 7 3 4 2 2 2" xfId="32237"/>
    <cellStyle name="Milliers 2 7 3 4 2 2 2 2" xfId="32238"/>
    <cellStyle name="Milliers 2 7 3 4 2 2 3" xfId="32239"/>
    <cellStyle name="Milliers 2 7 3 4 2 3" xfId="32240"/>
    <cellStyle name="Milliers 2 7 3 4 2 3 2" xfId="32241"/>
    <cellStyle name="Milliers 2 7 3 4 2 4" xfId="32242"/>
    <cellStyle name="Milliers 2 7 3 4 3" xfId="32243"/>
    <cellStyle name="Milliers 2 7 3 4 3 2" xfId="32244"/>
    <cellStyle name="Milliers 2 7 3 4 3 2 2" xfId="32245"/>
    <cellStyle name="Milliers 2 7 3 4 3 3" xfId="32246"/>
    <cellStyle name="Milliers 2 7 3 4 4" xfId="32247"/>
    <cellStyle name="Milliers 2 7 3 4 4 2" xfId="32248"/>
    <cellStyle name="Milliers 2 7 3 4 5" xfId="32249"/>
    <cellStyle name="Milliers 2 7 3 5" xfId="32250"/>
    <cellStyle name="Milliers 2 7 3 5 2" xfId="32251"/>
    <cellStyle name="Milliers 2 7 3 5 2 2" xfId="32252"/>
    <cellStyle name="Milliers 2 7 3 5 2 2 2" xfId="32253"/>
    <cellStyle name="Milliers 2 7 3 5 2 3" xfId="32254"/>
    <cellStyle name="Milliers 2 7 3 5 3" xfId="32255"/>
    <cellStyle name="Milliers 2 7 3 5 3 2" xfId="32256"/>
    <cellStyle name="Milliers 2 7 3 5 4" xfId="32257"/>
    <cellStyle name="Milliers 2 7 3 6" xfId="32258"/>
    <cellStyle name="Milliers 2 7 3 6 2" xfId="32259"/>
    <cellStyle name="Milliers 2 7 3 6 2 2" xfId="32260"/>
    <cellStyle name="Milliers 2 7 3 6 3" xfId="32261"/>
    <cellStyle name="Milliers 2 7 3 7" xfId="32262"/>
    <cellStyle name="Milliers 2 7 3 7 2" xfId="32263"/>
    <cellStyle name="Milliers 2 7 3 8" xfId="32264"/>
    <cellStyle name="Milliers 2 7 4" xfId="32265"/>
    <cellStyle name="Milliers 2 7 4 2" xfId="32266"/>
    <cellStyle name="Milliers 2 7 4 2 2" xfId="32267"/>
    <cellStyle name="Milliers 2 7 4 2 2 2" xfId="32268"/>
    <cellStyle name="Milliers 2 7 4 2 2 2 2" xfId="32269"/>
    <cellStyle name="Milliers 2 7 4 2 2 2 2 2" xfId="32270"/>
    <cellStyle name="Milliers 2 7 4 2 2 2 2 2 2" xfId="32271"/>
    <cellStyle name="Milliers 2 7 4 2 2 2 2 3" xfId="32272"/>
    <cellStyle name="Milliers 2 7 4 2 2 2 3" xfId="32273"/>
    <cellStyle name="Milliers 2 7 4 2 2 2 3 2" xfId="32274"/>
    <cellStyle name="Milliers 2 7 4 2 2 2 4" xfId="32275"/>
    <cellStyle name="Milliers 2 7 4 2 2 3" xfId="32276"/>
    <cellStyle name="Milliers 2 7 4 2 2 3 2" xfId="32277"/>
    <cellStyle name="Milliers 2 7 4 2 2 3 2 2" xfId="32278"/>
    <cellStyle name="Milliers 2 7 4 2 2 3 3" xfId="32279"/>
    <cellStyle name="Milliers 2 7 4 2 2 4" xfId="32280"/>
    <cellStyle name="Milliers 2 7 4 2 2 4 2" xfId="32281"/>
    <cellStyle name="Milliers 2 7 4 2 2 5" xfId="32282"/>
    <cellStyle name="Milliers 2 7 4 2 3" xfId="32283"/>
    <cellStyle name="Milliers 2 7 4 2 3 2" xfId="32284"/>
    <cellStyle name="Milliers 2 7 4 2 3 2 2" xfId="32285"/>
    <cellStyle name="Milliers 2 7 4 2 3 2 2 2" xfId="32286"/>
    <cellStyle name="Milliers 2 7 4 2 3 2 3" xfId="32287"/>
    <cellStyle name="Milliers 2 7 4 2 3 3" xfId="32288"/>
    <cellStyle name="Milliers 2 7 4 2 3 3 2" xfId="32289"/>
    <cellStyle name="Milliers 2 7 4 2 3 4" xfId="32290"/>
    <cellStyle name="Milliers 2 7 4 2 4" xfId="32291"/>
    <cellStyle name="Milliers 2 7 4 2 4 2" xfId="32292"/>
    <cellStyle name="Milliers 2 7 4 2 4 2 2" xfId="32293"/>
    <cellStyle name="Milliers 2 7 4 2 4 3" xfId="32294"/>
    <cellStyle name="Milliers 2 7 4 2 5" xfId="32295"/>
    <cellStyle name="Milliers 2 7 4 2 5 2" xfId="32296"/>
    <cellStyle name="Milliers 2 7 4 2 6" xfId="32297"/>
    <cellStyle name="Milliers 2 7 4 3" xfId="32298"/>
    <cellStyle name="Milliers 2 7 4 3 2" xfId="32299"/>
    <cellStyle name="Milliers 2 7 4 3 2 2" xfId="32300"/>
    <cellStyle name="Milliers 2 7 4 3 2 2 2" xfId="32301"/>
    <cellStyle name="Milliers 2 7 4 3 2 2 2 2" xfId="32302"/>
    <cellStyle name="Milliers 2 7 4 3 2 2 3" xfId="32303"/>
    <cellStyle name="Milliers 2 7 4 3 2 3" xfId="32304"/>
    <cellStyle name="Milliers 2 7 4 3 2 3 2" xfId="32305"/>
    <cellStyle name="Milliers 2 7 4 3 2 4" xfId="32306"/>
    <cellStyle name="Milliers 2 7 4 3 3" xfId="32307"/>
    <cellStyle name="Milliers 2 7 4 3 3 2" xfId="32308"/>
    <cellStyle name="Milliers 2 7 4 3 3 2 2" xfId="32309"/>
    <cellStyle name="Milliers 2 7 4 3 3 3" xfId="32310"/>
    <cellStyle name="Milliers 2 7 4 3 4" xfId="32311"/>
    <cellStyle name="Milliers 2 7 4 3 4 2" xfId="32312"/>
    <cellStyle name="Milliers 2 7 4 3 5" xfId="32313"/>
    <cellStyle name="Milliers 2 7 4 4" xfId="32314"/>
    <cellStyle name="Milliers 2 7 4 4 2" xfId="32315"/>
    <cellStyle name="Milliers 2 7 4 4 2 2" xfId="32316"/>
    <cellStyle name="Milliers 2 7 4 4 2 2 2" xfId="32317"/>
    <cellStyle name="Milliers 2 7 4 4 2 3" xfId="32318"/>
    <cellStyle name="Milliers 2 7 4 4 3" xfId="32319"/>
    <cellStyle name="Milliers 2 7 4 4 3 2" xfId="32320"/>
    <cellStyle name="Milliers 2 7 4 4 4" xfId="32321"/>
    <cellStyle name="Milliers 2 7 4 5" xfId="32322"/>
    <cellStyle name="Milliers 2 7 4 5 2" xfId="32323"/>
    <cellStyle name="Milliers 2 7 4 5 2 2" xfId="32324"/>
    <cellStyle name="Milliers 2 7 4 5 3" xfId="32325"/>
    <cellStyle name="Milliers 2 7 4 6" xfId="32326"/>
    <cellStyle name="Milliers 2 7 4 6 2" xfId="32327"/>
    <cellStyle name="Milliers 2 7 4 7" xfId="32328"/>
    <cellStyle name="Milliers 2 7 5" xfId="32329"/>
    <cellStyle name="Milliers 2 7 5 2" xfId="32330"/>
    <cellStyle name="Milliers 2 7 5 2 2" xfId="32331"/>
    <cellStyle name="Milliers 2 7 5 2 2 2" xfId="32332"/>
    <cellStyle name="Milliers 2 7 5 2 2 2 2" xfId="32333"/>
    <cellStyle name="Milliers 2 7 5 2 2 2 2 2" xfId="32334"/>
    <cellStyle name="Milliers 2 7 5 2 2 2 3" xfId="32335"/>
    <cellStyle name="Milliers 2 7 5 2 2 3" xfId="32336"/>
    <cellStyle name="Milliers 2 7 5 2 2 3 2" xfId="32337"/>
    <cellStyle name="Milliers 2 7 5 2 2 4" xfId="32338"/>
    <cellStyle name="Milliers 2 7 5 2 3" xfId="32339"/>
    <cellStyle name="Milliers 2 7 5 2 3 2" xfId="32340"/>
    <cellStyle name="Milliers 2 7 5 2 3 2 2" xfId="32341"/>
    <cellStyle name="Milliers 2 7 5 2 3 3" xfId="32342"/>
    <cellStyle name="Milliers 2 7 5 2 4" xfId="32343"/>
    <cellStyle name="Milliers 2 7 5 2 4 2" xfId="32344"/>
    <cellStyle name="Milliers 2 7 5 2 5" xfId="32345"/>
    <cellStyle name="Milliers 2 7 5 3" xfId="32346"/>
    <cellStyle name="Milliers 2 7 5 3 2" xfId="32347"/>
    <cellStyle name="Milliers 2 7 5 3 2 2" xfId="32348"/>
    <cellStyle name="Milliers 2 7 5 3 2 2 2" xfId="32349"/>
    <cellStyle name="Milliers 2 7 5 3 2 3" xfId="32350"/>
    <cellStyle name="Milliers 2 7 5 3 3" xfId="32351"/>
    <cellStyle name="Milliers 2 7 5 3 3 2" xfId="32352"/>
    <cellStyle name="Milliers 2 7 5 3 4" xfId="32353"/>
    <cellStyle name="Milliers 2 7 5 4" xfId="32354"/>
    <cellStyle name="Milliers 2 7 5 4 2" xfId="32355"/>
    <cellStyle name="Milliers 2 7 5 4 2 2" xfId="32356"/>
    <cellStyle name="Milliers 2 7 5 4 3" xfId="32357"/>
    <cellStyle name="Milliers 2 7 5 5" xfId="32358"/>
    <cellStyle name="Milliers 2 7 5 5 2" xfId="32359"/>
    <cellStyle name="Milliers 2 7 5 6" xfId="32360"/>
    <cellStyle name="Milliers 2 7 6" xfId="32361"/>
    <cellStyle name="Milliers 2 7 6 2" xfId="32362"/>
    <cellStyle name="Milliers 2 7 6 2 2" xfId="32363"/>
    <cellStyle name="Milliers 2 7 6 2 2 2" xfId="32364"/>
    <cellStyle name="Milliers 2 7 6 2 2 2 2" xfId="32365"/>
    <cellStyle name="Milliers 2 7 6 2 2 3" xfId="32366"/>
    <cellStyle name="Milliers 2 7 6 2 3" xfId="32367"/>
    <cellStyle name="Milliers 2 7 6 2 3 2" xfId="32368"/>
    <cellStyle name="Milliers 2 7 6 2 4" xfId="32369"/>
    <cellStyle name="Milliers 2 7 6 3" xfId="32370"/>
    <cellStyle name="Milliers 2 7 6 3 2" xfId="32371"/>
    <cellStyle name="Milliers 2 7 6 3 2 2" xfId="32372"/>
    <cellStyle name="Milliers 2 7 6 3 3" xfId="32373"/>
    <cellStyle name="Milliers 2 7 6 4" xfId="32374"/>
    <cellStyle name="Milliers 2 7 6 4 2" xfId="32375"/>
    <cellStyle name="Milliers 2 7 6 5" xfId="32376"/>
    <cellStyle name="Milliers 2 7 7" xfId="32377"/>
    <cellStyle name="Milliers 2 7 7 2" xfId="32378"/>
    <cellStyle name="Milliers 2 7 7 2 2" xfId="32379"/>
    <cellStyle name="Milliers 2 7 7 2 2 2" xfId="32380"/>
    <cellStyle name="Milliers 2 7 7 2 3" xfId="32381"/>
    <cellStyle name="Milliers 2 7 7 3" xfId="32382"/>
    <cellStyle name="Milliers 2 7 7 3 2" xfId="32383"/>
    <cellStyle name="Milliers 2 7 7 4" xfId="32384"/>
    <cellStyle name="Milliers 2 7 8" xfId="32385"/>
    <cellStyle name="Milliers 2 7 8 2" xfId="32386"/>
    <cellStyle name="Milliers 2 7 8 2 2" xfId="32387"/>
    <cellStyle name="Milliers 2 7 8 3" xfId="32388"/>
    <cellStyle name="Milliers 2 7 9" xfId="32389"/>
    <cellStyle name="Milliers 2 7 9 2" xfId="32390"/>
    <cellStyle name="Milliers 2 8" xfId="32391"/>
    <cellStyle name="Milliers 2 8 2" xfId="32392"/>
    <cellStyle name="Milliers 2 8 2 2" xfId="32393"/>
    <cellStyle name="Milliers 2 8 2 2 2" xfId="32394"/>
    <cellStyle name="Milliers 2 8 2 2 2 2" xfId="32395"/>
    <cellStyle name="Milliers 2 8 2 2 2 2 2" xfId="32396"/>
    <cellStyle name="Milliers 2 8 2 2 2 2 2 2" xfId="32397"/>
    <cellStyle name="Milliers 2 8 2 2 2 2 2 2 2" xfId="32398"/>
    <cellStyle name="Milliers 2 8 2 2 2 2 2 2 2 2" xfId="32399"/>
    <cellStyle name="Milliers 2 8 2 2 2 2 2 2 3" xfId="32400"/>
    <cellStyle name="Milliers 2 8 2 2 2 2 2 3" xfId="32401"/>
    <cellStyle name="Milliers 2 8 2 2 2 2 2 3 2" xfId="32402"/>
    <cellStyle name="Milliers 2 8 2 2 2 2 2 4" xfId="32403"/>
    <cellStyle name="Milliers 2 8 2 2 2 2 3" xfId="32404"/>
    <cellStyle name="Milliers 2 8 2 2 2 2 3 2" xfId="32405"/>
    <cellStyle name="Milliers 2 8 2 2 2 2 3 2 2" xfId="32406"/>
    <cellStyle name="Milliers 2 8 2 2 2 2 3 3" xfId="32407"/>
    <cellStyle name="Milliers 2 8 2 2 2 2 4" xfId="32408"/>
    <cellStyle name="Milliers 2 8 2 2 2 2 4 2" xfId="32409"/>
    <cellStyle name="Milliers 2 8 2 2 2 2 5" xfId="32410"/>
    <cellStyle name="Milliers 2 8 2 2 2 3" xfId="32411"/>
    <cellStyle name="Milliers 2 8 2 2 2 3 2" xfId="32412"/>
    <cellStyle name="Milliers 2 8 2 2 2 3 2 2" xfId="32413"/>
    <cellStyle name="Milliers 2 8 2 2 2 3 2 2 2" xfId="32414"/>
    <cellStyle name="Milliers 2 8 2 2 2 3 2 3" xfId="32415"/>
    <cellStyle name="Milliers 2 8 2 2 2 3 3" xfId="32416"/>
    <cellStyle name="Milliers 2 8 2 2 2 3 3 2" xfId="32417"/>
    <cellStyle name="Milliers 2 8 2 2 2 3 4" xfId="32418"/>
    <cellStyle name="Milliers 2 8 2 2 2 4" xfId="32419"/>
    <cellStyle name="Milliers 2 8 2 2 2 4 2" xfId="32420"/>
    <cellStyle name="Milliers 2 8 2 2 2 4 2 2" xfId="32421"/>
    <cellStyle name="Milliers 2 8 2 2 2 4 3" xfId="32422"/>
    <cellStyle name="Milliers 2 8 2 2 2 5" xfId="32423"/>
    <cellStyle name="Milliers 2 8 2 2 2 5 2" xfId="32424"/>
    <cellStyle name="Milliers 2 8 2 2 2 6" xfId="32425"/>
    <cellStyle name="Milliers 2 8 2 2 3" xfId="32426"/>
    <cellStyle name="Milliers 2 8 2 2 3 2" xfId="32427"/>
    <cellStyle name="Milliers 2 8 2 2 3 2 2" xfId="32428"/>
    <cellStyle name="Milliers 2 8 2 2 3 2 2 2" xfId="32429"/>
    <cellStyle name="Milliers 2 8 2 2 3 2 2 2 2" xfId="32430"/>
    <cellStyle name="Milliers 2 8 2 2 3 2 2 3" xfId="32431"/>
    <cellStyle name="Milliers 2 8 2 2 3 2 3" xfId="32432"/>
    <cellStyle name="Milliers 2 8 2 2 3 2 3 2" xfId="32433"/>
    <cellStyle name="Milliers 2 8 2 2 3 2 4" xfId="32434"/>
    <cellStyle name="Milliers 2 8 2 2 3 3" xfId="32435"/>
    <cellStyle name="Milliers 2 8 2 2 3 3 2" xfId="32436"/>
    <cellStyle name="Milliers 2 8 2 2 3 3 2 2" xfId="32437"/>
    <cellStyle name="Milliers 2 8 2 2 3 3 3" xfId="32438"/>
    <cellStyle name="Milliers 2 8 2 2 3 4" xfId="32439"/>
    <cellStyle name="Milliers 2 8 2 2 3 4 2" xfId="32440"/>
    <cellStyle name="Milliers 2 8 2 2 3 5" xfId="32441"/>
    <cellStyle name="Milliers 2 8 2 2 4" xfId="32442"/>
    <cellStyle name="Milliers 2 8 2 2 4 2" xfId="32443"/>
    <cellStyle name="Milliers 2 8 2 2 4 2 2" xfId="32444"/>
    <cellStyle name="Milliers 2 8 2 2 4 2 2 2" xfId="32445"/>
    <cellStyle name="Milliers 2 8 2 2 4 2 3" xfId="32446"/>
    <cellStyle name="Milliers 2 8 2 2 4 3" xfId="32447"/>
    <cellStyle name="Milliers 2 8 2 2 4 3 2" xfId="32448"/>
    <cellStyle name="Milliers 2 8 2 2 4 4" xfId="32449"/>
    <cellStyle name="Milliers 2 8 2 2 5" xfId="32450"/>
    <cellStyle name="Milliers 2 8 2 2 5 2" xfId="32451"/>
    <cellStyle name="Milliers 2 8 2 2 5 2 2" xfId="32452"/>
    <cellStyle name="Milliers 2 8 2 2 5 3" xfId="32453"/>
    <cellStyle name="Milliers 2 8 2 2 6" xfId="32454"/>
    <cellStyle name="Milliers 2 8 2 2 6 2" xfId="32455"/>
    <cellStyle name="Milliers 2 8 2 2 7" xfId="32456"/>
    <cellStyle name="Milliers 2 8 2 3" xfId="32457"/>
    <cellStyle name="Milliers 2 8 2 3 2" xfId="32458"/>
    <cellStyle name="Milliers 2 8 2 3 2 2" xfId="32459"/>
    <cellStyle name="Milliers 2 8 2 3 2 2 2" xfId="32460"/>
    <cellStyle name="Milliers 2 8 2 3 2 2 2 2" xfId="32461"/>
    <cellStyle name="Milliers 2 8 2 3 2 2 2 2 2" xfId="32462"/>
    <cellStyle name="Milliers 2 8 2 3 2 2 2 3" xfId="32463"/>
    <cellStyle name="Milliers 2 8 2 3 2 2 3" xfId="32464"/>
    <cellStyle name="Milliers 2 8 2 3 2 2 3 2" xfId="32465"/>
    <cellStyle name="Milliers 2 8 2 3 2 2 4" xfId="32466"/>
    <cellStyle name="Milliers 2 8 2 3 2 3" xfId="32467"/>
    <cellStyle name="Milliers 2 8 2 3 2 3 2" xfId="32468"/>
    <cellStyle name="Milliers 2 8 2 3 2 3 2 2" xfId="32469"/>
    <cellStyle name="Milliers 2 8 2 3 2 3 3" xfId="32470"/>
    <cellStyle name="Milliers 2 8 2 3 2 4" xfId="32471"/>
    <cellStyle name="Milliers 2 8 2 3 2 4 2" xfId="32472"/>
    <cellStyle name="Milliers 2 8 2 3 2 5" xfId="32473"/>
    <cellStyle name="Milliers 2 8 2 3 3" xfId="32474"/>
    <cellStyle name="Milliers 2 8 2 3 3 2" xfId="32475"/>
    <cellStyle name="Milliers 2 8 2 3 3 2 2" xfId="32476"/>
    <cellStyle name="Milliers 2 8 2 3 3 2 2 2" xfId="32477"/>
    <cellStyle name="Milliers 2 8 2 3 3 2 3" xfId="32478"/>
    <cellStyle name="Milliers 2 8 2 3 3 3" xfId="32479"/>
    <cellStyle name="Milliers 2 8 2 3 3 3 2" xfId="32480"/>
    <cellStyle name="Milliers 2 8 2 3 3 4" xfId="32481"/>
    <cellStyle name="Milliers 2 8 2 3 4" xfId="32482"/>
    <cellStyle name="Milliers 2 8 2 3 4 2" xfId="32483"/>
    <cellStyle name="Milliers 2 8 2 3 4 2 2" xfId="32484"/>
    <cellStyle name="Milliers 2 8 2 3 4 3" xfId="32485"/>
    <cellStyle name="Milliers 2 8 2 3 5" xfId="32486"/>
    <cellStyle name="Milliers 2 8 2 3 5 2" xfId="32487"/>
    <cellStyle name="Milliers 2 8 2 3 6" xfId="32488"/>
    <cellStyle name="Milliers 2 8 2 4" xfId="32489"/>
    <cellStyle name="Milliers 2 8 2 4 2" xfId="32490"/>
    <cellStyle name="Milliers 2 8 2 4 2 2" xfId="32491"/>
    <cellStyle name="Milliers 2 8 2 4 2 2 2" xfId="32492"/>
    <cellStyle name="Milliers 2 8 2 4 2 2 2 2" xfId="32493"/>
    <cellStyle name="Milliers 2 8 2 4 2 2 3" xfId="32494"/>
    <cellStyle name="Milliers 2 8 2 4 2 3" xfId="32495"/>
    <cellStyle name="Milliers 2 8 2 4 2 3 2" xfId="32496"/>
    <cellStyle name="Milliers 2 8 2 4 2 4" xfId="32497"/>
    <cellStyle name="Milliers 2 8 2 4 3" xfId="32498"/>
    <cellStyle name="Milliers 2 8 2 4 3 2" xfId="32499"/>
    <cellStyle name="Milliers 2 8 2 4 3 2 2" xfId="32500"/>
    <cellStyle name="Milliers 2 8 2 4 3 3" xfId="32501"/>
    <cellStyle name="Milliers 2 8 2 4 4" xfId="32502"/>
    <cellStyle name="Milliers 2 8 2 4 4 2" xfId="32503"/>
    <cellStyle name="Milliers 2 8 2 4 5" xfId="32504"/>
    <cellStyle name="Milliers 2 8 2 5" xfId="32505"/>
    <cellStyle name="Milliers 2 8 2 5 2" xfId="32506"/>
    <cellStyle name="Milliers 2 8 2 5 2 2" xfId="32507"/>
    <cellStyle name="Milliers 2 8 2 5 2 2 2" xfId="32508"/>
    <cellStyle name="Milliers 2 8 2 5 2 3" xfId="32509"/>
    <cellStyle name="Milliers 2 8 2 5 3" xfId="32510"/>
    <cellStyle name="Milliers 2 8 2 5 3 2" xfId="32511"/>
    <cellStyle name="Milliers 2 8 2 5 4" xfId="32512"/>
    <cellStyle name="Milliers 2 8 2 6" xfId="32513"/>
    <cellStyle name="Milliers 2 8 2 6 2" xfId="32514"/>
    <cellStyle name="Milliers 2 8 2 6 2 2" xfId="32515"/>
    <cellStyle name="Milliers 2 8 2 6 3" xfId="32516"/>
    <cellStyle name="Milliers 2 8 2 7" xfId="32517"/>
    <cellStyle name="Milliers 2 8 2 7 2" xfId="32518"/>
    <cellStyle name="Milliers 2 8 2 8" xfId="32519"/>
    <cellStyle name="Milliers 2 8 3" xfId="32520"/>
    <cellStyle name="Milliers 2 8 3 2" xfId="32521"/>
    <cellStyle name="Milliers 2 8 3 2 2" xfId="32522"/>
    <cellStyle name="Milliers 2 8 3 2 2 2" xfId="32523"/>
    <cellStyle name="Milliers 2 8 3 2 2 2 2" xfId="32524"/>
    <cellStyle name="Milliers 2 8 3 2 2 2 2 2" xfId="32525"/>
    <cellStyle name="Milliers 2 8 3 2 2 2 2 2 2" xfId="32526"/>
    <cellStyle name="Milliers 2 8 3 2 2 2 2 3" xfId="32527"/>
    <cellStyle name="Milliers 2 8 3 2 2 2 3" xfId="32528"/>
    <cellStyle name="Milliers 2 8 3 2 2 2 3 2" xfId="32529"/>
    <cellStyle name="Milliers 2 8 3 2 2 2 4" xfId="32530"/>
    <cellStyle name="Milliers 2 8 3 2 2 3" xfId="32531"/>
    <cellStyle name="Milliers 2 8 3 2 2 3 2" xfId="32532"/>
    <cellStyle name="Milliers 2 8 3 2 2 3 2 2" xfId="32533"/>
    <cellStyle name="Milliers 2 8 3 2 2 3 3" xfId="32534"/>
    <cellStyle name="Milliers 2 8 3 2 2 4" xfId="32535"/>
    <cellStyle name="Milliers 2 8 3 2 2 4 2" xfId="32536"/>
    <cellStyle name="Milliers 2 8 3 2 2 5" xfId="32537"/>
    <cellStyle name="Milliers 2 8 3 2 3" xfId="32538"/>
    <cellStyle name="Milliers 2 8 3 2 3 2" xfId="32539"/>
    <cellStyle name="Milliers 2 8 3 2 3 2 2" xfId="32540"/>
    <cellStyle name="Milliers 2 8 3 2 3 2 2 2" xfId="32541"/>
    <cellStyle name="Milliers 2 8 3 2 3 2 3" xfId="32542"/>
    <cellStyle name="Milliers 2 8 3 2 3 3" xfId="32543"/>
    <cellStyle name="Milliers 2 8 3 2 3 3 2" xfId="32544"/>
    <cellStyle name="Milliers 2 8 3 2 3 4" xfId="32545"/>
    <cellStyle name="Milliers 2 8 3 2 4" xfId="32546"/>
    <cellStyle name="Milliers 2 8 3 2 4 2" xfId="32547"/>
    <cellStyle name="Milliers 2 8 3 2 4 2 2" xfId="32548"/>
    <cellStyle name="Milliers 2 8 3 2 4 3" xfId="32549"/>
    <cellStyle name="Milliers 2 8 3 2 5" xfId="32550"/>
    <cellStyle name="Milliers 2 8 3 2 5 2" xfId="32551"/>
    <cellStyle name="Milliers 2 8 3 2 6" xfId="32552"/>
    <cellStyle name="Milliers 2 8 3 3" xfId="32553"/>
    <cellStyle name="Milliers 2 8 3 3 2" xfId="32554"/>
    <cellStyle name="Milliers 2 8 3 3 2 2" xfId="32555"/>
    <cellStyle name="Milliers 2 8 3 3 2 2 2" xfId="32556"/>
    <cellStyle name="Milliers 2 8 3 3 2 2 2 2" xfId="32557"/>
    <cellStyle name="Milliers 2 8 3 3 2 2 3" xfId="32558"/>
    <cellStyle name="Milliers 2 8 3 3 2 3" xfId="32559"/>
    <cellStyle name="Milliers 2 8 3 3 2 3 2" xfId="32560"/>
    <cellStyle name="Milliers 2 8 3 3 2 4" xfId="32561"/>
    <cellStyle name="Milliers 2 8 3 3 3" xfId="32562"/>
    <cellStyle name="Milliers 2 8 3 3 3 2" xfId="32563"/>
    <cellStyle name="Milliers 2 8 3 3 3 2 2" xfId="32564"/>
    <cellStyle name="Milliers 2 8 3 3 3 3" xfId="32565"/>
    <cellStyle name="Milliers 2 8 3 3 4" xfId="32566"/>
    <cellStyle name="Milliers 2 8 3 3 4 2" xfId="32567"/>
    <cellStyle name="Milliers 2 8 3 3 5" xfId="32568"/>
    <cellStyle name="Milliers 2 8 3 4" xfId="32569"/>
    <cellStyle name="Milliers 2 8 3 4 2" xfId="32570"/>
    <cellStyle name="Milliers 2 8 3 4 2 2" xfId="32571"/>
    <cellStyle name="Milliers 2 8 3 4 2 2 2" xfId="32572"/>
    <cellStyle name="Milliers 2 8 3 4 2 3" xfId="32573"/>
    <cellStyle name="Milliers 2 8 3 4 3" xfId="32574"/>
    <cellStyle name="Milliers 2 8 3 4 3 2" xfId="32575"/>
    <cellStyle name="Milliers 2 8 3 4 4" xfId="32576"/>
    <cellStyle name="Milliers 2 8 3 5" xfId="32577"/>
    <cellStyle name="Milliers 2 8 3 5 2" xfId="32578"/>
    <cellStyle name="Milliers 2 8 3 5 2 2" xfId="32579"/>
    <cellStyle name="Milliers 2 8 3 5 3" xfId="32580"/>
    <cellStyle name="Milliers 2 8 3 6" xfId="32581"/>
    <cellStyle name="Milliers 2 8 3 6 2" xfId="32582"/>
    <cellStyle name="Milliers 2 8 3 7" xfId="32583"/>
    <cellStyle name="Milliers 2 8 4" xfId="32584"/>
    <cellStyle name="Milliers 2 8 4 2" xfId="32585"/>
    <cellStyle name="Milliers 2 8 4 2 2" xfId="32586"/>
    <cellStyle name="Milliers 2 8 4 2 2 2" xfId="32587"/>
    <cellStyle name="Milliers 2 8 4 2 2 2 2" xfId="32588"/>
    <cellStyle name="Milliers 2 8 4 2 2 2 2 2" xfId="32589"/>
    <cellStyle name="Milliers 2 8 4 2 2 2 3" xfId="32590"/>
    <cellStyle name="Milliers 2 8 4 2 2 3" xfId="32591"/>
    <cellStyle name="Milliers 2 8 4 2 2 3 2" xfId="32592"/>
    <cellStyle name="Milliers 2 8 4 2 2 4" xfId="32593"/>
    <cellStyle name="Milliers 2 8 4 2 3" xfId="32594"/>
    <cellStyle name="Milliers 2 8 4 2 3 2" xfId="32595"/>
    <cellStyle name="Milliers 2 8 4 2 3 2 2" xfId="32596"/>
    <cellStyle name="Milliers 2 8 4 2 3 3" xfId="32597"/>
    <cellStyle name="Milliers 2 8 4 2 4" xfId="32598"/>
    <cellStyle name="Milliers 2 8 4 2 4 2" xfId="32599"/>
    <cellStyle name="Milliers 2 8 4 2 5" xfId="32600"/>
    <cellStyle name="Milliers 2 8 4 3" xfId="32601"/>
    <cellStyle name="Milliers 2 8 4 3 2" xfId="32602"/>
    <cellStyle name="Milliers 2 8 4 3 2 2" xfId="32603"/>
    <cellStyle name="Milliers 2 8 4 3 2 2 2" xfId="32604"/>
    <cellStyle name="Milliers 2 8 4 3 2 3" xfId="32605"/>
    <cellStyle name="Milliers 2 8 4 3 3" xfId="32606"/>
    <cellStyle name="Milliers 2 8 4 3 3 2" xfId="32607"/>
    <cellStyle name="Milliers 2 8 4 3 4" xfId="32608"/>
    <cellStyle name="Milliers 2 8 4 4" xfId="32609"/>
    <cellStyle name="Milliers 2 8 4 4 2" xfId="32610"/>
    <cellStyle name="Milliers 2 8 4 4 2 2" xfId="32611"/>
    <cellStyle name="Milliers 2 8 4 4 3" xfId="32612"/>
    <cellStyle name="Milliers 2 8 4 5" xfId="32613"/>
    <cellStyle name="Milliers 2 8 4 5 2" xfId="32614"/>
    <cellStyle name="Milliers 2 8 4 6" xfId="32615"/>
    <cellStyle name="Milliers 2 8 5" xfId="32616"/>
    <cellStyle name="Milliers 2 8 5 2" xfId="32617"/>
    <cellStyle name="Milliers 2 8 5 2 2" xfId="32618"/>
    <cellStyle name="Milliers 2 8 5 2 2 2" xfId="32619"/>
    <cellStyle name="Milliers 2 8 5 2 2 2 2" xfId="32620"/>
    <cellStyle name="Milliers 2 8 5 2 2 3" xfId="32621"/>
    <cellStyle name="Milliers 2 8 5 2 3" xfId="32622"/>
    <cellStyle name="Milliers 2 8 5 2 3 2" xfId="32623"/>
    <cellStyle name="Milliers 2 8 5 2 4" xfId="32624"/>
    <cellStyle name="Milliers 2 8 5 3" xfId="32625"/>
    <cellStyle name="Milliers 2 8 5 3 2" xfId="32626"/>
    <cellStyle name="Milliers 2 8 5 3 2 2" xfId="32627"/>
    <cellStyle name="Milliers 2 8 5 3 3" xfId="32628"/>
    <cellStyle name="Milliers 2 8 5 4" xfId="32629"/>
    <cellStyle name="Milliers 2 8 5 4 2" xfId="32630"/>
    <cellStyle name="Milliers 2 8 5 5" xfId="32631"/>
    <cellStyle name="Milliers 2 8 6" xfId="32632"/>
    <cellStyle name="Milliers 2 8 6 2" xfId="32633"/>
    <cellStyle name="Milliers 2 8 6 2 2" xfId="32634"/>
    <cellStyle name="Milliers 2 8 6 2 2 2" xfId="32635"/>
    <cellStyle name="Milliers 2 8 6 2 3" xfId="32636"/>
    <cellStyle name="Milliers 2 8 6 3" xfId="32637"/>
    <cellStyle name="Milliers 2 8 6 3 2" xfId="32638"/>
    <cellStyle name="Milliers 2 8 6 4" xfId="32639"/>
    <cellStyle name="Milliers 2 8 7" xfId="32640"/>
    <cellStyle name="Milliers 2 8 7 2" xfId="32641"/>
    <cellStyle name="Milliers 2 8 7 2 2" xfId="32642"/>
    <cellStyle name="Milliers 2 8 7 3" xfId="32643"/>
    <cellStyle name="Milliers 2 8 8" xfId="32644"/>
    <cellStyle name="Milliers 2 8 8 2" xfId="32645"/>
    <cellStyle name="Milliers 2 8 9" xfId="32646"/>
    <cellStyle name="Milliers 2 9" xfId="32647"/>
    <cellStyle name="Milliers 2 9 2" xfId="32648"/>
    <cellStyle name="Milliers 2 9 2 2" xfId="32649"/>
    <cellStyle name="Milliers 2 9 2 2 2" xfId="32650"/>
    <cellStyle name="Milliers 2 9 2 2 2 2" xfId="32651"/>
    <cellStyle name="Milliers 2 9 2 2 2 2 2" xfId="32652"/>
    <cellStyle name="Milliers 2 9 2 2 2 2 2 2" xfId="32653"/>
    <cellStyle name="Milliers 2 9 2 2 2 2 2 2 2" xfId="32654"/>
    <cellStyle name="Milliers 2 9 2 2 2 2 2 3" xfId="32655"/>
    <cellStyle name="Milliers 2 9 2 2 2 2 3" xfId="32656"/>
    <cellStyle name="Milliers 2 9 2 2 2 2 3 2" xfId="32657"/>
    <cellStyle name="Milliers 2 9 2 2 2 2 4" xfId="32658"/>
    <cellStyle name="Milliers 2 9 2 2 2 3" xfId="32659"/>
    <cellStyle name="Milliers 2 9 2 2 2 3 2" xfId="32660"/>
    <cellStyle name="Milliers 2 9 2 2 2 3 2 2" xfId="32661"/>
    <cellStyle name="Milliers 2 9 2 2 2 3 3" xfId="32662"/>
    <cellStyle name="Milliers 2 9 2 2 2 4" xfId="32663"/>
    <cellStyle name="Milliers 2 9 2 2 2 4 2" xfId="32664"/>
    <cellStyle name="Milliers 2 9 2 2 2 5" xfId="32665"/>
    <cellStyle name="Milliers 2 9 2 2 3" xfId="32666"/>
    <cellStyle name="Milliers 2 9 2 2 3 2" xfId="32667"/>
    <cellStyle name="Milliers 2 9 2 2 3 2 2" xfId="32668"/>
    <cellStyle name="Milliers 2 9 2 2 3 2 2 2" xfId="32669"/>
    <cellStyle name="Milliers 2 9 2 2 3 2 3" xfId="32670"/>
    <cellStyle name="Milliers 2 9 2 2 3 3" xfId="32671"/>
    <cellStyle name="Milliers 2 9 2 2 3 3 2" xfId="32672"/>
    <cellStyle name="Milliers 2 9 2 2 3 4" xfId="32673"/>
    <cellStyle name="Milliers 2 9 2 2 4" xfId="32674"/>
    <cellStyle name="Milliers 2 9 2 2 4 2" xfId="32675"/>
    <cellStyle name="Milliers 2 9 2 2 4 2 2" xfId="32676"/>
    <cellStyle name="Milliers 2 9 2 2 4 3" xfId="32677"/>
    <cellStyle name="Milliers 2 9 2 2 5" xfId="32678"/>
    <cellStyle name="Milliers 2 9 2 2 5 2" xfId="32679"/>
    <cellStyle name="Milliers 2 9 2 2 6" xfId="32680"/>
    <cellStyle name="Milliers 2 9 2 3" xfId="32681"/>
    <cellStyle name="Milliers 2 9 2 3 2" xfId="32682"/>
    <cellStyle name="Milliers 2 9 2 3 2 2" xfId="32683"/>
    <cellStyle name="Milliers 2 9 2 3 2 2 2" xfId="32684"/>
    <cellStyle name="Milliers 2 9 2 3 2 2 2 2" xfId="32685"/>
    <cellStyle name="Milliers 2 9 2 3 2 2 3" xfId="32686"/>
    <cellStyle name="Milliers 2 9 2 3 2 3" xfId="32687"/>
    <cellStyle name="Milliers 2 9 2 3 2 3 2" xfId="32688"/>
    <cellStyle name="Milliers 2 9 2 3 2 4" xfId="32689"/>
    <cellStyle name="Milliers 2 9 2 3 3" xfId="32690"/>
    <cellStyle name="Milliers 2 9 2 3 3 2" xfId="32691"/>
    <cellStyle name="Milliers 2 9 2 3 3 2 2" xfId="32692"/>
    <cellStyle name="Milliers 2 9 2 3 3 3" xfId="32693"/>
    <cellStyle name="Milliers 2 9 2 3 4" xfId="32694"/>
    <cellStyle name="Milliers 2 9 2 3 4 2" xfId="32695"/>
    <cellStyle name="Milliers 2 9 2 3 5" xfId="32696"/>
    <cellStyle name="Milliers 2 9 2 4" xfId="32697"/>
    <cellStyle name="Milliers 2 9 2 4 2" xfId="32698"/>
    <cellStyle name="Milliers 2 9 2 4 2 2" xfId="32699"/>
    <cellStyle name="Milliers 2 9 2 4 2 2 2" xfId="32700"/>
    <cellStyle name="Milliers 2 9 2 4 2 3" xfId="32701"/>
    <cellStyle name="Milliers 2 9 2 4 3" xfId="32702"/>
    <cellStyle name="Milliers 2 9 2 4 3 2" xfId="32703"/>
    <cellStyle name="Milliers 2 9 2 4 4" xfId="32704"/>
    <cellStyle name="Milliers 2 9 2 5" xfId="32705"/>
    <cellStyle name="Milliers 2 9 2 5 2" xfId="32706"/>
    <cellStyle name="Milliers 2 9 2 5 2 2" xfId="32707"/>
    <cellStyle name="Milliers 2 9 2 5 3" xfId="32708"/>
    <cellStyle name="Milliers 2 9 2 6" xfId="32709"/>
    <cellStyle name="Milliers 2 9 2 6 2" xfId="32710"/>
    <cellStyle name="Milliers 2 9 2 7" xfId="32711"/>
    <cellStyle name="Milliers 2 9 3" xfId="32712"/>
    <cellStyle name="Milliers 2 9 3 2" xfId="32713"/>
    <cellStyle name="Milliers 2 9 3 2 2" xfId="32714"/>
    <cellStyle name="Milliers 2 9 3 2 2 2" xfId="32715"/>
    <cellStyle name="Milliers 2 9 3 2 2 2 2" xfId="32716"/>
    <cellStyle name="Milliers 2 9 3 2 2 2 2 2" xfId="32717"/>
    <cellStyle name="Milliers 2 9 3 2 2 2 3" xfId="32718"/>
    <cellStyle name="Milliers 2 9 3 2 2 3" xfId="32719"/>
    <cellStyle name="Milliers 2 9 3 2 2 3 2" xfId="32720"/>
    <cellStyle name="Milliers 2 9 3 2 2 4" xfId="32721"/>
    <cellStyle name="Milliers 2 9 3 2 3" xfId="32722"/>
    <cellStyle name="Milliers 2 9 3 2 3 2" xfId="32723"/>
    <cellStyle name="Milliers 2 9 3 2 3 2 2" xfId="32724"/>
    <cellStyle name="Milliers 2 9 3 2 3 3" xfId="32725"/>
    <cellStyle name="Milliers 2 9 3 2 4" xfId="32726"/>
    <cellStyle name="Milliers 2 9 3 2 4 2" xfId="32727"/>
    <cellStyle name="Milliers 2 9 3 2 5" xfId="32728"/>
    <cellStyle name="Milliers 2 9 3 3" xfId="32729"/>
    <cellStyle name="Milliers 2 9 3 3 2" xfId="32730"/>
    <cellStyle name="Milliers 2 9 3 3 2 2" xfId="32731"/>
    <cellStyle name="Milliers 2 9 3 3 2 2 2" xfId="32732"/>
    <cellStyle name="Milliers 2 9 3 3 2 3" xfId="32733"/>
    <cellStyle name="Milliers 2 9 3 3 3" xfId="32734"/>
    <cellStyle name="Milliers 2 9 3 3 3 2" xfId="32735"/>
    <cellStyle name="Milliers 2 9 3 3 4" xfId="32736"/>
    <cellStyle name="Milliers 2 9 3 4" xfId="32737"/>
    <cellStyle name="Milliers 2 9 3 4 2" xfId="32738"/>
    <cellStyle name="Milliers 2 9 3 4 2 2" xfId="32739"/>
    <cellStyle name="Milliers 2 9 3 4 3" xfId="32740"/>
    <cellStyle name="Milliers 2 9 3 5" xfId="32741"/>
    <cellStyle name="Milliers 2 9 3 5 2" xfId="32742"/>
    <cellStyle name="Milliers 2 9 3 6" xfId="32743"/>
    <cellStyle name="Milliers 2 9 4" xfId="32744"/>
    <cellStyle name="Milliers 2 9 4 2" xfId="32745"/>
    <cellStyle name="Milliers 2 9 4 2 2" xfId="32746"/>
    <cellStyle name="Milliers 2 9 4 2 2 2" xfId="32747"/>
    <cellStyle name="Milliers 2 9 4 2 2 2 2" xfId="32748"/>
    <cellStyle name="Milliers 2 9 4 2 2 3" xfId="32749"/>
    <cellStyle name="Milliers 2 9 4 2 3" xfId="32750"/>
    <cellStyle name="Milliers 2 9 4 2 3 2" xfId="32751"/>
    <cellStyle name="Milliers 2 9 4 2 4" xfId="32752"/>
    <cellStyle name="Milliers 2 9 4 3" xfId="32753"/>
    <cellStyle name="Milliers 2 9 4 3 2" xfId="32754"/>
    <cellStyle name="Milliers 2 9 4 3 2 2" xfId="32755"/>
    <cellStyle name="Milliers 2 9 4 3 3" xfId="32756"/>
    <cellStyle name="Milliers 2 9 4 4" xfId="32757"/>
    <cellStyle name="Milliers 2 9 4 4 2" xfId="32758"/>
    <cellStyle name="Milliers 2 9 4 5" xfId="32759"/>
    <cellStyle name="Milliers 2 9 5" xfId="32760"/>
    <cellStyle name="Milliers 2 9 5 2" xfId="32761"/>
    <cellStyle name="Milliers 2 9 5 2 2" xfId="32762"/>
    <cellStyle name="Milliers 2 9 5 2 2 2" xfId="32763"/>
    <cellStyle name="Milliers 2 9 5 2 3" xfId="32764"/>
    <cellStyle name="Milliers 2 9 5 3" xfId="32765"/>
    <cellStyle name="Milliers 2 9 5 3 2" xfId="32766"/>
    <cellStyle name="Milliers 2 9 5 4" xfId="32767"/>
    <cellStyle name="Milliers 2 9 6" xfId="32768"/>
    <cellStyle name="Milliers 2 9 6 2" xfId="32769"/>
    <cellStyle name="Milliers 2 9 6 2 2" xfId="32770"/>
    <cellStyle name="Milliers 2 9 6 3" xfId="32771"/>
    <cellStyle name="Milliers 2 9 7" xfId="32772"/>
    <cellStyle name="Milliers 2 9 7 2" xfId="32773"/>
    <cellStyle name="Milliers 2 9 8" xfId="32774"/>
    <cellStyle name="Milliers 3" xfId="32775"/>
    <cellStyle name="Milliers 3 2" xfId="32776"/>
    <cellStyle name="Milliers 3 2 2" xfId="32777"/>
    <cellStyle name="Milliers 3 2 2 2" xfId="32778"/>
    <cellStyle name="Milliers 3 2 2 2 2" xfId="32779"/>
    <cellStyle name="Milliers 3 2 2 2 2 2" xfId="32780"/>
    <cellStyle name="Milliers 3 2 2 2 2 2 2" xfId="32781"/>
    <cellStyle name="Milliers 3 2 2 2 2 2 2 2" xfId="32782"/>
    <cellStyle name="Milliers 3 2 2 2 2 2 3" xfId="32783"/>
    <cellStyle name="Milliers 3 2 2 2 2 3" xfId="32784"/>
    <cellStyle name="Milliers 3 2 2 2 2 3 2" xfId="32785"/>
    <cellStyle name="Milliers 3 2 2 2 2 4" xfId="32786"/>
    <cellStyle name="Milliers 3 2 2 2 3" xfId="32787"/>
    <cellStyle name="Milliers 3 2 2 2 3 2" xfId="32788"/>
    <cellStyle name="Milliers 3 2 2 2 3 2 2" xfId="32789"/>
    <cellStyle name="Milliers 3 2 2 2 3 3" xfId="32790"/>
    <cellStyle name="Milliers 3 2 2 2 4" xfId="32791"/>
    <cellStyle name="Milliers 3 2 2 2 4 2" xfId="32792"/>
    <cellStyle name="Milliers 3 2 2 2 5" xfId="32793"/>
    <cellStyle name="Milliers 3 2 2 3" xfId="32794"/>
    <cellStyle name="Milliers 3 2 2 3 2" xfId="32795"/>
    <cellStyle name="Milliers 3 2 2 3 2 2" xfId="32796"/>
    <cellStyle name="Milliers 3 2 2 3 2 2 2" xfId="32797"/>
    <cellStyle name="Milliers 3 2 2 3 2 3" xfId="32798"/>
    <cellStyle name="Milliers 3 2 2 3 3" xfId="32799"/>
    <cellStyle name="Milliers 3 2 2 3 3 2" xfId="32800"/>
    <cellStyle name="Milliers 3 2 2 3 4" xfId="32801"/>
    <cellStyle name="Milliers 3 2 2 4" xfId="32802"/>
    <cellStyle name="Milliers 3 2 2 4 2" xfId="32803"/>
    <cellStyle name="Milliers 3 2 2 4 2 2" xfId="32804"/>
    <cellStyle name="Milliers 3 2 2 4 3" xfId="32805"/>
    <cellStyle name="Milliers 3 2 2 5" xfId="32806"/>
    <cellStyle name="Milliers 3 2 2 5 2" xfId="32807"/>
    <cellStyle name="Milliers 3 2 2 6" xfId="32808"/>
    <cellStyle name="Milliers 3 2 3" xfId="32809"/>
    <cellStyle name="Milliers 3 2 3 2" xfId="32810"/>
    <cellStyle name="Milliers 3 2 3 2 2" xfId="32811"/>
    <cellStyle name="Milliers 3 2 3 2 2 2" xfId="32812"/>
    <cellStyle name="Milliers 3 2 3 2 2 2 2" xfId="32813"/>
    <cellStyle name="Milliers 3 2 3 2 2 3" xfId="32814"/>
    <cellStyle name="Milliers 3 2 3 2 3" xfId="32815"/>
    <cellStyle name="Milliers 3 2 3 2 3 2" xfId="32816"/>
    <cellStyle name="Milliers 3 2 3 2 4" xfId="32817"/>
    <cellStyle name="Milliers 3 2 3 3" xfId="32818"/>
    <cellStyle name="Milliers 3 2 3 3 2" xfId="32819"/>
    <cellStyle name="Milliers 3 2 3 3 2 2" xfId="32820"/>
    <cellStyle name="Milliers 3 2 3 3 3" xfId="32821"/>
    <cellStyle name="Milliers 3 2 3 4" xfId="32822"/>
    <cellStyle name="Milliers 3 2 3 4 2" xfId="32823"/>
    <cellStyle name="Milliers 3 2 3 5" xfId="32824"/>
    <cellStyle name="Milliers 3 2 4" xfId="32825"/>
    <cellStyle name="Milliers 3 2 4 2" xfId="32826"/>
    <cellStyle name="Milliers 3 2 4 2 2" xfId="32827"/>
    <cellStyle name="Milliers 3 2 4 2 2 2" xfId="32828"/>
    <cellStyle name="Milliers 3 2 4 2 3" xfId="32829"/>
    <cellStyle name="Milliers 3 2 4 3" xfId="32830"/>
    <cellStyle name="Milliers 3 2 4 3 2" xfId="32831"/>
    <cellStyle name="Milliers 3 2 4 4" xfId="32832"/>
    <cellStyle name="Milliers 3 2 5" xfId="32833"/>
    <cellStyle name="Milliers 3 2 5 2" xfId="32834"/>
    <cellStyle name="Milliers 3 2 5 2 2" xfId="32835"/>
    <cellStyle name="Milliers 3 2 5 3" xfId="32836"/>
    <cellStyle name="Milliers 3 2 6" xfId="32837"/>
    <cellStyle name="Milliers 3 2 6 2" xfId="32838"/>
    <cellStyle name="Milliers 3 2 7" xfId="32839"/>
    <cellStyle name="Milliers 3 3" xfId="32840"/>
    <cellStyle name="Milliers 3 3 2" xfId="32841"/>
    <cellStyle name="Milliers 3 3 2 2" xfId="32842"/>
    <cellStyle name="Milliers 3 3 2 2 2" xfId="32843"/>
    <cellStyle name="Milliers 3 3 2 2 2 2" xfId="32844"/>
    <cellStyle name="Milliers 3 3 2 2 2 2 2" xfId="32845"/>
    <cellStyle name="Milliers 3 3 2 2 2 3" xfId="32846"/>
    <cellStyle name="Milliers 3 3 2 2 3" xfId="32847"/>
    <cellStyle name="Milliers 3 3 2 2 3 2" xfId="32848"/>
    <cellStyle name="Milliers 3 3 2 2 4" xfId="32849"/>
    <cellStyle name="Milliers 3 3 2 3" xfId="32850"/>
    <cellStyle name="Milliers 3 3 2 3 2" xfId="32851"/>
    <cellStyle name="Milliers 3 3 2 3 2 2" xfId="32852"/>
    <cellStyle name="Milliers 3 3 2 3 3" xfId="32853"/>
    <cellStyle name="Milliers 3 3 2 4" xfId="32854"/>
    <cellStyle name="Milliers 3 3 2 4 2" xfId="32855"/>
    <cellStyle name="Milliers 3 3 2 5" xfId="32856"/>
    <cellStyle name="Milliers 3 3 3" xfId="32857"/>
    <cellStyle name="Milliers 3 3 3 2" xfId="32858"/>
    <cellStyle name="Milliers 3 3 3 2 2" xfId="32859"/>
    <cellStyle name="Milliers 3 3 3 2 2 2" xfId="32860"/>
    <cellStyle name="Milliers 3 3 3 2 3" xfId="32861"/>
    <cellStyle name="Milliers 3 3 3 3" xfId="32862"/>
    <cellStyle name="Milliers 3 3 3 3 2" xfId="32863"/>
    <cellStyle name="Milliers 3 3 3 4" xfId="32864"/>
    <cellStyle name="Milliers 3 3 4" xfId="32865"/>
    <cellStyle name="Milliers 3 3 4 2" xfId="32866"/>
    <cellStyle name="Milliers 3 3 4 2 2" xfId="32867"/>
    <cellStyle name="Milliers 3 3 4 3" xfId="32868"/>
    <cellStyle name="Milliers 3 3 5" xfId="32869"/>
    <cellStyle name="Milliers 3 3 5 2" xfId="32870"/>
    <cellStyle name="Milliers 3 3 6" xfId="32871"/>
    <cellStyle name="Milliers 3 4" xfId="32872"/>
    <cellStyle name="Milliers 3 4 2" xfId="32873"/>
    <cellStyle name="Milliers 3 4 2 2" xfId="32874"/>
    <cellStyle name="Milliers 3 4 2 2 2" xfId="32875"/>
    <cellStyle name="Milliers 3 4 2 2 2 2" xfId="32876"/>
    <cellStyle name="Milliers 3 4 2 2 3" xfId="32877"/>
    <cellStyle name="Milliers 3 4 2 3" xfId="32878"/>
    <cellStyle name="Milliers 3 4 2 3 2" xfId="32879"/>
    <cellStyle name="Milliers 3 4 2 4" xfId="32880"/>
    <cellStyle name="Milliers 3 4 3" xfId="32881"/>
    <cellStyle name="Milliers 3 4 3 2" xfId="32882"/>
    <cellStyle name="Milliers 3 4 3 2 2" xfId="32883"/>
    <cellStyle name="Milliers 3 4 3 3" xfId="32884"/>
    <cellStyle name="Milliers 3 4 4" xfId="32885"/>
    <cellStyle name="Milliers 3 4 4 2" xfId="32886"/>
    <cellStyle name="Milliers 3 4 5" xfId="32887"/>
    <cellStyle name="Milliers 3 5" xfId="32888"/>
    <cellStyle name="Milliers 3 5 2" xfId="32889"/>
    <cellStyle name="Milliers 3 5 2 2" xfId="32890"/>
    <cellStyle name="Milliers 3 5 2 2 2" xfId="32891"/>
    <cellStyle name="Milliers 3 5 2 3" xfId="32892"/>
    <cellStyle name="Milliers 3 5 3" xfId="32893"/>
    <cellStyle name="Milliers 3 5 3 2" xfId="32894"/>
    <cellStyle name="Milliers 3 5 4" xfId="32895"/>
    <cellStyle name="Milliers 3 6" xfId="32896"/>
    <cellStyle name="Milliers 3 6 2" xfId="32897"/>
    <cellStyle name="Milliers 3 6 2 2" xfId="32898"/>
    <cellStyle name="Milliers 3 6 3" xfId="32899"/>
    <cellStyle name="Milliers 3 7" xfId="32900"/>
    <cellStyle name="Milliers 3 7 2" xfId="32901"/>
    <cellStyle name="Milliers 3 8" xfId="32902"/>
    <cellStyle name="Monétaire 2" xfId="32903"/>
    <cellStyle name="Normal 2" xfId="32904"/>
    <cellStyle name="Normal 2 2" xfId="32905"/>
    <cellStyle name="Normal 2 3" xfId="32906"/>
    <cellStyle name="Normal 3" xfId="32907"/>
    <cellStyle name="Normal 4" xfId="3290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hp</author>
  </authors>
  <commentList>
    <comment ref="AF536" authorId="0" shapeId="0">
      <text>
        <t xml:space="preserve">
Appareillage KOUROUS DIAMOND</t>
      </text>
    </comment>
    <comment ref="AF542" authorId="0" shapeId="0">
      <text>
        <t xml:space="preserve">
Appareillage JUILIETA</t>
      </text>
    </comment>
    <comment ref="BV542" authorId="0" shapeId="0">
      <text>
        <t xml:space="preserve">
3 HEURES</t>
      </text>
    </comment>
    <comment ref="AN544" authorId="0" shapeId="0">
      <text>
        <t xml:space="preserve">
Selon la marée</t>
      </text>
    </comment>
    <comment ref="AF556" authorId="0" shapeId="0">
      <text>
        <t>hp:
Shifting LADY JASMINE</t>
      </text>
    </comment>
    <comment ref="AF558" authorId="0" shapeId="0">
      <text>
        <t xml:space="preserve">
Appareillage BARBRO</t>
      </text>
    </comment>
    <comment ref="AF560" authorId="0" shapeId="0">
      <text>
        <t xml:space="preserve">
Shifting FULDABORG</t>
      </text>
    </comment>
    <comment ref="AF563" authorId="0" shapeId="0">
      <text>
        <t xml:space="preserve">
Appareillage VERTOM JOSE</t>
      </text>
    </comment>
    <comment ref="AF569" authorId="0" shapeId="0">
      <text>
        <t>hp:
Shifting BUTINAH</t>
      </text>
    </comment>
    <comment ref="AF572" authorId="0" shapeId="0">
      <text>
        <t>hp:
Appareillage KAMARI</t>
      </text>
    </comment>
    <comment ref="AF574" authorId="0" shapeId="0">
      <text>
        <t>hp:
Dès arrivée</t>
      </text>
    </comment>
  </commentList>
</comments>
</file>

<file path=xl/comments/comment2.xml><?xml version="1.0" encoding="utf-8"?>
<comments xmlns="http://schemas.openxmlformats.org/spreadsheetml/2006/main">
  <authors>
    <author>hp</author>
  </authors>
  <commentList>
    <comment ref="Z17" authorId="0" shapeId="0">
      <text>
        <t>hp:
Appareillage KALLO (NH3)</t>
      </text>
    </comment>
  </commentList>
</comments>
</file>

<file path=xl/comments/comment3.xml><?xml version="1.0" encoding="utf-8"?>
<comments xmlns="http://schemas.openxmlformats.org/spreadsheetml/2006/main">
  <authors>
    <author>hp</author>
  </authors>
  <commentList>
    <comment ref="X43" authorId="0" shapeId="0">
      <text>
        <t xml:space="preserve">
Shifting MANASSA QUEEN</t>
      </text>
    </comment>
    <comment ref="X52" authorId="0" shapeId="0">
      <text>
        <t>hp:
Appareillage CHEMROAD WING</t>
      </text>
    </comment>
    <comment ref="X55" authorId="0" shapeId="0">
      <text>
        <t xml:space="preserve">
Appareillage GINGA COUGAR (ACP cabotage)</t>
      </text>
    </comment>
    <comment ref="X57" authorId="0" shapeId="0">
      <text>
        <t xml:space="preserve">
Shifting BERMEO(engrais)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582"/>
  <sheetViews>
    <sheetView zoomScale="90" zoomScaleNormal="90" workbookViewId="0">
      <pane xSplit="2" ySplit="1" topLeftCell="E549" activePane="bottomRight" state="frozen"/>
      <selection pane="topRight" activeCell="B1" sqref="B1"/>
      <selection pane="bottomLeft" activeCell="A2" sqref="A2"/>
      <selection pane="bottomRight" activeCell="B577" sqref="B577"/>
    </sheetView>
  </sheetViews>
  <sheetFormatPr baseColWidth="10" defaultRowHeight="14.4"/>
  <cols>
    <col width="5.44140625" customWidth="1" style="70" min="1" max="1"/>
    <col width="21" customWidth="1" style="70" min="2" max="2"/>
    <col width="13.77734375" customWidth="1" style="70" min="3" max="3"/>
    <col width="10.77734375" customWidth="1" style="70" min="4" max="5"/>
    <col width="10.21875" customWidth="1" style="231" min="6" max="6"/>
    <col width="4.21875" customWidth="1" style="70" min="7" max="7"/>
    <col width="10.77734375" customWidth="1" style="70" min="8" max="8"/>
    <col width="30" customWidth="1" style="234" min="9" max="9"/>
    <col width="13.21875" customWidth="1" style="70" min="10" max="10"/>
    <col hidden="1" width="13.21875" customWidth="1" style="70" min="11" max="15"/>
    <col hidden="1" width="22.21875" customWidth="1" style="70" min="16" max="16"/>
    <col width="19.44140625" customWidth="1" style="70" min="17" max="17"/>
    <col width="20" customWidth="1" style="70" min="18" max="18"/>
    <col width="9" customWidth="1" style="234" min="19" max="19"/>
    <col width="14.77734375" customWidth="1" style="70" min="20" max="20"/>
    <col width="10.77734375" customWidth="1" style="70" min="21" max="22"/>
    <col hidden="1" width="11.77734375" customWidth="1" style="70" min="23" max="23"/>
    <col width="6" customWidth="1" style="70" min="24" max="24"/>
    <col width="19.44140625" customWidth="1" style="70" min="25" max="25"/>
    <col hidden="1" width="8.5546875" customWidth="1" style="70" min="26" max="26"/>
    <col width="14.5546875" customWidth="1" style="70" min="27" max="27"/>
    <col width="15.44140625" customWidth="1" style="70" min="28" max="28"/>
    <col width="12" customWidth="1" style="70" min="29" max="29"/>
    <col width="11.77734375" customWidth="1" style="70" min="30" max="30"/>
    <col width="14.44140625" customWidth="1" style="70" min="31" max="31"/>
    <col width="15.77734375" customWidth="1" style="70" min="32" max="32"/>
    <col width="15" customWidth="1" style="70" min="33" max="34"/>
    <col width="14.21875" customWidth="1" style="70" min="35" max="35"/>
    <col width="15.5546875" customWidth="1" style="70" min="36" max="36"/>
    <col width="16.21875" customWidth="1" style="70" min="37" max="37"/>
    <col width="14.21875" customWidth="1" style="70" min="38" max="38"/>
    <col width="15.44140625" customWidth="1" style="70" min="39" max="39"/>
    <col width="14.21875" customWidth="1" style="70" min="40" max="41"/>
    <col width="10.77734375" customWidth="1" style="70" min="42" max="69"/>
    <col width="18.77734375" customWidth="1" style="70" min="70" max="70"/>
    <col width="74.77734375" customWidth="1" style="70" min="71" max="71"/>
    <col width="7.21875" customWidth="1" style="70" min="72" max="72"/>
    <col width="20.5546875" customWidth="1" style="70" min="73" max="73"/>
    <col width="33.77734375" customWidth="1" style="70" min="74" max="74"/>
    <col width="10.77734375" customWidth="1" style="70" min="75" max="82"/>
    <col width="13.77734375" customWidth="1" style="70" min="83" max="83"/>
    <col width="12.44140625" bestFit="1" customWidth="1" style="70" min="84" max="84"/>
  </cols>
  <sheetData>
    <row r="1" ht="54" customFormat="1" customHeight="1" s="13">
      <c r="A1" s="1" t="inlineStr">
        <is>
          <t>N</t>
        </is>
      </c>
      <c r="B1" s="1" t="inlineStr">
        <is>
          <t>Navires</t>
        </is>
      </c>
      <c r="C1" s="2" t="inlineStr">
        <is>
          <t>Date BL</t>
        </is>
      </c>
      <c r="D1" s="2" t="inlineStr">
        <is>
          <t>Tonnage
B/L</t>
        </is>
      </c>
      <c r="E1" s="2" t="inlineStr">
        <is>
          <t>Tonnage total   b/l</t>
        </is>
      </c>
      <c r="F1" s="2" t="inlineStr">
        <is>
          <t>Facturation</t>
        </is>
      </c>
      <c r="G1" s="2" t="inlineStr">
        <is>
          <t>Nombre de qualité</t>
        </is>
      </c>
      <c r="H1" s="2" t="inlineStr">
        <is>
          <t>Famille de qualité</t>
        </is>
      </c>
      <c r="I1" s="2" t="inlineStr">
        <is>
          <t>Qualité</t>
        </is>
      </c>
      <c r="J1" s="2" t="inlineStr">
        <is>
          <t>Incoterm</t>
        </is>
      </c>
      <c r="K1" s="3" t="inlineStr">
        <is>
          <t>P.U $</t>
        </is>
      </c>
      <c r="L1" s="312" t="inlineStr">
        <is>
          <t>VALEUR $</t>
        </is>
      </c>
      <c r="M1" s="2" t="inlineStr">
        <is>
          <t>COURS DH</t>
        </is>
      </c>
      <c r="N1" s="312" t="inlineStr">
        <is>
          <t>VALEUR DH</t>
        </is>
      </c>
      <c r="O1" s="2" t="inlineStr">
        <is>
          <t>DUM INITIAL</t>
        </is>
      </c>
      <c r="P1" s="2" t="inlineStr">
        <is>
          <t>CLIENT</t>
        </is>
      </c>
      <c r="Q1" s="2" t="inlineStr">
        <is>
          <t xml:space="preserve">REGION </t>
        </is>
      </c>
      <c r="R1" s="2" t="inlineStr">
        <is>
          <t>DESTINATION</t>
        </is>
      </c>
      <c r="S1" s="2" t="inlineStr">
        <is>
          <t>SURVEILLANT client</t>
        </is>
      </c>
      <c r="T1" s="2" t="inlineStr">
        <is>
          <t>surveillant interne</t>
        </is>
      </c>
      <c r="U1" s="2" t="inlineStr">
        <is>
          <t>LOA</t>
        </is>
      </c>
      <c r="V1" s="2" t="inlineStr">
        <is>
          <t>Type</t>
        </is>
      </c>
      <c r="W1" s="2" t="inlineStr">
        <is>
          <t xml:space="preserve">Armateur </t>
        </is>
      </c>
      <c r="X1" s="2" t="inlineStr">
        <is>
          <t>Catégorie navire</t>
        </is>
      </c>
      <c r="Y1" s="2" t="inlineStr">
        <is>
          <t xml:space="preserve">Quai </t>
        </is>
      </c>
      <c r="Z1" s="313" t="inlineStr">
        <is>
          <t>TONNAGE
1 bascule</t>
        </is>
      </c>
      <c r="AA1" s="314" t="inlineStr">
        <is>
          <t>NOR RECU</t>
        </is>
      </c>
      <c r="AB1" s="314" t="inlineStr">
        <is>
          <t>NOR ACCEPTEE</t>
        </is>
      </c>
      <c r="AC1" s="2" t="inlineStr">
        <is>
          <t>DEBUT 
PLANCHE</t>
        </is>
      </c>
      <c r="AD1" s="2" t="inlineStr">
        <is>
          <t>FIN 
PLANCHE</t>
        </is>
      </c>
      <c r="AE1" s="2" t="inlineStr">
        <is>
          <t>ARRIVEE</t>
        </is>
      </c>
      <c r="AF1" s="2" t="inlineStr">
        <is>
          <t>QUAI LIBRE
DISPONIBLE</t>
        </is>
      </c>
      <c r="AG1" s="2" t="inlineStr">
        <is>
          <t>ACCOSTAGE</t>
        </is>
      </c>
      <c r="AH1" s="2" t="inlineStr">
        <is>
          <t>POSE 
PASSERELLE</t>
        </is>
      </c>
      <c r="AI1" s="2" t="inlineStr">
        <is>
          <t>ORDRE</t>
        </is>
      </c>
      <c r="AJ1" s="2" t="inlineStr">
        <is>
          <t>DEBUT</t>
        </is>
      </c>
      <c r="AK1" s="1" t="inlineStr">
        <is>
          <t>FIN</t>
        </is>
      </c>
      <c r="AL1" s="6" t="inlineStr">
        <is>
          <t>Chiffre
communiqué</t>
        </is>
      </c>
      <c r="AM1" s="6" t="inlineStr">
        <is>
          <t>Documents 
à bord</t>
        </is>
      </c>
      <c r="AN1" s="6" t="inlineStr">
        <is>
          <t>Notice pilote</t>
        </is>
      </c>
      <c r="AO1" s="6" t="inlineStr">
        <is>
          <t>Appareillage</t>
        </is>
      </c>
      <c r="AP1" s="7" t="inlineStr">
        <is>
          <t>ACCOSTAGE-QUAI LIBRE</t>
        </is>
      </c>
      <c r="AQ1" s="7" t="inlineStr">
        <is>
          <t>Accostage - arrivée</t>
        </is>
      </c>
      <c r="AR1" s="7" t="inlineStr">
        <is>
          <t>P. passerelle
- Quai libre disponible</t>
        </is>
      </c>
      <c r="AS1" s="7" t="inlineStr">
        <is>
          <t>Remise ordre-Pose passerelle</t>
        </is>
      </c>
      <c r="AT1" s="7" t="inlineStr">
        <is>
          <t>début - remise ordre</t>
        </is>
      </c>
      <c r="AU1" s="7" t="inlineStr">
        <is>
          <t>chiffre commu-fin</t>
        </is>
      </c>
      <c r="AV1" s="7" t="inlineStr">
        <is>
          <t>doc à bord -chiffre communiqué</t>
        </is>
      </c>
      <c r="AW1" s="7" t="inlineStr">
        <is>
          <t>appareillage-doc à bord</t>
        </is>
      </c>
      <c r="AX1" s="7" t="inlineStr">
        <is>
          <t>Performance réalisée</t>
        </is>
      </c>
      <c r="AY1" s="8" t="inlineStr">
        <is>
          <t xml:space="preserve">Attente en Rade (jr)
accostage-NOR </t>
        </is>
      </c>
      <c r="AZ1" s="8" t="inlineStr">
        <is>
          <t>Temps utilisé
fin-début</t>
        </is>
      </c>
      <c r="BA1" s="8" t="inlineStr">
        <is>
          <t>Séjour à Quai
app-accostage</t>
        </is>
      </c>
      <c r="BB1" s="8" t="inlineStr">
        <is>
          <t>Séjour Total
app-nor accepted</t>
        </is>
      </c>
      <c r="BC1" s="8" t="inlineStr">
        <is>
          <t>Cadence Moyenne réalisé T/J</t>
        </is>
      </c>
      <c r="BD1" s="315" t="inlineStr">
        <is>
          <t>taux de surestaries</t>
        </is>
      </c>
      <c r="BE1" s="8" t="inlineStr">
        <is>
          <t>cadence contractuelle</t>
        </is>
      </c>
      <c r="BF1" s="8" t="inlineStr">
        <is>
          <t>temps alloué</t>
        </is>
      </c>
      <c r="BG1" s="8" t="inlineStr">
        <is>
          <t>J en surestaries</t>
        </is>
      </c>
      <c r="BH1" s="316" t="inlineStr">
        <is>
          <t>Surestaries</t>
        </is>
      </c>
      <c r="BI1" s="8" t="inlineStr">
        <is>
          <t>mauvais temps en rade: houle</t>
        </is>
      </c>
      <c r="BJ1" s="8" t="inlineStr">
        <is>
          <t>mauvais temps en rade: pluie vent, humidité</t>
        </is>
      </c>
      <c r="BK1" s="8" t="inlineStr">
        <is>
          <t>mauvais temps à quai : houle</t>
        </is>
      </c>
      <c r="BL1" s="8" t="inlineStr">
        <is>
          <t>mauvais temps à quai : pluie et vent , humidité</t>
        </is>
      </c>
      <c r="BM1" s="8" t="inlineStr">
        <is>
          <t>arrêt par le bord</t>
        </is>
      </c>
      <c r="BN1" s="8" t="inlineStr">
        <is>
          <t>cause</t>
        </is>
      </c>
      <c r="BO1" s="8" t="inlineStr">
        <is>
          <t>description</t>
        </is>
      </c>
      <c r="BP1" s="306" t="inlineStr">
        <is>
          <t>DRAFT DEPART</t>
        </is>
      </c>
      <c r="BQ1" s="307" t="n"/>
      <c r="BR1" s="308" t="n"/>
      <c r="BS1" s="1" t="inlineStr">
        <is>
          <t xml:space="preserve">MOUVEMENTS </t>
        </is>
      </c>
      <c r="BT1" s="1" t="inlineStr">
        <is>
          <t>Nbr mvt</t>
        </is>
      </c>
      <c r="BU1" s="1" t="inlineStr">
        <is>
          <t xml:space="preserve">Etat des calles </t>
        </is>
      </c>
      <c r="BV1" s="10" t="inlineStr">
        <is>
          <t>COMMENTAIRE DES CALLES</t>
        </is>
      </c>
      <c r="BW1" s="10" t="inlineStr">
        <is>
          <t>durée de préaparation</t>
        </is>
      </c>
      <c r="BX1" s="1" t="inlineStr">
        <is>
          <t>FRESH WATER</t>
        </is>
      </c>
      <c r="BY1" s="1" t="inlineStr">
        <is>
          <t>quantité  MT</t>
        </is>
      </c>
      <c r="BZ1" s="1" t="inlineStr">
        <is>
          <t>montant $</t>
        </is>
      </c>
      <c r="CA1" s="11" t="inlineStr">
        <is>
          <t>TempsPerdu</t>
        </is>
      </c>
      <c r="CB1" s="11" t="inlineStr">
        <is>
          <t>TGB</t>
        </is>
      </c>
      <c r="CC1" s="11" t="inlineStr">
        <is>
          <t>Temps sauvé</t>
        </is>
      </c>
      <c r="CD1" s="9" t="inlineStr">
        <is>
          <t>QUAI LIBRE AVANT ARRIVEE NAVIRE</t>
        </is>
      </c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</row>
    <row r="2" customFormat="1" s="230">
      <c r="A2" s="122" t="n">
        <v>1</v>
      </c>
      <c r="B2" s="317" t="inlineStr">
        <is>
          <t>PUCK</t>
        </is>
      </c>
      <c r="C2" s="108" t="n">
        <v>45658</v>
      </c>
      <c r="D2" s="318" t="n">
        <v>36413</v>
      </c>
      <c r="E2" s="318" t="n">
        <v>36413</v>
      </c>
      <c r="F2" s="138" t="inlineStr">
        <is>
          <t>OCP NUTR</t>
        </is>
      </c>
      <c r="G2" s="122" t="n">
        <v>1</v>
      </c>
      <c r="H2" s="114" t="inlineStr">
        <is>
          <t>MAP</t>
        </is>
      </c>
      <c r="I2" s="114" t="inlineStr">
        <is>
          <t xml:space="preserve">MAP 11 52 SPECIAL </t>
        </is>
      </c>
      <c r="J2" s="113" t="inlineStr">
        <is>
          <t>CFR</t>
        </is>
      </c>
      <c r="K2" s="124" t="n">
        <v>670.4</v>
      </c>
      <c r="L2" s="319">
        <f>D2*K2</f>
        <v/>
      </c>
      <c r="M2" s="111" t="n">
        <v>10.1114</v>
      </c>
      <c r="N2" s="320">
        <f>L2*M2</f>
        <v/>
      </c>
      <c r="O2" s="124" t="inlineStr">
        <is>
          <t>2103 T DU 26/12/2024</t>
        </is>
      </c>
      <c r="P2" s="114" t="inlineStr">
        <is>
          <t>Koch Fertilizer, LLC</t>
        </is>
      </c>
      <c r="Q2" s="113" t="inlineStr">
        <is>
          <t>AMERIQUE</t>
        </is>
      </c>
      <c r="R2" s="113" t="inlineStr">
        <is>
          <t>USA</t>
        </is>
      </c>
      <c r="S2" s="113" t="n"/>
      <c r="T2" s="111" t="inlineStr">
        <is>
          <t>INSPECTORATE</t>
        </is>
      </c>
      <c r="U2" s="111" t="n">
        <v>190</v>
      </c>
      <c r="V2" s="114">
        <f>IF(U2&lt;130, "Mini Bulker", IF(AND(U2&gt;=130, U2&lt;150), "Handysize", IF(AND(U2&gt;=150, U2&lt;200), "Handymax", IF(AND(U2&gt;=200, U2&lt;230), "Panamax", IF(AND(U2&gt;=230, U2&lt;=270), "Capesize", "Autre")))))</f>
        <v/>
      </c>
      <c r="W2" s="130" t="n"/>
      <c r="X2" s="111">
        <f>IF(E2&lt;9999,"1",IF(E2&lt;19999,"2",IF(E2&lt;29999,"3",IF(E2&lt;39999,"4",IF(E2&lt;49999,"5",IF(E2&gt;50000,"6"))))))</f>
        <v/>
      </c>
      <c r="Y2" s="113" t="inlineStr">
        <is>
          <t>2N/1N/2N</t>
        </is>
      </c>
      <c r="Z2" s="321" t="n"/>
      <c r="AA2" s="96" t="n">
        <v>45646.41666666666</v>
      </c>
      <c r="AB2" s="121" t="n">
        <v>45646.41666666666</v>
      </c>
      <c r="AC2" s="108" t="n">
        <v>45646</v>
      </c>
      <c r="AD2" s="108" t="n">
        <v>45649</v>
      </c>
      <c r="AE2" s="96" t="n">
        <v>45646.41666666666</v>
      </c>
      <c r="AF2" s="96" t="n">
        <v>45651.47916666666</v>
      </c>
      <c r="AG2" s="96" t="n">
        <v>45651.58680555555</v>
      </c>
      <c r="AH2" s="96" t="n">
        <v>45651.60416666666</v>
      </c>
      <c r="AI2" s="96" t="n">
        <v>45651.65625</v>
      </c>
      <c r="AJ2" s="96" t="n">
        <v>45651.6875</v>
      </c>
      <c r="AK2" s="96" t="n">
        <v>45658.48611111111</v>
      </c>
      <c r="AL2" s="96" t="n">
        <v>45658.51805555556</v>
      </c>
      <c r="AM2" s="96" t="n">
        <v>45658.53958333333</v>
      </c>
      <c r="AN2" s="96" t="n">
        <v>45658.60416666666</v>
      </c>
      <c r="AO2" s="96" t="n">
        <v>45658.60763888889</v>
      </c>
      <c r="AP2" s="117">
        <f>(AG2-AF2)*1440</f>
        <v/>
      </c>
      <c r="AQ2" s="117">
        <f>(AG2-AE2)*1440</f>
        <v/>
      </c>
      <c r="AR2" s="117">
        <f>(AH2-AF2)*1440</f>
        <v/>
      </c>
      <c r="AS2" s="117">
        <f>(AI2-AH2)*1440</f>
        <v/>
      </c>
      <c r="AT2" s="117">
        <f>(AJ2-AH2)*1440</f>
        <v/>
      </c>
      <c r="AU2" s="117">
        <f>(AL2-AK2)*1440</f>
        <v/>
      </c>
      <c r="AV2" s="117">
        <f>(AM2-AL2)*1440</f>
        <v/>
      </c>
      <c r="AW2" s="117">
        <f>(AO2-AM2)*1440</f>
        <v/>
      </c>
      <c r="AX2" s="118">
        <f>AP2+AS2+AU2+AV2+AW2</f>
        <v/>
      </c>
      <c r="AY2" s="119">
        <f>(AG2-AA2)</f>
        <v/>
      </c>
      <c r="AZ2" s="119">
        <f>(AK2-AJ2)</f>
        <v/>
      </c>
      <c r="BA2" s="119">
        <f>AO2-AG2</f>
        <v/>
      </c>
      <c r="BB2" s="119">
        <f>(AO2-AA2)-(AP2/1440)-(AW2/1440)</f>
        <v/>
      </c>
      <c r="BC2" s="117">
        <f>E2/AZ2</f>
        <v/>
      </c>
      <c r="BD2" s="121" t="n"/>
      <c r="BE2" s="117">
        <f>IF(E2&lt;10000,3000,IF(E2&lt;15000,3600,IF(E2&lt;20000,4500,IF(E2&lt;25000,6000,IF(E2&lt;30000,7500,IF(E2&lt;40000,9000,IF(E2&gt;40000,10000)))))))</f>
        <v/>
      </c>
      <c r="BF2" s="322">
        <f>(E2/BE2)+2</f>
        <v/>
      </c>
      <c r="BI2" s="230" t="n">
        <v>0</v>
      </c>
      <c r="BJ2" s="230" t="n">
        <v>0</v>
      </c>
      <c r="BK2" s="230" t="n">
        <v>0</v>
      </c>
      <c r="BL2" s="230" t="n">
        <v>0</v>
      </c>
      <c r="BS2" s="120" t="inlineStr">
        <is>
          <t>CHANGE DU POSTE 2N VERS LA RADE LE 26/12- 1244 // RE-ACCOSTAGE AU POSTE 1N LE 28/12 - 1419 // CHANGE DU POSTE 1N VERS 2N LE 30/12-1700</t>
        </is>
      </c>
      <c r="BT2" s="125" t="n">
        <v>3</v>
      </c>
      <c r="BV2" s="120" t="n"/>
      <c r="BW2" s="323">
        <f>AI2-AH2</f>
        <v/>
      </c>
      <c r="BX2" s="127" t="inlineStr">
        <is>
          <t>NUL</t>
        </is>
      </c>
      <c r="BY2" s="127" t="inlineStr">
        <is>
          <t>NUL</t>
        </is>
      </c>
      <c r="CB2" s="111" t="n">
        <v>24145</v>
      </c>
    </row>
    <row r="3" ht="14.55" customFormat="1" customHeight="1" s="230">
      <c r="A3" s="122" t="n">
        <v>2</v>
      </c>
      <c r="B3" s="317" t="inlineStr">
        <is>
          <t>SUNISA NAREE</t>
        </is>
      </c>
      <c r="C3" s="108" t="n">
        <v>45659</v>
      </c>
      <c r="D3" s="318" t="n">
        <v>49500</v>
      </c>
      <c r="E3" s="324">
        <f>D4+D3</f>
        <v/>
      </c>
      <c r="F3" s="138" t="inlineStr">
        <is>
          <t>OCP NUTR</t>
        </is>
      </c>
      <c r="G3" s="122" t="n">
        <v>2</v>
      </c>
      <c r="H3" s="114" t="inlineStr">
        <is>
          <t>DAP</t>
        </is>
      </c>
      <c r="I3" s="114" t="inlineStr">
        <is>
          <t xml:space="preserve">DAP LOW MOISTURE </t>
        </is>
      </c>
      <c r="J3" s="114" t="inlineStr">
        <is>
          <t>FOB</t>
        </is>
      </c>
      <c r="K3" s="124" t="n">
        <v>590</v>
      </c>
      <c r="L3" s="319">
        <f>D3*K3</f>
        <v/>
      </c>
      <c r="M3" s="111" t="n">
        <v>10.1114</v>
      </c>
      <c r="N3" s="320">
        <f>L3*M3</f>
        <v/>
      </c>
      <c r="O3" s="124" t="inlineStr">
        <is>
          <t>2103 T DU 26/12/2024</t>
        </is>
      </c>
      <c r="P3" s="114" t="inlineStr">
        <is>
          <t>AMEROPA ASIA PTE LTD</t>
        </is>
      </c>
      <c r="Q3" s="114" t="inlineStr">
        <is>
          <t>ASIE</t>
        </is>
      </c>
      <c r="R3" s="114" t="inlineStr">
        <is>
          <t>BANGLADESH</t>
        </is>
      </c>
      <c r="S3" s="113" t="inlineStr">
        <is>
          <t>BUREAU VERITAS</t>
        </is>
      </c>
      <c r="T3" s="111" t="inlineStr">
        <is>
          <t>INTERTEK</t>
        </is>
      </c>
      <c r="U3" s="122" t="n">
        <v>199</v>
      </c>
      <c r="V3" s="114">
        <f>IF(U3&lt;130, "Mini Bulker", IF(AND(U3&gt;=130, U3&lt;150), "Handysize", IF(AND(U3&gt;=150, U3&lt;200), "Handymax", IF(AND(U3&gt;=200, U3&lt;230), "Panamax", IF(AND(U3&gt;=230, U3&lt;=270), "Capesize", "Autre")))))</f>
        <v/>
      </c>
      <c r="W3" s="128" t="n"/>
      <c r="X3" s="111">
        <f>IF(E3&lt;9999,"1",IF(E3&lt;19999,"2",IF(E3&lt;29999,"3",IF(E3&lt;39999,"4",IF(E3&lt;49999,"5",IF(E3&gt;50000,"6"))))))</f>
        <v/>
      </c>
      <c r="Y3" s="113" t="inlineStr">
        <is>
          <t>2N/1BIS</t>
        </is>
      </c>
      <c r="Z3" s="321" t="n"/>
      <c r="AA3" s="96" t="n">
        <v>45646.52083333334</v>
      </c>
      <c r="AB3" s="121" t="n">
        <v>45646.52083333334</v>
      </c>
      <c r="AC3" s="108" t="n">
        <v>45645</v>
      </c>
      <c r="AD3" s="108" t="n">
        <v>45649</v>
      </c>
      <c r="AE3" s="96" t="n">
        <v>45646.04166666666</v>
      </c>
      <c r="AF3" s="96" t="n">
        <v>45652.5</v>
      </c>
      <c r="AG3" s="96" t="n">
        <v>45652.59166666667</v>
      </c>
      <c r="AH3" s="96" t="n">
        <v>45652.61111111111</v>
      </c>
      <c r="AI3" s="96" t="n">
        <v>45652.72222222222</v>
      </c>
      <c r="AJ3" s="96" t="n">
        <v>45652.81597222222</v>
      </c>
      <c r="AK3" s="96" t="n">
        <v>45659.375</v>
      </c>
      <c r="AL3" s="96" t="n">
        <v>45659.42013888889</v>
      </c>
      <c r="AM3" s="96" t="n">
        <v>45659.44097222222</v>
      </c>
      <c r="AN3" s="96" t="n">
        <v>45659.58333333334</v>
      </c>
      <c r="AO3" s="96" t="n">
        <v>45659.61875</v>
      </c>
      <c r="AP3" s="117">
        <f>(AG3-AF3)*1440</f>
        <v/>
      </c>
      <c r="AQ3" s="117">
        <f>(AG3-AE3)*1440</f>
        <v/>
      </c>
      <c r="AR3" s="117">
        <f>(AH3-AF3)*1440</f>
        <v/>
      </c>
      <c r="AS3" s="117">
        <f>(AI3-AH3)*1440</f>
        <v/>
      </c>
      <c r="AT3" s="117">
        <f>(AJ3-AH3)*1440</f>
        <v/>
      </c>
      <c r="AU3" s="117">
        <f>(AL3-AK3)*1440</f>
        <v/>
      </c>
      <c r="AV3" s="117">
        <f>(AM3-AL3)*1440</f>
        <v/>
      </c>
      <c r="AW3" s="117">
        <f>(AO3-AM3)*1440</f>
        <v/>
      </c>
      <c r="AX3" s="118">
        <f>AP3+AS3+AU3+AV3+AW3</f>
        <v/>
      </c>
      <c r="AY3" s="119">
        <f>(AG3-AA3)</f>
        <v/>
      </c>
      <c r="AZ3" s="119">
        <f>(AK3-AJ3)</f>
        <v/>
      </c>
      <c r="BA3" s="119">
        <f>AO3-AG3</f>
        <v/>
      </c>
      <c r="BB3" s="119">
        <f>(AO3-AA3)-(AP3/1440)-(AW3/1440)</f>
        <v/>
      </c>
      <c r="BC3" s="117">
        <f>E3/AZ3</f>
        <v/>
      </c>
      <c r="BD3" s="121" t="n"/>
      <c r="BE3" s="117">
        <f>IF(E3&lt;10000,3000,IF(E3&lt;15000,3600,IF(E3&lt;20000,4500,IF(E3&lt;25000,6000,IF(E3&lt;30000,7500,IF(E3&lt;40000,9000,IF(E3&gt;40000,10000)))))))</f>
        <v/>
      </c>
      <c r="BF3" s="322">
        <f>(E3/BE3)+2</f>
        <v/>
      </c>
      <c r="BI3" s="230" t="n">
        <v>0</v>
      </c>
      <c r="BJ3" s="230" t="n">
        <v>0</v>
      </c>
      <c r="BK3" s="230" t="n">
        <v>0</v>
      </c>
      <c r="BL3" s="230" t="n">
        <v>0</v>
      </c>
      <c r="BS3" s="120" t="inlineStr">
        <is>
          <t>CHANGE DU POSTE 2N VERS POSTE 1B LE 28/12 - 2217</t>
        </is>
      </c>
      <c r="BT3" s="120" t="n">
        <v>1</v>
      </c>
      <c r="BU3" s="120" t="inlineStr">
        <is>
          <t>NON CLEAN</t>
        </is>
      </c>
      <c r="BV3" s="120" t="inlineStr">
        <is>
          <t>DUST/LAST CARGO</t>
        </is>
      </c>
      <c r="BW3" s="323">
        <f>AI3-AH3</f>
        <v/>
      </c>
      <c r="BX3" s="120" t="inlineStr">
        <is>
          <t>TBC</t>
        </is>
      </c>
      <c r="BY3" s="120" t="inlineStr">
        <is>
          <t>TBC</t>
        </is>
      </c>
      <c r="CB3" s="111" t="n">
        <v>36416</v>
      </c>
    </row>
    <row r="4" ht="15" customFormat="1" customHeight="1" s="230">
      <c r="A4" s="122" t="n"/>
      <c r="B4" s="317" t="inlineStr">
        <is>
          <t>SUNISA NAREE</t>
        </is>
      </c>
      <c r="C4" s="108" t="n">
        <v>45659</v>
      </c>
      <c r="D4" s="318" t="n">
        <v>11000</v>
      </c>
      <c r="E4" s="325" t="n"/>
      <c r="F4" s="138" t="inlineStr">
        <is>
          <t>OCP NUTR</t>
        </is>
      </c>
      <c r="G4" s="122" t="n">
        <v>2</v>
      </c>
      <c r="H4" s="113" t="inlineStr">
        <is>
          <t>TSP</t>
        </is>
      </c>
      <c r="I4" s="114" t="inlineStr">
        <is>
          <t xml:space="preserve">TSP-JORF </t>
        </is>
      </c>
      <c r="J4" s="114" t="inlineStr">
        <is>
          <t>FOB</t>
        </is>
      </c>
      <c r="K4" s="124" t="n">
        <v>465</v>
      </c>
      <c r="L4" s="319">
        <f>D4*K4</f>
        <v/>
      </c>
      <c r="M4" s="111" t="n">
        <v>10.1114</v>
      </c>
      <c r="N4" s="320">
        <f>L4*M4</f>
        <v/>
      </c>
      <c r="O4" s="124" t="inlineStr">
        <is>
          <t>2103 T DU 26/12/2024</t>
        </is>
      </c>
      <c r="P4" s="114" t="inlineStr">
        <is>
          <t>AMEROPA ASIA PTE LTD</t>
        </is>
      </c>
      <c r="Q4" s="114" t="inlineStr">
        <is>
          <t>ASIE</t>
        </is>
      </c>
      <c r="R4" s="114" t="inlineStr">
        <is>
          <t>BANGLADESH</t>
        </is>
      </c>
      <c r="S4" s="113" t="n"/>
      <c r="T4" s="111" t="inlineStr">
        <is>
          <t>INTERTEK</t>
        </is>
      </c>
      <c r="U4" s="122" t="n">
        <v>199</v>
      </c>
      <c r="V4" s="114">
        <f>IF(U4&lt;130, "Mini Bulker", IF(AND(U4&gt;=130, U4&lt;150), "Handysize", IF(AND(U4&gt;=150, U4&lt;200), "Handymax", IF(AND(U4&gt;=200, U4&lt;230), "Panamax", IF(AND(U4&gt;=230, U4&lt;=270), "Capesize", "Autre")))))</f>
        <v/>
      </c>
      <c r="X4" s="111">
        <f>IF(E4&lt;9999,"1",IF(E4&lt;19999,"2",IF(E4&lt;29999,"3",IF(E4&lt;39999,"4",IF(E4&lt;49999,"5",IF(E4&gt;50000,"6"))))))</f>
        <v/>
      </c>
      <c r="Y4" s="113" t="inlineStr">
        <is>
          <t>2N/1BIS</t>
        </is>
      </c>
      <c r="Z4" s="321" t="n"/>
      <c r="AA4" s="121" t="n"/>
      <c r="AB4" s="121" t="n"/>
      <c r="AC4" s="121" t="n"/>
      <c r="AD4" s="121" t="n"/>
      <c r="AE4" s="121" t="n"/>
      <c r="AF4" s="121" t="n"/>
      <c r="AG4" s="121" t="n"/>
      <c r="AH4" s="121" t="n"/>
      <c r="AI4" s="121" t="n"/>
      <c r="AJ4" s="121" t="n"/>
      <c r="AK4" s="121" t="n"/>
      <c r="AL4" s="121" t="n"/>
      <c r="AM4" s="121" t="n"/>
      <c r="AN4" s="121" t="n"/>
      <c r="AO4" s="121" t="n"/>
      <c r="AP4" s="121" t="n"/>
      <c r="AQ4" s="121" t="n"/>
      <c r="AR4" s="121" t="n"/>
      <c r="AS4" s="121" t="n"/>
      <c r="AT4" s="121" t="n"/>
      <c r="AU4" s="121" t="n"/>
      <c r="AV4" s="121" t="n"/>
      <c r="AW4" s="121" t="n"/>
      <c r="AX4" s="121" t="n"/>
      <c r="AY4" s="121" t="n"/>
      <c r="AZ4" s="121" t="n"/>
      <c r="BA4" s="121" t="n"/>
      <c r="BB4" s="121" t="n"/>
      <c r="BC4" s="121" t="n"/>
      <c r="BD4" s="121" t="n"/>
      <c r="BE4" s="121" t="n"/>
      <c r="BF4" s="121" t="n"/>
      <c r="BG4" s="121" t="n"/>
      <c r="BH4" s="121" t="n"/>
      <c r="BI4" s="121" t="n"/>
      <c r="BJ4" s="121" t="n"/>
      <c r="BK4" s="121" t="n"/>
      <c r="BL4" s="121" t="n"/>
      <c r="BS4" s="120" t="inlineStr">
        <is>
          <t>CHANGE DU POSTE 2N VERS POSTE 1B LE 28/12 - 2217</t>
        </is>
      </c>
      <c r="BT4" s="125" t="n"/>
      <c r="BV4" s="120" t="n"/>
      <c r="BW4" s="323">
        <f>AI4-AH4</f>
        <v/>
      </c>
      <c r="BX4" s="120" t="inlineStr">
        <is>
          <t>TBC</t>
        </is>
      </c>
      <c r="BY4" s="120" t="inlineStr">
        <is>
          <t>TBC</t>
        </is>
      </c>
      <c r="CB4" s="111" t="n">
        <v>36416</v>
      </c>
    </row>
    <row r="5" customFormat="1" s="230">
      <c r="A5" s="122" t="n">
        <v>3</v>
      </c>
      <c r="B5" s="317" t="inlineStr">
        <is>
          <t>ARKLOW GEM</t>
        </is>
      </c>
      <c r="C5" s="108" t="n">
        <v>45660</v>
      </c>
      <c r="D5" s="318" t="n">
        <v>4962</v>
      </c>
      <c r="E5" s="318" t="n">
        <v>4962</v>
      </c>
      <c r="F5" s="138" t="inlineStr">
        <is>
          <t>OCP NUTR</t>
        </is>
      </c>
      <c r="G5" s="122" t="n">
        <v>1</v>
      </c>
      <c r="H5" s="113" t="inlineStr">
        <is>
          <t>DAP</t>
        </is>
      </c>
      <c r="I5" s="114" t="inlineStr">
        <is>
          <t xml:space="preserve">DAP EURO </t>
        </is>
      </c>
      <c r="J5" s="129" t="inlineStr">
        <is>
          <t>CIF</t>
        </is>
      </c>
      <c r="K5" s="124" t="n">
        <v>635</v>
      </c>
      <c r="L5" s="319">
        <f>D5*K5</f>
        <v/>
      </c>
      <c r="M5" s="111" t="n"/>
      <c r="N5" s="320">
        <f>L5*M5</f>
        <v/>
      </c>
      <c r="O5" s="124" t="n"/>
      <c r="P5" s="114" t="n"/>
      <c r="Q5" s="113" t="inlineStr">
        <is>
          <t xml:space="preserve">EUROPE </t>
        </is>
      </c>
      <c r="R5" s="113" t="inlineStr">
        <is>
          <t>Italie</t>
        </is>
      </c>
      <c r="S5" s="113" t="n"/>
      <c r="T5" s="111" t="inlineStr">
        <is>
          <t>INSPECTORATE</t>
        </is>
      </c>
      <c r="U5" s="122" t="n">
        <v>87</v>
      </c>
      <c r="V5" s="114">
        <f>IF(U5&lt;130, "Mini Bulker", IF(AND(U5&gt;=130, U5&lt;150), "Handysize", IF(AND(U5&gt;=150, U5&lt;200), "Handymax", IF(AND(U5&gt;=200, U5&lt;230), "Panamax", IF(AND(U5&gt;=230, U5&lt;=270), "Capesize", "Autre")))))</f>
        <v/>
      </c>
      <c r="W5" s="128" t="n"/>
      <c r="X5" s="111">
        <f>IF(E5&lt;9999,"1",IF(E5&lt;19999,"2",IF(E5&lt;29999,"3",IF(E5&lt;39999,"4",IF(E5&lt;49999,"5",IF(E5&gt;50000,"6"))))))</f>
        <v/>
      </c>
      <c r="Y5" s="113" t="inlineStr">
        <is>
          <t>2TER</t>
        </is>
      </c>
      <c r="Z5" s="321" t="n"/>
      <c r="AA5" s="96" t="n">
        <v>45657.80208333334</v>
      </c>
      <c r="AB5" s="121" t="n">
        <v>45659.375</v>
      </c>
      <c r="AC5" s="108" t="n">
        <v>45657</v>
      </c>
      <c r="AD5" s="108" t="n">
        <v>45658</v>
      </c>
      <c r="AE5" s="96" t="n">
        <v>45657.80208333334</v>
      </c>
      <c r="AF5" s="96" t="n">
        <v>45658.72083333333</v>
      </c>
      <c r="AG5" s="96" t="n">
        <v>45658.77777777778</v>
      </c>
      <c r="AH5" s="96" t="n">
        <v>45658.78819444445</v>
      </c>
      <c r="AI5" s="96" t="n">
        <v>45658.83333333334</v>
      </c>
      <c r="AJ5" s="96" t="n">
        <v>45659.70138888889</v>
      </c>
      <c r="AK5" s="96" t="n">
        <v>45660.36111111111</v>
      </c>
      <c r="AL5" s="96" t="n">
        <v>45660.40625</v>
      </c>
      <c r="AM5" s="96" t="n">
        <v>45660.43055555555</v>
      </c>
      <c r="AN5" s="96" t="n">
        <v>45660.47430555556</v>
      </c>
      <c r="AO5" s="96" t="n">
        <v>45660.49027777778</v>
      </c>
      <c r="AP5" s="117">
        <f>(AG5-AF5)*1440</f>
        <v/>
      </c>
      <c r="AQ5" s="117">
        <f>(AG5-AE5)*1440</f>
        <v/>
      </c>
      <c r="AR5" s="117">
        <f>(AH5-AF5)*1440</f>
        <v/>
      </c>
      <c r="AS5" s="117">
        <f>(AI5-AH5)*1440</f>
        <v/>
      </c>
      <c r="AT5" s="117">
        <f>(AJ5-AH5)*1440</f>
        <v/>
      </c>
      <c r="AU5" s="117">
        <f>(AL5-AK5)*1440</f>
        <v/>
      </c>
      <c r="AV5" s="117">
        <f>(AM5-AL5)*1440</f>
        <v/>
      </c>
      <c r="AW5" s="117">
        <f>(AO5-AM5)*1440</f>
        <v/>
      </c>
      <c r="AX5" s="118">
        <f>AP5+AS5+AU5+AV5+AW5</f>
        <v/>
      </c>
      <c r="AY5" s="119">
        <f>(AG5-AA5)</f>
        <v/>
      </c>
      <c r="AZ5" s="119">
        <f>(AK5-AJ5)</f>
        <v/>
      </c>
      <c r="BA5" s="119">
        <f>AO5-AG5</f>
        <v/>
      </c>
      <c r="BB5" s="119">
        <f>(AO5-AA5)-(AP5/1440)-(AW5/1440)</f>
        <v/>
      </c>
      <c r="BC5" s="117">
        <f>E5/AZ5</f>
        <v/>
      </c>
      <c r="BD5" s="121" t="n"/>
      <c r="BE5" s="117">
        <f>IF(E5&lt;10000,3000,IF(E5&lt;15000,3600,IF(E5&lt;20000,4500,IF(E5&lt;25000,6000,IF(E5&lt;30000,7500,IF(E5&lt;40000,9000,IF(E5&gt;40000,10000)))))))</f>
        <v/>
      </c>
      <c r="BF5" s="322">
        <f>(E5/BE5)+2</f>
        <v/>
      </c>
      <c r="BI5" s="230" t="n">
        <v>0</v>
      </c>
      <c r="BJ5" s="230" t="n">
        <v>0</v>
      </c>
      <c r="BK5" s="230" t="n">
        <v>0</v>
      </c>
      <c r="BL5" s="230" t="n">
        <v>0</v>
      </c>
      <c r="BS5" s="120" t="inlineStr">
        <is>
          <t>NUL</t>
        </is>
      </c>
      <c r="BT5" s="125" t="n"/>
      <c r="BV5" s="120" t="n"/>
      <c r="BW5" s="323">
        <f>AI5-AH5</f>
        <v/>
      </c>
      <c r="BX5" s="127" t="inlineStr">
        <is>
          <t>NUL</t>
        </is>
      </c>
      <c r="BY5" s="127" t="inlineStr">
        <is>
          <t>NUL</t>
        </is>
      </c>
      <c r="CB5" s="111" t="n">
        <v>2999</v>
      </c>
    </row>
    <row r="6" customFormat="1" s="230">
      <c r="A6" s="122" t="n">
        <v>4</v>
      </c>
      <c r="B6" s="317" t="inlineStr">
        <is>
          <t>THALIS</t>
        </is>
      </c>
      <c r="C6" s="108" t="n">
        <v>45661</v>
      </c>
      <c r="D6" s="318" t="n">
        <v>33000</v>
      </c>
      <c r="E6" s="318" t="n">
        <v>33000</v>
      </c>
      <c r="F6" s="138" t="inlineStr">
        <is>
          <t>OCP NUTR</t>
        </is>
      </c>
      <c r="G6" s="122" t="n">
        <v>1</v>
      </c>
      <c r="H6" s="114" t="inlineStr">
        <is>
          <t>MAP</t>
        </is>
      </c>
      <c r="I6" s="114" t="inlineStr">
        <is>
          <t xml:space="preserve">MAP 11 52 SPECIAL </t>
        </is>
      </c>
      <c r="J6" s="129" t="inlineStr">
        <is>
          <t>CFR</t>
        </is>
      </c>
      <c r="K6" s="124" t="n">
        <v>630</v>
      </c>
      <c r="L6" s="319">
        <f>D6*K6</f>
        <v/>
      </c>
      <c r="M6" s="111" t="n">
        <v>10.0989</v>
      </c>
      <c r="N6" s="320">
        <f>L6*M6</f>
        <v/>
      </c>
      <c r="O6" s="124" t="inlineStr">
        <is>
          <t>2103 T DU 26/12/2024</t>
        </is>
      </c>
      <c r="P6" s="114" t="inlineStr">
        <is>
          <t>ROCHA TERMINAIS PORTUARIOS E LOGISTICA S.A/OCP Fertilizantes LTDA</t>
        </is>
      </c>
      <c r="Q6" s="113" t="inlineStr">
        <is>
          <t>AMERIQUE LATINE</t>
        </is>
      </c>
      <c r="R6" s="113" t="inlineStr">
        <is>
          <t>BRESIL</t>
        </is>
      </c>
      <c r="S6" s="113" t="n"/>
      <c r="T6" s="111" t="inlineStr">
        <is>
          <t>INTERTEK</t>
        </is>
      </c>
      <c r="U6" s="122" t="n">
        <v>186</v>
      </c>
      <c r="V6" s="114">
        <f>IF(U6&lt;130, "Mini Bulker", IF(AND(U6&gt;=130, U6&lt;150), "Handysize", IF(AND(U6&gt;=150, U6&lt;200), "Handymax", IF(AND(U6&gt;=200, U6&lt;230), "Panamax", IF(AND(U6&gt;=230, U6&lt;=270), "Capesize", "Autre")))))</f>
        <v/>
      </c>
      <c r="W6" s="128" t="n"/>
      <c r="X6" s="111">
        <f>IF(E6&lt;9999,"1",IF(E6&lt;19999,"2",IF(E6&lt;29999,"3",IF(E6&lt;39999,"4",IF(E6&lt;49999,"5",IF(E6&gt;50000,"6"))))))</f>
        <v/>
      </c>
      <c r="Y6" s="115" t="inlineStr">
        <is>
          <t>1N/1TER</t>
        </is>
      </c>
      <c r="Z6" s="321" t="n"/>
      <c r="AA6" s="96" t="n">
        <v>45649.45833333334</v>
      </c>
      <c r="AB6" s="121" t="n">
        <v>45649.45833333334</v>
      </c>
      <c r="AC6" s="108" t="n">
        <v>45649</v>
      </c>
      <c r="AD6" s="108" t="n">
        <v>45651</v>
      </c>
      <c r="AE6" s="96" t="n">
        <v>45649.41666666666</v>
      </c>
      <c r="AF6" s="96" t="n">
        <v>45657.47430555556</v>
      </c>
      <c r="AG6" s="96" t="n">
        <v>45657.58333333334</v>
      </c>
      <c r="AH6" s="96" t="n">
        <v>45657.60416666666</v>
      </c>
      <c r="AI6" s="96" t="n">
        <v>45657.66666666666</v>
      </c>
      <c r="AJ6" s="96" t="n">
        <v>45658.0625</v>
      </c>
      <c r="AK6" s="96" t="n">
        <v>45661.53125</v>
      </c>
      <c r="AL6" s="96" t="n">
        <v>45661.57291666666</v>
      </c>
      <c r="AM6" s="96" t="n">
        <v>45661.59375</v>
      </c>
      <c r="AN6" s="96" t="n">
        <v>45661.63819444444</v>
      </c>
      <c r="AO6" s="96" t="n">
        <v>45661.64930555555</v>
      </c>
      <c r="AP6" s="117">
        <f>(AG6-AF6)*1440</f>
        <v/>
      </c>
      <c r="AQ6" s="117">
        <f>(AG6-AE6)*1440</f>
        <v/>
      </c>
      <c r="AR6" s="117">
        <f>(AH6-AF6)*1440</f>
        <v/>
      </c>
      <c r="AS6" s="117">
        <f>(AI6-AH6)*1440</f>
        <v/>
      </c>
      <c r="AT6" s="117">
        <f>(AJ6-AH6)*1440</f>
        <v/>
      </c>
      <c r="AU6" s="117">
        <f>(AL6-AK6)*1440</f>
        <v/>
      </c>
      <c r="AV6" s="117">
        <f>(AM6-AL6)*1440</f>
        <v/>
      </c>
      <c r="AW6" s="117">
        <f>(AO6-AM6)*1440</f>
        <v/>
      </c>
      <c r="AX6" s="118">
        <f>AP6+AS6+AU6+AV6+AW6</f>
        <v/>
      </c>
      <c r="AY6" s="119">
        <f>(AG6-AA6)</f>
        <v/>
      </c>
      <c r="AZ6" s="119">
        <f>(AK6-AJ6)</f>
        <v/>
      </c>
      <c r="BA6" s="119">
        <f>AO6-AG6</f>
        <v/>
      </c>
      <c r="BB6" s="119">
        <f>(AO6-AA6)-(AP6/1440)-(AW6/1440)</f>
        <v/>
      </c>
      <c r="BC6" s="117">
        <f>E6/AZ6</f>
        <v/>
      </c>
      <c r="BD6" s="121" t="n"/>
      <c r="BE6" s="117">
        <f>IF(E6&lt;10000,3000,IF(E6&lt;15000,3600,IF(E6&lt;20000,4500,IF(E6&lt;25000,6000,IF(E6&lt;30000,7500,IF(E6&lt;40000,9000,IF(E6&gt;40000,10000)))))))</f>
        <v/>
      </c>
      <c r="BF6" s="322">
        <f>(E6/BE6)+2</f>
        <v/>
      </c>
      <c r="BI6" s="230" t="n">
        <v>0</v>
      </c>
      <c r="BJ6" s="230" t="n">
        <v>0</v>
      </c>
      <c r="BK6" s="230" t="n">
        <v>0</v>
      </c>
      <c r="BL6" s="230" t="n">
        <v>0</v>
      </c>
      <c r="BS6" s="120" t="inlineStr">
        <is>
          <t>CHANGE DU POSTE 1N VERS POSTE 1TER LE 02/01 - 1800</t>
        </is>
      </c>
      <c r="BT6" s="125" t="n">
        <v>1</v>
      </c>
      <c r="BV6" s="120" t="n"/>
      <c r="BW6" s="323">
        <f>AI6-AH6</f>
        <v/>
      </c>
      <c r="BX6" s="127" t="inlineStr">
        <is>
          <t>NUL</t>
        </is>
      </c>
      <c r="BY6" s="127" t="inlineStr">
        <is>
          <t>NUL</t>
        </is>
      </c>
      <c r="CB6" s="111" t="n">
        <v>22662</v>
      </c>
    </row>
    <row r="7" customFormat="1" s="230">
      <c r="A7" s="122" t="n">
        <v>5</v>
      </c>
      <c r="B7" s="317" t="inlineStr">
        <is>
          <t>CELTIC NAVIGATOR</t>
        </is>
      </c>
      <c r="C7" s="108" t="n">
        <v>45663</v>
      </c>
      <c r="D7" s="318" t="n">
        <v>4052</v>
      </c>
      <c r="E7" s="318" t="n">
        <v>4052</v>
      </c>
      <c r="F7" s="138" t="inlineStr">
        <is>
          <t>OCP NUTR</t>
        </is>
      </c>
      <c r="G7" s="122" t="n">
        <v>1</v>
      </c>
      <c r="H7" s="114" t="inlineStr">
        <is>
          <t>MAP</t>
        </is>
      </c>
      <c r="I7" s="114" t="inlineStr">
        <is>
          <t xml:space="preserve">MAP 11 52 EU </t>
        </is>
      </c>
      <c r="J7" s="114" t="inlineStr">
        <is>
          <t>FOB</t>
        </is>
      </c>
      <c r="K7" s="124" t="n">
        <v>600</v>
      </c>
      <c r="L7" s="319">
        <f>D7*K7</f>
        <v/>
      </c>
      <c r="M7" s="111" t="n">
        <v>10.0989</v>
      </c>
      <c r="N7" s="320">
        <f>L7*M7</f>
        <v/>
      </c>
      <c r="O7" s="124" t="inlineStr">
        <is>
          <t>2103 T DU 26/12/2024</t>
        </is>
      </c>
      <c r="P7" s="114" t="inlineStr">
        <is>
          <t>CELTIC NAVIGATOR</t>
        </is>
      </c>
      <c r="Q7" s="113" t="inlineStr">
        <is>
          <t xml:space="preserve">EUROPE </t>
        </is>
      </c>
      <c r="R7" s="113" t="inlineStr">
        <is>
          <t>Italie</t>
        </is>
      </c>
      <c r="S7" s="113" t="n"/>
      <c r="T7" s="111" t="inlineStr">
        <is>
          <t>INSPECTORATE</t>
        </is>
      </c>
      <c r="U7" s="122" t="n">
        <v>90</v>
      </c>
      <c r="V7" s="114">
        <f>IF(U7&lt;130, "Mini Bulker", IF(AND(U7&gt;=130, U7&lt;150), "Handysize", IF(AND(U7&gt;=150, U7&lt;200), "Handymax", IF(AND(U7&gt;=200, U7&lt;230), "Panamax", IF(AND(U7&gt;=230, U7&lt;=270), "Capesize", "Autre")))))</f>
        <v/>
      </c>
      <c r="W7" s="128" t="n"/>
      <c r="X7" s="111">
        <f>IF(E7&lt;9999,"1",IF(E7&lt;19999,"2",IF(E7&lt;29999,"3",IF(E7&lt;39999,"4",IF(E7&lt;49999,"5",IF(E7&gt;50000,"6"))))))</f>
        <v/>
      </c>
      <c r="Y7" s="115" t="inlineStr">
        <is>
          <t>2TER</t>
        </is>
      </c>
      <c r="Z7" s="321" t="n"/>
      <c r="AA7" s="96" t="n">
        <v>45656.75</v>
      </c>
      <c r="AB7" s="121" t="n">
        <v>45659.375</v>
      </c>
      <c r="AC7" s="108" t="n">
        <v>45654</v>
      </c>
      <c r="AD7" s="108" t="n">
        <v>45656</v>
      </c>
      <c r="AE7" s="96" t="n">
        <v>45656.75</v>
      </c>
      <c r="AF7" s="96" t="n">
        <v>45661.51736111111</v>
      </c>
      <c r="AG7" s="96" t="n">
        <v>45661.60416666666</v>
      </c>
      <c r="AH7" s="96" t="n">
        <v>45661.61805555555</v>
      </c>
      <c r="AI7" s="96" t="n">
        <v>45661.67361111111</v>
      </c>
      <c r="AJ7" s="96" t="n">
        <v>45662.49305555555</v>
      </c>
      <c r="AK7" s="96" t="n">
        <v>45663.73958333334</v>
      </c>
      <c r="AL7" s="96" t="n">
        <v>45663.78125</v>
      </c>
      <c r="AM7" s="96" t="n">
        <v>45663.8125</v>
      </c>
      <c r="AN7" s="96" t="n">
        <v>45663.83819444444</v>
      </c>
      <c r="AO7" s="96" t="n">
        <v>45663.84027777778</v>
      </c>
      <c r="AP7" s="117">
        <f>(AG7-AF7)*1440</f>
        <v/>
      </c>
      <c r="AQ7" s="117">
        <f>(AG7-AE7)*1440</f>
        <v/>
      </c>
      <c r="AR7" s="117">
        <f>(AH7-AF7)*1440</f>
        <v/>
      </c>
      <c r="AS7" s="117">
        <f>(AI7-AH7)*1440</f>
        <v/>
      </c>
      <c r="AT7" s="117">
        <f>(AJ7-AH7)*1440</f>
        <v/>
      </c>
      <c r="AU7" s="117">
        <f>(AL7-AK7)*1440</f>
        <v/>
      </c>
      <c r="AV7" s="117">
        <f>(AM7-AL7)*1440</f>
        <v/>
      </c>
      <c r="AW7" s="117">
        <f>(AO7-AM7)*1440</f>
        <v/>
      </c>
      <c r="AX7" s="118">
        <f>AP7+AS7+AU7+AV7+AW7</f>
        <v/>
      </c>
      <c r="AY7" s="119">
        <f>(AG7-AA7)</f>
        <v/>
      </c>
      <c r="AZ7" s="119">
        <f>(AK7-AJ7)</f>
        <v/>
      </c>
      <c r="BA7" s="119">
        <f>AO7-AG7</f>
        <v/>
      </c>
      <c r="BB7" s="119">
        <f>(AO7-AA7)-(AP7/1440)-(AW7/1440)</f>
        <v/>
      </c>
      <c r="BC7" s="117">
        <f>E7/AZ7</f>
        <v/>
      </c>
      <c r="BD7" s="121" t="n"/>
      <c r="BE7" s="117">
        <f>IF(E7&lt;10000,3000,IF(E7&lt;15000,3600,IF(E7&lt;20000,4500,IF(E7&lt;25000,6000,IF(E7&lt;30000,7500,IF(E7&lt;40000,9000,IF(E7&gt;40000,10000)))))))</f>
        <v/>
      </c>
      <c r="BF7" s="322">
        <f>(E7/BE7)+2</f>
        <v/>
      </c>
      <c r="BI7" s="230" t="n">
        <v>0</v>
      </c>
      <c r="BJ7" s="230" t="n">
        <v>0</v>
      </c>
      <c r="BK7" s="230" t="n">
        <v>0</v>
      </c>
      <c r="BL7" s="230" t="n">
        <v>0</v>
      </c>
      <c r="BS7" s="120" t="inlineStr">
        <is>
          <t>NUL</t>
        </is>
      </c>
      <c r="BT7" s="125" t="n"/>
      <c r="BW7" s="323">
        <f>AI7-AH7</f>
        <v/>
      </c>
      <c r="BX7" s="127" t="inlineStr">
        <is>
          <t>NUL</t>
        </is>
      </c>
      <c r="BY7" s="127" t="inlineStr">
        <is>
          <t>NUL</t>
        </is>
      </c>
      <c r="CB7" s="111" t="n">
        <v>2954</v>
      </c>
    </row>
    <row r="8" customFormat="1" s="230">
      <c r="A8" s="122" t="n">
        <v>6</v>
      </c>
      <c r="B8" s="317" t="inlineStr">
        <is>
          <t>MATIN BEY</t>
        </is>
      </c>
      <c r="C8" s="108" t="n">
        <v>45663</v>
      </c>
      <c r="D8" s="318" t="n">
        <v>25000</v>
      </c>
      <c r="E8" s="318" t="n">
        <v>25000</v>
      </c>
      <c r="F8" s="139" t="inlineStr">
        <is>
          <t>KOFERT</t>
        </is>
      </c>
      <c r="G8" s="122" t="n">
        <v>1</v>
      </c>
      <c r="H8" s="114" t="inlineStr">
        <is>
          <t>DAP</t>
        </is>
      </c>
      <c r="I8" s="114" t="inlineStr">
        <is>
          <t>DAP SPECIAL</t>
        </is>
      </c>
      <c r="J8" s="114" t="inlineStr">
        <is>
          <t>FOB</t>
        </is>
      </c>
      <c r="K8" s="124" t="n">
        <v>605</v>
      </c>
      <c r="L8" s="319">
        <f>D8*K8</f>
        <v/>
      </c>
      <c r="M8" s="111" t="n">
        <v>10.0306</v>
      </c>
      <c r="N8" s="320">
        <f>L8*M8</f>
        <v/>
      </c>
      <c r="O8" s="124" t="inlineStr">
        <is>
          <t>2110 A DU 26/12/2024</t>
        </is>
      </c>
      <c r="P8" s="114" t="inlineStr">
        <is>
          <t>Igsas Istanbul Gubre Sanayii A.S.</t>
        </is>
      </c>
      <c r="Q8" s="113" t="inlineStr">
        <is>
          <t xml:space="preserve">EUROPE </t>
        </is>
      </c>
      <c r="R8" s="113" t="inlineStr">
        <is>
          <t>TURQUIE</t>
        </is>
      </c>
      <c r="S8" s="113" t="n"/>
      <c r="T8" s="111" t="inlineStr">
        <is>
          <t>INSPECTORATE</t>
        </is>
      </c>
      <c r="U8" s="122" t="n">
        <v>169</v>
      </c>
      <c r="V8" s="114">
        <f>IF(U8&lt;130, "Mini Bulker", IF(AND(U8&gt;=130, U8&lt;150), "Handysize", IF(AND(U8&gt;=150, U8&lt;200), "Handymax", IF(AND(U8&gt;=200, U8&lt;230), "Panamax", IF(AND(U8&gt;=230, U8&lt;=270), "Capesize", "Autre")))))</f>
        <v/>
      </c>
      <c r="W8" s="128" t="n"/>
      <c r="X8" s="111">
        <f>IF(E8&lt;9999,"1",IF(E8&lt;19999,"2",IF(E8&lt;29999,"3",IF(E8&lt;39999,"4",IF(E8&lt;49999,"5",IF(E8&gt;50000,"6"))))))</f>
        <v/>
      </c>
      <c r="Y8" s="115" t="inlineStr">
        <is>
          <t>1BIS</t>
        </is>
      </c>
      <c r="Z8" s="321" t="n"/>
      <c r="AA8" s="96" t="n">
        <v>45658.75</v>
      </c>
      <c r="AB8" s="121" t="n">
        <v>45659.375</v>
      </c>
      <c r="AC8" s="108" t="n">
        <v>45664</v>
      </c>
      <c r="AD8" s="108" t="n">
        <v>45666</v>
      </c>
      <c r="AE8" s="96" t="n">
        <v>45658.70833333334</v>
      </c>
      <c r="AF8" s="96" t="n">
        <v>45660.92986111111</v>
      </c>
      <c r="AG8" s="96" t="n">
        <v>45660.98958333334</v>
      </c>
      <c r="AH8" s="96" t="n">
        <v>45661.01388888889</v>
      </c>
      <c r="AI8" s="96" t="n">
        <v>45661.05555555555</v>
      </c>
      <c r="AJ8" s="96" t="n">
        <v>45661.125</v>
      </c>
      <c r="AK8" s="96" t="n">
        <v>45663.97569444445</v>
      </c>
      <c r="AL8" s="96" t="n">
        <v>45664.00555555556</v>
      </c>
      <c r="AM8" s="96" t="n">
        <v>45664.03819444445</v>
      </c>
      <c r="AN8" s="96" t="n">
        <v>45664.0625</v>
      </c>
      <c r="AO8" s="96" t="n">
        <v>45664.10694444444</v>
      </c>
      <c r="AP8" s="117">
        <f>(AG8-AF8)*1440</f>
        <v/>
      </c>
      <c r="AQ8" s="117">
        <f>(AG8-AE8)*1440</f>
        <v/>
      </c>
      <c r="AR8" s="117">
        <f>(AH8-AF8)*1440</f>
        <v/>
      </c>
      <c r="AS8" s="117">
        <f>(AI8-AH8)*1440</f>
        <v/>
      </c>
      <c r="AT8" s="117">
        <f>(AJ8-AH8)*1440</f>
        <v/>
      </c>
      <c r="AU8" s="117">
        <f>(AL8-AK8)*1440</f>
        <v/>
      </c>
      <c r="AV8" s="117">
        <f>(AM8-AL8)*1440</f>
        <v/>
      </c>
      <c r="AW8" s="117">
        <f>(AO8-AM8)*1440</f>
        <v/>
      </c>
      <c r="AX8" s="118">
        <f>AP8+AS8+AU8+AV8+AW8</f>
        <v/>
      </c>
      <c r="AY8" s="119">
        <f>(AG8-AA8)</f>
        <v/>
      </c>
      <c r="AZ8" s="119">
        <f>(AK8-AJ8)</f>
        <v/>
      </c>
      <c r="BA8" s="119">
        <f>AO8-AG8</f>
        <v/>
      </c>
      <c r="BB8" s="119">
        <f>(AO8-AA8)-(AP8/1440)-(AW8/1440)</f>
        <v/>
      </c>
      <c r="BC8" s="117">
        <f>E8/AZ8</f>
        <v/>
      </c>
      <c r="BD8" s="121" t="n"/>
      <c r="BE8" s="117">
        <f>IF(E8&lt;10000,3000,IF(E8&lt;15000,3600,IF(E8&lt;20000,4500,IF(E8&lt;25000,6000,IF(E8&lt;30000,7500,IF(E8&lt;40000,9000,IF(E8&gt;40000,10000)))))))</f>
        <v/>
      </c>
      <c r="BF8" s="322">
        <f>(E8/BE8)+2</f>
        <v/>
      </c>
      <c r="BL8" s="230" t="n">
        <v>9</v>
      </c>
      <c r="BS8" s="120" t="inlineStr">
        <is>
          <t>NUL</t>
        </is>
      </c>
      <c r="BT8" s="125" t="n"/>
      <c r="BW8" s="323">
        <f>AI8-AH8</f>
        <v/>
      </c>
      <c r="BX8" s="127" t="inlineStr">
        <is>
          <t>NUL</t>
        </is>
      </c>
      <c r="BY8" s="127" t="inlineStr">
        <is>
          <t>NUL</t>
        </is>
      </c>
      <c r="CB8" s="111" t="n">
        <v>16041</v>
      </c>
    </row>
    <row r="9" customFormat="1" s="230">
      <c r="A9" s="122" t="n">
        <v>7</v>
      </c>
      <c r="B9" s="317" t="inlineStr">
        <is>
          <t xml:space="preserve">BUNUN HERO </t>
        </is>
      </c>
      <c r="C9" s="108" t="n">
        <v>45666</v>
      </c>
      <c r="D9" s="318" t="n">
        <v>31900</v>
      </c>
      <c r="E9" s="318" t="n">
        <v>31900</v>
      </c>
      <c r="F9" s="138" t="inlineStr">
        <is>
          <t>OCP NUTR</t>
        </is>
      </c>
      <c r="G9" s="122" t="n">
        <v>1</v>
      </c>
      <c r="H9" s="113" t="inlineStr">
        <is>
          <t>MAP</t>
        </is>
      </c>
      <c r="I9" s="114" t="inlineStr">
        <is>
          <t xml:space="preserve">MAP 11 52 SPECIAL </t>
        </is>
      </c>
      <c r="J9" s="113" t="inlineStr">
        <is>
          <t>CFR</t>
        </is>
      </c>
      <c r="K9" s="124" t="n">
        <v>633.33</v>
      </c>
      <c r="L9" s="319">
        <f>D9*K9</f>
        <v/>
      </c>
      <c r="M9" s="111" t="n"/>
      <c r="N9" s="320">
        <f>L9*M9</f>
        <v/>
      </c>
      <c r="O9" s="124" t="n"/>
      <c r="P9" s="114" t="n"/>
      <c r="Q9" s="113" t="inlineStr">
        <is>
          <t>AMERIQUE LATINE</t>
        </is>
      </c>
      <c r="R9" s="113" t="inlineStr">
        <is>
          <t>BRESIL</t>
        </is>
      </c>
      <c r="S9" s="113" t="inlineStr">
        <is>
          <t>*</t>
        </is>
      </c>
      <c r="T9" s="111" t="inlineStr">
        <is>
          <t>INSPECTORATE</t>
        </is>
      </c>
      <c r="U9" s="122" t="n">
        <v>179</v>
      </c>
      <c r="V9" s="114">
        <f>IF(U9&lt;130, "Mini Bulker", IF(AND(U9&gt;=130, U9&lt;150), "Handysize", IF(AND(U9&gt;=150, U9&lt;200), "Handymax", IF(AND(U9&gt;=200, U9&lt;230), "Panamax", IF(AND(U9&gt;=230, U9&lt;=270), "Capesize", "Autre")))))</f>
        <v/>
      </c>
      <c r="X9" s="111">
        <f>IF(E9&lt;9999,"1",IF(E9&lt;19999,"2",IF(E9&lt;29999,"3",IF(E9&lt;39999,"4",IF(E9&lt;49999,"5",IF(E9&gt;50000,"6"))))))</f>
        <v/>
      </c>
      <c r="Y9" s="115" t="inlineStr">
        <is>
          <t>1BIS</t>
        </is>
      </c>
      <c r="Z9" s="321" t="n"/>
      <c r="AA9" s="96" t="n">
        <v>45663.99166666667</v>
      </c>
      <c r="AB9" s="121" t="n">
        <v>45664.375</v>
      </c>
      <c r="AC9" s="108" t="n">
        <v>45661</v>
      </c>
      <c r="AD9" s="108" t="n">
        <v>45664</v>
      </c>
      <c r="AE9" s="96" t="n">
        <v>45663.9375</v>
      </c>
      <c r="AF9" s="96" t="n">
        <v>45664.10694444444</v>
      </c>
      <c r="AG9" s="96" t="n">
        <v>45664.175</v>
      </c>
      <c r="AH9" s="96" t="n">
        <v>45664.19791666666</v>
      </c>
      <c r="AI9" s="96" t="n">
        <v>45664.25</v>
      </c>
      <c r="AJ9" s="96" t="n">
        <v>45664.27777777778</v>
      </c>
      <c r="AK9" s="96" t="n">
        <v>45666.08333333334</v>
      </c>
      <c r="AL9" s="96" t="n">
        <v>45666.125</v>
      </c>
      <c r="AM9" s="96" t="n">
        <v>45666.14583333334</v>
      </c>
      <c r="AN9" s="96" t="n">
        <v>45666.20277777778</v>
      </c>
      <c r="AO9" s="96" t="n">
        <v>45666.30208333334</v>
      </c>
      <c r="AP9" s="117">
        <f>(AG9-AF9)*1440</f>
        <v/>
      </c>
      <c r="AQ9" s="117">
        <f>(AG9-AE9)*1440</f>
        <v/>
      </c>
      <c r="AR9" s="117">
        <f>(AH9-AF9)*1440</f>
        <v/>
      </c>
      <c r="AS9" s="117">
        <f>(AI9-AH9)*1440</f>
        <v/>
      </c>
      <c r="AT9" s="117">
        <f>(AJ9-AH9)*1440</f>
        <v/>
      </c>
      <c r="AU9" s="117">
        <f>(AL9-AK9)*1440</f>
        <v/>
      </c>
      <c r="AV9" s="117">
        <f>(AM9-AL9)*1440</f>
        <v/>
      </c>
      <c r="AW9" s="117">
        <f>(AO9-AM9)*1440</f>
        <v/>
      </c>
      <c r="AX9" s="118">
        <f>AP9+AS9+AU9+AV9+AW9</f>
        <v/>
      </c>
      <c r="AY9" s="119">
        <f>(AG9-AA9)</f>
        <v/>
      </c>
      <c r="AZ9" s="119">
        <f>(AK9-AJ9)</f>
        <v/>
      </c>
      <c r="BA9" s="119">
        <f>AO9-AG9</f>
        <v/>
      </c>
      <c r="BB9" s="119">
        <f>(AO9-AA9)-(AP9/1440)-(AW9/1440)</f>
        <v/>
      </c>
      <c r="BC9" s="117">
        <f>E9/AZ9</f>
        <v/>
      </c>
      <c r="BE9" s="117">
        <f>IF(E9&lt;10000,3000,IF(E9&lt;15000,3600,IF(E9&lt;20000,4500,IF(E9&lt;25000,6000,IF(E9&lt;30000,7500,IF(E9&lt;40000,9000,IF(E9&gt;40000,10000)))))))</f>
        <v/>
      </c>
      <c r="BF9" s="322">
        <f>(E9/BE9)+2</f>
        <v/>
      </c>
      <c r="BI9" s="230" t="n">
        <v>0</v>
      </c>
      <c r="BJ9" s="230" t="n">
        <v>0</v>
      </c>
      <c r="BK9" s="230" t="n">
        <v>0</v>
      </c>
      <c r="BL9" s="230" t="n">
        <v>0</v>
      </c>
      <c r="BS9" s="120" t="inlineStr">
        <is>
          <t>NUL</t>
        </is>
      </c>
      <c r="BT9" s="125" t="n"/>
      <c r="BV9" s="120" t="n"/>
      <c r="BW9" s="323">
        <f>AI9-AH9</f>
        <v/>
      </c>
      <c r="BX9" s="120" t="inlineStr">
        <is>
          <t>TBC</t>
        </is>
      </c>
      <c r="BY9" s="120" t="inlineStr">
        <is>
          <t>TBC</t>
        </is>
      </c>
      <c r="CB9" s="111" t="n">
        <v>23260</v>
      </c>
    </row>
    <row r="10" ht="15" customFormat="1" customHeight="1" s="230">
      <c r="A10" s="122" t="n">
        <v>8</v>
      </c>
      <c r="B10" s="317" t="inlineStr">
        <is>
          <t>KONINGSBORG</t>
        </is>
      </c>
      <c r="C10" s="108" t="n">
        <v>45666</v>
      </c>
      <c r="D10" s="318" t="n">
        <v>8350</v>
      </c>
      <c r="E10" s="318" t="n">
        <v>8350</v>
      </c>
      <c r="F10" s="138" t="inlineStr">
        <is>
          <t>OCP NUTR</t>
        </is>
      </c>
      <c r="G10" s="122" t="n">
        <v>1</v>
      </c>
      <c r="H10" s="114" t="inlineStr">
        <is>
          <t>DAP</t>
        </is>
      </c>
      <c r="I10" s="114" t="inlineStr">
        <is>
          <t xml:space="preserve">DAP EURO </t>
        </is>
      </c>
      <c r="J10" s="114" t="inlineStr">
        <is>
          <t>FOB</t>
        </is>
      </c>
      <c r="K10" s="124" t="n">
        <v>555</v>
      </c>
      <c r="L10" s="319">
        <f>D10*K10</f>
        <v/>
      </c>
      <c r="M10" s="111" t="n">
        <v>10.0512</v>
      </c>
      <c r="N10" s="320">
        <f>L10*M10</f>
        <v/>
      </c>
      <c r="O10" s="124" t="inlineStr">
        <is>
          <t>2103 T DU 26/12/2024</t>
        </is>
      </c>
      <c r="P10" s="114" t="inlineStr">
        <is>
          <t>HELM AG</t>
        </is>
      </c>
      <c r="Q10" s="113" t="inlineStr">
        <is>
          <t xml:space="preserve">EUROPE </t>
        </is>
      </c>
      <c r="R10" s="113" t="inlineStr">
        <is>
          <t>GERMANY</t>
        </is>
      </c>
      <c r="S10" s="113" t="inlineStr">
        <is>
          <t>*</t>
        </is>
      </c>
      <c r="T10" s="111" t="inlineStr">
        <is>
          <t>INSPECTORATE</t>
        </is>
      </c>
      <c r="U10" s="122" t="n">
        <v>130</v>
      </c>
      <c r="V10" s="114">
        <f>IF(U10&lt;130, "Mini Bulker", IF(AND(U10&gt;=130, U10&lt;150), "Handysize", IF(AND(U10&gt;=150, U10&lt;200), "Handymax", IF(AND(U10&gt;=200, U10&lt;230), "Panamax", IF(AND(U10&gt;=230, U10&lt;=270), "Capesize", "Autre")))))</f>
        <v/>
      </c>
      <c r="X10" s="111">
        <f>IF(E10&lt;9999,"1",IF(E10&lt;19999,"2",IF(E10&lt;29999,"3",IF(E10&lt;39999,"4",IF(E10&lt;49999,"5",IF(E10&gt;50000,"6"))))))</f>
        <v/>
      </c>
      <c r="Y10" s="115" t="inlineStr">
        <is>
          <t>1TER</t>
        </is>
      </c>
      <c r="Z10" s="321" t="n"/>
      <c r="AA10" s="96" t="n">
        <v>45661.58333333334</v>
      </c>
      <c r="AB10" s="121" t="n">
        <v>45663.375</v>
      </c>
      <c r="AC10" s="108" t="n">
        <v>45653</v>
      </c>
      <c r="AD10" s="108" t="n">
        <v>45656</v>
      </c>
      <c r="AE10" s="96" t="n">
        <v>45661.00694444445</v>
      </c>
      <c r="AF10" s="96" t="n">
        <v>45663.51319444444</v>
      </c>
      <c r="AG10" s="96" t="n">
        <v>45663.59027777778</v>
      </c>
      <c r="AH10" s="96" t="n">
        <v>45663.60416666666</v>
      </c>
      <c r="AI10" s="96" t="n">
        <v>45663.67708333334</v>
      </c>
      <c r="AJ10" s="96" t="n">
        <v>45663.70138888889</v>
      </c>
      <c r="AK10" s="96" t="n">
        <v>45666.50347222222</v>
      </c>
      <c r="AL10" s="96" t="n">
        <v>45666.54166666666</v>
      </c>
      <c r="AM10" s="96" t="n">
        <v>45666.55902777778</v>
      </c>
      <c r="AN10" s="96" t="n">
        <v>45666.57986111111</v>
      </c>
      <c r="AO10" s="96" t="n">
        <v>45666.59513888889</v>
      </c>
      <c r="AP10" s="117">
        <f>(AG10-AF10)*1440</f>
        <v/>
      </c>
      <c r="AQ10" s="117">
        <f>(AG10-AE10)*1440</f>
        <v/>
      </c>
      <c r="AR10" s="117">
        <f>(AH10-AF10)*1440</f>
        <v/>
      </c>
      <c r="AS10" s="117">
        <f>(AI10-AH10)*1440</f>
        <v/>
      </c>
      <c r="AT10" s="117">
        <f>(AJ10-AH10)*1440</f>
        <v/>
      </c>
      <c r="AU10" s="117">
        <f>(AL10-AK10)*1440</f>
        <v/>
      </c>
      <c r="AV10" s="117">
        <f>(AM10-AL10)*1440</f>
        <v/>
      </c>
      <c r="AW10" s="117">
        <f>(AO10-AM10)*1440</f>
        <v/>
      </c>
      <c r="AX10" s="118">
        <f>AP10+AS10+AU10+AV10+AW10</f>
        <v/>
      </c>
      <c r="AY10" s="119">
        <f>(AG10-AA10)</f>
        <v/>
      </c>
      <c r="AZ10" s="119">
        <f>(AK10-AJ10)</f>
        <v/>
      </c>
      <c r="BA10" s="119">
        <f>AO10-AG10</f>
        <v/>
      </c>
      <c r="BB10" s="119">
        <f>(AO10-AA10)-(AP10/1440)-(AW10/1440)</f>
        <v/>
      </c>
      <c r="BC10" s="117">
        <f>E10/AZ10</f>
        <v/>
      </c>
      <c r="BE10" s="117">
        <f>IF(E10&lt;10000,3000,IF(E10&lt;15000,3600,IF(E10&lt;20000,4500,IF(E10&lt;25000,6000,IF(E10&lt;30000,7500,IF(E10&lt;40000,9000,IF(E10&gt;40000,10000)))))))</f>
        <v/>
      </c>
      <c r="BF10" s="322">
        <f>(E10/BE10)+2</f>
        <v/>
      </c>
      <c r="BL10" s="252" t="n">
        <v>0.01041666666666667</v>
      </c>
      <c r="BS10" s="120" t="inlineStr">
        <is>
          <t>NUL</t>
        </is>
      </c>
      <c r="BT10" s="125" t="n"/>
      <c r="BV10" s="120" t="n"/>
      <c r="BW10" s="323">
        <f>AI10-AH10</f>
        <v/>
      </c>
      <c r="BX10" s="127" t="inlineStr">
        <is>
          <t>NUL</t>
        </is>
      </c>
      <c r="BY10" s="127" t="inlineStr">
        <is>
          <t>NUL</t>
        </is>
      </c>
      <c r="CB10" s="111" t="n">
        <v>6142</v>
      </c>
    </row>
    <row r="11" ht="14.55" customFormat="1" customHeight="1" s="230">
      <c r="A11" s="122" t="n">
        <v>9</v>
      </c>
      <c r="B11" s="317" t="inlineStr">
        <is>
          <t>ELONG ELONG</t>
        </is>
      </c>
      <c r="C11" s="108" t="n">
        <v>45667</v>
      </c>
      <c r="D11" s="318" t="n">
        <v>8924</v>
      </c>
      <c r="E11" s="324" t="n">
        <v>12774</v>
      </c>
      <c r="F11" s="232" t="n"/>
      <c r="G11" s="122" t="n">
        <v>2</v>
      </c>
      <c r="H11" s="113" t="inlineStr">
        <is>
          <t>TSP</t>
        </is>
      </c>
      <c r="I11" s="114" t="inlineStr">
        <is>
          <t>TSP CIV</t>
        </is>
      </c>
      <c r="J11" s="114" t="inlineStr">
        <is>
          <t>FOB</t>
        </is>
      </c>
      <c r="K11" s="123" t="n">
        <v>583</v>
      </c>
      <c r="L11" s="319">
        <f>D11*K11</f>
        <v/>
      </c>
      <c r="M11" s="111" t="n">
        <v>10.0582</v>
      </c>
      <c r="N11" s="320">
        <f>L11*M11</f>
        <v/>
      </c>
      <c r="O11" s="124" t="inlineStr">
        <is>
          <t>2103 T DU 26/12/2024</t>
        </is>
      </c>
      <c r="P11" s="114" t="inlineStr">
        <is>
          <t>SOLEVO COTE D'IVOIRE SA</t>
        </is>
      </c>
      <c r="Q11" s="113" t="inlineStr">
        <is>
          <t>AFRIQUE</t>
        </is>
      </c>
      <c r="R11" s="113" t="inlineStr">
        <is>
          <t>Cote d'Ivoire / GHANA</t>
        </is>
      </c>
      <c r="S11" s="113" t="inlineStr">
        <is>
          <t>*</t>
        </is>
      </c>
      <c r="T11" s="111" t="inlineStr">
        <is>
          <t>INSPECTORATE</t>
        </is>
      </c>
      <c r="U11" s="122" t="n">
        <v>168</v>
      </c>
      <c r="V11" s="114">
        <f>IF(U11&lt;130, "Mini Bulker", IF(AND(U11&gt;=130, U11&lt;150), "Handysize", IF(AND(U11&gt;=150, U11&lt;200), "Handymax", IF(AND(U11&gt;=200, U11&lt;230), "Panamax", IF(AND(U11&gt;=230, U11&lt;=270), "Capesize", "Autre")))))</f>
        <v/>
      </c>
      <c r="X11" s="111">
        <f>IF(E11&lt;9999,"1",IF(E11&lt;19999,"2",IF(E11&lt;29999,"3",IF(E11&lt;39999,"4",IF(E11&lt;49999,"5",IF(E11&gt;50000,"6"))))))</f>
        <v/>
      </c>
      <c r="Y11" s="115" t="inlineStr">
        <is>
          <t>2N</t>
        </is>
      </c>
      <c r="Z11" s="321" t="n"/>
      <c r="AA11" s="96" t="n">
        <v>45665.41666666666</v>
      </c>
      <c r="AB11" s="96" t="n">
        <v>45665.41666666666</v>
      </c>
      <c r="AC11" s="108" t="n">
        <v>45663</v>
      </c>
      <c r="AD11" s="108" t="n">
        <v>45665</v>
      </c>
      <c r="AE11" s="96" t="n">
        <v>45665.41666666666</v>
      </c>
      <c r="AF11" s="96" t="n">
        <v>45665.47708333333</v>
      </c>
      <c r="AG11" s="96" t="n">
        <v>45665.51736111111</v>
      </c>
      <c r="AH11" s="96" t="n">
        <v>45665.53472222222</v>
      </c>
      <c r="AI11" s="96" t="n">
        <v>45665.60416666666</v>
      </c>
      <c r="AJ11" s="96" t="n">
        <v>45665.77083333334</v>
      </c>
      <c r="AK11" s="96" t="n">
        <v>45667.27777777778</v>
      </c>
      <c r="AL11" s="96" t="n">
        <v>45667.32638888889</v>
      </c>
      <c r="AM11" s="96" t="n">
        <v>45667.35416666666</v>
      </c>
      <c r="AN11" s="96" t="n">
        <v>45667.38194444445</v>
      </c>
      <c r="AO11" s="96" t="n">
        <v>45667.44444444445</v>
      </c>
      <c r="AP11" s="117">
        <f>(AG11-AF11)*1440</f>
        <v/>
      </c>
      <c r="AQ11" s="117">
        <f>(AG11-AE11)*1440</f>
        <v/>
      </c>
      <c r="AR11" s="117">
        <f>(AH11-AF11)*1440</f>
        <v/>
      </c>
      <c r="AS11" s="117">
        <f>(AI11-AH11)*1440</f>
        <v/>
      </c>
      <c r="AT11" s="117">
        <f>(AJ11-AH11)*1440</f>
        <v/>
      </c>
      <c r="AU11" s="117">
        <f>(AL11-AK11)*1440</f>
        <v/>
      </c>
      <c r="AV11" s="117">
        <f>(AM11-AL11)*1440</f>
        <v/>
      </c>
      <c r="AW11" s="117">
        <f>(AO11-AM11)*1440</f>
        <v/>
      </c>
      <c r="AX11" s="118">
        <f>AP11+AS11+AU11+AV11+AW11</f>
        <v/>
      </c>
      <c r="AY11" s="119">
        <f>(AG11-AA11)</f>
        <v/>
      </c>
      <c r="AZ11" s="119">
        <f>(AK11-AJ11)</f>
        <v/>
      </c>
      <c r="BA11" s="119">
        <f>AO11-AG11</f>
        <v/>
      </c>
      <c r="BB11" s="119">
        <f>(AO11-AA11)-(AP11/1440)-(AW11/1440)</f>
        <v/>
      </c>
      <c r="BC11" s="117">
        <f>E11/AZ11</f>
        <v/>
      </c>
      <c r="BE11" s="117">
        <f>IF(E11&lt;10000,3000,IF(E11&lt;15000,3600,IF(E11&lt;20000,4500,IF(E11&lt;25000,6000,IF(E11&lt;30000,7500,IF(E11&lt;40000,9000,IF(E11&gt;40000,10000)))))))</f>
        <v/>
      </c>
      <c r="BF11" s="322">
        <f>(E11/BE11)+2</f>
        <v/>
      </c>
      <c r="BI11" s="230" t="n">
        <v>0</v>
      </c>
      <c r="BJ11" s="230" t="n">
        <v>0</v>
      </c>
      <c r="BK11" s="230" t="n">
        <v>0</v>
      </c>
      <c r="BL11" s="230" t="n">
        <v>0</v>
      </c>
      <c r="BS11" s="120" t="inlineStr">
        <is>
          <t>MAINTENU PAR SHORE TENTION</t>
        </is>
      </c>
      <c r="BT11" s="125" t="n"/>
      <c r="BV11" s="120" t="n"/>
      <c r="BW11" s="323">
        <f>AI11-AH11</f>
        <v/>
      </c>
      <c r="BX11" s="120" t="n"/>
      <c r="BY11" s="120" t="n">
        <v>200</v>
      </c>
      <c r="CB11" s="111" t="n">
        <v>13691</v>
      </c>
    </row>
    <row r="12" ht="15" customFormat="1" customHeight="1" s="230">
      <c r="A12" s="122" t="n"/>
      <c r="B12" s="317" t="inlineStr">
        <is>
          <t>ELONG ELONG</t>
        </is>
      </c>
      <c r="C12" s="108" t="n">
        <v>45667</v>
      </c>
      <c r="D12" s="318" t="n">
        <v>3850</v>
      </c>
      <c r="E12" s="325" t="n"/>
      <c r="F12" s="232" t="n"/>
      <c r="G12" s="112" t="n">
        <v>2</v>
      </c>
      <c r="H12" s="113" t="inlineStr">
        <is>
          <t>DAP</t>
        </is>
      </c>
      <c r="I12" s="114" t="inlineStr">
        <is>
          <t>DAP SPECIAL</t>
        </is>
      </c>
      <c r="J12" s="113" t="inlineStr">
        <is>
          <t>FOB</t>
        </is>
      </c>
      <c r="K12" s="123" t="n">
        <v>440</v>
      </c>
      <c r="L12" s="319">
        <f>D12*K12</f>
        <v/>
      </c>
      <c r="M12" s="111" t="n">
        <v>10.0582</v>
      </c>
      <c r="N12" s="320">
        <f>L12*M12</f>
        <v/>
      </c>
      <c r="O12" s="124" t="inlineStr">
        <is>
          <t>2110 A DU 26/12/2024</t>
        </is>
      </c>
      <c r="P12" s="114" t="inlineStr">
        <is>
          <t>SOLEVO GHANA LTD</t>
        </is>
      </c>
      <c r="Q12" s="113" t="inlineStr">
        <is>
          <t>AFRIQUE</t>
        </is>
      </c>
      <c r="R12" s="113" t="inlineStr">
        <is>
          <t>Cote d'Ivoire / GHANA</t>
        </is>
      </c>
      <c r="S12" s="113" t="inlineStr">
        <is>
          <t>*</t>
        </is>
      </c>
      <c r="T12" s="111" t="inlineStr">
        <is>
          <t>INSPECTORATE</t>
        </is>
      </c>
      <c r="U12" s="122" t="n">
        <v>168</v>
      </c>
      <c r="V12" s="114">
        <f>IF(U12&lt;130, "Mini Bulker", IF(AND(U12&gt;=130, U12&lt;150), "Handysize", IF(AND(U12&gt;=150, U12&lt;200), "Handymax", IF(AND(U12&gt;=200, U12&lt;230), "Panamax", IF(AND(U12&gt;=230, U12&lt;=270), "Capesize", "Autre")))))</f>
        <v/>
      </c>
      <c r="X12" s="111">
        <f>IF(E12&lt;9999,"1",IF(E12&lt;19999,"2",IF(E12&lt;29999,"3",IF(E12&lt;39999,"4",IF(E12&lt;49999,"5",IF(E12&gt;50000,"6"))))))</f>
        <v/>
      </c>
      <c r="Y12" s="115" t="inlineStr">
        <is>
          <t>2N</t>
        </is>
      </c>
      <c r="Z12" s="321" t="n"/>
      <c r="AA12" s="121" t="n"/>
      <c r="AB12" s="121" t="n"/>
      <c r="AC12" s="121" t="n"/>
      <c r="AD12" s="121" t="n"/>
      <c r="AE12" s="121" t="n"/>
      <c r="AF12" s="121" t="n"/>
      <c r="AG12" s="121" t="n"/>
      <c r="AH12" s="121" t="n"/>
      <c r="AI12" s="121" t="n"/>
      <c r="AJ12" s="121" t="n"/>
      <c r="AK12" s="121" t="n"/>
      <c r="AL12" s="121" t="n"/>
      <c r="AM12" s="121" t="n"/>
      <c r="AN12" s="121" t="n"/>
      <c r="AO12" s="121" t="n"/>
      <c r="AP12" s="121" t="n"/>
      <c r="AQ12" s="121" t="n"/>
      <c r="AR12" s="121" t="n"/>
      <c r="AS12" s="121" t="n"/>
      <c r="AT12" s="121" t="n"/>
      <c r="AU12" s="121" t="n"/>
      <c r="AV12" s="121" t="n"/>
      <c r="AW12" s="121" t="n"/>
      <c r="AX12" s="121" t="n"/>
      <c r="AY12" s="121" t="n"/>
      <c r="AZ12" s="121" t="n"/>
      <c r="BA12" s="121" t="n"/>
      <c r="BB12" s="121" t="n"/>
      <c r="BC12" s="121" t="n"/>
      <c r="BD12" s="121" t="n"/>
      <c r="BE12" s="121" t="n"/>
      <c r="BF12" s="121" t="n"/>
      <c r="BG12" s="121" t="n"/>
      <c r="BH12" s="121" t="n"/>
      <c r="BI12" s="121" t="n"/>
      <c r="BJ12" s="121" t="n"/>
      <c r="BK12" s="121" t="n"/>
      <c r="BL12" s="121" t="n"/>
      <c r="BS12" s="120" t="inlineStr">
        <is>
          <t>MAINTENU PAR SHORE TENTION</t>
        </is>
      </c>
      <c r="BT12" s="125" t="n"/>
      <c r="BV12" s="120" t="n"/>
      <c r="BW12" s="323">
        <f>AI12-AH12</f>
        <v/>
      </c>
      <c r="BX12" s="120" t="n"/>
      <c r="BY12" s="120" t="n">
        <v>200</v>
      </c>
      <c r="CB12" s="111" t="n">
        <v>13691</v>
      </c>
    </row>
    <row r="13" customFormat="1" s="230">
      <c r="A13" s="122" t="n">
        <v>10</v>
      </c>
      <c r="B13" s="317" t="inlineStr">
        <is>
          <t xml:space="preserve">ELENI K </t>
        </is>
      </c>
      <c r="C13" s="108" t="n">
        <v>45668</v>
      </c>
      <c r="D13" s="318" t="n">
        <v>2200</v>
      </c>
      <c r="E13" s="324">
        <f>D14+D13</f>
        <v/>
      </c>
      <c r="F13" s="138" t="inlineStr">
        <is>
          <t>OCP NUTR</t>
        </is>
      </c>
      <c r="G13" s="112" t="n">
        <v>2</v>
      </c>
      <c r="H13" s="114" t="inlineStr">
        <is>
          <t>DAP</t>
        </is>
      </c>
      <c r="I13" s="114" t="inlineStr">
        <is>
          <t>DAP EURO</t>
        </is>
      </c>
      <c r="J13" s="113" t="inlineStr">
        <is>
          <t>FOB</t>
        </is>
      </c>
      <c r="K13" s="123" t="n">
        <v>595</v>
      </c>
      <c r="L13" s="319">
        <f>D13*K13</f>
        <v/>
      </c>
      <c r="M13" s="111" t="n">
        <v>10.0697</v>
      </c>
      <c r="N13" s="320">
        <f>L13*M13</f>
        <v/>
      </c>
      <c r="O13" s="124" t="inlineStr">
        <is>
          <t>2103 T DU 26/12/2024</t>
        </is>
      </c>
      <c r="P13" s="114" t="inlineStr">
        <is>
          <t>FERTILORE SOURCING</t>
        </is>
      </c>
      <c r="Q13" s="113" t="inlineStr">
        <is>
          <t>EUROPE</t>
        </is>
      </c>
      <c r="R13" s="113" t="inlineStr">
        <is>
          <t>PAYS BAS</t>
        </is>
      </c>
      <c r="S13" s="113" t="n"/>
      <c r="T13" s="111" t="inlineStr">
        <is>
          <t>INSPECTORATE</t>
        </is>
      </c>
      <c r="U13" s="122" t="n">
        <v>90</v>
      </c>
      <c r="V13" s="113">
        <f>IF(U13&lt;130, "Mini Bulker", IF(AND(U13&gt;=130, U13&lt;150), "Handysize", IF(AND(U13&gt;=150, U13&lt;200), "Handymax", IF(AND(U13&gt;=200, U13&lt;230), "Panamax", IF(AND(U13&gt;=230, U13&lt;=270), "Capesize", "Autre")))))</f>
        <v/>
      </c>
      <c r="X13" s="111">
        <f>IF(E13&lt;9999,"1",IF(E13&lt;19999,"2",IF(E13&lt;29999,"3",IF(E13&lt;39999,"4",IF(E13&lt;49999,"5",IF(E13&gt;50000,"6"))))))</f>
        <v/>
      </c>
      <c r="Y13" s="115" t="inlineStr">
        <is>
          <t>2TER/1BIS/1SUD</t>
        </is>
      </c>
      <c r="Z13" s="321" t="n"/>
      <c r="AA13" s="96" t="n">
        <v>45660.70138888889</v>
      </c>
      <c r="AB13" s="96" t="n">
        <v>45660.70138888889</v>
      </c>
      <c r="AC13" s="108" t="n">
        <v>45659</v>
      </c>
      <c r="AD13" s="108" t="n">
        <v>45661</v>
      </c>
      <c r="AE13" s="96" t="n">
        <v>45659.4375</v>
      </c>
      <c r="AF13" s="121" t="n">
        <v>45664.54861111111</v>
      </c>
      <c r="AG13" s="121" t="n">
        <v>45664.6125</v>
      </c>
      <c r="AH13" s="121" t="n">
        <v>45664.63541666666</v>
      </c>
      <c r="AI13" s="121" t="n">
        <v>45664.88541666666</v>
      </c>
      <c r="AJ13" s="96" t="n">
        <v>45665.53125</v>
      </c>
      <c r="AK13" s="96" t="n">
        <v>45668.59027777778</v>
      </c>
      <c r="AL13" s="96" t="n">
        <v>45668.62847222222</v>
      </c>
      <c r="AM13" s="96" t="n">
        <v>45668.65277777778</v>
      </c>
      <c r="AN13" s="96" t="n">
        <v>45668.71875</v>
      </c>
      <c r="AO13" s="96" t="n">
        <v>45668.78055555555</v>
      </c>
      <c r="AP13" s="117">
        <f>(AG13-AF13)*1440</f>
        <v/>
      </c>
      <c r="AQ13" s="117">
        <f>(AG13-AE13)*1440</f>
        <v/>
      </c>
      <c r="AR13" s="117">
        <f>(AH13-AF13)*1440</f>
        <v/>
      </c>
      <c r="AS13" s="117">
        <f>(AI13-AH13)*1440</f>
        <v/>
      </c>
      <c r="AT13" s="117">
        <f>(AJ13-AH13)*1440</f>
        <v/>
      </c>
      <c r="AU13" s="117">
        <f>(AL13-AK13)*1440</f>
        <v/>
      </c>
      <c r="AV13" s="117">
        <f>(AM13-AL13)*1440</f>
        <v/>
      </c>
      <c r="AW13" s="117">
        <f>(AO13-AM13)*1440</f>
        <v/>
      </c>
      <c r="AX13" s="118">
        <f>AP13+AS13+AU13+AV13+AW13</f>
        <v/>
      </c>
      <c r="AY13" s="119">
        <f>(AG13-AA13)</f>
        <v/>
      </c>
      <c r="AZ13" s="119">
        <f>(AK13-AJ13)</f>
        <v/>
      </c>
      <c r="BA13" s="119">
        <f>AO13-AG13</f>
        <v/>
      </c>
      <c r="BB13" s="119">
        <f>(AO13-AA13)-(AP13/1440)-(AW13/1440)</f>
        <v/>
      </c>
      <c r="BC13" s="117">
        <f>E13/AZ13</f>
        <v/>
      </c>
      <c r="BE13" s="117">
        <f>IF(E13&lt;10000,3000,IF(E13&lt;15000,3600,IF(E13&lt;20000,4500,IF(E13&lt;25000,6000,IF(E13&lt;30000,7500,IF(E13&lt;40000,9000,IF(E13&gt;40000,10000)))))))</f>
        <v/>
      </c>
      <c r="BF13" s="322">
        <f>(E13/BE13)+2</f>
        <v/>
      </c>
      <c r="BI13" s="230" t="n">
        <v>0</v>
      </c>
      <c r="BJ13" s="230" t="n">
        <v>0</v>
      </c>
      <c r="BK13" s="230" t="n">
        <v>0</v>
      </c>
      <c r="BL13" s="230" t="n">
        <v>0</v>
      </c>
      <c r="BS13" s="120" t="inlineStr">
        <is>
          <t>'CHANGE DU POSTE 2TER VERS 1BIS LE 09/01 - 2300 // CHANGE DU POSTE 1BIS VERS 1S LE 10/01 - 1445 // ATTENTE DECHARGEMENT SURPLUS</t>
        </is>
      </c>
      <c r="BT13" s="125" t="n">
        <v>2</v>
      </c>
      <c r="BV13" s="120" t="inlineStr">
        <is>
          <t>SEALING OF BULKHEAD</t>
        </is>
      </c>
      <c r="BW13" s="323">
        <f>AI13-AH13</f>
        <v/>
      </c>
      <c r="BX13" s="120" t="n"/>
      <c r="BY13" s="120" t="n">
        <v>25</v>
      </c>
      <c r="CB13" s="111" t="n">
        <v>3845</v>
      </c>
    </row>
    <row r="14" customFormat="1" s="230">
      <c r="A14" s="122" t="n"/>
      <c r="B14" s="317" t="inlineStr">
        <is>
          <t xml:space="preserve">ELENI K </t>
        </is>
      </c>
      <c r="C14" s="108" t="n">
        <v>45668</v>
      </c>
      <c r="D14" s="318" t="n">
        <v>2200</v>
      </c>
      <c r="E14" s="325" t="n"/>
      <c r="F14" s="138" t="inlineStr">
        <is>
          <t>OCP NUTR</t>
        </is>
      </c>
      <c r="G14" s="112" t="n">
        <v>2</v>
      </c>
      <c r="H14" s="113" t="inlineStr">
        <is>
          <t>MAP</t>
        </is>
      </c>
      <c r="I14" s="114" t="inlineStr">
        <is>
          <t xml:space="preserve">MAP 11 52 EU </t>
        </is>
      </c>
      <c r="J14" s="113" t="inlineStr">
        <is>
          <t>FOB</t>
        </is>
      </c>
      <c r="K14" s="123" t="n">
        <v>595</v>
      </c>
      <c r="L14" s="319">
        <f>D14*K14</f>
        <v/>
      </c>
      <c r="M14" s="111" t="n">
        <v>10.0697</v>
      </c>
      <c r="N14" s="320">
        <f>L14*M14</f>
        <v/>
      </c>
      <c r="O14" s="124" t="inlineStr">
        <is>
          <t>2103 T DU 26/12/2024</t>
        </is>
      </c>
      <c r="P14" s="114" t="inlineStr">
        <is>
          <t>FERTILORE SOURCING</t>
        </is>
      </c>
      <c r="Q14" s="113" t="inlineStr">
        <is>
          <t>EUROPE</t>
        </is>
      </c>
      <c r="R14" s="113" t="inlineStr">
        <is>
          <t>PAYS BAS</t>
        </is>
      </c>
      <c r="S14" s="113" t="n"/>
      <c r="T14" s="111" t="inlineStr">
        <is>
          <t>INSPECTORATE</t>
        </is>
      </c>
      <c r="U14" s="122" t="n">
        <v>90</v>
      </c>
      <c r="V14" s="113">
        <f>IF(U14&lt;130, "Mini Bulker", IF(AND(U14&gt;=130, U14&lt;150), "Handysize", IF(AND(U14&gt;=150, U14&lt;200), "Handymax", IF(AND(U14&gt;=200, U14&lt;230), "Panamax", IF(AND(U14&gt;=230, U14&lt;=270), "Capesize", "Autre")))))</f>
        <v/>
      </c>
      <c r="X14" s="111">
        <f>IF(E14&lt;9999,"1",IF(E14&lt;19999,"2",IF(E14&lt;29999,"3",IF(E14&lt;39999,"4",IF(E14&lt;49999,"5",IF(E14&gt;50000,"6"))))))</f>
        <v/>
      </c>
      <c r="Y14" s="115" t="inlineStr">
        <is>
          <t>2TER/1BIS/1SUD</t>
        </is>
      </c>
      <c r="Z14" s="321" t="n"/>
      <c r="AA14" s="121" t="n"/>
      <c r="AB14" s="121" t="n"/>
      <c r="AC14" s="121" t="n"/>
      <c r="AD14" s="121" t="n"/>
      <c r="AE14" s="121" t="n"/>
      <c r="AF14" s="121" t="n"/>
      <c r="AG14" s="121" t="n"/>
      <c r="AH14" s="121" t="n"/>
      <c r="AI14" s="121" t="n"/>
      <c r="AJ14" s="121" t="n"/>
      <c r="AK14" s="121" t="n"/>
      <c r="AL14" s="121" t="n"/>
      <c r="AM14" s="121" t="n"/>
      <c r="AN14" s="121" t="n"/>
      <c r="AO14" s="121" t="n"/>
      <c r="AP14" s="121" t="n"/>
      <c r="AQ14" s="121" t="n"/>
      <c r="AR14" s="121" t="n"/>
      <c r="AS14" s="121" t="n"/>
      <c r="AT14" s="121" t="n"/>
      <c r="AU14" s="121" t="n"/>
      <c r="AV14" s="121" t="n"/>
      <c r="AW14" s="121" t="n"/>
      <c r="AX14" s="121" t="n"/>
      <c r="AY14" s="121" t="n"/>
      <c r="AZ14" s="121" t="n"/>
      <c r="BA14" s="121" t="n"/>
      <c r="BB14" s="121" t="n"/>
      <c r="BC14" s="121" t="n"/>
      <c r="BD14" s="121" t="n"/>
      <c r="BE14" s="121" t="n"/>
      <c r="BF14" s="121" t="n"/>
      <c r="BG14" s="121" t="n"/>
      <c r="BH14" s="121" t="n"/>
      <c r="BI14" s="121" t="n"/>
      <c r="BJ14" s="121" t="n"/>
      <c r="BK14" s="121" t="n"/>
      <c r="BL14" s="121" t="n"/>
      <c r="BS14" s="120" t="inlineStr">
        <is>
          <t>'CHANGE DU POSTE 2TER VERS 1BIS LE 09/01 - 2300 // CHANGE DU POSTE 1BIS VERS 1S LE 10/01 - 1445 // ATTENTE DECHARGEMENT SURPLUS</t>
        </is>
      </c>
      <c r="BT14" s="125" t="n"/>
      <c r="BV14" s="120" t="n"/>
      <c r="BW14" s="323">
        <f>AI14-AH14</f>
        <v/>
      </c>
      <c r="BX14" s="120" t="n"/>
      <c r="BY14" s="120" t="n">
        <v>25</v>
      </c>
      <c r="CB14" s="111" t="n"/>
    </row>
    <row r="15" customFormat="1" s="230">
      <c r="A15" s="122" t="n">
        <v>11</v>
      </c>
      <c r="B15" s="317" t="inlineStr">
        <is>
          <t>AST MALTA</t>
        </is>
      </c>
      <c r="C15" s="108" t="n">
        <v>45669</v>
      </c>
      <c r="D15" s="318" t="n">
        <v>4200</v>
      </c>
      <c r="E15" s="318" t="n">
        <v>4200</v>
      </c>
      <c r="F15" s="138" t="inlineStr">
        <is>
          <t>OCP NUTR</t>
        </is>
      </c>
      <c r="G15" s="112" t="n">
        <v>1</v>
      </c>
      <c r="H15" s="113" t="inlineStr">
        <is>
          <t>DAP</t>
        </is>
      </c>
      <c r="I15" s="114" t="inlineStr">
        <is>
          <t>DAP EURO</t>
        </is>
      </c>
      <c r="J15" s="113" t="inlineStr">
        <is>
          <t>FOB</t>
        </is>
      </c>
      <c r="K15" s="82" t="n">
        <v>605</v>
      </c>
      <c r="L15" s="326">
        <f>D15*K15</f>
        <v/>
      </c>
      <c r="M15" s="14" t="n">
        <v>10.0697</v>
      </c>
      <c r="N15" s="327">
        <f>L15*M15</f>
        <v/>
      </c>
      <c r="O15" s="16" t="inlineStr">
        <is>
          <t>2103 T DU 26/12/2024</t>
        </is>
      </c>
      <c r="P15" s="306" t="inlineStr">
        <is>
          <t>NUTRIEN ITALIA S.p.A.</t>
        </is>
      </c>
      <c r="Q15" s="113" t="inlineStr">
        <is>
          <t xml:space="preserve">EUROPE </t>
        </is>
      </c>
      <c r="R15" s="113" t="inlineStr">
        <is>
          <t>Italie</t>
        </is>
      </c>
      <c r="S15" s="113" t="n"/>
      <c r="T15" s="111" t="inlineStr">
        <is>
          <t>INTERTEK</t>
        </is>
      </c>
      <c r="U15" s="122" t="n">
        <v>100</v>
      </c>
      <c r="V15" s="113">
        <f>IF(U15&lt;130, "Mini Bulker", IF(AND(U15&gt;=130, U15&lt;150), "Handysize", IF(AND(U15&gt;=150, U15&lt;200), "Handymax", IF(AND(U15&gt;=200, U15&lt;230), "Panamax", IF(AND(U15&gt;=230, U15&lt;=270), "Capesize", "Autre")))))</f>
        <v/>
      </c>
      <c r="X15" s="111">
        <f>IF(E15&lt;9999,"1",IF(E15&lt;19999,"2",IF(E15&lt;29999,"3",IF(E15&lt;39999,"4",IF(E15&lt;49999,"5",IF(E15&gt;50000,"6"))))))</f>
        <v/>
      </c>
      <c r="Y15" s="115" t="inlineStr">
        <is>
          <t>2N/1BIS</t>
        </is>
      </c>
      <c r="Z15" s="321" t="n"/>
      <c r="AA15" s="96" t="n">
        <v>45663.75</v>
      </c>
      <c r="AB15" s="121" t="n">
        <v>45664.375</v>
      </c>
      <c r="AC15" s="108" t="n">
        <v>45660</v>
      </c>
      <c r="AD15" s="108" t="n">
        <v>45662</v>
      </c>
      <c r="AE15" s="96" t="n">
        <v>45660.58333333334</v>
      </c>
      <c r="AF15" s="26" t="n">
        <v>45663.72708333333</v>
      </c>
      <c r="AG15" s="96" t="n">
        <v>45663.8125</v>
      </c>
      <c r="AH15" s="96" t="n">
        <v>45667.99166666667</v>
      </c>
      <c r="AI15" s="26" t="n">
        <v>45668.79166666666</v>
      </c>
      <c r="AJ15" s="96" t="n">
        <v>45669.01736111111</v>
      </c>
      <c r="AK15" s="96" t="n">
        <v>45669.70138888889</v>
      </c>
      <c r="AL15" s="96" t="n">
        <v>45669.72916666666</v>
      </c>
      <c r="AM15" s="96" t="n">
        <v>45669.75</v>
      </c>
      <c r="AN15" s="26" t="n">
        <v>45669.77916666667</v>
      </c>
      <c r="AO15" s="96" t="n">
        <v>45669.78819444445</v>
      </c>
      <c r="AP15" s="117">
        <f>(AG15-AF15)*1440</f>
        <v/>
      </c>
      <c r="AQ15" s="117">
        <f>(AG15-AE15)*1440</f>
        <v/>
      </c>
      <c r="AR15" s="117">
        <f>(AH15-AF15)*1440</f>
        <v/>
      </c>
      <c r="AS15" s="117">
        <f>(AI15-AH15)*1440</f>
        <v/>
      </c>
      <c r="AT15" s="117">
        <f>(AJ15-AH15)*1440</f>
        <v/>
      </c>
      <c r="AU15" s="117">
        <f>(AL15-AK15)*1440</f>
        <v/>
      </c>
      <c r="AV15" s="117">
        <f>(AM15-AL15)*1440</f>
        <v/>
      </c>
      <c r="AW15" s="117">
        <f>(AO15-AM15)*1440</f>
        <v/>
      </c>
      <c r="AX15" s="118">
        <f>AP15+AS15+AU15+AV15+AW15</f>
        <v/>
      </c>
      <c r="AY15" s="119">
        <f>(AG15-AA15)</f>
        <v/>
      </c>
      <c r="AZ15" s="119">
        <f>(AK15-AJ15)</f>
        <v/>
      </c>
      <c r="BA15" s="119">
        <f>AO15-AG15</f>
        <v/>
      </c>
      <c r="BB15" s="119">
        <f>(AO15-AA15)-(AP15/1440)-(AW15/1440)</f>
        <v/>
      </c>
      <c r="BC15" s="117">
        <f>E15/AZ15</f>
        <v/>
      </c>
      <c r="BE15" s="117">
        <f>IF(E15&lt;10000,3000,IF(E15&lt;15000,3600,IF(E15&lt;20000,4500,IF(E15&lt;25000,6000,IF(E15&lt;30000,7500,IF(E15&lt;40000,9000,IF(E15&gt;40000,10000)))))))</f>
        <v/>
      </c>
      <c r="BF15" s="322">
        <f>(E15/BE15)+2</f>
        <v/>
      </c>
      <c r="BI15" s="230" t="n">
        <v>0</v>
      </c>
      <c r="BJ15" s="230" t="n">
        <v>0</v>
      </c>
      <c r="BK15" s="230" t="n">
        <v>0</v>
      </c>
      <c r="BL15" s="230" t="n">
        <v>0</v>
      </c>
      <c r="BS15" s="120" t="inlineStr">
        <is>
          <t>NAVIRE ACCOSTE POUR RECEVOIRE L'EAU DOUCE  // CHANGE DU POSTE 2N VERS LA RADE LE 07/01- 2215 RE-ACC AU POSTE 1BIS LE 10/01- 2335</t>
        </is>
      </c>
      <c r="BT15" s="120" t="n">
        <v>2</v>
      </c>
      <c r="BU15" s="120" t="n"/>
      <c r="BV15" s="120" t="inlineStr">
        <is>
          <t>DABALLASTING</t>
        </is>
      </c>
      <c r="BW15" s="323">
        <f>AI15-AH15</f>
        <v/>
      </c>
      <c r="BX15" s="120" t="n"/>
      <c r="BY15" s="120" t="n">
        <v>25</v>
      </c>
      <c r="CB15" s="111" t="n">
        <v>3415</v>
      </c>
    </row>
    <row r="16" ht="14.55" customFormat="1" customHeight="1" s="230">
      <c r="A16" s="122" t="n">
        <v>12</v>
      </c>
      <c r="B16" s="317" t="inlineStr">
        <is>
          <t>ENDURANCE</t>
        </is>
      </c>
      <c r="C16" s="108" t="n">
        <v>45670</v>
      </c>
      <c r="D16" s="318" t="n">
        <v>3250</v>
      </c>
      <c r="E16" s="324">
        <f>D17+D16</f>
        <v/>
      </c>
      <c r="F16" s="138" t="inlineStr">
        <is>
          <t>OCP NUTR</t>
        </is>
      </c>
      <c r="G16" s="112" t="n">
        <v>2</v>
      </c>
      <c r="H16" s="114" t="inlineStr">
        <is>
          <t>DAP</t>
        </is>
      </c>
      <c r="I16" s="114" t="inlineStr">
        <is>
          <t xml:space="preserve">DAP EURO </t>
        </is>
      </c>
      <c r="J16" s="113" t="inlineStr">
        <is>
          <t>FOB</t>
        </is>
      </c>
      <c r="K16" s="82" t="n">
        <v>600</v>
      </c>
      <c r="L16" s="326">
        <f>D16*K16</f>
        <v/>
      </c>
      <c r="M16" s="14" t="n">
        <v>10.0697</v>
      </c>
      <c r="N16" s="327">
        <f>L16*M16</f>
        <v/>
      </c>
      <c r="O16" s="16" t="inlineStr">
        <is>
          <t>2103 T DU 26/12/2024</t>
        </is>
      </c>
      <c r="P16" s="306" t="inlineStr">
        <is>
          <t>TIMAC AGRO ITALIA</t>
        </is>
      </c>
      <c r="Q16" s="113" t="inlineStr">
        <is>
          <t xml:space="preserve">EUROPE </t>
        </is>
      </c>
      <c r="R16" s="113" t="inlineStr">
        <is>
          <t>Italie</t>
        </is>
      </c>
      <c r="S16" s="113" t="n"/>
      <c r="T16" s="111" t="inlineStr">
        <is>
          <t>INSPECTORATE</t>
        </is>
      </c>
      <c r="U16" s="122" t="n"/>
      <c r="V16" s="113">
        <f>IF(U16&lt;130, "Mini Bulker", IF(AND(U16&gt;=130, U16&lt;150), "Handysize", IF(AND(U16&gt;=150, U16&lt;200), "Handymax", IF(AND(U16&gt;=200, U16&lt;230), "Panamax", IF(AND(U16&gt;=230, U16&lt;=270), "Capesize", "Autre")))))</f>
        <v/>
      </c>
      <c r="X16" s="111">
        <f>IF(E16&lt;9999,"1",IF(E16&lt;19999,"2",IF(E16&lt;29999,"3",IF(E16&lt;39999,"4",IF(E16&lt;49999,"5",IF(E16&gt;50000,"6"))))))</f>
        <v/>
      </c>
      <c r="Y16" s="115" t="inlineStr">
        <is>
          <t>2TER</t>
        </is>
      </c>
      <c r="Z16" s="321" t="n"/>
      <c r="AA16" s="96" t="n">
        <v>45666.17361111111</v>
      </c>
      <c r="AB16" s="96" t="n">
        <v>45666.375</v>
      </c>
      <c r="AC16" s="108" t="n">
        <v>45665</v>
      </c>
      <c r="AD16" s="108" t="n">
        <v>45667</v>
      </c>
      <c r="AE16" s="96" t="n">
        <v>45666.14583333334</v>
      </c>
      <c r="AF16" s="26" t="n">
        <v>45667.97916666666</v>
      </c>
      <c r="AG16" s="96" t="n">
        <v>45668.09722222222</v>
      </c>
      <c r="AH16" s="96" t="n">
        <v>45668.11111111111</v>
      </c>
      <c r="AI16" s="26" t="n">
        <v>45668.17361111111</v>
      </c>
      <c r="AJ16" s="96" t="n">
        <v>45668.69097222222</v>
      </c>
      <c r="AK16" s="96" t="n">
        <v>45670.64236111111</v>
      </c>
      <c r="AL16" s="96" t="n">
        <v>45670.68402777778</v>
      </c>
      <c r="AM16" s="96" t="n">
        <v>45670.70138888889</v>
      </c>
      <c r="AN16" s="26" t="n">
        <v>45670.72708333333</v>
      </c>
      <c r="AO16" s="96" t="n">
        <v>45670.73263888889</v>
      </c>
      <c r="AP16" s="117">
        <f>(AG16-AF16)*1440</f>
        <v/>
      </c>
      <c r="AQ16" s="117">
        <f>(AG16-AE16)*1440</f>
        <v/>
      </c>
      <c r="AR16" s="117">
        <f>(AH16-AF16)*1440</f>
        <v/>
      </c>
      <c r="AS16" s="117">
        <f>(AI16-AH16)*1440</f>
        <v/>
      </c>
      <c r="AT16" s="117">
        <f>(AJ16-AH16)*1440</f>
        <v/>
      </c>
      <c r="AU16" s="117">
        <f>(AL16-AK16)*1440</f>
        <v/>
      </c>
      <c r="AV16" s="117">
        <f>(AM16-AL16)*1440</f>
        <v/>
      </c>
      <c r="AW16" s="117">
        <f>(AO16-AM16)*1440</f>
        <v/>
      </c>
      <c r="AX16" s="118">
        <f>AP16+AS16+AU16+AV16+AW16</f>
        <v/>
      </c>
      <c r="AY16" s="119">
        <f>(AG16-AA16)</f>
        <v/>
      </c>
      <c r="AZ16" s="119">
        <f>(AK16-AJ16)</f>
        <v/>
      </c>
      <c r="BA16" s="119">
        <f>AO16-AG16</f>
        <v/>
      </c>
      <c r="BB16" s="119">
        <f>(AO16-AA16)-(AP16/1440)-(AW16/1440)</f>
        <v/>
      </c>
      <c r="BC16" s="117">
        <f>E16/AZ16</f>
        <v/>
      </c>
      <c r="BE16" s="117">
        <f>IF(E16&lt;10000,3000,IF(E16&lt;15000,3600,IF(E16&lt;20000,4500,IF(E16&lt;25000,6000,IF(E16&lt;30000,7500,IF(E16&lt;40000,9000,IF(E16&gt;40000,10000)))))))</f>
        <v/>
      </c>
      <c r="BF16" s="322">
        <f>(E16/BE16)+2</f>
        <v/>
      </c>
      <c r="BI16" s="230" t="n">
        <v>0</v>
      </c>
      <c r="BJ16" s="230" t="n">
        <v>0</v>
      </c>
      <c r="BK16" s="230" t="n">
        <v>0</v>
      </c>
      <c r="BL16" s="230" t="n">
        <v>0</v>
      </c>
      <c r="BS16" s="120" t="inlineStr">
        <is>
          <t>NUL</t>
        </is>
      </c>
      <c r="BT16" s="120" t="n"/>
      <c r="BU16" s="120" t="n"/>
      <c r="BV16" s="120" t="n"/>
      <c r="BW16" s="323">
        <f>AI16-AH16</f>
        <v/>
      </c>
      <c r="BX16" s="120" t="inlineStr">
        <is>
          <t>NUL</t>
        </is>
      </c>
      <c r="BY16" s="120" t="inlineStr">
        <is>
          <t>NUL</t>
        </is>
      </c>
      <c r="CB16" s="111" t="n"/>
    </row>
    <row r="17" ht="15" customHeight="1" s="70">
      <c r="B17" s="328" t="inlineStr">
        <is>
          <t>ENDURANCE</t>
        </is>
      </c>
      <c r="C17" s="15" t="n">
        <v>45670</v>
      </c>
      <c r="D17" s="329" t="n">
        <v>3350</v>
      </c>
      <c r="E17" s="330" t="n"/>
      <c r="F17" s="140" t="inlineStr">
        <is>
          <t>OCP NUTR</t>
        </is>
      </c>
      <c r="G17" s="81" t="n">
        <v>2</v>
      </c>
      <c r="H17" s="50" t="inlineStr">
        <is>
          <t>MAP</t>
        </is>
      </c>
      <c r="I17" s="306" t="inlineStr">
        <is>
          <t xml:space="preserve">MAP 11 52 EU </t>
        </is>
      </c>
      <c r="J17" s="50" t="inlineStr">
        <is>
          <t>FOB</t>
        </is>
      </c>
      <c r="K17" s="82" t="n">
        <v>603</v>
      </c>
      <c r="L17" s="326">
        <f>D17*K17</f>
        <v/>
      </c>
      <c r="M17" s="14" t="n">
        <v>10.0697</v>
      </c>
      <c r="N17" s="327">
        <f>L17*M17</f>
        <v/>
      </c>
      <c r="O17" s="16" t="inlineStr">
        <is>
          <t>2103 T DU 26/12/2024</t>
        </is>
      </c>
      <c r="P17" s="306" t="inlineStr">
        <is>
          <t>TIMAC AGRO ITALIA</t>
        </is>
      </c>
      <c r="Q17" s="50" t="inlineStr">
        <is>
          <t xml:space="preserve">EUROPE </t>
        </is>
      </c>
      <c r="R17" s="50" t="inlineStr">
        <is>
          <t>Italie</t>
        </is>
      </c>
      <c r="S17" s="50" t="n"/>
      <c r="T17" s="14" t="inlineStr">
        <is>
          <t>INSPECTORATE</t>
        </is>
      </c>
      <c r="U17" s="54" t="n"/>
      <c r="V17" s="50">
        <f>IF(U17&lt;130, "Mini Bulker", IF(AND(U17&gt;=130, U17&lt;150), "Handysize", IF(AND(U17&gt;=150, U17&lt;200), "Handymax", IF(AND(U17&gt;=200, U17&lt;230), "Panamax", IF(AND(U17&gt;=230, U17&lt;=270), "Capesize", "Autre")))))</f>
        <v/>
      </c>
      <c r="X17" s="14">
        <f>IF(E17&lt;9999,"1",IF(E17&lt;19999,"2",IF(E17&lt;29999,"3",IF(E17&lt;39999,"4",IF(E17&lt;49999,"5",IF(E17&gt;50000,"6"))))))</f>
        <v/>
      </c>
      <c r="Y17" s="75" t="inlineStr">
        <is>
          <t>2TER</t>
        </is>
      </c>
      <c r="Z17" s="331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S17" s="24" t="inlineStr">
        <is>
          <t>NUL</t>
        </is>
      </c>
      <c r="BT17" s="24" t="n"/>
      <c r="BU17" s="24" t="n"/>
      <c r="BV17" s="24" t="n"/>
      <c r="BW17" s="332">
        <f>AI17-AH17</f>
        <v/>
      </c>
      <c r="BX17" s="24" t="inlineStr">
        <is>
          <t>NUL</t>
        </is>
      </c>
      <c r="BY17" s="24" t="inlineStr">
        <is>
          <t>NUL</t>
        </is>
      </c>
      <c r="CB17" s="14" t="n"/>
    </row>
    <row r="18" ht="15" customFormat="1" customHeight="1" s="230">
      <c r="A18" s="107" t="n">
        <v>13</v>
      </c>
      <c r="B18" s="317" t="inlineStr">
        <is>
          <t>NAZENIN</t>
        </is>
      </c>
      <c r="C18" s="108" t="n">
        <v>45671</v>
      </c>
      <c r="D18" s="318" t="n">
        <v>33000</v>
      </c>
      <c r="E18" s="318" t="n">
        <v>33000</v>
      </c>
      <c r="F18" s="138" t="inlineStr">
        <is>
          <t>OCP NUTR</t>
        </is>
      </c>
      <c r="G18" s="112" t="n">
        <v>1</v>
      </c>
      <c r="H18" s="113" t="inlineStr">
        <is>
          <t>NPK</t>
        </is>
      </c>
      <c r="I18" s="114" t="inlineStr">
        <is>
          <t>NPK 15 15 15 6S 1B2O3</t>
        </is>
      </c>
      <c r="J18" s="113" t="inlineStr">
        <is>
          <t>CIF</t>
        </is>
      </c>
      <c r="K18" s="82" t="n">
        <v>432</v>
      </c>
      <c r="L18" s="326">
        <f>D18*K18</f>
        <v/>
      </c>
      <c r="M18" s="14" t="n">
        <v>10.0929</v>
      </c>
      <c r="N18" s="327">
        <f>L18*M18</f>
        <v/>
      </c>
      <c r="O18" s="16" t="inlineStr">
        <is>
          <t>2103 T DU 26/12/2024</t>
        </is>
      </c>
      <c r="P18" s="306" t="inlineStr">
        <is>
          <t>DOCOURE PARTENAIRE AGRO INDUSTRIE</t>
        </is>
      </c>
      <c r="Q18" s="113" t="inlineStr">
        <is>
          <t>AFRIQUE</t>
        </is>
      </c>
      <c r="R18" s="113" t="inlineStr">
        <is>
          <t>COTE D'IVOIRE</t>
        </is>
      </c>
      <c r="S18" s="113" t="n"/>
      <c r="T18" s="111" t="inlineStr">
        <is>
          <t>INTERTEK</t>
        </is>
      </c>
      <c r="U18" s="122" t="n">
        <v>180</v>
      </c>
      <c r="V18" s="113">
        <f>IF(U18&lt;130, "Mini Bulker", IF(AND(U18&gt;=130, U18&lt;150), "Handysize", IF(AND(U18&gt;=150, U18&lt;200), "Handymax", IF(AND(U18&gt;=200, U18&lt;230), "Panamax", IF(AND(U18&gt;=230, U18&lt;=270), "Capesize", "Autre")))))</f>
        <v/>
      </c>
      <c r="X18" s="111">
        <f>IF(E18&lt;9999,"1",IF(E18&lt;19999,"2",IF(E18&lt;29999,"3",IF(E18&lt;39999,"4",IF(E18&lt;49999,"5",IF(E18&gt;50000,"6"))))))</f>
        <v/>
      </c>
      <c r="Y18" s="115" t="inlineStr">
        <is>
          <t>1N</t>
        </is>
      </c>
      <c r="Z18" s="321" t="n"/>
      <c r="AA18" s="96" t="n">
        <v>45663.6375</v>
      </c>
      <c r="AB18" s="96" t="n">
        <v>45663.6375</v>
      </c>
      <c r="AC18" s="108" t="n"/>
      <c r="AD18" s="108" t="n"/>
      <c r="AE18" s="96" t="n">
        <v>45663.6375</v>
      </c>
      <c r="AF18" s="26" t="n">
        <v>45663.47569444445</v>
      </c>
      <c r="AG18" s="96" t="n">
        <v>45663.6375</v>
      </c>
      <c r="AH18" s="96" t="n">
        <v>45663.66319444445</v>
      </c>
      <c r="AI18" s="26" t="n">
        <v>45664.47916666666</v>
      </c>
      <c r="AJ18" s="96" t="n">
        <v>45664.54513888889</v>
      </c>
      <c r="AK18" s="96" t="n">
        <v>45671.09027777778</v>
      </c>
      <c r="AL18" s="96" t="n">
        <v>45671.125</v>
      </c>
      <c r="AM18" s="96" t="n">
        <v>45671.14583333334</v>
      </c>
      <c r="AN18" s="26" t="n">
        <v>45671.2</v>
      </c>
      <c r="AO18" s="96" t="n">
        <v>45671.29166666666</v>
      </c>
      <c r="AP18" s="117">
        <f>(AG18-AF18)*1440</f>
        <v/>
      </c>
      <c r="AQ18" s="117">
        <f>(AG18-AE18)*1440</f>
        <v/>
      </c>
      <c r="AR18" s="117">
        <f>(AH18-AF18)*1440</f>
        <v/>
      </c>
      <c r="AS18" s="117">
        <f>(AI18-AH18)*1440</f>
        <v/>
      </c>
      <c r="AT18" s="117">
        <f>(AJ18-AH18)*1440</f>
        <v/>
      </c>
      <c r="AU18" s="117">
        <f>(AL18-AK18)*1440</f>
        <v/>
      </c>
      <c r="AV18" s="117">
        <f>(AM18-AL18)*1440</f>
        <v/>
      </c>
      <c r="AW18" s="117">
        <f>(AO18-AM18)*1440</f>
        <v/>
      </c>
      <c r="AX18" s="118">
        <f>AP18+AS18+AU18+AV18+AW18</f>
        <v/>
      </c>
      <c r="AY18" s="119">
        <f>(AG18-AA18)</f>
        <v/>
      </c>
      <c r="AZ18" s="119">
        <f>(AK18-AJ18)</f>
        <v/>
      </c>
      <c r="BA18" s="119">
        <f>AO18-AG18</f>
        <v/>
      </c>
      <c r="BB18" s="119">
        <f>(AO18-AA18)-(AP18/1440)-(AW18/1440)</f>
        <v/>
      </c>
      <c r="BC18" s="117">
        <f>E18/AZ18</f>
        <v/>
      </c>
      <c r="BE18" s="117">
        <f>IF(E18&lt;10000,3000,IF(E18&lt;15000,3600,IF(E18&lt;20000,4500,IF(E18&lt;25000,6000,IF(E18&lt;30000,7500,IF(E18&lt;40000,9000,IF(E18&gt;40000,10000)))))))</f>
        <v/>
      </c>
      <c r="BF18" s="322">
        <f>(E18/BE18)+2</f>
        <v/>
      </c>
      <c r="BI18" s="230" t="n">
        <v>0</v>
      </c>
      <c r="BJ18" s="230" t="n">
        <v>0</v>
      </c>
      <c r="BK18" s="230" t="n">
        <v>0</v>
      </c>
      <c r="BL18" s="230" t="n">
        <v>0</v>
      </c>
      <c r="BS18" s="120" t="inlineStr">
        <is>
          <t>MAINTENU PAR SHORE TENTION</t>
        </is>
      </c>
      <c r="BT18" s="120" t="n"/>
      <c r="BU18" s="120" t="inlineStr">
        <is>
          <t>CLEAN</t>
        </is>
      </c>
      <c r="BV18" s="120" t="n"/>
      <c r="BW18" s="323">
        <f>AI18-AH18</f>
        <v/>
      </c>
      <c r="BX18" s="120" t="inlineStr">
        <is>
          <t>NUL</t>
        </is>
      </c>
      <c r="BY18" s="120" t="inlineStr">
        <is>
          <t>NUL</t>
        </is>
      </c>
      <c r="CB18" s="111" t="n">
        <v>23494</v>
      </c>
    </row>
    <row r="19" ht="14.55" customFormat="1" customHeight="1" s="230">
      <c r="A19" s="107" t="n">
        <v>15</v>
      </c>
      <c r="B19" s="317" t="inlineStr">
        <is>
          <t>DUYGU</t>
        </is>
      </c>
      <c r="C19" s="108" t="n">
        <v>45673</v>
      </c>
      <c r="D19" s="318" t="n">
        <v>6224</v>
      </c>
      <c r="E19" s="318" t="n">
        <v>6224</v>
      </c>
      <c r="F19" s="138" t="inlineStr">
        <is>
          <t>OCP NUTR</t>
        </is>
      </c>
      <c r="G19" s="112" t="n">
        <v>1</v>
      </c>
      <c r="H19" s="113" t="inlineStr">
        <is>
          <t>DAP</t>
        </is>
      </c>
      <c r="I19" s="114" t="inlineStr">
        <is>
          <t>DAP EURO</t>
        </is>
      </c>
      <c r="J19" s="113" t="inlineStr">
        <is>
          <t>FOB</t>
        </is>
      </c>
      <c r="K19" s="82" t="n">
        <v>601</v>
      </c>
      <c r="L19" s="326">
        <f>D19*K19</f>
        <v/>
      </c>
      <c r="M19" s="14" t="n">
        <v>10.0589</v>
      </c>
      <c r="N19" s="327">
        <f>L19*M19</f>
        <v/>
      </c>
      <c r="O19" s="16" t="inlineStr">
        <is>
          <t>2103 T DU 26/12/2024</t>
        </is>
      </c>
      <c r="P19" s="306" t="inlineStr">
        <is>
          <t>HELM AG</t>
        </is>
      </c>
      <c r="Q19" s="113" t="inlineStr">
        <is>
          <t>EUROPE</t>
        </is>
      </c>
      <c r="R19" s="113" t="inlineStr">
        <is>
          <t>UK</t>
        </is>
      </c>
      <c r="S19" s="113" t="inlineStr">
        <is>
          <t>INTERTEK</t>
        </is>
      </c>
      <c r="T19" s="111" t="inlineStr">
        <is>
          <t>INSPECTORATE</t>
        </is>
      </c>
      <c r="U19" s="122" t="n">
        <v>112</v>
      </c>
      <c r="V19" s="113">
        <f>IF(U19&lt;130, "Mini Bulker", IF(AND(U19&gt;=130, U19&lt;150), "Handysize", IF(AND(U19&gt;=150, U19&lt;200), "Handymax", IF(AND(U19&gt;=200, U19&lt;230), "Panamax", IF(AND(U19&gt;=230, U19&lt;=270), "Capesize", "Autre")))))</f>
        <v/>
      </c>
      <c r="X19" s="111">
        <f>IF(E19&lt;9999,"1",IF(E19&lt;19999,"2",IF(E19&lt;29999,"3",IF(E19&lt;39999,"4",IF(E19&lt;49999,"5",IF(E19&gt;50000,"6"))))))</f>
        <v/>
      </c>
      <c r="Y19" s="115" t="inlineStr">
        <is>
          <t>1N</t>
        </is>
      </c>
      <c r="Z19" s="321" t="n"/>
      <c r="AA19" s="96" t="n">
        <v>45664.67013888889</v>
      </c>
      <c r="AB19" s="96" t="n">
        <v>45664.67013888889</v>
      </c>
      <c r="AC19" s="108" t="n">
        <v>45657</v>
      </c>
      <c r="AD19" s="108" t="n">
        <v>45665</v>
      </c>
      <c r="AE19" s="96" t="n">
        <v>45664.67013888889</v>
      </c>
      <c r="AF19" s="26" t="n">
        <v>45671.29166666666</v>
      </c>
      <c r="AG19" s="96" t="n">
        <v>45671.32986111111</v>
      </c>
      <c r="AH19" s="96" t="n">
        <v>45671.35069444445</v>
      </c>
      <c r="AI19" s="26" t="n">
        <v>45671.41666666666</v>
      </c>
      <c r="AJ19" s="96" t="n">
        <v>45671.57638888889</v>
      </c>
      <c r="AK19" s="96" t="n">
        <v>45673.86458333334</v>
      </c>
      <c r="AL19" s="96" t="n">
        <v>45674.01388888889</v>
      </c>
      <c r="AM19" s="96" t="n">
        <v>45674.05555555555</v>
      </c>
      <c r="AN19" s="26" t="n">
        <v>45674.10138888889</v>
      </c>
      <c r="AO19" s="96" t="n">
        <v>45674.13194444445</v>
      </c>
      <c r="AP19" s="117">
        <f>(AG19-AF19)*1440</f>
        <v/>
      </c>
      <c r="AQ19" s="117">
        <f>(AG19-AE19)*1440</f>
        <v/>
      </c>
      <c r="AR19" s="117">
        <f>(AH19-AF19)*1440</f>
        <v/>
      </c>
      <c r="AS19" s="117">
        <f>(AI19-AH19)*1440</f>
        <v/>
      </c>
      <c r="AT19" s="117">
        <f>(AJ19-AH19)*1440</f>
        <v/>
      </c>
      <c r="AU19" s="117">
        <f>(AL19-AK19)*1440</f>
        <v/>
      </c>
      <c r="AV19" s="117">
        <f>(AM19-AL19)*1440</f>
        <v/>
      </c>
      <c r="AW19" s="117">
        <f>(AO19-AM19)*1440</f>
        <v/>
      </c>
      <c r="AX19" s="118">
        <f>AP19+AS19+AU19+AV19+AW19</f>
        <v/>
      </c>
      <c r="AY19" s="119">
        <f>(AG19-AA19)</f>
        <v/>
      </c>
      <c r="AZ19" s="119">
        <f>(AK19-AJ19)</f>
        <v/>
      </c>
      <c r="BA19" s="119">
        <f>AO19-AG19</f>
        <v/>
      </c>
      <c r="BB19" s="119">
        <f>(AO19-AA19)-(AP19/1440)-(AW19/1440)</f>
        <v/>
      </c>
      <c r="BC19" s="117">
        <f>E19/AZ19</f>
        <v/>
      </c>
      <c r="BE19" s="117">
        <f>IF(E19&lt;10000,3000,IF(E19&lt;15000,3600,IF(E19&lt;20000,4500,IF(E19&lt;25000,6000,IF(E19&lt;30000,7500,IF(E19&lt;40000,9000,IF(E19&gt;40000,10000)))))))</f>
        <v/>
      </c>
      <c r="BF19" s="322">
        <f>(E19/BE19)+2</f>
        <v/>
      </c>
      <c r="BI19" s="230" t="n">
        <v>0</v>
      </c>
      <c r="BJ19" s="230" t="n">
        <v>0</v>
      </c>
      <c r="BK19" s="230" t="n">
        <v>0</v>
      </c>
      <c r="BL19" s="230" t="n">
        <v>0</v>
      </c>
      <c r="BS19" s="120" t="inlineStr">
        <is>
          <t>NUL</t>
        </is>
      </c>
      <c r="BT19" s="120" t="n"/>
      <c r="BU19" s="120" t="inlineStr">
        <is>
          <t>CLEAN</t>
        </is>
      </c>
      <c r="BV19" s="120" t="n"/>
      <c r="BW19" s="323">
        <f>AI19-AH19</f>
        <v/>
      </c>
      <c r="BX19" s="120" t="inlineStr">
        <is>
          <t>NUL</t>
        </is>
      </c>
      <c r="BY19" s="120" t="inlineStr">
        <is>
          <t>NUL</t>
        </is>
      </c>
      <c r="CB19" s="111" t="n">
        <v>4388</v>
      </c>
    </row>
    <row r="20" ht="14.55" customHeight="1" s="70">
      <c r="A20" s="107" t="n">
        <v>14</v>
      </c>
      <c r="B20" s="317" t="inlineStr">
        <is>
          <t xml:space="preserve">GLOBAL WINNER </t>
        </is>
      </c>
      <c r="C20" s="108" t="n">
        <v>45673</v>
      </c>
      <c r="D20" s="318" t="n">
        <v>25600</v>
      </c>
      <c r="E20" s="324">
        <f>D21+D20</f>
        <v/>
      </c>
      <c r="F20" s="138" t="inlineStr">
        <is>
          <t>OCP NUTRI</t>
        </is>
      </c>
      <c r="G20" s="112" t="n">
        <v>2</v>
      </c>
      <c r="H20" s="113" t="inlineStr">
        <is>
          <t>MAP</t>
        </is>
      </c>
      <c r="I20" s="114" t="inlineStr">
        <is>
          <t xml:space="preserve">MAP 11 52 SPECIAL </t>
        </is>
      </c>
      <c r="J20" s="113" t="inlineStr">
        <is>
          <t>CFR</t>
        </is>
      </c>
      <c r="K20" s="82" t="n">
        <v>607.83</v>
      </c>
      <c r="L20" s="326">
        <f>D20*K20</f>
        <v/>
      </c>
      <c r="M20" s="14" t="n">
        <v>10.0496</v>
      </c>
      <c r="N20" s="327">
        <f>L20*M20</f>
        <v/>
      </c>
      <c r="O20" s="16" t="inlineStr">
        <is>
          <t>2103 T DU 26/12/2024</t>
        </is>
      </c>
      <c r="P20" s="306" t="inlineStr">
        <is>
          <t>OCP North America, Inc</t>
        </is>
      </c>
      <c r="Q20" s="113" t="inlineStr">
        <is>
          <t>AMERIQUE</t>
        </is>
      </c>
      <c r="R20" s="113" t="inlineStr">
        <is>
          <t>USA</t>
        </is>
      </c>
      <c r="S20" s="113" t="n"/>
      <c r="T20" s="111" t="inlineStr">
        <is>
          <t>INSPECTORATE</t>
        </is>
      </c>
      <c r="U20" s="122" t="n">
        <v>189</v>
      </c>
      <c r="V20" s="113">
        <f>IF(U20&lt;130, "Mini Bulker", IF(AND(U20&gt;=130, U20&lt;150), "Handysize", IF(AND(U20&gt;=150, U20&lt;200), "Handymax", IF(AND(U20&gt;=200, U20&lt;230), "Panamax", IF(AND(U20&gt;=230, U20&lt;=270), "Capesize", "Autre")))))</f>
        <v/>
      </c>
      <c r="W20" s="230" t="n"/>
      <c r="X20" s="111">
        <f>IF(E20&lt;9999,"1",IF(E20&lt;19999,"2",IF(E20&lt;29999,"3",IF(E20&lt;39999,"4",IF(E20&lt;49999,"5",IF(E20&gt;50000,"6"))))))</f>
        <v/>
      </c>
      <c r="Y20" s="115" t="inlineStr">
        <is>
          <t>1TER</t>
        </is>
      </c>
      <c r="Z20" s="321" t="n"/>
      <c r="AA20" s="121" t="n">
        <v>45663.60416666666</v>
      </c>
      <c r="AB20" s="121" t="n">
        <v>45663.60416666666</v>
      </c>
      <c r="AC20" s="108" t="n">
        <v>45665</v>
      </c>
      <c r="AD20" s="108" t="n">
        <v>45667</v>
      </c>
      <c r="AE20" s="121" t="n">
        <v>45663.60416666666</v>
      </c>
      <c r="AF20" s="17" t="n">
        <v>45667.63055555556</v>
      </c>
      <c r="AG20" s="121" t="n">
        <v>45667.7125</v>
      </c>
      <c r="AH20" s="121" t="n">
        <v>45667.72916666666</v>
      </c>
      <c r="AI20" s="17" t="n">
        <v>45667.79166666666</v>
      </c>
      <c r="AJ20" s="121" t="n">
        <v>45667.80902777778</v>
      </c>
      <c r="AK20" s="121" t="n">
        <v>45673.625</v>
      </c>
      <c r="AL20" s="121" t="n">
        <v>45673.66666666666</v>
      </c>
      <c r="AM20" s="121" t="n">
        <v>45673.6875</v>
      </c>
      <c r="AN20" s="17" t="n">
        <v>45673.73263888889</v>
      </c>
      <c r="AO20" s="121" t="n">
        <v>45673.74652777778</v>
      </c>
      <c r="AP20" s="117">
        <f>(AG20-AF20)*1440</f>
        <v/>
      </c>
      <c r="AQ20" s="117">
        <f>(AG20-AE20)*1440</f>
        <v/>
      </c>
      <c r="AR20" s="117">
        <f>(AH20-AF20)*1440</f>
        <v/>
      </c>
      <c r="AS20" s="117">
        <f>(AI20-AH20)*1440</f>
        <v/>
      </c>
      <c r="AT20" s="117">
        <f>(AJ20-AH20)*1440</f>
        <v/>
      </c>
      <c r="AU20" s="117">
        <f>(AL20-AK20)*1440</f>
        <v/>
      </c>
      <c r="AV20" s="117">
        <f>(AM20-AL20)*1440</f>
        <v/>
      </c>
      <c r="AW20" s="117">
        <f>(AO20-AM20)*1440</f>
        <v/>
      </c>
      <c r="AX20" s="118">
        <f>AP20+AS20+AU20+AV20+AW20</f>
        <v/>
      </c>
      <c r="AY20" s="119">
        <f>(AG20-AA20)</f>
        <v/>
      </c>
      <c r="AZ20" s="119">
        <f>(AK20-AJ20)</f>
        <v/>
      </c>
      <c r="BA20" s="119">
        <f>AO20-AG20</f>
        <v/>
      </c>
      <c r="BB20" s="119">
        <f>(AO20-AA20)-(AP20/1440)-(AW20/1440)</f>
        <v/>
      </c>
      <c r="BC20" s="117">
        <f>E20/AZ20</f>
        <v/>
      </c>
      <c r="BD20" s="225" t="n"/>
      <c r="BE20" s="117">
        <f>IF(E20&lt;10000,3000,IF(E20&lt;15000,3600,IF(E20&lt;20000,4500,IF(E20&lt;25000,6000,IF(E20&lt;30000,7500,IF(E20&lt;40000,9000,IF(E20&gt;40000,10000)))))))</f>
        <v/>
      </c>
      <c r="BF20" s="322">
        <f>(E20/BE20)+2</f>
        <v/>
      </c>
      <c r="BG20" s="225" t="n"/>
      <c r="BH20" s="225" t="n"/>
      <c r="BI20" s="230" t="n">
        <v>0</v>
      </c>
      <c r="BJ20" s="230" t="n">
        <v>0</v>
      </c>
      <c r="BK20" s="230" t="n">
        <v>0</v>
      </c>
      <c r="BL20" s="230" t="n">
        <v>0</v>
      </c>
      <c r="BM20" s="230" t="n"/>
      <c r="BN20" s="230" t="n"/>
      <c r="BO20" s="230" t="n"/>
      <c r="BP20" s="230" t="n"/>
      <c r="BQ20" s="230" t="n"/>
      <c r="BR20" s="230" t="n"/>
      <c r="BS20" s="120" t="inlineStr">
        <is>
          <t>NUL</t>
        </is>
      </c>
      <c r="BT20" s="120" t="n"/>
      <c r="BU20" s="120" t="inlineStr">
        <is>
          <t>CLEAN</t>
        </is>
      </c>
      <c r="BV20" s="120" t="n"/>
      <c r="BW20" s="323">
        <f>AI20-AH20</f>
        <v/>
      </c>
      <c r="BX20" s="120" t="inlineStr">
        <is>
          <t>NUL</t>
        </is>
      </c>
      <c r="BY20" s="120" t="inlineStr">
        <is>
          <t>NUL</t>
        </is>
      </c>
      <c r="BZ20" s="230" t="n"/>
      <c r="CA20" s="230" t="n"/>
      <c r="CB20" s="111" t="n">
        <v>24735</v>
      </c>
      <c r="CC20" s="230" t="n"/>
      <c r="CD20" s="230" t="n"/>
      <c r="CE20" s="230" t="n"/>
      <c r="CF20" s="230" t="n"/>
      <c r="CG20" s="230" t="n"/>
      <c r="CH20" s="230" t="n"/>
      <c r="CI20" s="230" t="n"/>
      <c r="CJ20" s="230" t="n"/>
      <c r="CK20" s="230" t="n"/>
      <c r="CL20" s="230" t="n"/>
      <c r="CM20" s="230" t="n"/>
      <c r="CN20" s="230" t="n"/>
      <c r="CO20" s="230" t="n"/>
      <c r="CP20" s="230" t="n"/>
      <c r="CQ20" s="230" t="n"/>
    </row>
    <row r="21" customFormat="1" s="230">
      <c r="A21" s="83" t="n"/>
      <c r="B21" s="328" t="inlineStr">
        <is>
          <t xml:space="preserve">GLOBAL WINNER </t>
        </is>
      </c>
      <c r="C21" s="15" t="n">
        <v>45673</v>
      </c>
      <c r="D21" s="329" t="n">
        <v>11000</v>
      </c>
      <c r="E21" s="330" t="n"/>
      <c r="F21" s="140" t="inlineStr">
        <is>
          <t xml:space="preserve">JFC 4 </t>
        </is>
      </c>
      <c r="G21" s="81" t="n">
        <v>2</v>
      </c>
      <c r="H21" s="50" t="inlineStr">
        <is>
          <t>NPS</t>
        </is>
      </c>
      <c r="I21" s="306" t="inlineStr">
        <is>
          <t>NPS 12 42 10S 0.7ZN</t>
        </is>
      </c>
      <c r="J21" s="50" t="inlineStr">
        <is>
          <t>CFR</t>
        </is>
      </c>
      <c r="K21" s="82" t="n">
        <v>640.73</v>
      </c>
      <c r="L21" s="326">
        <f>D21*K21</f>
        <v/>
      </c>
      <c r="M21" s="14" t="n">
        <v>10.0496</v>
      </c>
      <c r="N21" s="327">
        <f>L21*M21</f>
        <v/>
      </c>
      <c r="O21" s="16" t="inlineStr">
        <is>
          <t>2111 B DU 26/12/2024</t>
        </is>
      </c>
      <c r="P21" s="50" t="inlineStr">
        <is>
          <t>OCP North America, Inc</t>
        </is>
      </c>
      <c r="Q21" s="50" t="inlineStr">
        <is>
          <t>AMERIQUE</t>
        </is>
      </c>
      <c r="R21" s="50" t="inlineStr">
        <is>
          <t>USA</t>
        </is>
      </c>
      <c r="S21" s="50" t="n"/>
      <c r="T21" s="14" t="inlineStr">
        <is>
          <t>INSPECTORATE</t>
        </is>
      </c>
      <c r="U21" s="54" t="n">
        <v>189</v>
      </c>
      <c r="V21" s="50">
        <f>IF(U21&lt;130, "Mini Bulker", IF(AND(U21&gt;=130, U21&lt;150), "Handysize", IF(AND(U21&gt;=150, U21&lt;200), "Handymax", IF(AND(U21&gt;=200, U21&lt;230), "Panamax", IF(AND(U21&gt;=230, U21&lt;=270), "Capesize", "Autre")))))</f>
        <v/>
      </c>
      <c r="X21" s="14">
        <f>IF(E21&lt;9999,"1",IF(E21&lt;19999,"2",IF(E21&lt;29999,"3",IF(E21&lt;39999,"4",IF(E21&lt;49999,"5",IF(E21&gt;50000,"6"))))))</f>
        <v/>
      </c>
      <c r="Y21" s="75" t="inlineStr">
        <is>
          <t>1TER</t>
        </is>
      </c>
      <c r="Z21" s="331" t="n"/>
      <c r="AA21" s="22" t="n"/>
      <c r="AB21" s="22" t="n"/>
      <c r="AC21" s="22" t="n"/>
      <c r="AD21" s="22" t="n"/>
      <c r="AE21" s="22" t="n"/>
      <c r="AF21" s="219" t="n"/>
      <c r="AG21" s="219" t="n"/>
      <c r="AH21" s="219" t="n"/>
      <c r="AI21" s="219" t="n"/>
      <c r="AJ21" s="219" t="n"/>
      <c r="AK21" s="219" t="n"/>
      <c r="AL21" s="219" t="n"/>
      <c r="AM21" s="219" t="n"/>
      <c r="AN21" s="219" t="n"/>
      <c r="AO21" s="219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7" t="n"/>
      <c r="BE21" s="22" t="n"/>
      <c r="BF21" s="22" t="n"/>
      <c r="BG21" s="227" t="n"/>
      <c r="BH21" s="227" t="n"/>
      <c r="BI21" s="227" t="n"/>
      <c r="BJ21" s="227" t="n"/>
      <c r="BK21" s="227" t="n"/>
      <c r="BL21" s="227" t="n"/>
      <c r="BS21" s="24" t="inlineStr">
        <is>
          <t>NUL</t>
        </is>
      </c>
      <c r="BT21" s="24" t="n"/>
      <c r="BU21" s="24" t="n"/>
      <c r="BV21" s="24" t="n"/>
      <c r="BW21" s="332">
        <f>AI21-AH21</f>
        <v/>
      </c>
      <c r="BX21" s="24" t="inlineStr">
        <is>
          <t>NUL</t>
        </is>
      </c>
      <c r="BY21" s="24" t="inlineStr">
        <is>
          <t>NUL</t>
        </is>
      </c>
      <c r="CB21" s="14" t="n"/>
    </row>
    <row r="22" customFormat="1" s="230">
      <c r="A22" s="107" t="n">
        <v>16</v>
      </c>
      <c r="B22" s="317" t="inlineStr">
        <is>
          <t>PACIFIC JASMINE</t>
        </is>
      </c>
      <c r="C22" s="108" t="n">
        <v>45676</v>
      </c>
      <c r="D22" s="318" t="n">
        <v>52002</v>
      </c>
      <c r="E22" s="318" t="n">
        <v>52002</v>
      </c>
      <c r="F22" s="138" t="inlineStr">
        <is>
          <t>JFC1/JFC2</t>
        </is>
      </c>
      <c r="G22" s="112" t="n">
        <v>1</v>
      </c>
      <c r="H22" s="113" t="inlineStr">
        <is>
          <t>MAP</t>
        </is>
      </c>
      <c r="I22" s="114" t="inlineStr">
        <is>
          <t xml:space="preserve">MAP 10 50 SPECIAL </t>
        </is>
      </c>
      <c r="J22" s="113" t="inlineStr">
        <is>
          <t>CFR</t>
        </is>
      </c>
      <c r="K22" s="82" t="n">
        <v>609.54</v>
      </c>
      <c r="L22" s="326">
        <f>D22*K22</f>
        <v/>
      </c>
      <c r="M22" s="14" t="n">
        <v>10.0505</v>
      </c>
      <c r="N22" s="327">
        <f>L22*M22</f>
        <v/>
      </c>
      <c r="O22" s="16" t="inlineStr">
        <is>
          <t>2108 Y DU 26/12/2024/ 2109 Z DU 26/12/2024</t>
        </is>
      </c>
      <c r="P22" s="306" t="inlineStr">
        <is>
          <t>Incitec Pivot Fertilisers (Singapor)</t>
        </is>
      </c>
      <c r="Q22" s="113" t="inlineStr">
        <is>
          <t>AUSTRALIA</t>
        </is>
      </c>
      <c r="R22" s="113" t="inlineStr">
        <is>
          <t>AUSTRALIA</t>
        </is>
      </c>
      <c r="S22" s="113" t="inlineStr">
        <is>
          <t>*</t>
        </is>
      </c>
      <c r="T22" s="111" t="inlineStr">
        <is>
          <t>INTERTEK</t>
        </is>
      </c>
      <c r="U22" s="112" t="n">
        <v>200</v>
      </c>
      <c r="V22" s="113">
        <f>IF(U22&lt;130, "Mini Bulker", IF(AND(U22&gt;=130, U22&lt;150), "Handysize", IF(AND(U22&gt;=150, U22&lt;200), "Handymax", IF(AND(U22&gt;=200, U22&lt;230), "Panamax", IF(AND(U22&gt;=230, U22&lt;=270), "Capesize", "Autre")))))</f>
        <v/>
      </c>
      <c r="X22" s="111">
        <f>IF(E22&lt;9999,"1",IF(E22&lt;19999,"2",IF(E22&lt;29999,"3",IF(E22&lt;39999,"4",IF(E22&lt;49999,"5",IF(E22&gt;50000,"6"))))))</f>
        <v/>
      </c>
      <c r="Y22" s="115" t="inlineStr">
        <is>
          <t>2N/1BIS</t>
        </is>
      </c>
      <c r="Z22" s="321" t="n"/>
      <c r="AA22" s="96" t="n">
        <v>45667.54861111111</v>
      </c>
      <c r="AB22" s="96" t="n">
        <v>45667.54861111111</v>
      </c>
      <c r="AC22" s="108" t="n">
        <v>45662</v>
      </c>
      <c r="AD22" s="108" t="n">
        <v>45667</v>
      </c>
      <c r="AE22" s="96" t="n">
        <v>45667.5</v>
      </c>
      <c r="AF22" s="26" t="n">
        <v>45667.73472222222</v>
      </c>
      <c r="AG22" s="96" t="n">
        <v>45667.80416666667</v>
      </c>
      <c r="AH22" s="96" t="n">
        <v>45667.81944444445</v>
      </c>
      <c r="AI22" s="26" t="n">
        <v>45669.5625</v>
      </c>
      <c r="AJ22" s="96" t="n">
        <v>45669.84722222222</v>
      </c>
      <c r="AK22" s="96" t="n">
        <v>45676.59027777778</v>
      </c>
      <c r="AL22" s="96" t="n">
        <v>45676.65138888889</v>
      </c>
      <c r="AM22" s="96" t="n">
        <v>45676.66666666666</v>
      </c>
      <c r="AN22" s="26" t="n">
        <v>45676.70833333334</v>
      </c>
      <c r="AO22" s="96" t="n">
        <v>45676.74305555555</v>
      </c>
      <c r="AP22" s="117">
        <f>(AG22-AF22)*1440</f>
        <v/>
      </c>
      <c r="AQ22" s="117">
        <f>(AG22-AE22)*1440</f>
        <v/>
      </c>
      <c r="AR22" s="117">
        <f>(AH22-AF22)*1440</f>
        <v/>
      </c>
      <c r="AS22" s="117">
        <f>(AI22-AH22)*1440</f>
        <v/>
      </c>
      <c r="AT22" s="117">
        <f>(AJ22-AH22)*1440</f>
        <v/>
      </c>
      <c r="AU22" s="117">
        <f>(AL22-AK22)*1440</f>
        <v/>
      </c>
      <c r="AV22" s="117">
        <f>(AM22-AL22)*1440</f>
        <v/>
      </c>
      <c r="AW22" s="117">
        <f>(AO22-AM22)*1440</f>
        <v/>
      </c>
      <c r="AX22" s="118">
        <f>AP22+AS22+AU22+AV22+AW22</f>
        <v/>
      </c>
      <c r="AY22" s="119">
        <f>(AG22-AA22)</f>
        <v/>
      </c>
      <c r="AZ22" s="119">
        <f>(AK22-AJ22)</f>
        <v/>
      </c>
      <c r="BA22" s="119">
        <f>AO22-AG22</f>
        <v/>
      </c>
      <c r="BB22" s="119">
        <f>(AO22-AA22)-(AP22/1440)-(AW22/1440)</f>
        <v/>
      </c>
      <c r="BC22" s="117">
        <f>E22/AZ22</f>
        <v/>
      </c>
      <c r="BE22" s="117">
        <f>IF(E22&lt;10000,3000,IF(E22&lt;15000,3600,IF(E22&lt;20000,4500,IF(E22&lt;25000,6000,IF(E22&lt;30000,7500,IF(E22&lt;40000,9000,IF(E22&gt;40000,10000)))))))</f>
        <v/>
      </c>
      <c r="BF22" s="322">
        <f>(E22/BE22)+2</f>
        <v/>
      </c>
      <c r="BI22" s="230" t="n">
        <v>0</v>
      </c>
      <c r="BJ22" s="230" t="n">
        <v>0</v>
      </c>
      <c r="BK22" s="230" t="n">
        <v>0</v>
      </c>
      <c r="BL22" s="230" t="n">
        <v>0</v>
      </c>
      <c r="BS22" s="120" t="inlineStr">
        <is>
          <t>AQIS INSPECTION // CHANGE DU POSTE 2N VERS POSTE 1B LE 12/01 - 2012 / CHANGE DU POSTE 1BIS VERS LA RADE LE 15/01-1826 // RE-ACC AU POSTE 1BIS LE 16/01- 2040</t>
        </is>
      </c>
      <c r="BT22" s="120" t="n">
        <v>3</v>
      </c>
      <c r="BU22" s="120" t="inlineStr">
        <is>
          <t>NON CLEAN</t>
        </is>
      </c>
      <c r="BV22" s="120" t="n"/>
      <c r="BW22" s="323">
        <f>AI22-AH22</f>
        <v/>
      </c>
      <c r="BX22" s="120" t="inlineStr">
        <is>
          <t>NUL</t>
        </is>
      </c>
      <c r="BY22" s="120" t="inlineStr">
        <is>
          <t>NUL</t>
        </is>
      </c>
      <c r="CB22" s="111" t="n">
        <v>34570</v>
      </c>
    </row>
    <row r="23" customFormat="1" s="230">
      <c r="A23" s="107" t="n">
        <v>17</v>
      </c>
      <c r="B23" s="317" t="inlineStr">
        <is>
          <t>SPANACO RELIABILITY</t>
        </is>
      </c>
      <c r="C23" s="108" t="n">
        <v>45677</v>
      </c>
      <c r="D23" s="318" t="n">
        <v>4200</v>
      </c>
      <c r="E23" s="318" t="n">
        <v>4200</v>
      </c>
      <c r="F23" s="138" t="n"/>
      <c r="G23" s="112" t="n">
        <v>1</v>
      </c>
      <c r="H23" s="114" t="inlineStr">
        <is>
          <t>DAP</t>
        </is>
      </c>
      <c r="I23" s="114" t="inlineStr">
        <is>
          <t>DAP EURO</t>
        </is>
      </c>
      <c r="J23" s="113" t="inlineStr">
        <is>
          <t>FOB</t>
        </is>
      </c>
      <c r="K23" s="82" t="n">
        <v>605</v>
      </c>
      <c r="L23" s="326">
        <f>D23*K23</f>
        <v/>
      </c>
      <c r="M23" s="14" t="n">
        <v>10.0505</v>
      </c>
      <c r="N23" s="327">
        <f>L23*M23</f>
        <v/>
      </c>
      <c r="O23" s="16" t="inlineStr">
        <is>
          <t>2103 T DU 26/12/2024</t>
        </is>
      </c>
      <c r="P23" s="50" t="inlineStr">
        <is>
          <t>FERTILORE SOURCING</t>
        </is>
      </c>
      <c r="Q23" s="113" t="inlineStr">
        <is>
          <t>EUROPE</t>
        </is>
      </c>
      <c r="R23" s="113" t="inlineStr">
        <is>
          <t>IRELAND</t>
        </is>
      </c>
      <c r="S23" s="113" t="inlineStr">
        <is>
          <t>*</t>
        </is>
      </c>
      <c r="T23" s="111" t="inlineStr">
        <is>
          <t>INTERTEK</t>
        </is>
      </c>
      <c r="U23" s="112" t="n">
        <v>90</v>
      </c>
      <c r="V23" s="113">
        <f>IF(U23&lt;130, "Mini Bulker", IF(AND(U23&gt;=130, U23&lt;150), "Handysize", IF(AND(U23&gt;=150, U23&lt;200), "Handymax", IF(AND(U23&gt;=200, U23&lt;230), "Panamax", IF(AND(U23&gt;=230, U23&lt;=270), "Capesize", "Autre")))))</f>
        <v/>
      </c>
      <c r="X23" s="111">
        <f>IF(E23&lt;9999,"1",IF(E23&lt;19999,"2",IF(E23&lt;29999,"3",IF(E23&lt;39999,"4",IF(E23&lt;49999,"5",IF(E23&gt;50000,"6"))))))</f>
        <v/>
      </c>
      <c r="Y23" s="115" t="inlineStr">
        <is>
          <t>2TER/1SUD</t>
        </is>
      </c>
      <c r="Z23" s="321" t="n"/>
      <c r="AA23" s="96" t="n">
        <v>45666.74305555555</v>
      </c>
      <c r="AB23" s="96" t="n">
        <v>45667.375</v>
      </c>
      <c r="AC23" s="108" t="n">
        <v>45666</v>
      </c>
      <c r="AD23" s="108" t="n">
        <v>45668</v>
      </c>
      <c r="AE23" s="96" t="n">
        <v>45666.74305555555</v>
      </c>
      <c r="AF23" s="26" t="n">
        <v>45670.775</v>
      </c>
      <c r="AG23" s="96" t="n">
        <v>45670.85</v>
      </c>
      <c r="AH23" s="96" t="n">
        <v>45670.875</v>
      </c>
      <c r="AI23" s="26" t="n">
        <v>45671.27083333334</v>
      </c>
      <c r="AJ23" s="96" t="n">
        <v>45674.71180555555</v>
      </c>
      <c r="AK23" s="96" t="n">
        <v>45677.25694444445</v>
      </c>
      <c r="AL23" s="96" t="n">
        <v>45677.30555555555</v>
      </c>
      <c r="AM23" s="96" t="n">
        <v>45677.34375</v>
      </c>
      <c r="AO23" s="96" t="n">
        <v>45677.47083333333</v>
      </c>
      <c r="AP23" s="117">
        <f>(AG23-AF23)*1440</f>
        <v/>
      </c>
      <c r="AQ23" s="117">
        <f>(AG23-AE23)*1440</f>
        <v/>
      </c>
      <c r="AR23" s="117">
        <f>(AH23-AF23)*1440</f>
        <v/>
      </c>
      <c r="AS23" s="117">
        <f>(AI23-AH23)*1440</f>
        <v/>
      </c>
      <c r="AT23" s="117">
        <f>(AJ23-AH23)*1440</f>
        <v/>
      </c>
      <c r="AU23" s="117">
        <f>(AL23-AK23)*1440</f>
        <v/>
      </c>
      <c r="AV23" s="117">
        <f>(AM23-AL23)*1440</f>
        <v/>
      </c>
      <c r="AW23" s="117">
        <f>(AO23-AM23)*1440</f>
        <v/>
      </c>
      <c r="AX23" s="118">
        <f>AP23+AS23+AU23+AV23+AW23</f>
        <v/>
      </c>
      <c r="AY23" s="119">
        <f>(AG23-AA23)</f>
        <v/>
      </c>
      <c r="AZ23" s="119">
        <f>(AK23-AJ23)</f>
        <v/>
      </c>
      <c r="BA23" s="119">
        <f>AO23-AG23</f>
        <v/>
      </c>
      <c r="BB23" s="119">
        <f>(AO23-AA23)-(AP23/1440)-(AW23/1440)</f>
        <v/>
      </c>
      <c r="BC23" s="117">
        <f>E23/AZ23</f>
        <v/>
      </c>
      <c r="BE23" s="117">
        <f>IF(E23&lt;10000,3000,IF(E23&lt;15000,3600,IF(E23&lt;20000,4500,IF(E23&lt;25000,6000,IF(E23&lt;30000,7500,IF(E23&lt;40000,9000,IF(E23&gt;40000,10000)))))))</f>
        <v/>
      </c>
      <c r="BF23" s="322">
        <f>(E23/BE23)+2</f>
        <v/>
      </c>
      <c r="BI23" s="230" t="n">
        <v>0</v>
      </c>
      <c r="BJ23" s="230" t="n">
        <v>0</v>
      </c>
      <c r="BK23" s="230" t="n">
        <v>0</v>
      </c>
      <c r="BL23" s="230" t="n">
        <v>0</v>
      </c>
      <c r="BS23" s="120" t="inlineStr">
        <is>
          <t>CHANGE DU POSTE 2TER VERS POSTE 1SUD LE 14/01- 1500</t>
        </is>
      </c>
      <c r="BT23" s="120" t="n">
        <v>1</v>
      </c>
      <c r="BU23" s="120" t="n"/>
      <c r="BV23" s="120" t="inlineStr">
        <is>
          <t>DABALLASTING</t>
        </is>
      </c>
      <c r="BW23" s="323">
        <f>AI23-AH23</f>
        <v/>
      </c>
      <c r="BX23" s="120" t="inlineStr">
        <is>
          <t>NUL</t>
        </is>
      </c>
      <c r="BY23" s="120" t="inlineStr">
        <is>
          <t>NUL</t>
        </is>
      </c>
      <c r="CB23" s="111" t="n">
        <v>2990</v>
      </c>
    </row>
    <row r="24" ht="14.55" customFormat="1" customHeight="1" s="230">
      <c r="A24" s="107" t="n">
        <v>18</v>
      </c>
      <c r="B24" s="317" t="inlineStr">
        <is>
          <t>SPAR LIBRA</t>
        </is>
      </c>
      <c r="C24" s="108" t="n">
        <v>45677</v>
      </c>
      <c r="D24" s="318" t="n">
        <v>10823</v>
      </c>
      <c r="E24" s="318">
        <f>D24+D25+D26</f>
        <v/>
      </c>
      <c r="F24" s="138" t="inlineStr">
        <is>
          <t>OCP NUTR</t>
        </is>
      </c>
      <c r="G24" s="112" t="n">
        <v>2</v>
      </c>
      <c r="H24" s="113" t="inlineStr">
        <is>
          <t>MAP</t>
        </is>
      </c>
      <c r="I24" s="114" t="inlineStr">
        <is>
          <t xml:space="preserve">MAP 10 50 1Zn </t>
        </is>
      </c>
      <c r="J24" s="113" t="inlineStr">
        <is>
          <t>FOB</t>
        </is>
      </c>
      <c r="K24" s="82" t="n">
        <v>618.88</v>
      </c>
      <c r="L24" s="326">
        <f>D24*K24</f>
        <v/>
      </c>
      <c r="M24" s="14" t="n">
        <v>10.0505</v>
      </c>
      <c r="N24" s="327">
        <f>L24*M24</f>
        <v/>
      </c>
      <c r="O24" s="16" t="inlineStr">
        <is>
          <t>2103 T DU 26/12/2024</t>
        </is>
      </c>
      <c r="P24" s="50" t="inlineStr">
        <is>
          <t xml:space="preserve">AMEROPA ASIA PTE LTD </t>
        </is>
      </c>
      <c r="Q24" s="113" t="inlineStr">
        <is>
          <t>AUSTRALIA</t>
        </is>
      </c>
      <c r="R24" s="113" t="inlineStr">
        <is>
          <t>AUSTRALIA</t>
        </is>
      </c>
      <c r="S24" s="113" t="inlineStr">
        <is>
          <t>INTERTEK&amp;INSPECTORATE</t>
        </is>
      </c>
      <c r="T24" s="111" t="inlineStr">
        <is>
          <t>OCP</t>
        </is>
      </c>
      <c r="U24" s="112" t="n">
        <v>190</v>
      </c>
      <c r="V24" s="113">
        <f>IF(U24&lt;130, "Mini Bulker", IF(AND(U24&gt;=130, U24&lt;150), "Handysize", IF(AND(U24&gt;=150, U24&lt;200), "Handymax", IF(AND(U24&gt;=200, U24&lt;230), "Panamax", IF(AND(U24&gt;=230, U24&lt;=270), "Capesize", "Autre")))))</f>
        <v/>
      </c>
      <c r="X24" s="111">
        <f>IF(E24&lt;9999,"1",IF(E24&lt;19999,"2",IF(E24&lt;29999,"3",IF(E24&lt;39999,"4",IF(E24&lt;49999,"5",IF(E24&gt;50000,"6"))))))</f>
        <v/>
      </c>
      <c r="Y24" s="115" t="inlineStr">
        <is>
          <t>2BIS/2TER</t>
        </is>
      </c>
      <c r="Z24" s="321" t="n"/>
      <c r="AA24" s="121" t="n">
        <v>45664.80416666667</v>
      </c>
      <c r="AB24" s="96" t="n">
        <v>45665.375</v>
      </c>
      <c r="AC24" s="108" t="n">
        <v>45667</v>
      </c>
      <c r="AD24" s="108" t="n">
        <v>45672</v>
      </c>
      <c r="AE24" s="121" t="n">
        <v>45664.80416666667</v>
      </c>
      <c r="AF24" s="17" t="n">
        <v>45664.95486111111</v>
      </c>
      <c r="AG24" s="121" t="n">
        <v>45665.00833333333</v>
      </c>
      <c r="AH24" s="121" t="n">
        <v>45664.01388888889</v>
      </c>
      <c r="AI24" s="17" t="n">
        <v>45665.51041666666</v>
      </c>
      <c r="AJ24" s="121" t="n">
        <v>45665.53125</v>
      </c>
      <c r="AK24" s="96" t="n">
        <v>45677.75694444445</v>
      </c>
      <c r="AL24" s="96" t="n">
        <v>45677.79166666666</v>
      </c>
      <c r="AM24" s="96" t="n">
        <v>45677.80555555555</v>
      </c>
      <c r="AO24" s="96" t="n">
        <v>45677.85972222222</v>
      </c>
      <c r="AP24" s="117">
        <f>(AG24-AF24)*1440</f>
        <v/>
      </c>
      <c r="AQ24" s="117">
        <f>(AG24-AE24)*1440</f>
        <v/>
      </c>
      <c r="AR24" s="117">
        <f>(AH24-AF24)*1440</f>
        <v/>
      </c>
      <c r="AS24" s="117">
        <f>(AI24-AH24)*1440</f>
        <v/>
      </c>
      <c r="AT24" s="117">
        <f>(AJ24-AH24)*1440</f>
        <v/>
      </c>
      <c r="AU24" s="117">
        <f>(AL24-AK24)*1440</f>
        <v/>
      </c>
      <c r="AV24" s="117">
        <f>(AM24-AL24)*1440</f>
        <v/>
      </c>
      <c r="AW24" s="117">
        <f>(AO24-AM24)*1440</f>
        <v/>
      </c>
      <c r="AX24" s="118">
        <f>AP24+AS24+AU24+AV24+AW24</f>
        <v/>
      </c>
      <c r="AY24" s="119">
        <f>(AG24-AA24)</f>
        <v/>
      </c>
      <c r="AZ24" s="119">
        <f>(AK24-AJ24)</f>
        <v/>
      </c>
      <c r="BA24" s="119">
        <f>AO24-AG24</f>
        <v/>
      </c>
      <c r="BB24" s="119">
        <f>(AO24-AA24)-(AP24/1440)-(AW24/1440)</f>
        <v/>
      </c>
      <c r="BC24" s="117">
        <f>E24/AZ24</f>
        <v/>
      </c>
      <c r="BE24" s="117">
        <f>IF(E24&lt;10000,3000,IF(E24&lt;15000,3600,IF(E24&lt;20000,4500,IF(E24&lt;25000,6000,IF(E24&lt;30000,7500,IF(E24&lt;40000,9000,IF(E24&gt;40000,10000)))))))</f>
        <v/>
      </c>
      <c r="BF24" s="322">
        <f>(E24/BE24)+2</f>
        <v/>
      </c>
      <c r="BI24" s="230" t="n">
        <v>0</v>
      </c>
      <c r="BJ24" s="230" t="n">
        <v>0</v>
      </c>
      <c r="BK24" s="230" t="n">
        <v>0</v>
      </c>
      <c r="BL24" s="230" t="n">
        <v>0</v>
      </c>
      <c r="BS24" s="120" t="inlineStr">
        <is>
          <t>CHANGE DU POSTE 2BIS VERS POSTE 2TER 17/01 - 1355</t>
        </is>
      </c>
      <c r="BT24" s="120" t="n">
        <v>1</v>
      </c>
      <c r="BU24" s="120" t="inlineStr">
        <is>
          <t>NON CLEAN</t>
        </is>
      </c>
      <c r="BW24" s="323">
        <f>AI24-AH24</f>
        <v/>
      </c>
      <c r="BX24" s="120" t="inlineStr">
        <is>
          <t>TBC</t>
        </is>
      </c>
      <c r="BY24" s="120" t="inlineStr">
        <is>
          <t>TBC</t>
        </is>
      </c>
      <c r="CB24" s="111" t="n">
        <v>32474</v>
      </c>
    </row>
    <row r="25" ht="14.55" customHeight="1" s="70">
      <c r="A25" s="83" t="n"/>
      <c r="B25" s="328" t="inlineStr">
        <is>
          <t>SPAR LIBRA</t>
        </is>
      </c>
      <c r="C25" s="15" t="n">
        <v>45677</v>
      </c>
      <c r="D25" s="329" t="n">
        <v>27700</v>
      </c>
      <c r="E25" s="330" t="n"/>
      <c r="F25" s="140" t="inlineStr">
        <is>
          <t>OCP NUTR</t>
        </is>
      </c>
      <c r="G25" s="81" t="n">
        <v>2</v>
      </c>
      <c r="H25" s="50" t="inlineStr">
        <is>
          <t>MAP</t>
        </is>
      </c>
      <c r="I25" s="306" t="inlineStr">
        <is>
          <t xml:space="preserve">MAP 10 50 SPECIAL </t>
        </is>
      </c>
      <c r="J25" s="50" t="inlineStr">
        <is>
          <t>FOB</t>
        </is>
      </c>
      <c r="K25" s="82" t="n">
        <v>571.88</v>
      </c>
      <c r="L25" s="326">
        <f>D25*K25</f>
        <v/>
      </c>
      <c r="M25" s="14" t="n">
        <v>10.0505</v>
      </c>
      <c r="N25" s="327">
        <f>L25*M25</f>
        <v/>
      </c>
      <c r="O25" s="16" t="inlineStr">
        <is>
          <t>2103 T DU 26/12/2024</t>
        </is>
      </c>
      <c r="P25" s="50" t="inlineStr">
        <is>
          <t xml:space="preserve">AMEROPA ASIA PTE LTD </t>
        </is>
      </c>
      <c r="Q25" s="50" t="inlineStr">
        <is>
          <t>AUSTRALIA</t>
        </is>
      </c>
      <c r="R25" s="50" t="inlineStr">
        <is>
          <t>AUSTRALIA</t>
        </is>
      </c>
      <c r="S25" s="50" t="n"/>
      <c r="T25" s="14" t="inlineStr">
        <is>
          <t>OCP</t>
        </is>
      </c>
      <c r="U25" s="81" t="n">
        <v>190</v>
      </c>
      <c r="V25" s="50">
        <f>IF(U25&lt;130, "Mini Bulker", IF(AND(U25&gt;=130, U25&lt;150), "Handysize", IF(AND(U25&gt;=150, U25&lt;200), "Handymax", IF(AND(U25&gt;=200, U25&lt;230), "Panamax", IF(AND(U25&gt;=230, U25&lt;=270), "Capesize", "Autre")))))</f>
        <v/>
      </c>
      <c r="X25" s="14">
        <f>IF(E25&lt;9999,"1",IF(E25&lt;19999,"2",IF(E25&lt;29999,"3",IF(E25&lt;39999,"4",IF(E25&lt;49999,"5",IF(E25&gt;50000,"6"))))))</f>
        <v/>
      </c>
      <c r="Y25" s="75" t="inlineStr">
        <is>
          <t>2BIS/2TER</t>
        </is>
      </c>
      <c r="Z25" s="331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S25" s="24" t="inlineStr">
        <is>
          <t>CHANGE DU POSTE 2BIS VERS POSTE 2TER 17/01 - 1356</t>
        </is>
      </c>
      <c r="BT25" s="99" t="n"/>
      <c r="BW25" s="332">
        <f>AI25-AH25</f>
        <v/>
      </c>
      <c r="BX25" s="24" t="inlineStr">
        <is>
          <t>TBC</t>
        </is>
      </c>
      <c r="BY25" s="24" t="inlineStr">
        <is>
          <t>TBC</t>
        </is>
      </c>
      <c r="CB25" s="14" t="n"/>
    </row>
    <row r="26" ht="15" customHeight="1" s="70">
      <c r="A26" s="83" t="n"/>
      <c r="B26" s="328" t="inlineStr">
        <is>
          <t>SPAR LIBRA</t>
        </is>
      </c>
      <c r="C26" s="15" t="n">
        <v>45677</v>
      </c>
      <c r="D26" s="329" t="n">
        <v>9850</v>
      </c>
      <c r="E26" s="330" t="n"/>
      <c r="F26" s="140" t="inlineStr">
        <is>
          <t>OCP NUTR</t>
        </is>
      </c>
      <c r="G26" s="81" t="n">
        <v>2</v>
      </c>
      <c r="H26" s="50" t="inlineStr">
        <is>
          <t>DAP</t>
        </is>
      </c>
      <c r="I26" s="306" t="inlineStr">
        <is>
          <t xml:space="preserve">DAP SPECIAL DARK </t>
        </is>
      </c>
      <c r="J26" s="50" t="inlineStr">
        <is>
          <t>FOB</t>
        </is>
      </c>
      <c r="K26" s="82" t="n">
        <v>610</v>
      </c>
      <c r="L26" s="326">
        <f>D26*K26</f>
        <v/>
      </c>
      <c r="M26" s="14" t="n">
        <v>10.0505</v>
      </c>
      <c r="N26" s="327">
        <f>L26*M26</f>
        <v/>
      </c>
      <c r="O26" s="16" t="inlineStr">
        <is>
          <t>2103 T DU 26/12/2024</t>
        </is>
      </c>
      <c r="P26" s="50" t="inlineStr">
        <is>
          <t xml:space="preserve">AMEROPA ASIA PTE LTD </t>
        </is>
      </c>
      <c r="Q26" s="50" t="inlineStr">
        <is>
          <t>AUSTRALIA</t>
        </is>
      </c>
      <c r="R26" s="50" t="inlineStr">
        <is>
          <t>AUSTRALIA</t>
        </is>
      </c>
      <c r="S26" s="50" t="n"/>
      <c r="T26" s="14" t="inlineStr">
        <is>
          <t>OCP</t>
        </is>
      </c>
      <c r="U26" s="81" t="n">
        <v>190</v>
      </c>
      <c r="V26" s="50">
        <f>IF(U26&lt;130, "Mini Bulker", IF(AND(U26&gt;=130, U26&lt;150), "Handysize", IF(AND(U26&gt;=150, U26&lt;200), "Handymax", IF(AND(U26&gt;=200, U26&lt;230), "Panamax", IF(AND(U26&gt;=230, U26&lt;=270), "Capesize", "Autre")))))</f>
        <v/>
      </c>
      <c r="X26" s="14">
        <f>IF(E26&lt;9999,"1",IF(E26&lt;19999,"2",IF(E26&lt;29999,"3",IF(E26&lt;39999,"4",IF(E26&lt;49999,"5",IF(E26&gt;50000,"6"))))))</f>
        <v/>
      </c>
      <c r="Y26" s="75" t="inlineStr">
        <is>
          <t>2BIS/2TER</t>
        </is>
      </c>
      <c r="Z26" s="331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S26" s="24" t="inlineStr">
        <is>
          <t>CHANGE DU POSTE 2BIS VERS POSTE 2TER 17/01 - 1357</t>
        </is>
      </c>
      <c r="BT26" s="99" t="n"/>
      <c r="BW26" s="332">
        <f>AI26-AH26</f>
        <v/>
      </c>
      <c r="BX26" s="24" t="inlineStr">
        <is>
          <t>TBC</t>
        </is>
      </c>
      <c r="BY26" s="24" t="inlineStr">
        <is>
          <t>TBC</t>
        </is>
      </c>
      <c r="CB26" s="14" t="n"/>
    </row>
    <row r="27" ht="14.55" customFormat="1" customHeight="1" s="230">
      <c r="A27" s="83" t="n">
        <v>20</v>
      </c>
      <c r="B27" s="328" t="inlineStr">
        <is>
          <t>ADAROSE</t>
        </is>
      </c>
      <c r="C27" s="15" t="n">
        <v>45678</v>
      </c>
      <c r="D27" s="329" t="n">
        <v>5500</v>
      </c>
      <c r="E27" s="333">
        <f>D28+D27</f>
        <v/>
      </c>
      <c r="F27" s="140" t="inlineStr">
        <is>
          <t>OCP NUTR</t>
        </is>
      </c>
      <c r="G27" s="81" t="n">
        <v>2</v>
      </c>
      <c r="H27" s="50" t="inlineStr">
        <is>
          <t>NPK</t>
        </is>
      </c>
      <c r="I27" s="306" t="inlineStr">
        <is>
          <t>NPK 15 15 15 EU</t>
        </is>
      </c>
      <c r="J27" s="50" t="inlineStr">
        <is>
          <t>FOB</t>
        </is>
      </c>
      <c r="K27" s="82" t="n">
        <v>406</v>
      </c>
      <c r="L27" s="326">
        <f>D27*K27</f>
        <v/>
      </c>
      <c r="M27" s="14" t="n">
        <v>10.0209</v>
      </c>
      <c r="N27" s="327">
        <f>L27*M27</f>
        <v/>
      </c>
      <c r="O27" s="16" t="inlineStr">
        <is>
          <t>2103 T DU 26/12/2024</t>
        </is>
      </c>
      <c r="P27" s="50" t="inlineStr">
        <is>
          <t xml:space="preserve">HELM AG </t>
        </is>
      </c>
      <c r="Q27" s="50" t="inlineStr">
        <is>
          <t>EUROPE</t>
        </is>
      </c>
      <c r="R27" s="50" t="inlineStr">
        <is>
          <t>Allemagne/Belgique</t>
        </is>
      </c>
      <c r="S27" s="50" t="inlineStr">
        <is>
          <t>*</t>
        </is>
      </c>
      <c r="T27" s="14" t="inlineStr">
        <is>
          <t>INSPECTORATE</t>
        </is>
      </c>
      <c r="U27" s="81" t="n">
        <v>116</v>
      </c>
      <c r="V27" s="50">
        <f>IF(U27&lt;130, "Mini Bulker", IF(AND(U27&gt;=130, U27&lt;150), "Handysize", IF(AND(U27&gt;=150, U27&lt;200), "Handymax", IF(AND(U27&gt;=200, U27&lt;230), "Panamax", IF(AND(U27&gt;=230, U27&lt;=270), "Capesize", "Autre")))))</f>
        <v/>
      </c>
      <c r="W27" s="214" t="n"/>
      <c r="X27" s="14">
        <f>IF(E27&lt;9999,"1",IF(E27&lt;19999,"2",IF(E27&lt;29999,"3",IF(E27&lt;39999,"4",IF(E27&lt;49999,"5",IF(E27&gt;50000,"6"))))))</f>
        <v/>
      </c>
      <c r="Y27" s="75" t="inlineStr">
        <is>
          <t>1N/4BIS/2TER</t>
        </is>
      </c>
      <c r="Z27" s="331" t="n"/>
      <c r="AA27" s="26" t="n">
        <v>45674.65625</v>
      </c>
      <c r="AB27" s="26" t="n">
        <v>45674.65625</v>
      </c>
      <c r="AC27" s="15" t="n">
        <v>45674</v>
      </c>
      <c r="AD27" s="15" t="n">
        <v>45676</v>
      </c>
      <c r="AE27" s="26" t="n">
        <v>45674.65625</v>
      </c>
      <c r="AF27" s="26" t="n">
        <v>45675.46597222222</v>
      </c>
      <c r="AG27" s="26" t="n">
        <v>45675.57291666666</v>
      </c>
      <c r="AH27" s="26" t="n">
        <v>45675.59027777778</v>
      </c>
      <c r="AI27" s="26" t="n">
        <v>45675.63888888889</v>
      </c>
      <c r="AJ27" s="26" t="n">
        <v>45676.68402777778</v>
      </c>
      <c r="AK27" s="26" t="n">
        <v>45678.70833333334</v>
      </c>
      <c r="AL27" s="26" t="n">
        <v>45678.75</v>
      </c>
      <c r="AM27" s="26" t="n">
        <v>45678.76736111111</v>
      </c>
      <c r="AN27" s="26" t="n">
        <v>45678.80208333334</v>
      </c>
      <c r="AO27" s="26" t="n">
        <v>45679.36805555555</v>
      </c>
      <c r="AP27" s="20">
        <f>(AG27-AF27)*1440</f>
        <v/>
      </c>
      <c r="AQ27" s="20">
        <f>(AG27-AE27)*1440</f>
        <v/>
      </c>
      <c r="AR27" s="20">
        <f>(AH27-AF27)*1440</f>
        <v/>
      </c>
      <c r="AS27" s="20">
        <f>(AI27-AH27)*1440</f>
        <v/>
      </c>
      <c r="AT27" s="20">
        <f>(AJ27-AH27)*1440</f>
        <v/>
      </c>
      <c r="AU27" s="20">
        <f>(AL27-AK27)*1440</f>
        <v/>
      </c>
      <c r="AV27" s="20">
        <f>(AM27-AL27)*1440</f>
        <v/>
      </c>
      <c r="AW27" s="20">
        <f>(AO27-AM27)*1440</f>
        <v/>
      </c>
      <c r="AX27" s="19">
        <f>AP27+AS27+AU27+AV27+AW27</f>
        <v/>
      </c>
      <c r="AY27" s="18">
        <f>(AG27-AA27)</f>
        <v/>
      </c>
      <c r="AZ27" s="18">
        <f>(AK27-AJ27)</f>
        <v/>
      </c>
      <c r="BA27" s="18">
        <f>AO27-AG27</f>
        <v/>
      </c>
      <c r="BB27" s="18">
        <f>(AO27-AA27)-(AP27/1440)-(AW27/1440)</f>
        <v/>
      </c>
      <c r="BC27" s="20">
        <f>E27/AZ27</f>
        <v/>
      </c>
      <c r="BE27" s="20">
        <f>IF(E27&lt;10000,3000,IF(E27&lt;15000,3600,IF(E27&lt;20000,4500,IF(E27&lt;25000,6000,IF(E27&lt;30000,7500,IF(E27&lt;40000,9000,IF(E27&gt;40000,10000)))))))</f>
        <v/>
      </c>
      <c r="BF27" s="334">
        <f>(E27/BE27)+2</f>
        <v/>
      </c>
      <c r="BI27" s="230" t="n">
        <v>0</v>
      </c>
      <c r="BJ27" s="230" t="n">
        <v>0</v>
      </c>
      <c r="BK27" s="230" t="n">
        <v>0</v>
      </c>
      <c r="BL27" s="230" t="n">
        <v>0</v>
      </c>
      <c r="BS27" s="24" t="inlineStr">
        <is>
          <t>CHANGE DU POSTE 1N VERS POSTE 4BIS LE 20/01- 1220 // CHANGE DU POSTE 4BIS VERS POSTE 2TER LE 20/01- 2214</t>
        </is>
      </c>
      <c r="BT27" s="24" t="n">
        <v>3</v>
      </c>
      <c r="BU27" s="24" t="inlineStr">
        <is>
          <t>CLEAN</t>
        </is>
      </c>
      <c r="BW27" s="332">
        <f>AI27-AH27</f>
        <v/>
      </c>
      <c r="BX27" s="24" t="inlineStr">
        <is>
          <t>NUL</t>
        </is>
      </c>
      <c r="BY27" s="24" t="inlineStr">
        <is>
          <t>NUL</t>
        </is>
      </c>
      <c r="CB27" s="14" t="n">
        <v>7404</v>
      </c>
    </row>
    <row r="28" ht="14.55" customHeight="1" s="70" thickBot="1">
      <c r="A28" s="83" t="n"/>
      <c r="B28" s="328" t="inlineStr">
        <is>
          <t>ADAROSE</t>
        </is>
      </c>
      <c r="C28" s="15" t="n">
        <v>45678</v>
      </c>
      <c r="D28" s="329" t="n">
        <v>4400</v>
      </c>
      <c r="E28" s="330" t="n"/>
      <c r="F28" s="140" t="inlineStr">
        <is>
          <t>OCP NUTR</t>
        </is>
      </c>
      <c r="G28" s="81" t="n">
        <v>2</v>
      </c>
      <c r="H28" s="50" t="inlineStr">
        <is>
          <t>DAP</t>
        </is>
      </c>
      <c r="I28" s="306" t="inlineStr">
        <is>
          <t>DAP EURO</t>
        </is>
      </c>
      <c r="J28" s="50" t="inlineStr">
        <is>
          <t>FOB</t>
        </is>
      </c>
      <c r="K28" s="82" t="n">
        <v>595</v>
      </c>
      <c r="L28" s="326">
        <f>D28*K28</f>
        <v/>
      </c>
      <c r="M28" s="14" t="n">
        <v>10.0209</v>
      </c>
      <c r="N28" s="327">
        <f>L28*M28</f>
        <v/>
      </c>
      <c r="O28" s="16" t="inlineStr">
        <is>
          <t>2103 T DU 26/12/2024</t>
        </is>
      </c>
      <c r="P28" s="50" t="inlineStr">
        <is>
          <t xml:space="preserve">HELM AG </t>
        </is>
      </c>
      <c r="Q28" s="50" t="inlineStr">
        <is>
          <t>EUROPE</t>
        </is>
      </c>
      <c r="R28" s="50" t="inlineStr">
        <is>
          <t>Allemagne/Belgique</t>
        </is>
      </c>
      <c r="S28" s="210" t="n"/>
      <c r="T28" s="54" t="inlineStr">
        <is>
          <t>INSPECTORATE</t>
        </is>
      </c>
      <c r="U28" s="81" t="n">
        <v>116</v>
      </c>
      <c r="V28" s="50">
        <f>IF(U28&lt;130, "Mini Bulker", IF(AND(U28&gt;=130, U28&lt;150), "Handysize", IF(AND(U28&gt;=150, U28&lt;200), "Handymax", IF(AND(U28&gt;=200, U28&lt;230), "Panamax", IF(AND(U28&gt;=230, U28&lt;=270), "Capesize", "Autre")))))</f>
        <v/>
      </c>
      <c r="X28" s="14">
        <f>IF(E28&lt;9999,"1",IF(E28&lt;19999,"2",IF(E28&lt;29999,"3",IF(E28&lt;39999,"4",IF(E28&lt;49999,"5",IF(E28&gt;50000,"6"))))))</f>
        <v/>
      </c>
      <c r="Y28" s="75" t="inlineStr">
        <is>
          <t>1N/4BIS/2TER</t>
        </is>
      </c>
      <c r="Z28" s="331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S28" s="24" t="inlineStr">
        <is>
          <t>CHANGE DU POSTE 1N VERS POSTE 4BIS LE 20/01- 1220 // CHANGE DU POSTE 4BIS VERS POSTE 2TER LE 20/01- 2214</t>
        </is>
      </c>
      <c r="BT28" s="99" t="n"/>
      <c r="BW28" s="332">
        <f>AI28-AH28</f>
        <v/>
      </c>
      <c r="BX28" s="24" t="inlineStr">
        <is>
          <t>NUL</t>
        </is>
      </c>
      <c r="BY28" s="24" t="inlineStr">
        <is>
          <t>NUL</t>
        </is>
      </c>
      <c r="CB28" s="14" t="n"/>
    </row>
    <row r="29" ht="14.55" customHeight="1" s="70" thickBot="1">
      <c r="A29" s="107" t="n">
        <v>19</v>
      </c>
      <c r="B29" s="317" t="inlineStr">
        <is>
          <t>RIVA</t>
        </is>
      </c>
      <c r="C29" s="108" t="n">
        <v>45678</v>
      </c>
      <c r="D29" s="318" t="n">
        <v>32250</v>
      </c>
      <c r="E29" s="324">
        <f>D30+D29</f>
        <v/>
      </c>
      <c r="F29" s="138" t="inlineStr">
        <is>
          <t>OCP NUTR/JFC2</t>
        </is>
      </c>
      <c r="G29" s="112" t="n">
        <v>2</v>
      </c>
      <c r="H29" s="113" t="inlineStr">
        <is>
          <t>DAP</t>
        </is>
      </c>
      <c r="I29" s="114" t="inlineStr">
        <is>
          <t xml:space="preserve">DAP LOW MOISTURE </t>
        </is>
      </c>
      <c r="J29" s="113" t="inlineStr">
        <is>
          <t>FOB</t>
        </is>
      </c>
      <c r="K29" s="82" t="n">
        <v>600</v>
      </c>
      <c r="L29" s="326">
        <f>D29*K29</f>
        <v/>
      </c>
      <c r="M29" s="14" t="n">
        <v>10.0209</v>
      </c>
      <c r="N29" s="327">
        <f>L29*M29</f>
        <v/>
      </c>
      <c r="O29" s="16" t="inlineStr">
        <is>
          <t>2103 T DU 26/12/2024 / 2109 Z DU 26/12/2024</t>
        </is>
      </c>
      <c r="P29" s="50" t="inlineStr">
        <is>
          <t xml:space="preserve">M/S MILLENNIUM ENTREPRISE/ M/S MOSHARAF AND BROTHERS </t>
        </is>
      </c>
      <c r="Q29" s="113" t="inlineStr">
        <is>
          <t>ASIE</t>
        </is>
      </c>
      <c r="R29" s="113" t="inlineStr">
        <is>
          <t>Bangladesh</t>
        </is>
      </c>
      <c r="S29" s="113" t="inlineStr">
        <is>
          <t>INTERTEK&amp;INSPECTORATE</t>
        </is>
      </c>
      <c r="T29" s="111" t="inlineStr">
        <is>
          <t>INTERTEK</t>
        </is>
      </c>
      <c r="U29" s="112" t="n">
        <v>180</v>
      </c>
      <c r="V29" s="113">
        <f>IF(U29&lt;130, "Mini Bulker", IF(AND(U29&gt;=130, U29&lt;150), "Handysize", IF(AND(U29&gt;=150, U29&lt;200), "Handymax", IF(AND(U29&gt;=200, U29&lt;230), "Panamax", IF(AND(U29&gt;=230, U29&lt;=270), "Capesize", "Autre")))))</f>
        <v/>
      </c>
      <c r="W29" s="236" t="n"/>
      <c r="X29" s="111">
        <f>IF(E29&lt;9999,"1",IF(E29&lt;19999,"2",IF(E29&lt;29999,"3",IF(E29&lt;39999,"4",IF(E29&lt;49999,"5",IF(E29&gt;50000,"6"))))))</f>
        <v/>
      </c>
      <c r="Y29" s="115" t="inlineStr">
        <is>
          <t>2N</t>
        </is>
      </c>
      <c r="Z29" s="321" t="n"/>
      <c r="AA29" s="96" t="n">
        <v>45671.25</v>
      </c>
      <c r="AB29" s="96" t="n">
        <v>45671.375</v>
      </c>
      <c r="AC29" s="108" t="n">
        <v>45670</v>
      </c>
      <c r="AD29" s="108" t="n">
        <v>45672</v>
      </c>
      <c r="AE29" s="96" t="n">
        <v>45671.20833333334</v>
      </c>
      <c r="AF29" s="26" t="n">
        <v>45671.50486111111</v>
      </c>
      <c r="AG29" s="96" t="n">
        <v>45671.60416666666</v>
      </c>
      <c r="AH29" s="96" t="n">
        <v>45671.61111111111</v>
      </c>
      <c r="AI29" s="26" t="n">
        <v>45671.67708333334</v>
      </c>
      <c r="AJ29" s="96" t="n">
        <v>45671.76388888889</v>
      </c>
      <c r="AK29" s="96" t="n">
        <v>45678.41666666666</v>
      </c>
      <c r="AL29" s="96" t="n">
        <v>45678.44791666666</v>
      </c>
      <c r="AM29" s="96" t="n">
        <v>45678.46875</v>
      </c>
      <c r="AN29" s="26" t="n">
        <v>45678.50833333333</v>
      </c>
      <c r="AO29" s="96" t="n">
        <v>45678.53472222222</v>
      </c>
      <c r="AP29" s="117">
        <f>(AG29-AF29)*1440</f>
        <v/>
      </c>
      <c r="AQ29" s="117">
        <f>(AG29-AE29)*1440</f>
        <v/>
      </c>
      <c r="AR29" s="117">
        <f>(AH29-AF29)*1440</f>
        <v/>
      </c>
      <c r="AS29" s="117">
        <f>(AI29-AH29)*1440</f>
        <v/>
      </c>
      <c r="AT29" s="117">
        <f>(AJ29-AH29)*1440</f>
        <v/>
      </c>
      <c r="AU29" s="117">
        <f>(AL29-AK29)*1440</f>
        <v/>
      </c>
      <c r="AV29" s="117">
        <f>(AM29-AL29)*1440</f>
        <v/>
      </c>
      <c r="AW29" s="117">
        <f>(AO29-AM29)*1440</f>
        <v/>
      </c>
      <c r="AX29" s="118">
        <f>AP29+AS29+AU29+AV29+AW29</f>
        <v/>
      </c>
      <c r="AY29" s="119">
        <f>(AG29-AA29)</f>
        <v/>
      </c>
      <c r="AZ29" s="119">
        <f>(AK29-AJ29)</f>
        <v/>
      </c>
      <c r="BA29" s="119">
        <f>AO29-AG29</f>
        <v/>
      </c>
      <c r="BB29" s="119">
        <f>(AO29-AA29)-(AP29/1440)-(AW29/1440)</f>
        <v/>
      </c>
      <c r="BC29" s="117">
        <f>E29/AZ29</f>
        <v/>
      </c>
      <c r="BD29" s="230" t="n"/>
      <c r="BE29" s="117">
        <f>IF(E29&lt;10000,3000,IF(E29&lt;15000,3600,IF(E29&lt;20000,4500,IF(E29&lt;25000,6000,IF(E29&lt;30000,7500,IF(E29&lt;40000,9000,IF(E29&gt;40000,10000)))))))</f>
        <v/>
      </c>
      <c r="BF29" s="322">
        <f>(E29/BE29)+2</f>
        <v/>
      </c>
      <c r="BG29" s="230" t="n"/>
      <c r="BH29" s="230" t="n"/>
      <c r="BI29" s="230" t="n">
        <v>0</v>
      </c>
      <c r="BJ29" s="230" t="n">
        <v>0</v>
      </c>
      <c r="BK29" s="230" t="n">
        <v>0</v>
      </c>
      <c r="BL29" s="230" t="n">
        <v>0</v>
      </c>
      <c r="BM29" s="230" t="n"/>
      <c r="BN29" s="230" t="n"/>
      <c r="BO29" s="230" t="n"/>
      <c r="BP29" s="230" t="n"/>
      <c r="BQ29" s="230" t="n"/>
      <c r="BR29" s="230" t="n"/>
      <c r="BS29" s="120" t="inlineStr">
        <is>
          <t>NUL</t>
        </is>
      </c>
      <c r="BT29" s="120" t="n"/>
      <c r="BU29" s="120" t="inlineStr">
        <is>
          <t>CLEAN</t>
        </is>
      </c>
      <c r="BV29" s="230" t="n"/>
      <c r="BW29" s="323">
        <f>AI29-AH29</f>
        <v/>
      </c>
      <c r="BX29" s="120" t="inlineStr">
        <is>
          <t>NUL</t>
        </is>
      </c>
      <c r="BY29" s="120" t="inlineStr">
        <is>
          <t>NUL</t>
        </is>
      </c>
      <c r="BZ29" s="230" t="n"/>
      <c r="CA29" s="230" t="n"/>
      <c r="CB29" s="111" t="n">
        <v>25546</v>
      </c>
      <c r="CC29" s="230" t="n"/>
      <c r="CD29" s="230" t="n"/>
      <c r="CE29" s="230" t="n"/>
      <c r="CF29" s="230" t="n"/>
      <c r="CG29" s="230" t="n"/>
      <c r="CH29" s="230" t="n"/>
      <c r="CI29" s="230" t="n"/>
      <c r="CJ29" s="230" t="n"/>
      <c r="CK29" s="230" t="n"/>
      <c r="CL29" s="230" t="n"/>
      <c r="CM29" s="230" t="n"/>
      <c r="CN29" s="230" t="n"/>
      <c r="CO29" s="230" t="n"/>
      <c r="CP29" s="230" t="n"/>
      <c r="CQ29" s="230" t="n"/>
    </row>
    <row r="30" ht="15" customHeight="1" s="70">
      <c r="A30" s="83" t="n"/>
      <c r="B30" s="328" t="inlineStr">
        <is>
          <t>RIVA</t>
        </is>
      </c>
      <c r="C30" s="15" t="n">
        <v>45678</v>
      </c>
      <c r="D30" s="329" t="n">
        <v>6400</v>
      </c>
      <c r="E30" s="330" t="n"/>
      <c r="F30" s="140" t="inlineStr">
        <is>
          <t>JFC2</t>
        </is>
      </c>
      <c r="G30" s="81" t="n">
        <v>2</v>
      </c>
      <c r="H30" s="50" t="inlineStr">
        <is>
          <t>DAP</t>
        </is>
      </c>
      <c r="I30" s="306" t="inlineStr">
        <is>
          <t xml:space="preserve">DAP LOW MOISTURE </t>
        </is>
      </c>
      <c r="J30" s="50" t="inlineStr">
        <is>
          <t>FOB</t>
        </is>
      </c>
      <c r="K30" s="82" t="n">
        <v>600</v>
      </c>
      <c r="L30" s="326">
        <f>D30*K30</f>
        <v/>
      </c>
      <c r="M30" s="14" t="n">
        <v>10.0209</v>
      </c>
      <c r="N30" s="327">
        <f>L30*M30</f>
        <v/>
      </c>
      <c r="O30" s="16" t="inlineStr">
        <is>
          <t>2109 Z DU 26/12/2024</t>
        </is>
      </c>
      <c r="P30" s="50" t="inlineStr">
        <is>
          <t>M/S MILLENNIUM ENTREPRISE</t>
        </is>
      </c>
      <c r="Q30" s="50" t="inlineStr">
        <is>
          <t>ASIE</t>
        </is>
      </c>
      <c r="R30" s="50" t="inlineStr">
        <is>
          <t>Bangladesh</t>
        </is>
      </c>
      <c r="S30" s="75" t="n"/>
      <c r="T30" s="14" t="inlineStr">
        <is>
          <t>INTERTEK</t>
        </is>
      </c>
      <c r="U30" s="81" t="n">
        <v>180</v>
      </c>
      <c r="V30" s="50">
        <f>IF(U30&lt;130, "Mini Bulker", IF(AND(U30&gt;=130, U30&lt;150), "Handysize", IF(AND(U30&gt;=150, U30&lt;200), "Handymax", IF(AND(U30&gt;=200, U30&lt;230), "Panamax", IF(AND(U30&gt;=230, U30&lt;=270), "Capesize", "Autre")))))</f>
        <v/>
      </c>
      <c r="X30" s="14">
        <f>IF(E30&lt;9999,"1",IF(E30&lt;19999,"2",IF(E30&lt;29999,"3",IF(E30&lt;39999,"4",IF(E30&lt;49999,"5",IF(E30&gt;50000,"6"))))))</f>
        <v/>
      </c>
      <c r="Y30" s="75" t="inlineStr">
        <is>
          <t>2N</t>
        </is>
      </c>
      <c r="Z30" s="331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S30" s="24" t="inlineStr">
        <is>
          <t>NUL</t>
        </is>
      </c>
      <c r="BT30" s="99" t="n"/>
      <c r="BW30" s="332">
        <f>AI30-AH30</f>
        <v/>
      </c>
      <c r="BX30" s="24" t="inlineStr">
        <is>
          <t>NUL</t>
        </is>
      </c>
      <c r="BY30" s="24" t="inlineStr">
        <is>
          <t>NUL</t>
        </is>
      </c>
      <c r="CB30" s="14" t="n"/>
    </row>
    <row r="31" ht="14.55" customHeight="1" s="70">
      <c r="A31" s="83" t="n">
        <v>21</v>
      </c>
      <c r="B31" s="328" t="inlineStr">
        <is>
          <t>SANTA VENERA</t>
        </is>
      </c>
      <c r="C31" s="15" t="n">
        <v>45680</v>
      </c>
      <c r="D31" s="329" t="n">
        <v>25767</v>
      </c>
      <c r="E31" s="329">
        <f>D31+D32+D33</f>
        <v/>
      </c>
      <c r="F31" s="140" t="inlineStr">
        <is>
          <t>OCP NUTR</t>
        </is>
      </c>
      <c r="G31" s="81" t="n">
        <v>3</v>
      </c>
      <c r="H31" s="50" t="inlineStr">
        <is>
          <t>MAP</t>
        </is>
      </c>
      <c r="I31" s="306" t="inlineStr">
        <is>
          <t xml:space="preserve">MAP 11 52 SPECIAL </t>
        </is>
      </c>
      <c r="J31" s="50" t="inlineStr">
        <is>
          <t>CFR</t>
        </is>
      </c>
      <c r="K31" s="82" t="n">
        <v>642.58</v>
      </c>
      <c r="L31" s="326">
        <f>D31*K31</f>
        <v/>
      </c>
      <c r="M31" s="14" t="n">
        <v>10.0043</v>
      </c>
      <c r="N31" s="335">
        <f>L31*M31</f>
        <v/>
      </c>
      <c r="O31" s="16" t="inlineStr">
        <is>
          <t>2103 T DU 26/12/2024</t>
        </is>
      </c>
      <c r="P31" s="50" t="inlineStr">
        <is>
          <t>BUNGE ARGENTINA S-A/Asociacion de Cooperativas Argentinas /COFCO INTERNATIONAL ARGENTINA SA</t>
        </is>
      </c>
      <c r="Q31" s="50" t="inlineStr">
        <is>
          <t>EUROPE</t>
        </is>
      </c>
      <c r="R31" s="50" t="inlineStr">
        <is>
          <t>ARGENTINE</t>
        </is>
      </c>
      <c r="S31" s="50" t="inlineStr">
        <is>
          <t>*</t>
        </is>
      </c>
      <c r="T31" s="14" t="inlineStr">
        <is>
          <t>INSPECTORATE</t>
        </is>
      </c>
      <c r="U31" s="81" t="n">
        <v>180</v>
      </c>
      <c r="V31" s="50">
        <f>IF(U31&lt;130, "Mini Bulker", IF(AND(U31&gt;=130, U31&lt;150), "Handysize", IF(AND(U31&gt;=150, U31&lt;200), "Handymax", IF(AND(U31&gt;=200, U31&lt;230), "Panamax", IF(AND(U31&gt;=230, U31&lt;=270), "Capesize", "Autre")))))</f>
        <v/>
      </c>
      <c r="X31" s="14">
        <f>IF(E31&lt;9999,"1",IF(E31&lt;19999,"2",IF(E31&lt;29999,"3",IF(E31&lt;39999,"4",IF(E31&lt;49999,"5",IF(E31&gt;50000,"6"))))))</f>
        <v/>
      </c>
      <c r="Y31" s="75" t="inlineStr">
        <is>
          <t>1BIS</t>
        </is>
      </c>
      <c r="Z31" s="331" t="n"/>
      <c r="AA31" s="26" t="n">
        <v>45674.94583333333</v>
      </c>
      <c r="AB31" s="26" t="n">
        <v>45675.375</v>
      </c>
      <c r="AC31" s="15" t="n">
        <v>45670</v>
      </c>
      <c r="AD31" s="15" t="n">
        <v>45674</v>
      </c>
      <c r="AE31" s="26" t="n">
        <v>45674.91666666666</v>
      </c>
      <c r="AF31" s="26" t="n">
        <v>45676.74305555555</v>
      </c>
      <c r="AG31" s="26" t="n">
        <v>45676.81666666667</v>
      </c>
      <c r="AH31" s="26" t="n">
        <v>45676.84027777778</v>
      </c>
      <c r="AI31" s="26" t="n">
        <v>45676.88888888889</v>
      </c>
      <c r="AJ31" s="26" t="n">
        <v>45676.90625</v>
      </c>
      <c r="AK31" s="26" t="n">
        <v>45680.83333333334</v>
      </c>
      <c r="AL31" s="26" t="n">
        <v>45680.89097222222</v>
      </c>
      <c r="AM31" s="26" t="n">
        <v>45680.91666666666</v>
      </c>
      <c r="AN31" s="26" t="n">
        <v>45680.94513888889</v>
      </c>
      <c r="AO31" s="26" t="n">
        <v>45680.96666666667</v>
      </c>
      <c r="AP31" s="20">
        <f>(AG31-AF31)*1440</f>
        <v/>
      </c>
      <c r="AQ31" s="20">
        <f>(AG31-AE31)*1440</f>
        <v/>
      </c>
      <c r="AR31" s="20">
        <f>(AH31-AF31)*1440</f>
        <v/>
      </c>
      <c r="AS31" s="20">
        <f>(AI31-AH31)*1440</f>
        <v/>
      </c>
      <c r="AT31" s="20">
        <f>(AJ31-AH31)*1440</f>
        <v/>
      </c>
      <c r="AU31" s="20">
        <f>(AL31-AK31)*1440</f>
        <v/>
      </c>
      <c r="AV31" s="20">
        <f>(AM31-AL31)*1440</f>
        <v/>
      </c>
      <c r="AW31" s="20">
        <f>(AO31-AM31)*1440</f>
        <v/>
      </c>
      <c r="AX31" s="19">
        <f>AP31+AS31+AU31+AV31+AW31</f>
        <v/>
      </c>
      <c r="AY31" s="18">
        <f>(AG31-AA31)</f>
        <v/>
      </c>
      <c r="AZ31" s="18">
        <f>(AK31-AJ31)</f>
        <v/>
      </c>
      <c r="BA31" s="18">
        <f>AO31-AG31</f>
        <v/>
      </c>
      <c r="BB31" s="18">
        <f>(AO31-AA31)-(AP31/1440)-(AW31/1440)</f>
        <v/>
      </c>
      <c r="BC31" s="20">
        <f>E31/AZ31</f>
        <v/>
      </c>
      <c r="BE31" s="20">
        <f>IF(E31&lt;10000,3000,IF(E31&lt;15000,3600,IF(E31&lt;20000,4500,IF(E31&lt;25000,6000,IF(E31&lt;30000,7500,IF(E31&lt;40000,9000,IF(E31&gt;40000,10000)))))))</f>
        <v/>
      </c>
      <c r="BF31" s="334">
        <f>(E31/BE31)+2</f>
        <v/>
      </c>
      <c r="BI31" s="230" t="n">
        <v>0</v>
      </c>
      <c r="BJ31" s="230" t="n">
        <v>0</v>
      </c>
      <c r="BK31" s="230" t="n">
        <v>0</v>
      </c>
      <c r="BL31" s="230" t="n">
        <v>0</v>
      </c>
      <c r="BS31" s="24" t="inlineStr">
        <is>
          <t>NUL</t>
        </is>
      </c>
      <c r="BT31" s="24" t="n"/>
      <c r="BU31" s="24" t="inlineStr">
        <is>
          <t>CLEAN</t>
        </is>
      </c>
      <c r="BW31" s="332">
        <f>AI31-AH31</f>
        <v/>
      </c>
      <c r="BX31" s="24" t="inlineStr">
        <is>
          <t>NUL</t>
        </is>
      </c>
      <c r="BY31" s="24" t="inlineStr">
        <is>
          <t>NUL</t>
        </is>
      </c>
      <c r="CB31" s="14" t="n">
        <v>26128</v>
      </c>
    </row>
    <row r="32" ht="14.55" customHeight="1" s="70">
      <c r="A32" s="83" t="n"/>
      <c r="B32" s="328" t="inlineStr">
        <is>
          <t>SANTA VENERA</t>
        </is>
      </c>
      <c r="C32" s="15" t="n">
        <v>45680</v>
      </c>
      <c r="D32" s="329" t="n">
        <v>9575</v>
      </c>
      <c r="E32" s="330" t="n"/>
      <c r="F32" s="140" t="inlineStr">
        <is>
          <t>OCP NUTR</t>
        </is>
      </c>
      <c r="G32" s="81" t="n">
        <v>3</v>
      </c>
      <c r="H32" s="50" t="inlineStr">
        <is>
          <t>DAP</t>
        </is>
      </c>
      <c r="I32" s="306" t="inlineStr">
        <is>
          <t xml:space="preserve">DAP SPECIAL </t>
        </is>
      </c>
      <c r="J32" s="50" t="inlineStr">
        <is>
          <t>CFR</t>
        </is>
      </c>
      <c r="K32" s="82" t="n">
        <v>640.9</v>
      </c>
      <c r="L32" s="336">
        <f>D32*K32</f>
        <v/>
      </c>
      <c r="M32" s="14" t="n">
        <v>10.0043</v>
      </c>
      <c r="N32" s="335">
        <f>L32*M32</f>
        <v/>
      </c>
      <c r="O32" s="16" t="inlineStr">
        <is>
          <t>2103 T DU 26/12/2024</t>
        </is>
      </c>
      <c r="P32" s="50" t="inlineStr">
        <is>
          <t>BUNGE ARGENTINA S-A/Asociacion de Cooperativas Argentinas /COFCO INTERNATIONAL ARGENTINA SA</t>
        </is>
      </c>
      <c r="Q32" s="50" t="inlineStr">
        <is>
          <t>EUROPE</t>
        </is>
      </c>
      <c r="R32" s="50" t="inlineStr">
        <is>
          <t>ARGENTINE</t>
        </is>
      </c>
      <c r="T32" s="14" t="inlineStr">
        <is>
          <t>INSPECTORATE</t>
        </is>
      </c>
      <c r="U32" s="81" t="n">
        <v>180</v>
      </c>
      <c r="V32" s="50">
        <f>IF(U32&lt;130, "Mini Bulker", IF(AND(U32&gt;=130, U32&lt;150), "Handysize", IF(AND(U32&gt;=150, U32&lt;200), "Handymax", IF(AND(U32&gt;=200, U32&lt;230), "Panamax", IF(AND(U32&gt;=230, U32&lt;=270), "Capesize", "Autre")))))</f>
        <v/>
      </c>
      <c r="X32" s="14">
        <f>IF(E32&lt;9999,"1",IF(E32&lt;19999,"2",IF(E32&lt;29999,"3",IF(E32&lt;39999,"4",IF(E32&lt;49999,"5",IF(E32&gt;50000,"6"))))))</f>
        <v/>
      </c>
      <c r="Y32" s="75" t="inlineStr">
        <is>
          <t>1BIS</t>
        </is>
      </c>
      <c r="Z32" s="331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S32" s="24" t="inlineStr">
        <is>
          <t>NUL</t>
        </is>
      </c>
      <c r="BT32" s="99" t="n"/>
      <c r="BW32" s="332">
        <f>AI32-AH32</f>
        <v/>
      </c>
      <c r="BX32" s="24" t="inlineStr">
        <is>
          <t>NUL</t>
        </is>
      </c>
      <c r="BY32" s="24" t="inlineStr">
        <is>
          <t>NUL</t>
        </is>
      </c>
      <c r="CB32" s="14" t="n"/>
    </row>
    <row r="33" ht="15" customHeight="1" s="70">
      <c r="A33" s="83" t="n"/>
      <c r="B33" s="328" t="inlineStr">
        <is>
          <t>SANTA VENERA</t>
        </is>
      </c>
      <c r="C33" s="15" t="n">
        <v>45680</v>
      </c>
      <c r="D33" s="329" t="n">
        <v>5500</v>
      </c>
      <c r="E33" s="330" t="n"/>
      <c r="F33" s="140" t="inlineStr">
        <is>
          <t>OCP NUTR</t>
        </is>
      </c>
      <c r="G33" s="81" t="n">
        <v>3</v>
      </c>
      <c r="H33" s="53" t="inlineStr">
        <is>
          <t>TSP</t>
        </is>
      </c>
      <c r="I33" s="306" t="inlineStr">
        <is>
          <t>TSP SPECIAL JORF</t>
        </is>
      </c>
      <c r="J33" s="50" t="inlineStr">
        <is>
          <t>CFR</t>
        </is>
      </c>
      <c r="K33" s="82" t="n">
        <v>490</v>
      </c>
      <c r="L33" s="336">
        <f>D33*K33</f>
        <v/>
      </c>
      <c r="M33" s="14" t="n">
        <v>10.0043</v>
      </c>
      <c r="N33" s="335">
        <f>L33*M33</f>
        <v/>
      </c>
      <c r="O33" s="16" t="inlineStr">
        <is>
          <t>2103 T DU 26/12/2024</t>
        </is>
      </c>
      <c r="P33" s="50" t="inlineStr">
        <is>
          <t>Asociacion de Cooperativas Argentinas /COFCO INTERNATIONAL ARGENTINA SA</t>
        </is>
      </c>
      <c r="Q33" s="50" t="inlineStr">
        <is>
          <t>EUROPE</t>
        </is>
      </c>
      <c r="R33" s="50" t="inlineStr">
        <is>
          <t>ARGENTINE</t>
        </is>
      </c>
      <c r="T33" s="14" t="inlineStr">
        <is>
          <t>INSPECTORATE</t>
        </is>
      </c>
      <c r="U33" s="81" t="n">
        <v>180</v>
      </c>
      <c r="V33" s="50">
        <f>IF(U33&lt;130, "Mini Bulker", IF(AND(U33&gt;=130, U33&lt;150), "Handysize", IF(AND(U33&gt;=150, U33&lt;200), "Handymax", IF(AND(U33&gt;=200, U33&lt;230), "Panamax", IF(AND(U33&gt;=230, U33&lt;=270), "Capesize", "Autre")))))</f>
        <v/>
      </c>
      <c r="X33" s="14">
        <f>IF(E33&lt;9999,"1",IF(E33&lt;19999,"2",IF(E33&lt;29999,"3",IF(E33&lt;39999,"4",IF(E33&lt;49999,"5",IF(E33&gt;50000,"6"))))))</f>
        <v/>
      </c>
      <c r="Y33" s="75" t="inlineStr">
        <is>
          <t>1BIS</t>
        </is>
      </c>
      <c r="Z33" s="331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S33" s="24" t="inlineStr">
        <is>
          <t>NUL</t>
        </is>
      </c>
      <c r="BT33" s="99" t="n"/>
      <c r="BW33" s="332">
        <f>AI33-AH33</f>
        <v/>
      </c>
      <c r="BX33" s="24" t="inlineStr">
        <is>
          <t>NUL</t>
        </is>
      </c>
      <c r="BY33" s="24" t="inlineStr">
        <is>
          <t>NUL</t>
        </is>
      </c>
      <c r="CB33" s="14" t="n"/>
    </row>
    <row r="34" ht="14.55" customHeight="1" s="70">
      <c r="A34" s="83" t="n">
        <v>22</v>
      </c>
      <c r="B34" s="328" t="inlineStr">
        <is>
          <t xml:space="preserve">SANTANA </t>
        </is>
      </c>
      <c r="C34" s="15" t="n">
        <v>45681</v>
      </c>
      <c r="D34" s="329" t="n">
        <v>7364</v>
      </c>
      <c r="E34" s="333" t="n">
        <v>10111</v>
      </c>
      <c r="F34" s="140" t="inlineStr">
        <is>
          <t>OCP NUTR</t>
        </is>
      </c>
      <c r="G34" s="81" t="n">
        <v>2</v>
      </c>
      <c r="H34" s="53" t="inlineStr">
        <is>
          <t>DAP</t>
        </is>
      </c>
      <c r="I34" s="306" t="inlineStr">
        <is>
          <t xml:space="preserve">DAP HUNGARY </t>
        </is>
      </c>
      <c r="J34" s="50" t="inlineStr">
        <is>
          <t>FOB</t>
        </is>
      </c>
      <c r="K34" s="82" t="n">
        <v>595</v>
      </c>
      <c r="L34" s="336">
        <f>D34*K34</f>
        <v/>
      </c>
      <c r="M34" s="14" t="n">
        <v>10.0043</v>
      </c>
      <c r="N34" s="335">
        <f>L34*M34</f>
        <v/>
      </c>
      <c r="O34" s="16" t="inlineStr">
        <is>
          <t>2103 T DU 26/12/2024</t>
        </is>
      </c>
      <c r="P34" s="50" t="inlineStr">
        <is>
          <t xml:space="preserve">HELM AG </t>
        </is>
      </c>
      <c r="Q34" s="50" t="inlineStr">
        <is>
          <t>EUROPE</t>
        </is>
      </c>
      <c r="R34" s="50" t="inlineStr">
        <is>
          <t xml:space="preserve">Slovenia </t>
        </is>
      </c>
      <c r="T34" s="14" t="inlineStr">
        <is>
          <t>INSPECTORATE</t>
        </is>
      </c>
      <c r="U34" s="81" t="n">
        <v>127</v>
      </c>
      <c r="V34" s="53">
        <f>IF(U34&lt;130, "Mini Bulker", IF(AND(U34&gt;=130, U34&lt;150), "Handysize", IF(AND(U34&gt;=150, U34&lt;200), "Handymax", IF(AND(U34&gt;=200, U34&lt;230), "Panamax", IF(AND(U34&gt;=230, U34&lt;=270), "Capesize", "Autre")))))</f>
        <v/>
      </c>
      <c r="W34" s="88" t="n"/>
      <c r="X34" s="14">
        <f>IF(E34&lt;9999,"1",IF(E34&lt;19999,"2",IF(E34&lt;29999,"3",IF(E34&lt;39999,"4",IF(E34&lt;49999,"5",IF(E34&gt;50000,"6"))))))</f>
        <v/>
      </c>
      <c r="Y34" s="75" t="inlineStr">
        <is>
          <t>2TER/1TER</t>
        </is>
      </c>
      <c r="Z34" s="331" t="n"/>
      <c r="AA34" s="26" t="n">
        <v>45672.29166666666</v>
      </c>
      <c r="AB34" s="26" t="n">
        <v>45672.375</v>
      </c>
      <c r="AC34" s="15" t="n">
        <v>45666</v>
      </c>
      <c r="AD34" s="15" t="n">
        <v>45669</v>
      </c>
      <c r="AE34" s="26" t="n">
        <v>45672.29166666666</v>
      </c>
      <c r="AF34" s="26" t="n">
        <v>45672.51736111111</v>
      </c>
      <c r="AG34" s="26" t="n">
        <v>45672.5625</v>
      </c>
      <c r="AH34" s="26" t="n">
        <v>45672.60416666666</v>
      </c>
      <c r="AI34" s="26" t="n">
        <v>45672.66666666666</v>
      </c>
      <c r="AJ34" s="26" t="n">
        <v>45672.80555555555</v>
      </c>
      <c r="AK34" s="26" t="n">
        <v>45681.38194444445</v>
      </c>
      <c r="AL34" s="26" t="n">
        <v>45681.44097222222</v>
      </c>
      <c r="AM34" s="26" t="n">
        <v>45681.46527777778</v>
      </c>
      <c r="AN34" s="26" t="n">
        <v>45681.5625</v>
      </c>
      <c r="AO34" s="26" t="n">
        <v>45681.55555555555</v>
      </c>
      <c r="AP34" s="20">
        <f>(AG34-AF34)*1440</f>
        <v/>
      </c>
      <c r="AQ34" s="20">
        <f>(AG34-AE34)*1440</f>
        <v/>
      </c>
      <c r="AR34" s="20">
        <f>(AH34-AF34)*1440</f>
        <v/>
      </c>
      <c r="AS34" s="20">
        <f>(AI34-AH34)*1440</f>
        <v/>
      </c>
      <c r="AT34" s="20">
        <f>(AJ34-AH34)*1440</f>
        <v/>
      </c>
      <c r="AU34" s="20">
        <f>(AL34-AK34)*1440</f>
        <v/>
      </c>
      <c r="AV34" s="20">
        <f>(AM34-AL34)*1440</f>
        <v/>
      </c>
      <c r="AW34" s="20">
        <f>(AO34-AM34)*1440</f>
        <v/>
      </c>
      <c r="AX34" s="19">
        <f>AP34+AS34+AU34+AV34+AW34</f>
        <v/>
      </c>
      <c r="AY34" s="18">
        <f>(AG34-AA34)</f>
        <v/>
      </c>
      <c r="AZ34" s="18">
        <f>(AK34-AJ34)</f>
        <v/>
      </c>
      <c r="BA34" s="18">
        <f>AO34-AG34</f>
        <v/>
      </c>
      <c r="BB34" s="18">
        <f>(AO34-AA34)-(AP34/1440)-(AW34/1440)</f>
        <v/>
      </c>
      <c r="BC34" s="20">
        <f>E34/AZ34</f>
        <v/>
      </c>
      <c r="BE34" s="20">
        <f>IF(E34&lt;10000,3000,IF(E34&lt;15000,3600,IF(E34&lt;20000,4500,IF(E34&lt;25000,6000,IF(E34&lt;30000,7500,IF(E34&lt;40000,9000,IF(E34&gt;40000,10000)))))))</f>
        <v/>
      </c>
      <c r="BF34" s="334">
        <f>(E34/BE34)+2</f>
        <v/>
      </c>
      <c r="BI34" s="230" t="n">
        <v>0</v>
      </c>
      <c r="BJ34" s="230" t="n">
        <v>0</v>
      </c>
      <c r="BK34" s="230" t="n">
        <v>0</v>
      </c>
      <c r="BL34" s="230" t="n">
        <v>0</v>
      </c>
      <c r="BS34" s="24" t="inlineStr">
        <is>
          <t>CHANGE DU POSTE 2TER VERS POSTE 1N LE 17/01 - 1245 // CHANGE DU POSTE 1N VERS LA RADE LE 18/01- 1250 // RE-ACC AU POSTE 1TER LE 23/01- 0852</t>
        </is>
      </c>
      <c r="BT34" s="24" t="n">
        <v>3</v>
      </c>
      <c r="BU34" s="24" t="inlineStr">
        <is>
          <t>CLEAN</t>
        </is>
      </c>
      <c r="BW34" s="332">
        <f>AI34-AH34</f>
        <v/>
      </c>
      <c r="BX34" s="24" t="inlineStr">
        <is>
          <t>NUL</t>
        </is>
      </c>
      <c r="BY34" s="24" t="inlineStr">
        <is>
          <t>NUL</t>
        </is>
      </c>
      <c r="CB34" s="14" t="n">
        <v>7345</v>
      </c>
    </row>
    <row r="35" ht="14.55" customHeight="1" s="70">
      <c r="A35" s="83" t="n"/>
      <c r="B35" s="328" t="inlineStr">
        <is>
          <t xml:space="preserve">SANTANA </t>
        </is>
      </c>
      <c r="C35" s="15" t="n">
        <v>45681</v>
      </c>
      <c r="D35" s="329" t="n">
        <v>2747</v>
      </c>
      <c r="E35" s="330" t="n"/>
      <c r="F35" s="140" t="inlineStr">
        <is>
          <t>OCP NUTR</t>
        </is>
      </c>
      <c r="G35" s="81" t="n">
        <v>2</v>
      </c>
      <c r="H35" s="53" t="inlineStr">
        <is>
          <t>MAP</t>
        </is>
      </c>
      <c r="I35" s="306" t="inlineStr">
        <is>
          <t xml:space="preserve">MAP 11 52 EU </t>
        </is>
      </c>
      <c r="J35" s="50" t="inlineStr">
        <is>
          <t>FOB</t>
        </is>
      </c>
      <c r="K35" s="82" t="n">
        <v>595</v>
      </c>
      <c r="L35" s="336">
        <f>D35*K35</f>
        <v/>
      </c>
      <c r="M35" s="14" t="n">
        <v>10.0043</v>
      </c>
      <c r="N35" s="335">
        <f>L35*M35</f>
        <v/>
      </c>
      <c r="O35" s="16" t="inlineStr">
        <is>
          <t>2103 T DU 26/12/2024</t>
        </is>
      </c>
      <c r="P35" s="50" t="inlineStr">
        <is>
          <t xml:space="preserve">HELM AG </t>
        </is>
      </c>
      <c r="Q35" s="50" t="inlineStr">
        <is>
          <t>EUROPE</t>
        </is>
      </c>
      <c r="R35" s="50" t="inlineStr">
        <is>
          <t xml:space="preserve">Slovenia </t>
        </is>
      </c>
      <c r="T35" s="14" t="inlineStr">
        <is>
          <t>INSPECTORATE</t>
        </is>
      </c>
      <c r="U35" s="81" t="n">
        <v>127</v>
      </c>
      <c r="V35" s="53">
        <f>IF(U35&lt;130, "Mini Bulker", IF(AND(U35&gt;=130, U35&lt;150), "Handysize", IF(AND(U35&gt;=150, U35&lt;200), "Handymax", IF(AND(U35&gt;=200, U35&lt;230), "Panamax", IF(AND(U35&gt;=230, U35&lt;=270), "Capesize", "Autre")))))</f>
        <v/>
      </c>
      <c r="X35" s="14">
        <f>IF(E35&lt;9999,"1",IF(E35&lt;19999,"2",IF(E35&lt;29999,"3",IF(E35&lt;39999,"4",IF(E35&lt;49999,"5",IF(E35&gt;50000,"6"))))))</f>
        <v/>
      </c>
      <c r="Y35" s="75" t="inlineStr">
        <is>
          <t>1TER</t>
        </is>
      </c>
      <c r="Z35" s="331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S35" s="24" t="inlineStr">
        <is>
          <t>CHANGE DU POSTE 2TER VERS POSTE 1N LE 17/01 - 1245 // CHANGE DU POSTE 1N VERS LA RADE LE 18/01- 1250 // RE-ACC AU POSTE 1TER LE 23/01- 0852</t>
        </is>
      </c>
      <c r="BT35" s="99" t="n"/>
      <c r="BX35" s="24" t="inlineStr">
        <is>
          <t>NUL</t>
        </is>
      </c>
      <c r="BY35" s="24" t="inlineStr">
        <is>
          <t>NUL</t>
        </is>
      </c>
      <c r="CB35" s="14" t="n"/>
    </row>
    <row r="36" ht="14.55" customFormat="1" customHeight="1" s="230">
      <c r="A36" s="107" t="n">
        <v>24</v>
      </c>
      <c r="B36" s="317" t="inlineStr">
        <is>
          <t>ASTRO PROPUS</t>
        </is>
      </c>
      <c r="C36" s="108" t="n">
        <v>45682</v>
      </c>
      <c r="D36" s="318" t="n">
        <v>36040</v>
      </c>
      <c r="E36" s="318" t="n">
        <v>36040</v>
      </c>
      <c r="F36" s="138" t="inlineStr">
        <is>
          <t>JFC1</t>
        </is>
      </c>
      <c r="G36" s="112" t="n">
        <v>1</v>
      </c>
      <c r="H36" s="129" t="inlineStr">
        <is>
          <t>NPS</t>
        </is>
      </c>
      <c r="I36" s="114" t="inlineStr">
        <is>
          <t xml:space="preserve">NPSB 18.9N 37.7P2O5 6.95S 0.1B Kenya </t>
        </is>
      </c>
      <c r="J36" s="113" t="inlineStr">
        <is>
          <t>CFR</t>
        </is>
      </c>
      <c r="K36" s="123" t="n">
        <v>548</v>
      </c>
      <c r="L36" s="337">
        <f>D36*K36</f>
        <v/>
      </c>
      <c r="M36" s="111" t="n">
        <v>9.992000000000001</v>
      </c>
      <c r="N36" s="338">
        <f>L36*M36</f>
        <v/>
      </c>
      <c r="O36" s="124" t="inlineStr">
        <is>
          <t>2108 Y DU 26/12/2024</t>
        </is>
      </c>
      <c r="P36" s="113" t="inlineStr">
        <is>
          <t>OCP KENYA LTD</t>
        </is>
      </c>
      <c r="Q36" s="113" t="inlineStr">
        <is>
          <t>AFRIQUE</t>
        </is>
      </c>
      <c r="R36" s="113" t="inlineStr">
        <is>
          <t xml:space="preserve">KENYA </t>
        </is>
      </c>
      <c r="S36" s="233" t="n"/>
      <c r="T36" s="122" t="inlineStr">
        <is>
          <t>INSPECTORATE</t>
        </is>
      </c>
      <c r="U36" s="112" t="n">
        <v>180</v>
      </c>
      <c r="V36" s="129">
        <f>IF(U36&lt;130, "Mini Bulker", IF(AND(U36&gt;=130, U36&lt;150), "Handysize", IF(AND(U36&gt;=150, U36&lt;200), "Handymax", IF(AND(U36&gt;=200, U36&lt;230), "Panamax", IF(AND(U36&gt;=230, U36&lt;=270), "Capesize", "Autre")))))</f>
        <v/>
      </c>
      <c r="W36" s="132" t="n"/>
      <c r="X36" s="111">
        <f>IF(E36&lt;9999,"1",IF(E36&lt;19999,"2",IF(E36&lt;29999,"3",IF(E36&lt;39999,"4",IF(E36&lt;49999,"5",IF(E36&gt;50000,"6"))))))</f>
        <v/>
      </c>
      <c r="Y36" s="115" t="inlineStr">
        <is>
          <t>2BIS</t>
        </is>
      </c>
      <c r="Z36" s="321" t="n">
        <v>42400</v>
      </c>
      <c r="AA36" s="96" t="n">
        <v>45673.23958333334</v>
      </c>
      <c r="AB36" s="96" t="n">
        <v>45673.375</v>
      </c>
      <c r="AC36" s="108" t="n">
        <v>45675</v>
      </c>
      <c r="AD36" s="108" t="n">
        <v>45677</v>
      </c>
      <c r="AE36" s="96" t="n">
        <v>45673.23958333334</v>
      </c>
      <c r="AF36" s="96" t="n">
        <v>45674.57083333333</v>
      </c>
      <c r="AG36" s="96" t="n">
        <v>45674.6125</v>
      </c>
      <c r="AH36" s="96" t="n">
        <v>45674.62847222222</v>
      </c>
      <c r="AI36" s="96" t="n">
        <v>45674.68055555555</v>
      </c>
      <c r="AJ36" s="96" t="n">
        <v>45675.04861111111</v>
      </c>
      <c r="AK36" s="96" t="n">
        <v>45682.46527777778</v>
      </c>
      <c r="AL36" s="96" t="n">
        <v>45682.60486111111</v>
      </c>
      <c r="AM36" s="96" t="n">
        <v>45682.625</v>
      </c>
      <c r="AN36" s="96" t="n">
        <v>45682.67847222222</v>
      </c>
      <c r="AO36" s="96" t="n">
        <v>45682.70138888889</v>
      </c>
      <c r="AP36" s="117">
        <f>(AG36-AF36)*1440</f>
        <v/>
      </c>
      <c r="AQ36" s="117">
        <f>(AG36-AE36)*1440</f>
        <v/>
      </c>
      <c r="AR36" s="117">
        <f>(AH36-AF36)*1440</f>
        <v/>
      </c>
      <c r="AS36" s="117">
        <f>(AI36-AH36)*1440</f>
        <v/>
      </c>
      <c r="AT36" s="117">
        <f>(AJ36-AH36)*1440</f>
        <v/>
      </c>
      <c r="AU36" s="117">
        <f>(AL36-AK36)*1440</f>
        <v/>
      </c>
      <c r="AV36" s="117">
        <f>(AM36-AL36)*1440</f>
        <v/>
      </c>
      <c r="AW36" s="117">
        <f>(AO36-AM36)*1440</f>
        <v/>
      </c>
      <c r="AX36" s="118">
        <f>AP36+AS36+AU36+AV36+AW36</f>
        <v/>
      </c>
      <c r="AY36" s="119">
        <f>(AG36-AA36)</f>
        <v/>
      </c>
      <c r="AZ36" s="119">
        <f>(AK36-AJ36)</f>
        <v/>
      </c>
      <c r="BA36" s="119">
        <f>AO36-AG36</f>
        <v/>
      </c>
      <c r="BB36" s="119">
        <f>(AO36-AA36)-(AP36/1440)-(AW36/1440)</f>
        <v/>
      </c>
      <c r="BC36" s="117">
        <f>E36/AZ36</f>
        <v/>
      </c>
      <c r="BE36" s="117">
        <f>IF(E36&lt;10000,3000,IF(E36&lt;15000,3600,IF(E36&lt;20000,4500,IF(E36&lt;25000,6000,IF(E36&lt;30000,7500,IF(E36&lt;40000,9000,IF(E36&gt;40000,10000)))))))</f>
        <v/>
      </c>
      <c r="BF36" s="322">
        <f>(E36/BE36)+2</f>
        <v/>
      </c>
      <c r="BI36" s="230" t="n">
        <v>0</v>
      </c>
      <c r="BJ36" s="230" t="n">
        <v>0</v>
      </c>
      <c r="BK36" s="230" t="n">
        <v>0</v>
      </c>
      <c r="BL36" s="230" t="n">
        <v>0</v>
      </c>
      <c r="BS36" s="120" t="inlineStr">
        <is>
          <t>NUL</t>
        </is>
      </c>
      <c r="BT36" s="125" t="n"/>
      <c r="BV36" s="125" t="n"/>
      <c r="BW36" s="323">
        <f>AI36-AH36</f>
        <v/>
      </c>
      <c r="BX36" s="120" t="inlineStr">
        <is>
          <t>NUL</t>
        </is>
      </c>
      <c r="BY36" s="120" t="inlineStr">
        <is>
          <t>NUL</t>
        </is>
      </c>
      <c r="CB36" s="111" t="n">
        <v>23263</v>
      </c>
    </row>
    <row r="37" ht="14.55" customFormat="1" customHeight="1" s="230">
      <c r="A37" s="107" t="n">
        <v>23</v>
      </c>
      <c r="B37" s="317" t="inlineStr">
        <is>
          <t>EKMEN ROYAL</t>
        </is>
      </c>
      <c r="C37" s="108" t="n">
        <v>45682</v>
      </c>
      <c r="D37" s="318" t="n">
        <v>1500</v>
      </c>
      <c r="E37" s="324">
        <f>D38+D37</f>
        <v/>
      </c>
      <c r="F37" s="141" t="inlineStr">
        <is>
          <t>OCP NUTR</t>
        </is>
      </c>
      <c r="G37" s="112" t="n">
        <v>2</v>
      </c>
      <c r="H37" s="129" t="inlineStr">
        <is>
          <t>MAP</t>
        </is>
      </c>
      <c r="I37" s="114" t="inlineStr">
        <is>
          <t xml:space="preserve">MAP 11 52 SPECIAL </t>
        </is>
      </c>
      <c r="J37" s="113" t="inlineStr">
        <is>
          <t>FOB</t>
        </is>
      </c>
      <c r="K37" s="123" t="n">
        <v>595</v>
      </c>
      <c r="L37" s="337">
        <f>D37*K37</f>
        <v/>
      </c>
      <c r="M37" s="111" t="n">
        <v>9.992000000000001</v>
      </c>
      <c r="N37" s="338">
        <f>L37*M37</f>
        <v/>
      </c>
      <c r="O37" s="124" t="inlineStr">
        <is>
          <t>2103 T DU 26/12/2024</t>
        </is>
      </c>
      <c r="P37" s="113" t="inlineStr">
        <is>
          <t>SOLEVO ANGOLA  SA</t>
        </is>
      </c>
      <c r="Q37" s="113" t="inlineStr">
        <is>
          <t>AFRIQUE</t>
        </is>
      </c>
      <c r="R37" s="113" t="inlineStr">
        <is>
          <t>Angola</t>
        </is>
      </c>
      <c r="S37" s="233" t="n"/>
      <c r="T37" s="122" t="inlineStr">
        <is>
          <t>INTERTEK</t>
        </is>
      </c>
      <c r="U37" s="112" t="n">
        <v>125</v>
      </c>
      <c r="V37" s="129">
        <f>IF(U37&lt;130, "Mini Bulker", IF(AND(U37&gt;=130, U37&lt;150), "Handysize", IF(AND(U37&gt;=150, U37&lt;200), "Handymax", IF(AND(U37&gt;=200, U37&lt;230), "Panamax", IF(AND(U37&gt;=230, U37&lt;=270), "Capesize", "Autre")))))</f>
        <v/>
      </c>
      <c r="W37" s="132" t="n"/>
      <c r="X37" s="111">
        <f>IF(E37&lt;9999,"1",IF(E37&lt;19999,"2",IF(E37&lt;29999,"3",IF(E37&lt;39999,"4",IF(E37&lt;49999,"5",IF(E37&gt;50000,"6"))))))</f>
        <v/>
      </c>
      <c r="Y37" s="115" t="inlineStr">
        <is>
          <t>2N</t>
        </is>
      </c>
      <c r="Z37" s="321" t="n"/>
      <c r="AA37" s="121" t="n">
        <v>45678.4375</v>
      </c>
      <c r="AB37" s="121" t="n">
        <v>45678.4375</v>
      </c>
      <c r="AC37" s="108" t="n">
        <v>45680</v>
      </c>
      <c r="AD37" s="108" t="n">
        <v>45682</v>
      </c>
      <c r="AE37" s="121" t="n">
        <v>45678.4375</v>
      </c>
      <c r="AF37" s="121" t="n">
        <v>45680.31458333333</v>
      </c>
      <c r="AG37" s="121" t="n">
        <v>45680.39236111111</v>
      </c>
      <c r="AH37" s="121" t="n">
        <v>45680.40972222222</v>
      </c>
      <c r="AI37" s="121" t="n">
        <v>45680.47916666666</v>
      </c>
      <c r="AJ37" s="121" t="n">
        <v>45680.71527777778</v>
      </c>
      <c r="AK37" s="121" t="n">
        <v>45682.125</v>
      </c>
      <c r="AL37" s="121" t="n">
        <v>45682.18055555555</v>
      </c>
      <c r="AM37" s="121" t="n">
        <v>45682.19791666666</v>
      </c>
      <c r="AN37" s="121" t="n">
        <v>45682.26041666666</v>
      </c>
      <c r="AO37" s="121" t="n">
        <v>45682.40277777778</v>
      </c>
      <c r="AP37" s="117">
        <f>(AG37-AF37)*1440</f>
        <v/>
      </c>
      <c r="AQ37" s="117">
        <f>(AG37-AE37)*1440</f>
        <v/>
      </c>
      <c r="AR37" s="117">
        <f>(AH37-AF37)*1440</f>
        <v/>
      </c>
      <c r="AS37" s="117">
        <f>(AI37-AH37)*1440</f>
        <v/>
      </c>
      <c r="AT37" s="117">
        <f>(AJ37-AH37)*1440</f>
        <v/>
      </c>
      <c r="AU37" s="117">
        <f>(AL37-AK37)*1440</f>
        <v/>
      </c>
      <c r="AV37" s="117">
        <f>(AM37-AL37)*1440</f>
        <v/>
      </c>
      <c r="AW37" s="117">
        <f>(AO37-AM37)*1440</f>
        <v/>
      </c>
      <c r="AX37" s="118">
        <f>AP37+AS37+AU37+AV37+AW37</f>
        <v/>
      </c>
      <c r="AY37" s="119">
        <f>(AG37-AA37)</f>
        <v/>
      </c>
      <c r="AZ37" s="119">
        <f>(AK37-AJ37)</f>
        <v/>
      </c>
      <c r="BA37" s="119">
        <f>AO37-AG37</f>
        <v/>
      </c>
      <c r="BB37" s="119">
        <f>(AO37-AA37)-(AP37/1440)-(AW37/1440)</f>
        <v/>
      </c>
      <c r="BC37" s="117">
        <f>E37/AZ37</f>
        <v/>
      </c>
      <c r="BD37" s="225" t="n"/>
      <c r="BE37" s="117">
        <f>IF(E37&lt;10000,3000,IF(E37&lt;15000,3600,IF(E37&lt;20000,4500,IF(E37&lt;25000,6000,IF(E37&lt;30000,7500,IF(E37&lt;40000,9000,IF(E37&gt;40000,10000)))))))</f>
        <v/>
      </c>
      <c r="BF37" s="322">
        <f>(E37/BE37)+2</f>
        <v/>
      </c>
      <c r="BG37" s="225" t="n"/>
      <c r="BH37" s="225" t="n"/>
      <c r="BI37" s="230" t="n">
        <v>0</v>
      </c>
      <c r="BJ37" s="230" t="n">
        <v>0</v>
      </c>
      <c r="BK37" s="230" t="n">
        <v>0</v>
      </c>
      <c r="BL37" s="230" t="n">
        <v>0</v>
      </c>
      <c r="BM37" s="225" t="n"/>
      <c r="BN37" s="225" t="n"/>
      <c r="BO37" s="225" t="n"/>
      <c r="BS37" s="120" t="inlineStr">
        <is>
          <t>NUL</t>
        </is>
      </c>
      <c r="BT37" s="125" t="n"/>
      <c r="BW37" s="339">
        <f>AI37-AH37</f>
        <v/>
      </c>
      <c r="BX37" s="120" t="n"/>
      <c r="BY37" s="120" t="n">
        <v>140</v>
      </c>
      <c r="CB37" s="111" t="n">
        <v>7738</v>
      </c>
    </row>
    <row r="38" customFormat="1" s="230">
      <c r="A38" s="107" t="n"/>
      <c r="B38" s="317" t="inlineStr">
        <is>
          <t>EKMEN ROYAL</t>
        </is>
      </c>
      <c r="C38" s="108" t="n">
        <v>45682</v>
      </c>
      <c r="D38" s="318" t="n">
        <v>6600</v>
      </c>
      <c r="E38" s="325" t="n"/>
      <c r="F38" s="141" t="inlineStr">
        <is>
          <t>KOFERT</t>
        </is>
      </c>
      <c r="G38" s="112" t="n">
        <v>2</v>
      </c>
      <c r="H38" s="129" t="inlineStr">
        <is>
          <t>DAP</t>
        </is>
      </c>
      <c r="I38" s="114" t="inlineStr">
        <is>
          <t xml:space="preserve">DAP STANDARD </t>
        </is>
      </c>
      <c r="J38" s="113" t="inlineStr">
        <is>
          <t>FOB</t>
        </is>
      </c>
      <c r="K38" s="123" t="n">
        <v>585</v>
      </c>
      <c r="L38" s="337">
        <f>D38*K38</f>
        <v/>
      </c>
      <c r="M38" s="111" t="n">
        <v>9.992000000000001</v>
      </c>
      <c r="N38" s="338">
        <f>L38*M38</f>
        <v/>
      </c>
      <c r="O38" s="124" t="inlineStr">
        <is>
          <t>2110 A DU 26/12/2024</t>
        </is>
      </c>
      <c r="P38" s="113" t="inlineStr">
        <is>
          <t>SOLEVO SCAMEROUN SA</t>
        </is>
      </c>
      <c r="Q38" s="113" t="inlineStr">
        <is>
          <t>AFRIQUE</t>
        </is>
      </c>
      <c r="R38" s="113" t="inlineStr">
        <is>
          <t>Cameroun</t>
        </is>
      </c>
      <c r="S38" s="233" t="n"/>
      <c r="T38" s="111" t="inlineStr">
        <is>
          <t>INTERTEK</t>
        </is>
      </c>
      <c r="U38" s="112" t="n">
        <v>125</v>
      </c>
      <c r="V38" s="129">
        <f>IF(U38&lt;130, "Mini Bulker", IF(AND(U38&gt;=130, U38&lt;150), "Handysize", IF(AND(U38&gt;=150, U38&lt;200), "Handymax", IF(AND(U38&gt;=200, U38&lt;230), "Panamax", IF(AND(U38&gt;=230, U38&lt;=270), "Capesize", "Autre")))))</f>
        <v/>
      </c>
      <c r="X38" s="111">
        <f>IF(E38&lt;9999,"1",IF(E38&lt;19999,"2",IF(E38&lt;29999,"3",IF(E38&lt;39999,"4",IF(E38&lt;49999,"5",IF(E38&gt;50000,"6"))))))</f>
        <v/>
      </c>
      <c r="Y38" s="115" t="inlineStr">
        <is>
          <t>2N</t>
        </is>
      </c>
      <c r="Z38" s="321" t="n"/>
      <c r="AA38" s="96" t="n"/>
      <c r="AB38" s="96" t="n"/>
      <c r="AC38" s="121" t="n"/>
      <c r="AD38" s="121" t="n"/>
      <c r="AE38" s="96" t="n"/>
      <c r="AF38" s="96" t="n"/>
      <c r="AG38" s="96" t="n"/>
      <c r="AH38" s="96" t="n"/>
      <c r="AI38" s="96" t="n"/>
      <c r="AJ38" s="96" t="n"/>
      <c r="AK38" s="96" t="n"/>
      <c r="AL38" s="96" t="n"/>
      <c r="AM38" s="96" t="n"/>
      <c r="AN38" s="96" t="n"/>
      <c r="AO38" s="96" t="n"/>
      <c r="AP38" s="121" t="n"/>
      <c r="AQ38" s="121" t="n"/>
      <c r="AR38" s="121" t="n"/>
      <c r="AS38" s="121" t="n"/>
      <c r="AT38" s="121" t="n"/>
      <c r="AU38" s="121" t="n"/>
      <c r="AV38" s="121" t="n"/>
      <c r="AW38" s="121" t="n"/>
      <c r="AX38" s="121" t="n"/>
      <c r="AY38" s="121" t="n"/>
      <c r="AZ38" s="121" t="n"/>
      <c r="BA38" s="121" t="n"/>
      <c r="BB38" s="121" t="n"/>
      <c r="BC38" s="121" t="n"/>
      <c r="BD38" s="215" t="n"/>
      <c r="BE38" s="121" t="n"/>
      <c r="BF38" s="121" t="n"/>
      <c r="BG38" s="215" t="n"/>
      <c r="BH38" s="215" t="n"/>
      <c r="BI38" s="215" t="n"/>
      <c r="BJ38" s="215" t="n"/>
      <c r="BK38" s="215" t="n"/>
      <c r="BL38" s="215" t="n"/>
      <c r="BM38" s="215" t="n"/>
      <c r="BN38" s="215" t="n"/>
      <c r="BO38" s="215" t="n"/>
      <c r="BS38" s="120" t="inlineStr">
        <is>
          <t>NUL</t>
        </is>
      </c>
      <c r="BT38" s="125" t="n"/>
      <c r="BV38" s="223" t="n"/>
      <c r="BW38" s="225" t="n"/>
      <c r="BX38" s="120" t="n"/>
      <c r="BY38" s="120" t="n">
        <v>141</v>
      </c>
      <c r="CB38" s="111" t="n"/>
    </row>
    <row r="39" ht="14.55" customFormat="1" customHeight="1" s="230">
      <c r="A39" s="107" t="n">
        <v>25</v>
      </c>
      <c r="B39" s="317" t="inlineStr">
        <is>
          <t>WESERTAL</t>
        </is>
      </c>
      <c r="C39" s="108" t="n">
        <v>45682</v>
      </c>
      <c r="D39" s="318" t="n">
        <v>1000</v>
      </c>
      <c r="E39" s="324">
        <f>D40+D39</f>
        <v/>
      </c>
      <c r="F39" s="138" t="inlineStr">
        <is>
          <t>OCP NUTR</t>
        </is>
      </c>
      <c r="G39" s="112" t="n">
        <v>2</v>
      </c>
      <c r="H39" s="129" t="inlineStr">
        <is>
          <t>MAP</t>
        </is>
      </c>
      <c r="I39" s="114" t="inlineStr">
        <is>
          <t xml:space="preserve">MAP 11 52 EU </t>
        </is>
      </c>
      <c r="J39" s="113" t="inlineStr">
        <is>
          <t>CFR</t>
        </is>
      </c>
      <c r="K39" s="123" t="n">
        <v>631</v>
      </c>
      <c r="L39" s="337">
        <f>D39*K39</f>
        <v/>
      </c>
      <c r="M39" s="111" t="n">
        <v>9.992000000000001</v>
      </c>
      <c r="N39" s="338">
        <f>L39*M39</f>
        <v/>
      </c>
      <c r="O39" s="124" t="inlineStr">
        <is>
          <t>2103 T DU 26/12/2024</t>
        </is>
      </c>
      <c r="P39" s="113" t="inlineStr">
        <is>
          <t>UNIFERT France</t>
        </is>
      </c>
      <c r="Q39" s="113" t="inlineStr">
        <is>
          <t>EUROPE</t>
        </is>
      </c>
      <c r="R39" s="113" t="inlineStr">
        <is>
          <t>FRANCE</t>
        </is>
      </c>
      <c r="S39" s="233" t="n"/>
      <c r="T39" s="111" t="inlineStr">
        <is>
          <t>INSPECTORATE</t>
        </is>
      </c>
      <c r="U39" s="112" t="n">
        <v>88</v>
      </c>
      <c r="V39" s="129">
        <f>IF(U39&lt;130, "Mini Bulker", IF(AND(U39&gt;=130, U39&lt;150), "Handysize", IF(AND(U39&gt;=150, U39&lt;200), "Handymax", IF(AND(U39&gt;=200, U39&lt;230), "Panamax", IF(AND(U39&gt;=230, U39&lt;=270), "Capesize", "Autre")))))</f>
        <v/>
      </c>
      <c r="W39" s="132" t="n"/>
      <c r="X39" s="111">
        <f>IF(E39&lt;9999,"1",IF(E39&lt;19999,"2",IF(E39&lt;29999,"3",IF(E39&lt;39999,"4",IF(E39&lt;49999,"5",IF(E39&gt;50000,"6"))))))</f>
        <v/>
      </c>
      <c r="Y39" s="115" t="inlineStr">
        <is>
          <t>2TER</t>
        </is>
      </c>
      <c r="Z39" s="321" t="n"/>
      <c r="AA39" s="96" t="n">
        <v>45675.375</v>
      </c>
      <c r="AB39" s="96" t="n">
        <v>45675.375</v>
      </c>
      <c r="AC39" s="108" t="n">
        <v>45676</v>
      </c>
      <c r="AD39" s="108" t="n">
        <v>45678</v>
      </c>
      <c r="AE39" s="96" t="n">
        <v>45674.125</v>
      </c>
      <c r="AF39" s="96" t="n">
        <v>45680.33472222222</v>
      </c>
      <c r="AG39" s="96" t="n">
        <v>45680.41319444445</v>
      </c>
      <c r="AH39" s="96" t="n">
        <v>45680.42708333334</v>
      </c>
      <c r="AI39" s="96" t="n">
        <v>45680.63194444445</v>
      </c>
      <c r="AJ39" s="96" t="n">
        <v>45681.375</v>
      </c>
      <c r="AK39" s="96" t="n">
        <v>45682.79861111111</v>
      </c>
      <c r="AL39" s="96" t="n">
        <v>45682.825</v>
      </c>
      <c r="AM39" s="96" t="n">
        <v>45682.94722222222</v>
      </c>
      <c r="AN39" s="96" t="n">
        <v>45682.94722222222</v>
      </c>
      <c r="AO39" s="96" t="n">
        <v>45683.01319444444</v>
      </c>
      <c r="AP39" s="117">
        <f>(AG39-AF39)*1440</f>
        <v/>
      </c>
      <c r="AQ39" s="117">
        <f>(AG39-AE39)*1440</f>
        <v/>
      </c>
      <c r="AR39" s="117">
        <f>(AH39-AF39)*1440</f>
        <v/>
      </c>
      <c r="AS39" s="117">
        <f>(AI39-AH39)*1440</f>
        <v/>
      </c>
      <c r="AT39" s="117">
        <f>(AJ39-AH39)*1440</f>
        <v/>
      </c>
      <c r="AU39" s="117">
        <f>(AL39-AK39)*1440</f>
        <v/>
      </c>
      <c r="AV39" s="117">
        <f>(AM39-AL39)*1440</f>
        <v/>
      </c>
      <c r="AW39" s="117">
        <f>(AO39-AM39)*1440</f>
        <v/>
      </c>
      <c r="AX39" s="118">
        <f>AP39+AS39+AU39+AV39+AW39</f>
        <v/>
      </c>
      <c r="AY39" s="119">
        <f>(AG39-AA39)</f>
        <v/>
      </c>
      <c r="AZ39" s="119">
        <f>(AK39-AJ39)</f>
        <v/>
      </c>
      <c r="BA39" s="119">
        <f>AO39-AG39</f>
        <v/>
      </c>
      <c r="BB39" s="119" t="n"/>
      <c r="BC39" s="117">
        <f>E39/AZ39</f>
        <v/>
      </c>
      <c r="BE39" s="117">
        <f>IF(E39&lt;10000,3000,IF(E39&lt;15000,3600,IF(E39&lt;20000,4500,IF(E39&lt;25000,6000,IF(E39&lt;30000,7500,IF(E39&lt;40000,9000,IF(E39&gt;40000,10000)))))))</f>
        <v/>
      </c>
      <c r="BF39" s="322">
        <f>(E39/BE39)+2</f>
        <v/>
      </c>
      <c r="BI39" s="230" t="n">
        <v>0</v>
      </c>
      <c r="BJ39" s="230" t="n">
        <v>0</v>
      </c>
      <c r="BK39" s="230" t="n">
        <v>0</v>
      </c>
      <c r="BL39" s="230" t="n">
        <v>0</v>
      </c>
      <c r="BS39" s="120" t="inlineStr">
        <is>
          <t>NUL</t>
        </is>
      </c>
      <c r="BT39" s="125" t="n"/>
      <c r="BV39" s="120" t="inlineStr">
        <is>
          <t>BULK HEAD</t>
        </is>
      </c>
      <c r="BW39" s="323">
        <f>AI39-AH39</f>
        <v/>
      </c>
      <c r="BX39" s="120" t="inlineStr">
        <is>
          <t>NUL</t>
        </is>
      </c>
      <c r="BY39" s="120" t="inlineStr">
        <is>
          <t>NUL</t>
        </is>
      </c>
      <c r="CB39" s="111" t="n">
        <v>2461</v>
      </c>
    </row>
    <row r="40" ht="14.55" customFormat="1" customHeight="1" s="230">
      <c r="B40" s="317" t="inlineStr">
        <is>
          <t>WESERTAL</t>
        </is>
      </c>
      <c r="C40" s="108" t="n">
        <v>45682</v>
      </c>
      <c r="D40" s="318" t="n">
        <v>2551</v>
      </c>
      <c r="E40" s="325" t="n"/>
      <c r="F40" s="141" t="inlineStr">
        <is>
          <t>OCP NUTR</t>
        </is>
      </c>
      <c r="G40" s="112" t="n">
        <v>2</v>
      </c>
      <c r="H40" s="129" t="inlineStr">
        <is>
          <t>DAP</t>
        </is>
      </c>
      <c r="I40" s="114" t="inlineStr">
        <is>
          <t xml:space="preserve">DAP EURO </t>
        </is>
      </c>
      <c r="J40" s="113" t="inlineStr">
        <is>
          <t>CFR</t>
        </is>
      </c>
      <c r="K40" s="123" t="n">
        <v>631</v>
      </c>
      <c r="L40" s="337">
        <f>D40*K40</f>
        <v/>
      </c>
      <c r="M40" s="111" t="n">
        <v>9.992000000000001</v>
      </c>
      <c r="N40" s="338">
        <f>L40*M40</f>
        <v/>
      </c>
      <c r="O40" s="124" t="inlineStr">
        <is>
          <t>2103 T DU 26/12/2024</t>
        </is>
      </c>
      <c r="P40" s="113" t="inlineStr">
        <is>
          <t>UNIFERT France</t>
        </is>
      </c>
      <c r="Q40" s="113" t="inlineStr">
        <is>
          <t>EUROPE</t>
        </is>
      </c>
      <c r="R40" s="113" t="inlineStr">
        <is>
          <t>FRANCE</t>
        </is>
      </c>
      <c r="S40" s="233" t="n"/>
      <c r="T40" s="111" t="inlineStr">
        <is>
          <t>INSPECTORATE</t>
        </is>
      </c>
      <c r="U40" s="112" t="n">
        <v>88</v>
      </c>
      <c r="V40" s="129">
        <f>IF(U40&lt;130, "Mini Bulker", IF(AND(U40&gt;=130, U40&lt;150), "Handysize", IF(AND(U40&gt;=150, U40&lt;200), "Handymax", IF(AND(U40&gt;=200, U40&lt;230), "Panamax", IF(AND(U40&gt;=230, U40&lt;=270), "Capesize", "Autre")))))</f>
        <v/>
      </c>
      <c r="X40" s="111">
        <f>IF(E40&lt;9999,"1",IF(E40&lt;19999,"2",IF(E40&lt;29999,"3",IF(E40&lt;39999,"4",IF(E40&lt;49999,"5",IF(E40&gt;50000,"6"))))))</f>
        <v/>
      </c>
      <c r="Y40" s="115" t="inlineStr">
        <is>
          <t>2TER</t>
        </is>
      </c>
      <c r="Z40" s="321" t="n"/>
      <c r="AA40" s="121" t="n"/>
      <c r="AB40" s="121" t="n"/>
      <c r="AC40" s="121" t="n"/>
      <c r="AD40" s="121" t="n"/>
      <c r="AE40" s="121" t="n"/>
      <c r="AF40" s="121" t="n"/>
      <c r="AG40" s="121" t="n"/>
      <c r="AH40" s="121" t="n"/>
      <c r="AI40" s="121" t="n"/>
      <c r="AJ40" s="121" t="n"/>
      <c r="AK40" s="121" t="n"/>
      <c r="AL40" s="121" t="n"/>
      <c r="AM40" s="121" t="n"/>
      <c r="AN40" s="121" t="n"/>
      <c r="AO40" s="121" t="n"/>
      <c r="AP40" s="121" t="n"/>
      <c r="AQ40" s="121" t="n"/>
      <c r="AR40" s="121" t="n"/>
      <c r="AS40" s="121" t="n"/>
      <c r="AT40" s="121" t="n"/>
      <c r="AU40" s="121" t="n"/>
      <c r="AV40" s="121" t="n"/>
      <c r="AW40" s="121" t="n"/>
      <c r="AX40" s="121" t="n"/>
      <c r="AY40" s="121" t="n"/>
      <c r="AZ40" s="121" t="n"/>
      <c r="BA40" s="121" t="n"/>
      <c r="BB40" s="121" t="n"/>
      <c r="BC40" s="121" t="n"/>
      <c r="BD40" s="121" t="n"/>
      <c r="BE40" s="121" t="n"/>
      <c r="BF40" s="121" t="n"/>
      <c r="BG40" s="121" t="n"/>
      <c r="BH40" s="121" t="n"/>
      <c r="BI40" s="121" t="n"/>
      <c r="BJ40" s="121" t="n"/>
      <c r="BK40" s="121" t="n"/>
      <c r="BL40" s="121" t="n"/>
      <c r="BM40" s="121" t="n"/>
      <c r="BN40" s="121" t="n"/>
      <c r="BO40" s="121" t="n"/>
      <c r="BS40" s="120" t="inlineStr">
        <is>
          <t>NUL</t>
        </is>
      </c>
      <c r="BT40" s="125" t="n"/>
      <c r="BV40" s="120" t="n"/>
      <c r="BX40" s="120" t="inlineStr">
        <is>
          <t>NUL</t>
        </is>
      </c>
      <c r="BY40" s="120" t="inlineStr">
        <is>
          <t>NUL</t>
        </is>
      </c>
      <c r="CB40" s="111" t="n"/>
    </row>
    <row r="41" customFormat="1" s="230">
      <c r="A41" s="107" t="n">
        <v>26</v>
      </c>
      <c r="B41" s="317" t="inlineStr">
        <is>
          <t>BBC BELEM</t>
        </is>
      </c>
      <c r="C41" s="108" t="n">
        <v>45683</v>
      </c>
      <c r="D41" s="318" t="n">
        <v>4895</v>
      </c>
      <c r="E41" s="318" t="n">
        <v>4895</v>
      </c>
      <c r="F41" s="141" t="n"/>
      <c r="G41" s="112" t="n">
        <v>1</v>
      </c>
      <c r="H41" s="129" t="inlineStr">
        <is>
          <t>DAP</t>
        </is>
      </c>
      <c r="I41" s="129" t="inlineStr">
        <is>
          <t xml:space="preserve">DAP EURO </t>
        </is>
      </c>
      <c r="J41" s="113" t="inlineStr">
        <is>
          <t>FOB</t>
        </is>
      </c>
      <c r="K41" s="123" t="n">
        <v>605</v>
      </c>
      <c r="L41" s="337">
        <f>D41*K41</f>
        <v/>
      </c>
      <c r="M41" s="111" t="n">
        <v>9.992000000000001</v>
      </c>
      <c r="N41" s="338">
        <f>L41*M41</f>
        <v/>
      </c>
      <c r="O41" s="124" t="inlineStr">
        <is>
          <t>116 H DU 26/01/2025</t>
        </is>
      </c>
      <c r="P41" s="113" t="inlineStr">
        <is>
          <t>Helm Italia Srl</t>
        </is>
      </c>
      <c r="Q41" s="113" t="inlineStr">
        <is>
          <t>EUROPE</t>
        </is>
      </c>
      <c r="R41" s="113" t="inlineStr">
        <is>
          <t>ITALIE</t>
        </is>
      </c>
      <c r="S41" s="113" t="inlineStr">
        <is>
          <t>*</t>
        </is>
      </c>
      <c r="T41" s="111" t="inlineStr">
        <is>
          <t>INSPECTORATE</t>
        </is>
      </c>
      <c r="U41" s="112" t="n">
        <v>128</v>
      </c>
      <c r="V41" s="129">
        <f>IF(U41&lt;130, "Mini Bulker", IF(AND(U41&gt;=130, U41&lt;150), "Handysize", IF(AND(U41&gt;=150, U41&lt;200), "Handymax", IF(AND(U41&gt;=200, U41&lt;230), "Panamax", IF(AND(U41&gt;=230, U41&lt;=270), "Capesize", "Autre")))))</f>
        <v/>
      </c>
      <c r="W41" s="132" t="n"/>
      <c r="X41" s="111">
        <f>IF(E41&lt;9999,"1",IF(E41&lt;19999,"2",IF(E41&lt;29999,"3",IF(E41&lt;39999,"4",IF(E41&lt;49999,"5",IF(E41&gt;50000,"6"))))))</f>
        <v/>
      </c>
      <c r="Y41" s="115" t="inlineStr">
        <is>
          <t>2TER</t>
        </is>
      </c>
      <c r="Z41" s="321" t="n"/>
      <c r="AA41" s="96" t="n">
        <v>45672.875</v>
      </c>
      <c r="AB41" s="96" t="n">
        <v>45673.375</v>
      </c>
      <c r="AC41" s="108" t="n">
        <v>45675</v>
      </c>
      <c r="AD41" s="108" t="n">
        <v>45677</v>
      </c>
      <c r="AE41" s="96" t="n">
        <v>45672.64583333334</v>
      </c>
      <c r="AF41" s="96" t="n">
        <v>45683.01319444444</v>
      </c>
      <c r="AG41" s="96" t="n">
        <v>45683.07638888889</v>
      </c>
      <c r="AH41" s="96" t="n">
        <v>45683.09027777778</v>
      </c>
      <c r="AI41" s="96" t="n">
        <v>45683.15277777778</v>
      </c>
      <c r="AJ41" s="96" t="n">
        <v>45683.20833333334</v>
      </c>
      <c r="AK41" s="96" t="n">
        <v>45683.79166666666</v>
      </c>
      <c r="AL41" s="96" t="n">
        <v>45683.90416666667</v>
      </c>
      <c r="AM41" s="96" t="n">
        <v>45683.94791666666</v>
      </c>
      <c r="AN41" s="96" t="n">
        <v>45683.99375</v>
      </c>
      <c r="AO41" s="96" t="n">
        <v>45683.98958333334</v>
      </c>
      <c r="AP41" s="117">
        <f>(AG41-AF41)*1440</f>
        <v/>
      </c>
      <c r="AQ41" s="117">
        <f>(AG41-AE41)*1440</f>
        <v/>
      </c>
      <c r="AR41" s="117">
        <f>(AH41-AF41)*1440</f>
        <v/>
      </c>
      <c r="AS41" s="117">
        <f>(AI41-AH41)*1440</f>
        <v/>
      </c>
      <c r="AT41" s="117">
        <f>(AJ41-AH41)*1440</f>
        <v/>
      </c>
      <c r="AU41" s="117">
        <f>(AL41-AK41)*1440</f>
        <v/>
      </c>
      <c r="AV41" s="117">
        <f>(AM41-AL41)*1440</f>
        <v/>
      </c>
      <c r="AW41" s="117">
        <f>(AO41-AM41)*1440</f>
        <v/>
      </c>
      <c r="AX41" s="118">
        <f>AP41+AS41+AU41+AV41+AW41</f>
        <v/>
      </c>
      <c r="AY41" s="119">
        <f>(AG41-AA41)</f>
        <v/>
      </c>
      <c r="AZ41" s="119">
        <f>(AK41-AJ41)</f>
        <v/>
      </c>
      <c r="BA41" s="119">
        <f>AO41-AG41</f>
        <v/>
      </c>
      <c r="BB41" s="119">
        <f>(AO41-AA41)-(AP41/1440)-(AW41/1440)</f>
        <v/>
      </c>
      <c r="BC41" s="117">
        <f>E41/AZ41</f>
        <v/>
      </c>
      <c r="BE41" s="117">
        <f>IF(E41&lt;10000,3000,IF(E41&lt;15000,3600,IF(E41&lt;20000,4500,IF(E41&lt;25000,6000,IF(E41&lt;30000,7500,IF(E41&lt;40000,9000,IF(E41&gt;40000,10000)))))))</f>
        <v/>
      </c>
      <c r="BF41" s="322">
        <f>(E41/BE41)+2</f>
        <v/>
      </c>
      <c r="BS41" s="120" t="inlineStr">
        <is>
          <t>NUL</t>
        </is>
      </c>
      <c r="BT41" s="125" t="n"/>
      <c r="BV41" s="120" t="n"/>
      <c r="BW41" s="323">
        <f>AI41-AH41</f>
        <v/>
      </c>
      <c r="BX41" s="120" t="n"/>
      <c r="BY41" s="120" t="n">
        <v>20</v>
      </c>
      <c r="CB41" s="111" t="n">
        <v>6310</v>
      </c>
    </row>
    <row r="42" ht="14.55" customFormat="1" customHeight="1" s="230">
      <c r="A42" s="107" t="n">
        <v>27</v>
      </c>
      <c r="B42" s="317" t="inlineStr">
        <is>
          <t>ASTURCON</t>
        </is>
      </c>
      <c r="C42" s="108" t="n">
        <v>45688</v>
      </c>
      <c r="D42" s="318" t="n">
        <v>6600</v>
      </c>
      <c r="E42" s="324">
        <f>D43+D42</f>
        <v/>
      </c>
      <c r="F42" s="141" t="inlineStr">
        <is>
          <t>OCP NUTRI</t>
        </is>
      </c>
      <c r="G42" s="112" t="n">
        <v>2</v>
      </c>
      <c r="H42" s="129" t="inlineStr">
        <is>
          <t>MAP</t>
        </is>
      </c>
      <c r="I42" s="114" t="inlineStr">
        <is>
          <t xml:space="preserve">MAP 11 52 SPECIAL </t>
        </is>
      </c>
      <c r="J42" s="113" t="inlineStr">
        <is>
          <t>FOB</t>
        </is>
      </c>
      <c r="K42" s="123" t="n">
        <v>593.75</v>
      </c>
      <c r="L42" s="337">
        <f>D42*K42</f>
        <v/>
      </c>
      <c r="M42" s="111" t="n">
        <v>10.0131</v>
      </c>
      <c r="N42" s="338">
        <f>L42*M42</f>
        <v/>
      </c>
      <c r="O42" s="124" t="inlineStr">
        <is>
          <t>116 H DU 26/01/2025</t>
        </is>
      </c>
      <c r="P42" s="113" t="inlineStr">
        <is>
          <t>AMS AMEROPA Marketing and Sales AG</t>
        </is>
      </c>
      <c r="Q42" s="113" t="inlineStr">
        <is>
          <t>AMERIQUE</t>
        </is>
      </c>
      <c r="R42" s="113" t="inlineStr">
        <is>
          <t>COLOMBIE</t>
        </is>
      </c>
      <c r="S42" s="113" t="inlineStr">
        <is>
          <t>*</t>
        </is>
      </c>
      <c r="T42" s="122" t="inlineStr">
        <is>
          <t>INTERTEK</t>
        </is>
      </c>
      <c r="U42" s="112" t="n">
        <v>180</v>
      </c>
      <c r="V42" s="129">
        <f>IF(U42&lt;130, "Mini Bulker", IF(AND(U42&gt;=130, U42&lt;150), "Handysize", IF(AND(U42&gt;=150, U42&lt;200), "Handymax", IF(AND(U42&gt;=200, U42&lt;230), "Panamax", IF(AND(U42&gt;=230, U42&lt;=270), "Capesize", "Autre")))))</f>
        <v/>
      </c>
      <c r="W42" s="132" t="n"/>
      <c r="X42" s="111">
        <f>IF(E42&lt;9999,"1",IF(E42&lt;19999,"2",IF(E42&lt;29999,"3",IF(E42&lt;39999,"4",IF(E42&lt;49999,"5",IF(E42&gt;50000,"6"))))))</f>
        <v/>
      </c>
      <c r="Y42" s="115" t="inlineStr">
        <is>
          <t>2BIS</t>
        </is>
      </c>
      <c r="Z42" s="321" t="n">
        <v>6900</v>
      </c>
      <c r="AA42" s="96" t="n">
        <v>45681.6625</v>
      </c>
      <c r="AB42" s="96" t="n">
        <v>45681.6625</v>
      </c>
      <c r="AC42" s="108" t="n">
        <v>45683</v>
      </c>
      <c r="AD42" s="108" t="n">
        <v>45686</v>
      </c>
      <c r="AE42" s="96" t="n">
        <v>45681.40833333333</v>
      </c>
      <c r="AF42" s="96" t="n">
        <v>45683.27083333334</v>
      </c>
      <c r="AG42" s="96" t="n">
        <v>45683.33333333334</v>
      </c>
      <c r="AH42" s="96" t="n">
        <v>45683.35416666666</v>
      </c>
      <c r="AI42" s="96" t="n">
        <v>45683.41666666666</v>
      </c>
      <c r="AJ42" s="96" t="n">
        <v>45683.68402777778</v>
      </c>
      <c r="AK42" s="96" t="n">
        <v>45688.03819444445</v>
      </c>
      <c r="AL42" s="96" t="n">
        <v>45688.08680555555</v>
      </c>
      <c r="AM42" s="96" t="n">
        <v>45688.12847222222</v>
      </c>
      <c r="AN42" s="96" t="n">
        <v>45688.17013888889</v>
      </c>
      <c r="AO42" s="96" t="n">
        <v>45688.54861111111</v>
      </c>
      <c r="AP42" s="117">
        <f>(AG42-AF42)*1440</f>
        <v/>
      </c>
      <c r="AQ42" s="117">
        <f>(AG42-AE42)*1440</f>
        <v/>
      </c>
      <c r="AR42" s="117">
        <f>(AH42-AF42)*1440</f>
        <v/>
      </c>
      <c r="AS42" s="117">
        <f>(AI42-AH42)*1440</f>
        <v/>
      </c>
      <c r="AT42" s="117">
        <f>(AJ42-AH42)*1440</f>
        <v/>
      </c>
      <c r="AU42" s="117">
        <f>(AL42-AK42)*1440</f>
        <v/>
      </c>
      <c r="AV42" s="117">
        <f>(AM42-AL42)*1440</f>
        <v/>
      </c>
      <c r="AW42" s="117">
        <f>(AO42-AM42)*1440</f>
        <v/>
      </c>
      <c r="AX42" s="118">
        <f>AP42+AS42+AU42+AV42+AW42</f>
        <v/>
      </c>
      <c r="AY42" s="119">
        <f>(AG42-AA42)</f>
        <v/>
      </c>
      <c r="AZ42" s="119">
        <f>(AK42-AJ42)</f>
        <v/>
      </c>
      <c r="BA42" s="119">
        <f>AO42-AG42</f>
        <v/>
      </c>
      <c r="BB42" s="119">
        <f>(AO42-AA42)-(AP42/1440)-(AW42/1440)</f>
        <v/>
      </c>
      <c r="BC42" s="117">
        <f>E42/AZ42</f>
        <v/>
      </c>
      <c r="BE42" s="117">
        <f>IF(E42&lt;10000,3000,IF(E42&lt;15000,3600,IF(E42&lt;20000,4500,IF(E42&lt;25000,6000,IF(E42&lt;30000,7500,IF(E42&lt;40000,9000,IF(E42&gt;40000,10000)))))))</f>
        <v/>
      </c>
      <c r="BF42" s="322">
        <f>(E42/BE42)+2</f>
        <v/>
      </c>
      <c r="BS42" s="120" t="inlineStr">
        <is>
          <t>MAINTENU PAR SHORETENSION</t>
        </is>
      </c>
      <c r="BT42" s="125" t="n"/>
      <c r="BW42" s="323">
        <f>AI42-AH42</f>
        <v/>
      </c>
      <c r="BX42" s="120" t="inlineStr">
        <is>
          <t>NUL</t>
        </is>
      </c>
      <c r="BY42" s="120" t="inlineStr">
        <is>
          <t>NUL</t>
        </is>
      </c>
      <c r="CB42" s="111" t="n">
        <v>24247</v>
      </c>
    </row>
    <row r="43" ht="14.55" customFormat="1" customHeight="1" s="230">
      <c r="B43" s="317" t="inlineStr">
        <is>
          <t>ASTURCON</t>
        </is>
      </c>
      <c r="C43" s="108" t="n">
        <v>45688</v>
      </c>
      <c r="D43" s="318" t="n">
        <v>26400</v>
      </c>
      <c r="E43" s="325" t="n"/>
      <c r="F43" s="141" t="inlineStr">
        <is>
          <t>KOFERT</t>
        </is>
      </c>
      <c r="G43" s="112" t="n">
        <v>2</v>
      </c>
      <c r="H43" s="129" t="inlineStr">
        <is>
          <t>DAP</t>
        </is>
      </c>
      <c r="I43" s="114" t="inlineStr">
        <is>
          <t xml:space="preserve">DAP SPECIAL DARK </t>
        </is>
      </c>
      <c r="J43" s="113" t="inlineStr">
        <is>
          <t>FOB</t>
        </is>
      </c>
      <c r="K43" s="123" t="n">
        <v>593.75</v>
      </c>
      <c r="L43" s="337">
        <f>D43*K43</f>
        <v/>
      </c>
      <c r="M43" s="111" t="n">
        <v>10.0131</v>
      </c>
      <c r="N43" s="338">
        <f>L43*M43</f>
        <v/>
      </c>
      <c r="O43" s="124" t="inlineStr">
        <is>
          <t>124 S DU 26/01/2025</t>
        </is>
      </c>
      <c r="P43" s="113" t="inlineStr">
        <is>
          <t>AMS AMEROPA Marketing and Sales AG</t>
        </is>
      </c>
      <c r="Q43" s="113" t="inlineStr">
        <is>
          <t>AMERIQUE</t>
        </is>
      </c>
      <c r="R43" s="113" t="inlineStr">
        <is>
          <t>COLOMBIE</t>
        </is>
      </c>
      <c r="S43" s="233" t="n"/>
      <c r="T43" s="122" t="inlineStr">
        <is>
          <t>INTERTEK</t>
        </is>
      </c>
      <c r="U43" s="112" t="n">
        <v>180</v>
      </c>
      <c r="V43" s="129">
        <f>IF(U43&lt;130, "Mini Bulker", IF(AND(U43&gt;=130, U43&lt;150), "Handysize", IF(AND(U43&gt;=150, U43&lt;200), "Handymax", IF(AND(U43&gt;=200, U43&lt;230), "Panamax", IF(AND(U43&gt;=230, U43&lt;=270), "Capesize", "Autre")))))</f>
        <v/>
      </c>
      <c r="X43" s="111">
        <f>IF(E43&lt;9999,"1",IF(E43&lt;19999,"2",IF(E43&lt;29999,"3",IF(E43&lt;39999,"4",IF(E43&lt;49999,"5",IF(E43&gt;50000,"6"))))))</f>
        <v/>
      </c>
      <c r="Y43" s="115" t="inlineStr">
        <is>
          <t>2BIS</t>
        </is>
      </c>
      <c r="Z43" s="321" t="n">
        <v>27866</v>
      </c>
      <c r="AA43" s="121" t="n"/>
      <c r="AB43" s="121" t="n"/>
      <c r="AC43" s="121" t="n"/>
      <c r="AD43" s="121" t="n"/>
      <c r="AE43" s="121" t="n"/>
      <c r="AF43" s="121" t="n"/>
      <c r="AG43" s="121" t="n"/>
      <c r="AH43" s="121" t="n"/>
      <c r="AI43" s="121" t="n"/>
      <c r="AJ43" s="121" t="n"/>
      <c r="AK43" s="121" t="n"/>
      <c r="AL43" s="121" t="n"/>
      <c r="AM43" s="121" t="n"/>
      <c r="AN43" s="121" t="n"/>
      <c r="AO43" s="121" t="n"/>
      <c r="AP43" s="121" t="n"/>
      <c r="AQ43" s="121" t="n"/>
      <c r="AR43" s="121" t="n"/>
      <c r="AS43" s="121" t="n"/>
      <c r="AT43" s="121" t="n"/>
      <c r="AU43" s="121" t="n"/>
      <c r="AV43" s="121" t="n"/>
      <c r="AW43" s="121" t="n"/>
      <c r="AX43" s="121" t="n"/>
      <c r="AY43" s="121" t="n"/>
      <c r="AZ43" s="121" t="n"/>
      <c r="BA43" s="121" t="n"/>
      <c r="BB43" s="121" t="n"/>
      <c r="BC43" s="121" t="n"/>
      <c r="BD43" s="121" t="n"/>
      <c r="BE43" s="121" t="n"/>
      <c r="BF43" s="121" t="n"/>
      <c r="BG43" s="121" t="n"/>
      <c r="BH43" s="121" t="n"/>
      <c r="BI43" s="121" t="n"/>
      <c r="BJ43" s="121" t="n"/>
      <c r="BK43" s="121" t="n"/>
      <c r="BL43" s="121" t="n"/>
      <c r="BM43" s="121" t="n"/>
      <c r="BN43" s="121" t="n"/>
      <c r="BO43" s="121" t="n"/>
      <c r="BS43" s="120" t="inlineStr">
        <is>
          <t>MAINTENU PAR SHORETENSION</t>
        </is>
      </c>
      <c r="BT43" s="125" t="n"/>
      <c r="BW43" s="323">
        <f>AI43-AH43</f>
        <v/>
      </c>
      <c r="BX43" s="120" t="inlineStr">
        <is>
          <t>NUL</t>
        </is>
      </c>
      <c r="BY43" s="120" t="inlineStr">
        <is>
          <t>NUL</t>
        </is>
      </c>
      <c r="CB43" s="111" t="n"/>
    </row>
    <row r="44" ht="14.55" customFormat="1" customHeight="1" s="230">
      <c r="A44" s="107" t="n">
        <v>29</v>
      </c>
      <c r="B44" s="317" t="inlineStr">
        <is>
          <t>OCEAN INNOVATION</t>
        </is>
      </c>
      <c r="C44" s="108" t="n">
        <v>45688</v>
      </c>
      <c r="D44" s="318" t="n">
        <v>36557</v>
      </c>
      <c r="E44" s="318" t="n">
        <v>36557</v>
      </c>
      <c r="F44" s="141" t="inlineStr">
        <is>
          <t>OCP NUTRI</t>
        </is>
      </c>
      <c r="G44" s="112" t="n">
        <v>1</v>
      </c>
      <c r="H44" s="129" t="inlineStr">
        <is>
          <t>TSP</t>
        </is>
      </c>
      <c r="I44" s="114" t="inlineStr">
        <is>
          <t xml:space="preserve">TSP SPECIAL JORF </t>
        </is>
      </c>
      <c r="J44" s="113" t="inlineStr">
        <is>
          <t>CFR</t>
        </is>
      </c>
      <c r="K44" s="123" t="n">
        <v>476.66</v>
      </c>
      <c r="L44" s="337">
        <f>D44*K44</f>
        <v/>
      </c>
      <c r="M44" s="111" t="n">
        <v>10.0377</v>
      </c>
      <c r="N44" s="338">
        <f>L44*M44</f>
        <v/>
      </c>
      <c r="O44" s="124" t="inlineStr">
        <is>
          <t>116 H DU 26/01/2025</t>
        </is>
      </c>
      <c r="P44" s="113" t="inlineStr">
        <is>
          <t>OCP Fertilizantes LTDA</t>
        </is>
      </c>
      <c r="Q44" s="131" t="inlineStr">
        <is>
          <t>AMERIQUE LATINE</t>
        </is>
      </c>
      <c r="R44" s="113" t="inlineStr">
        <is>
          <t>BRESIL</t>
        </is>
      </c>
      <c r="S44" s="113" t="inlineStr">
        <is>
          <t>*</t>
        </is>
      </c>
      <c r="T44" s="111" t="inlineStr">
        <is>
          <t>INSPECTORATE</t>
        </is>
      </c>
      <c r="U44" s="112" t="n">
        <v>180</v>
      </c>
      <c r="V44" s="129">
        <f>IF(U44&lt;130, "Mini Bulker", IF(AND(U44&gt;=130, U44&lt;150), "Handysize", IF(AND(U44&gt;=150, U44&lt;200), "Handymax", IF(AND(U44&gt;=200, U44&lt;230), "Panamax", IF(AND(U44&gt;=230, U44&lt;=270), "Capesize", "Autre")))))</f>
        <v/>
      </c>
      <c r="W44" s="211" t="n"/>
      <c r="X44" s="111">
        <f>IF(E44&lt;9999,"1",IF(E44&lt;19999,"2",IF(E44&lt;29999,"3",IF(E44&lt;39999,"4",IF(E44&lt;49999,"5",IF(E44&gt;50000,"6"))))))</f>
        <v/>
      </c>
      <c r="Y44" s="115" t="inlineStr">
        <is>
          <t>1BIS</t>
        </is>
      </c>
      <c r="Z44" s="321" t="n"/>
      <c r="AA44" s="96" t="n">
        <v>45683.29166666666</v>
      </c>
      <c r="AB44" s="96" t="n">
        <v>45684.375</v>
      </c>
      <c r="AC44" s="108" t="n">
        <v>45680</v>
      </c>
      <c r="AD44" s="108" t="n">
        <v>45684</v>
      </c>
      <c r="AE44" s="96" t="n">
        <v>45683.1875</v>
      </c>
      <c r="AF44" s="96" t="n">
        <v>45683.32847222222</v>
      </c>
      <c r="AG44" s="96" t="n">
        <v>45683.38333333333</v>
      </c>
      <c r="AH44" s="96" t="n">
        <v>45683.40277777778</v>
      </c>
      <c r="AI44" s="96" t="n">
        <v>45683.47222222222</v>
      </c>
      <c r="AJ44" s="96" t="n">
        <v>45683.52777777778</v>
      </c>
      <c r="AK44" s="96" t="n">
        <v>45688.97916666666</v>
      </c>
      <c r="AL44" s="96" t="n">
        <v>45689.02083333334</v>
      </c>
      <c r="AM44" s="96" t="n">
        <v>45689.05694444444</v>
      </c>
      <c r="AN44" s="96" t="n">
        <v>45689.29166666666</v>
      </c>
      <c r="AO44" s="96" t="n">
        <v>45689.34375</v>
      </c>
      <c r="AP44" s="117">
        <f>(AG44-AF44)*1440</f>
        <v/>
      </c>
      <c r="AQ44" s="117">
        <f>(AG44-AE44)*1440</f>
        <v/>
      </c>
      <c r="AR44" s="117">
        <f>(AH44-AF44)*1440</f>
        <v/>
      </c>
      <c r="AS44" s="117">
        <f>(AI44-AH44)*1440</f>
        <v/>
      </c>
      <c r="AT44" s="117">
        <f>(AJ44-AH44)*1440</f>
        <v/>
      </c>
      <c r="AU44" s="117">
        <f>(AL44-AK44)*1440</f>
        <v/>
      </c>
      <c r="AV44" s="117">
        <f>(AM44-AL44)*1440</f>
        <v/>
      </c>
      <c r="AW44" s="117">
        <f>(AO44-AM44)*1440</f>
        <v/>
      </c>
      <c r="AX44" s="118">
        <f>AP44+AS44+AU44+AV44+AW44</f>
        <v/>
      </c>
      <c r="AY44" s="119">
        <f>(AG44-AA44)</f>
        <v/>
      </c>
      <c r="AZ44" s="119">
        <f>(AK44-AJ44)</f>
        <v/>
      </c>
      <c r="BA44" s="119">
        <f>AO44-AG44</f>
        <v/>
      </c>
      <c r="BB44" s="119">
        <f>(AO44-AA44)-(AP44/1440)-(AW44/1440)</f>
        <v/>
      </c>
      <c r="BC44" s="117">
        <f>E44/AZ44</f>
        <v/>
      </c>
      <c r="BE44" s="117">
        <f>IF(E44&lt;10000,3000,IF(E44&lt;15000,3600,IF(E44&lt;20000,4500,IF(E44&lt;25000,6000,IF(E44&lt;30000,7500,IF(E44&lt;40000,9000,IF(E44&gt;40000,10000)))))))</f>
        <v/>
      </c>
      <c r="BF44" s="322">
        <f>(E44/BE44)+2</f>
        <v/>
      </c>
      <c r="BS44" s="120" t="inlineStr">
        <is>
          <t>NUL</t>
        </is>
      </c>
      <c r="BT44" s="125" t="n"/>
      <c r="BU44" s="125" t="n"/>
      <c r="BV44" s="125" t="n"/>
      <c r="BW44" s="323">
        <f>AI44-AH44</f>
        <v/>
      </c>
      <c r="BX44" s="120" t="inlineStr">
        <is>
          <t>NUL</t>
        </is>
      </c>
      <c r="BY44" s="120" t="inlineStr">
        <is>
          <t>NUL</t>
        </is>
      </c>
      <c r="CB44" s="111" t="n">
        <v>23268</v>
      </c>
    </row>
    <row r="45" ht="15" customFormat="1" customHeight="1" s="230" thickBot="1">
      <c r="A45" s="112" t="n">
        <v>28</v>
      </c>
      <c r="B45" s="317" t="inlineStr">
        <is>
          <t xml:space="preserve">SIDER ATHENA </t>
        </is>
      </c>
      <c r="C45" s="108" t="n">
        <v>45688</v>
      </c>
      <c r="D45" s="318" t="n">
        <v>26600</v>
      </c>
      <c r="E45" s="324">
        <f>D46+D45</f>
        <v/>
      </c>
      <c r="F45" s="141" t="inlineStr">
        <is>
          <t>OCP NUTRI</t>
        </is>
      </c>
      <c r="G45" s="112" t="n">
        <v>2</v>
      </c>
      <c r="H45" s="129" t="inlineStr">
        <is>
          <t>MAP</t>
        </is>
      </c>
      <c r="I45" s="114" t="inlineStr">
        <is>
          <t xml:space="preserve">MAP 11 52 SPECIAL </t>
        </is>
      </c>
      <c r="J45" s="113" t="inlineStr">
        <is>
          <t>CFR</t>
        </is>
      </c>
      <c r="K45" s="123" t="n">
        <v>591.9400000000001</v>
      </c>
      <c r="L45" s="337">
        <f>D45*K45</f>
        <v/>
      </c>
      <c r="M45" s="111" t="n">
        <v>10.0131</v>
      </c>
      <c r="N45" s="338">
        <f>L45*M45</f>
        <v/>
      </c>
      <c r="O45" s="124" t="inlineStr">
        <is>
          <t>116 H DU 26/01/2025</t>
        </is>
      </c>
      <c r="P45" s="113" t="inlineStr">
        <is>
          <t>OCP North America, Inc</t>
        </is>
      </c>
      <c r="Q45" s="131" t="inlineStr">
        <is>
          <t>AMERIQUE</t>
        </is>
      </c>
      <c r="R45" s="113" t="inlineStr">
        <is>
          <t xml:space="preserve"> États-Unis</t>
        </is>
      </c>
      <c r="S45" s="115" t="inlineStr">
        <is>
          <t>*</t>
        </is>
      </c>
      <c r="T45" s="111" t="inlineStr">
        <is>
          <t>INSPECTORATE</t>
        </is>
      </c>
      <c r="U45" s="112" t="n">
        <v>180</v>
      </c>
      <c r="V45" s="129">
        <f>IF(U45&lt;130, "Mini Bulker", IF(AND(U45&gt;=130, U45&lt;150), "Handysize", IF(AND(U45&gt;=150, U45&lt;200), "Handymax", IF(AND(U45&gt;=200, U45&lt;230), "Panamax", IF(AND(U45&gt;=230, U45&lt;=270), "Capesize", "Autre")))))</f>
        <v/>
      </c>
      <c r="W45" s="132" t="n"/>
      <c r="X45" s="111">
        <f>IF(E45&lt;9999,"1",IF(E45&lt;19999,"2",IF(E45&lt;29999,"3",IF(E45&lt;39999,"4",IF(E45&lt;49999,"5",IF(E45&gt;50000,"6"))))))</f>
        <v/>
      </c>
      <c r="Y45" s="115" t="inlineStr">
        <is>
          <t>2N</t>
        </is>
      </c>
      <c r="Z45" s="321" t="n"/>
      <c r="AA45" s="121" t="n">
        <v>45678.39236111111</v>
      </c>
      <c r="AB45" s="121" t="n">
        <v>45678.39236111111</v>
      </c>
      <c r="AC45" s="108" t="n">
        <v>45673</v>
      </c>
      <c r="AD45" s="108" t="n">
        <v>45675</v>
      </c>
      <c r="AE45" s="121" t="n">
        <v>45678.39236111111</v>
      </c>
      <c r="AF45" s="121" t="n">
        <v>45682.40277777778</v>
      </c>
      <c r="AG45" s="121" t="n">
        <v>45682.51527777778</v>
      </c>
      <c r="AH45" s="121" t="n">
        <v>45682.56597222222</v>
      </c>
      <c r="AI45" s="121" t="n">
        <v>45682.61458333334</v>
      </c>
      <c r="AJ45" s="121" t="n">
        <v>45682.72569444445</v>
      </c>
      <c r="AK45" s="121" t="n">
        <v>45688.17013888889</v>
      </c>
      <c r="AL45" s="121" t="n">
        <v>45688.20694444444</v>
      </c>
      <c r="AM45" s="121" t="n">
        <v>45688.23611111111</v>
      </c>
      <c r="AN45" s="121" t="n">
        <v>45688.27777777778</v>
      </c>
      <c r="AO45" s="121" t="n">
        <v>45688.58333333334</v>
      </c>
      <c r="AP45" s="117">
        <f>(AG45-AF45)*1440</f>
        <v/>
      </c>
      <c r="AQ45" s="117">
        <f>(AG45-AE45)*1440</f>
        <v/>
      </c>
      <c r="AR45" s="117">
        <f>(AH45-AF45)*1440</f>
        <v/>
      </c>
      <c r="AS45" s="117">
        <f>(AI45-AH45)*1440</f>
        <v/>
      </c>
      <c r="AT45" s="117">
        <f>(AJ45-AH45)*1440</f>
        <v/>
      </c>
      <c r="AU45" s="117">
        <f>(AL45-AK45)*1440</f>
        <v/>
      </c>
      <c r="AV45" s="117">
        <f>(AM45-AL45)*1440</f>
        <v/>
      </c>
      <c r="AW45" s="117">
        <f>(AO45-AM45)*1440</f>
        <v/>
      </c>
      <c r="AX45" s="118">
        <f>AP45+AS45+AU45+AV45+AW45</f>
        <v/>
      </c>
      <c r="AY45" s="119">
        <f>(AG45-AA45)</f>
        <v/>
      </c>
      <c r="AZ45" s="119">
        <f>(AK45-AJ45)</f>
        <v/>
      </c>
      <c r="BA45" s="119">
        <f>AO45-AG45</f>
        <v/>
      </c>
      <c r="BB45" s="119">
        <f>(AO45-AA45)-(AP45/1440)-(AW45/1440)</f>
        <v/>
      </c>
      <c r="BC45" s="117">
        <f>E45/AZ45</f>
        <v/>
      </c>
      <c r="BD45" s="225" t="n"/>
      <c r="BE45" s="117">
        <f>IF(E45&lt;10000,3000,IF(E45&lt;15000,3600,IF(E45&lt;20000,4500,IF(E45&lt;25000,6000,IF(E45&lt;30000,7500,IF(E45&lt;40000,9000,IF(E45&gt;40000,10000)))))))</f>
        <v/>
      </c>
      <c r="BF45" s="322">
        <f>(E45/BE45)+2</f>
        <v/>
      </c>
      <c r="BG45" s="225" t="n"/>
      <c r="BH45" s="225" t="n"/>
      <c r="BI45" s="225" t="n"/>
      <c r="BJ45" s="225" t="n"/>
      <c r="BK45" s="225" t="n"/>
      <c r="BL45" s="225" t="n"/>
      <c r="BM45" s="225" t="n"/>
      <c r="BN45" s="225" t="n"/>
      <c r="BO45" s="225" t="n"/>
      <c r="BS45" s="120" t="inlineStr">
        <is>
          <t>MAINTENU PAR SHORETENSION</t>
        </is>
      </c>
      <c r="BT45" s="125" t="n"/>
      <c r="BW45" s="323">
        <f>AI45-AH45</f>
        <v/>
      </c>
      <c r="BX45" s="120" t="inlineStr">
        <is>
          <t>NUL</t>
        </is>
      </c>
      <c r="BY45" s="120" t="inlineStr">
        <is>
          <t>NUL</t>
        </is>
      </c>
      <c r="CB45" s="111" t="n">
        <v>24785</v>
      </c>
    </row>
    <row r="46" ht="15" customFormat="1" customHeight="1" s="230" thickBot="1">
      <c r="A46" s="202" t="n"/>
      <c r="B46" s="317" t="inlineStr">
        <is>
          <t xml:space="preserve">SIDER ATHENA </t>
        </is>
      </c>
      <c r="C46" s="108" t="n">
        <v>45688</v>
      </c>
      <c r="D46" s="318" t="n">
        <v>5500</v>
      </c>
      <c r="E46" s="325" t="n"/>
      <c r="F46" s="141" t="inlineStr">
        <is>
          <t>OCP NUTRI</t>
        </is>
      </c>
      <c r="G46" s="112" t="n">
        <v>2</v>
      </c>
      <c r="H46" s="129" t="inlineStr">
        <is>
          <t>TSP</t>
        </is>
      </c>
      <c r="I46" s="114" t="inlineStr">
        <is>
          <t xml:space="preserve">TSP Euro Hors EU </t>
        </is>
      </c>
      <c r="J46" s="113" t="inlineStr">
        <is>
          <t>CFR</t>
        </is>
      </c>
      <c r="K46" s="123" t="n">
        <v>492.18</v>
      </c>
      <c r="L46" s="337">
        <f>D46*K46</f>
        <v/>
      </c>
      <c r="M46" s="111" t="n">
        <v>10.0131</v>
      </c>
      <c r="N46" s="338">
        <f>L46*M46</f>
        <v/>
      </c>
      <c r="O46" s="124" t="inlineStr">
        <is>
          <t>116 H DU 26/01/2025</t>
        </is>
      </c>
      <c r="P46" s="113" t="inlineStr">
        <is>
          <t>OCP North America, Inc</t>
        </is>
      </c>
      <c r="Q46" s="131" t="inlineStr">
        <is>
          <t>AMERIQUE</t>
        </is>
      </c>
      <c r="R46" s="113" t="inlineStr">
        <is>
          <t xml:space="preserve"> États-Unis</t>
        </is>
      </c>
      <c r="S46" s="209" t="n"/>
      <c r="T46" s="111" t="inlineStr">
        <is>
          <t>INSPECTORATE</t>
        </is>
      </c>
      <c r="U46" s="112" t="n">
        <v>180</v>
      </c>
      <c r="V46" s="129">
        <f>IF(U46&lt;130, "Mini Bulker", IF(AND(U46&gt;=130, U46&lt;150), "Handysize", IF(AND(U46&gt;=150, U46&lt;200), "Handymax", IF(AND(U46&gt;=200, U46&lt;230), "Panamax", IF(AND(U46&gt;=230, U46&lt;=270), "Capesize", "Autre")))))</f>
        <v/>
      </c>
      <c r="W46" s="235" t="n"/>
      <c r="X46" s="111">
        <f>IF(E46&lt;9999,"1",IF(E46&lt;19999,"2",IF(E46&lt;29999,"3",IF(E46&lt;39999,"4",IF(E46&lt;49999,"5",IF(E46&gt;50000,"6"))))))</f>
        <v/>
      </c>
      <c r="Y46" s="115" t="inlineStr">
        <is>
          <t>2N</t>
        </is>
      </c>
      <c r="Z46" s="321" t="n"/>
      <c r="AA46" s="96" t="n"/>
      <c r="AB46" s="96" t="n"/>
      <c r="AC46" s="121" t="n"/>
      <c r="AD46" s="121" t="n"/>
      <c r="AE46" s="96" t="n"/>
      <c r="AF46" s="96" t="n"/>
      <c r="AG46" s="96" t="n"/>
      <c r="AH46" s="96" t="n"/>
      <c r="AI46" s="96" t="n"/>
      <c r="AJ46" s="96" t="n"/>
      <c r="AK46" s="96" t="n"/>
      <c r="AL46" s="96" t="n"/>
      <c r="AM46" s="96" t="n"/>
      <c r="AN46" s="96" t="n"/>
      <c r="AO46" s="96" t="n"/>
      <c r="AP46" s="121" t="n"/>
      <c r="AQ46" s="121" t="n"/>
      <c r="AR46" s="121" t="n"/>
      <c r="AS46" s="121" t="n"/>
      <c r="AT46" s="121" t="n"/>
      <c r="AU46" s="121" t="n"/>
      <c r="AV46" s="121" t="n"/>
      <c r="AW46" s="121" t="n"/>
      <c r="AX46" s="121" t="n"/>
      <c r="AY46" s="121" t="n"/>
      <c r="AZ46" s="121" t="n"/>
      <c r="BA46" s="121" t="n"/>
      <c r="BB46" s="121" t="n"/>
      <c r="BC46" s="121" t="n"/>
      <c r="BD46" s="215" t="n"/>
      <c r="BE46" s="121" t="n"/>
      <c r="BF46" s="121" t="n"/>
      <c r="BG46" s="215" t="n"/>
      <c r="BH46" s="215" t="n"/>
      <c r="BI46" s="215" t="n"/>
      <c r="BJ46" s="215" t="n"/>
      <c r="BK46" s="215" t="n"/>
      <c r="BL46" s="215" t="n"/>
      <c r="BM46" s="215" t="n"/>
      <c r="BN46" s="215" t="n"/>
      <c r="BO46" s="215" t="n"/>
      <c r="BS46" s="120" t="inlineStr">
        <is>
          <t>MAINTENU PAR SHORETENSION</t>
        </is>
      </c>
      <c r="BT46" s="120" t="n"/>
      <c r="BU46" s="223" t="n"/>
      <c r="BV46" s="223" t="n"/>
      <c r="BW46" s="323">
        <f>AI46-AH46</f>
        <v/>
      </c>
      <c r="BX46" s="120" t="inlineStr">
        <is>
          <t>NUL</t>
        </is>
      </c>
      <c r="BY46" s="120" t="inlineStr">
        <is>
          <t>NUL</t>
        </is>
      </c>
      <c r="CB46" s="111" t="n"/>
    </row>
    <row r="47" customFormat="1" s="230">
      <c r="A47" s="107" t="n">
        <v>31</v>
      </c>
      <c r="B47" s="317" t="inlineStr">
        <is>
          <t>ARUNA EAGLE</t>
        </is>
      </c>
      <c r="C47" s="108" t="n">
        <v>45689</v>
      </c>
      <c r="D47" s="318" t="n">
        <v>39000</v>
      </c>
      <c r="E47" s="324">
        <f>D48+D47</f>
        <v/>
      </c>
      <c r="F47" s="141" t="inlineStr">
        <is>
          <t>OCP NUTRI</t>
        </is>
      </c>
      <c r="G47" s="112" t="n">
        <v>2</v>
      </c>
      <c r="H47" s="129" t="inlineStr">
        <is>
          <t>MAP</t>
        </is>
      </c>
      <c r="I47" s="114" t="inlineStr">
        <is>
          <t>MAP 11 52 SPECIAL</t>
        </is>
      </c>
      <c r="J47" s="113" t="inlineStr">
        <is>
          <t>FOB</t>
        </is>
      </c>
      <c r="K47" s="123" t="n">
        <v>592.1799999999999</v>
      </c>
      <c r="L47" s="337">
        <f>D47*K47</f>
        <v/>
      </c>
      <c r="M47" s="111" t="n">
        <v>10.0377</v>
      </c>
      <c r="N47" s="338">
        <f>L47*M47</f>
        <v/>
      </c>
      <c r="O47" s="124" t="inlineStr">
        <is>
          <t>116 H DU 26/01/2025</t>
        </is>
      </c>
      <c r="P47" s="113" t="inlineStr">
        <is>
          <t>Summit Rural (WA) Pty Ltd</t>
        </is>
      </c>
      <c r="Q47" s="131" t="inlineStr">
        <is>
          <t>AUSTRALIE</t>
        </is>
      </c>
      <c r="R47" s="113" t="inlineStr">
        <is>
          <t>AUSTRALIE</t>
        </is>
      </c>
      <c r="S47" s="113" t="inlineStr">
        <is>
          <t>*</t>
        </is>
      </c>
      <c r="T47" s="122" t="inlineStr">
        <is>
          <t>INTERTEK</t>
        </is>
      </c>
      <c r="U47" s="112" t="n">
        <v>200</v>
      </c>
      <c r="V47" s="129">
        <f>IF(U47&lt;130, "Mini Bulker", IF(AND(U47&gt;=130, U47&lt;150), "Handysize", IF(AND(U47&gt;=150, U47&lt;200), "Handymax", IF(AND(U47&gt;=200, U47&lt;230), "Panamax", IF(AND(U47&gt;=230, U47&lt;=270), "Capesize", "Autre")))))</f>
        <v/>
      </c>
      <c r="W47" s="132" t="n"/>
      <c r="X47" s="111">
        <f>IF(E47&lt;9999,"1",IF(E47&lt;19999,"2",IF(E47&lt;29999,"3",IF(E47&lt;39999,"4",IF(E47&lt;49999,"5",IF(E47&gt;50000,"6"))))))</f>
        <v/>
      </c>
      <c r="Y47" s="115" t="inlineStr">
        <is>
          <t>1BIS</t>
        </is>
      </c>
      <c r="AA47" s="96" t="n">
        <v>45672.92083333333</v>
      </c>
      <c r="AB47" s="96" t="n">
        <v>45673.375</v>
      </c>
      <c r="AC47" s="108" t="n">
        <v>45676</v>
      </c>
      <c r="AD47" s="108" t="n">
        <v>45680</v>
      </c>
      <c r="AE47" s="96" t="n">
        <v>45672.775</v>
      </c>
      <c r="AF47" s="96" t="n">
        <v>45672.9125</v>
      </c>
      <c r="AG47" s="96" t="n">
        <v>45672.96666666667</v>
      </c>
      <c r="AH47" s="96" t="n">
        <v>45672.97916666666</v>
      </c>
      <c r="AI47" s="96" t="n">
        <v>45673.52777777778</v>
      </c>
      <c r="AJ47" s="96" t="n">
        <v>45673.59027777778</v>
      </c>
      <c r="AK47" s="96" t="n">
        <v>45689.79166666666</v>
      </c>
      <c r="AL47" s="96" t="n">
        <v>45689.84722222222</v>
      </c>
      <c r="AM47" s="96" t="n">
        <v>45689.89791666667</v>
      </c>
      <c r="AN47" s="96" t="n">
        <v>45689.95555555556</v>
      </c>
      <c r="AO47" s="96" t="n">
        <v>45689.95486111111</v>
      </c>
      <c r="AP47" s="117">
        <f>(AG47-AF47)*1440</f>
        <v/>
      </c>
      <c r="AQ47" s="117">
        <f>(AG47-AE47)*1440</f>
        <v/>
      </c>
      <c r="AR47" s="117">
        <f>(AH47-AF47)*1440</f>
        <v/>
      </c>
      <c r="AS47" s="117">
        <f>(AI47-AH47)*1440</f>
        <v/>
      </c>
      <c r="AT47" s="117">
        <f>(AJ47-AH47)*1440</f>
        <v/>
      </c>
      <c r="AU47" s="117">
        <f>(AL47-AK47)*1440</f>
        <v/>
      </c>
      <c r="AV47" s="117">
        <f>(AM47-AL47)*1440</f>
        <v/>
      </c>
      <c r="AW47" s="117">
        <f>(AO47-AM47)*1440</f>
        <v/>
      </c>
      <c r="AX47" s="118">
        <f>AP47+AS47+AU47+AV47+AW47</f>
        <v/>
      </c>
      <c r="AY47" s="119">
        <f>(AG47-AA47)</f>
        <v/>
      </c>
      <c r="AZ47" s="119">
        <f>(AK47-AJ47)</f>
        <v/>
      </c>
      <c r="BA47" s="119">
        <f>AO47-AG47</f>
        <v/>
      </c>
      <c r="BB47" s="119">
        <f>(AO47-AA47)-(AP47/1440)-(AW47/1440)</f>
        <v/>
      </c>
      <c r="BC47" s="117">
        <f>E47/AZ47</f>
        <v/>
      </c>
      <c r="BE47" s="117">
        <f>IF(E47&lt;10000,3000,IF(E47&lt;15000,3600,IF(E47&lt;20000,4500,IF(E47&lt;25000,6000,IF(E47&lt;30000,7500,IF(E47&lt;40000,9000,IF(E47&gt;40000,10000)))))))</f>
        <v/>
      </c>
      <c r="BF47" s="322">
        <f>(E47/BE47)+2</f>
        <v/>
      </c>
      <c r="BS47" s="120" t="inlineStr">
        <is>
          <t>CHANGE DU POSTE 1BIS VERS POSTE 1TER LE 16/01- 1830 // CHANGE DU POSTE 1TER VERS LA RADE LE 21/01- 1211</t>
        </is>
      </c>
      <c r="BT47" s="120" t="n">
        <v>2</v>
      </c>
      <c r="BU47" s="120" t="n"/>
      <c r="BV47" s="120" t="n"/>
      <c r="BW47" s="323">
        <f>AI47-AH47</f>
        <v/>
      </c>
      <c r="BX47" s="120" t="inlineStr">
        <is>
          <t>NUL</t>
        </is>
      </c>
      <c r="BY47" s="120" t="inlineStr">
        <is>
          <t>NUL</t>
        </is>
      </c>
      <c r="CB47" s="111" t="n">
        <v>35246</v>
      </c>
    </row>
    <row r="48" ht="14.55" customFormat="1" customHeight="1" s="230">
      <c r="A48" s="107" t="n"/>
      <c r="B48" s="317" t="inlineStr">
        <is>
          <t>ARUNA EAGLE</t>
        </is>
      </c>
      <c r="C48" s="108" t="n">
        <v>45689</v>
      </c>
      <c r="D48" s="318" t="n">
        <v>4000</v>
      </c>
      <c r="E48" s="325" t="n"/>
      <c r="F48" s="141" t="inlineStr">
        <is>
          <t>JFC4</t>
        </is>
      </c>
      <c r="G48" s="112" t="n">
        <v>2</v>
      </c>
      <c r="H48" s="129" t="inlineStr">
        <is>
          <t>DAP</t>
        </is>
      </c>
      <c r="I48" s="114" t="inlineStr">
        <is>
          <t>DAP SPECIAL</t>
        </is>
      </c>
      <c r="J48" s="113" t="inlineStr">
        <is>
          <t>FOB</t>
        </is>
      </c>
      <c r="K48" s="123" t="n">
        <v>601.65</v>
      </c>
      <c r="L48" s="337">
        <f>D48*K48</f>
        <v/>
      </c>
      <c r="M48" s="111" t="n">
        <v>10.0377</v>
      </c>
      <c r="N48" s="338">
        <f>L48*M48</f>
        <v/>
      </c>
      <c r="O48" s="124" t="inlineStr">
        <is>
          <t>125 T DU 26/01/2025</t>
        </is>
      </c>
      <c r="P48" s="113" t="inlineStr">
        <is>
          <t>Summit Rural (WA) Pty Ltd</t>
        </is>
      </c>
      <c r="Q48" s="113" t="inlineStr">
        <is>
          <t>AUSTRALIE</t>
        </is>
      </c>
      <c r="R48" s="113" t="inlineStr">
        <is>
          <t>AUSTRALIE</t>
        </is>
      </c>
      <c r="S48" s="209" t="n"/>
      <c r="T48" s="122" t="inlineStr">
        <is>
          <t>INTERTEK</t>
        </is>
      </c>
      <c r="U48" s="112" t="n">
        <v>200</v>
      </c>
      <c r="V48" s="129">
        <f>IF(U48&lt;130, "Mini Bulker", IF(AND(U48&gt;=130, U48&lt;150), "Handysize", IF(AND(U48&gt;=150, U48&lt;200), "Handymax", IF(AND(U48&gt;=200, U48&lt;230), "Panamax", IF(AND(U48&gt;=230, U48&lt;=270), "Capesize", "Autre")))))</f>
        <v/>
      </c>
      <c r="X48" s="111">
        <f>IF(E48&lt;9999,"1",IF(E48&lt;19999,"2",IF(E48&lt;29999,"3",IF(E48&lt;39999,"4",IF(E48&lt;49999,"5",IF(E48&gt;50000,"6"))))))</f>
        <v/>
      </c>
      <c r="Y48" s="115" t="inlineStr">
        <is>
          <t>1BIS</t>
        </is>
      </c>
      <c r="AA48" s="96" t="n"/>
      <c r="AB48" s="96" t="n"/>
      <c r="AC48" s="121" t="n"/>
      <c r="AD48" s="121" t="n"/>
      <c r="AE48" s="96" t="n"/>
      <c r="AF48" s="96" t="n"/>
      <c r="AG48" s="96" t="n"/>
      <c r="AH48" s="96" t="n"/>
      <c r="AI48" s="96" t="n"/>
      <c r="AJ48" s="96" t="n"/>
      <c r="AK48" s="96" t="n"/>
      <c r="AL48" s="96" t="n"/>
      <c r="AM48" s="96" t="n"/>
      <c r="AN48" s="96" t="n"/>
      <c r="AO48" s="96" t="n"/>
      <c r="AP48" s="121" t="n"/>
      <c r="AQ48" s="121" t="n"/>
      <c r="AR48" s="121" t="n"/>
      <c r="AS48" s="121" t="n"/>
      <c r="AT48" s="121" t="n"/>
      <c r="AU48" s="121" t="n"/>
      <c r="AV48" s="121" t="n"/>
      <c r="AW48" s="121" t="n"/>
      <c r="AX48" s="121" t="n"/>
      <c r="AY48" s="121" t="n"/>
      <c r="AZ48" s="121" t="n"/>
      <c r="BA48" s="121" t="n"/>
      <c r="BB48" s="121" t="n"/>
      <c r="BC48" s="121" t="n"/>
      <c r="BD48" s="215" t="n"/>
      <c r="BE48" s="121" t="n"/>
      <c r="BF48" s="121" t="n"/>
      <c r="BG48" s="215" t="n"/>
      <c r="BH48" s="215" t="n"/>
      <c r="BI48" s="215" t="n"/>
      <c r="BJ48" s="215" t="n"/>
      <c r="BK48" s="215" t="n"/>
      <c r="BL48" s="215" t="n"/>
      <c r="BM48" s="215" t="n"/>
      <c r="BN48" s="215" t="n"/>
      <c r="BO48" s="215" t="n"/>
      <c r="BS48" s="120" t="inlineStr">
        <is>
          <t>CHANGE DU POSTE 1BIS VERS POSTE 1TER LE 16/01- 1830 // CHANGE DU POSTE 1TER VERS LA RADE LE 21/01- 1211</t>
        </is>
      </c>
      <c r="BT48" s="120" t="n"/>
      <c r="BU48" s="120" t="n"/>
      <c r="BV48" s="120" t="n"/>
      <c r="BW48" s="323">
        <f>AI48-AH48</f>
        <v/>
      </c>
      <c r="BX48" s="120" t="inlineStr">
        <is>
          <t>NUL</t>
        </is>
      </c>
      <c r="BY48" s="120" t="inlineStr">
        <is>
          <t>NUL</t>
        </is>
      </c>
      <c r="CB48" s="111" t="n"/>
    </row>
    <row r="49" ht="14.55" customFormat="1" customHeight="1" s="230">
      <c r="A49" s="107" t="n">
        <v>30</v>
      </c>
      <c r="B49" s="317" t="inlineStr">
        <is>
          <t>WELL PRIME</t>
        </is>
      </c>
      <c r="C49" s="108" t="n">
        <v>45689</v>
      </c>
      <c r="D49" s="318" t="n">
        <v>3400</v>
      </c>
      <c r="E49" s="318" t="n">
        <v>3400</v>
      </c>
      <c r="F49" s="141" t="inlineStr">
        <is>
          <t>OCP NUTRI</t>
        </is>
      </c>
      <c r="G49" s="112" t="n">
        <v>1</v>
      </c>
      <c r="H49" s="129" t="inlineStr">
        <is>
          <t>DAP</t>
        </is>
      </c>
      <c r="I49" s="114" t="inlineStr">
        <is>
          <t xml:space="preserve">DAP EURO </t>
        </is>
      </c>
      <c r="J49" s="113" t="inlineStr">
        <is>
          <t>CFR</t>
        </is>
      </c>
      <c r="K49" s="123" t="n">
        <v>645</v>
      </c>
      <c r="L49" s="337">
        <f>D49*K49</f>
        <v/>
      </c>
      <c r="M49" s="111" t="n">
        <v>10.0377</v>
      </c>
      <c r="N49" s="338">
        <f>L49*M49</f>
        <v/>
      </c>
      <c r="O49" s="124" t="inlineStr">
        <is>
          <t>116 H DU 26/01/2025</t>
        </is>
      </c>
      <c r="P49" s="113" t="inlineStr">
        <is>
          <t>Goulding Soil Nutrition Ltd</t>
        </is>
      </c>
      <c r="Q49" s="113" t="inlineStr">
        <is>
          <t>EUROPE</t>
        </is>
      </c>
      <c r="R49" s="113" t="inlineStr">
        <is>
          <t>IRELAND</t>
        </is>
      </c>
      <c r="S49" s="115" t="inlineStr">
        <is>
          <t>*</t>
        </is>
      </c>
      <c r="T49" s="122" t="inlineStr">
        <is>
          <t>INTERTEK</t>
        </is>
      </c>
      <c r="U49" s="112" t="n">
        <v>90</v>
      </c>
      <c r="V49" s="129">
        <f>IF(U49&lt;130, "Mini Bulker", IF(AND(U49&gt;=130, U49&lt;150), "Handysize", IF(AND(U49&gt;=150, U49&lt;200), "Handymax", IF(AND(U49&gt;=200, U49&lt;230), "Panamax", IF(AND(U49&gt;=230, U49&lt;=270), "Capesize", "Autre")))))</f>
        <v/>
      </c>
      <c r="W49" s="132" t="n"/>
      <c r="X49" s="111">
        <f>IF(E49&lt;9999,"1",IF(E49&lt;19999,"2",IF(E49&lt;29999,"3",IF(E49&lt;39999,"4",IF(E49&lt;49999,"5",IF(E49&gt;50000,"6"))))))</f>
        <v/>
      </c>
      <c r="Y49" s="115" t="inlineStr">
        <is>
          <t>1TER</t>
        </is>
      </c>
      <c r="AA49" s="121" t="n">
        <v>45682.54166666666</v>
      </c>
      <c r="AB49" s="121" t="n">
        <v>45684.375</v>
      </c>
      <c r="AC49" s="108" t="n">
        <v>45680</v>
      </c>
      <c r="AD49" s="108" t="n">
        <v>45683</v>
      </c>
      <c r="AE49" s="121" t="n">
        <v>45679.45833333334</v>
      </c>
      <c r="AF49" s="121" t="n">
        <v>45688.7</v>
      </c>
      <c r="AG49" s="121" t="n">
        <v>45688.73958333334</v>
      </c>
      <c r="AH49" s="121" t="n">
        <v>45688.75</v>
      </c>
      <c r="AI49" s="121" t="n">
        <v>45688.81944444445</v>
      </c>
      <c r="AJ49" s="121" t="n">
        <v>45688.85416666666</v>
      </c>
      <c r="AK49" s="121" t="n">
        <v>45689.21527777778</v>
      </c>
      <c r="AL49" s="121" t="n">
        <v>45689.26388888889</v>
      </c>
      <c r="AM49" s="121" t="n">
        <v>45689.28472222222</v>
      </c>
      <c r="AN49" s="121" t="n">
        <v>45689.33541666667</v>
      </c>
      <c r="AO49" s="121" t="n">
        <v>45689.39236111111</v>
      </c>
      <c r="AP49" s="117">
        <f>(AG49-AF49)*1440</f>
        <v/>
      </c>
      <c r="AQ49" s="117">
        <f>(AG49-AE49)*1440</f>
        <v/>
      </c>
      <c r="AR49" s="117">
        <f>(AH49-AF49)*1440</f>
        <v/>
      </c>
      <c r="AS49" s="117">
        <f>(AI49-AH49)*1440</f>
        <v/>
      </c>
      <c r="AT49" s="117">
        <f>(AJ49-AH49)*1440</f>
        <v/>
      </c>
      <c r="AU49" s="117">
        <f>(AL49-AK49)*1440</f>
        <v/>
      </c>
      <c r="AV49" s="117">
        <f>(AM49-AL49)*1440</f>
        <v/>
      </c>
      <c r="AW49" s="117">
        <f>(AO49-AM49)*1440</f>
        <v/>
      </c>
      <c r="AX49" s="118">
        <f>AP49+AS49+AU49+AV49+AW49</f>
        <v/>
      </c>
      <c r="AY49" s="119">
        <f>(AG49-AA49)</f>
        <v/>
      </c>
      <c r="AZ49" s="119">
        <f>(AK49-AJ49)</f>
        <v/>
      </c>
      <c r="BA49" s="119">
        <f>AO49-AG49</f>
        <v/>
      </c>
      <c r="BB49" s="119">
        <f>(AO49-AA49)-(AP49/1440)-(AW49/1440)</f>
        <v/>
      </c>
      <c r="BC49" s="117">
        <f>E49/AZ49</f>
        <v/>
      </c>
      <c r="BD49" s="225" t="n"/>
      <c r="BE49" s="117">
        <f>IF(E49&lt;10000,3000,IF(E49&lt;15000,3600,IF(E49&lt;20000,4500,IF(E49&lt;25000,6000,IF(E49&lt;30000,7500,IF(E49&lt;40000,9000,IF(E49&gt;40000,10000)))))))</f>
        <v/>
      </c>
      <c r="BF49" s="322">
        <f>(E49/BE49)+2</f>
        <v/>
      </c>
      <c r="BG49" s="225" t="n"/>
      <c r="BH49" s="225" t="n"/>
      <c r="BI49" s="225" t="n"/>
      <c r="BJ49" s="225" t="n"/>
      <c r="BK49" s="225" t="n"/>
      <c r="BL49" s="225" t="n"/>
      <c r="BM49" s="225" t="n"/>
      <c r="BN49" s="225" t="n"/>
      <c r="BO49" s="225" t="n"/>
      <c r="BS49" s="120" t="inlineStr">
        <is>
          <t>NUL</t>
        </is>
      </c>
      <c r="BT49" s="120" t="n"/>
      <c r="BU49" s="120" t="n"/>
      <c r="BV49" s="120" t="n"/>
      <c r="BW49" s="323">
        <f>AI49-AH49</f>
        <v/>
      </c>
      <c r="BX49" s="120" t="n"/>
      <c r="BY49" s="120" t="n">
        <v>30</v>
      </c>
      <c r="CB49" s="111" t="n">
        <v>2602</v>
      </c>
    </row>
    <row r="50" ht="14.55" customFormat="1" customHeight="1" s="230">
      <c r="A50" s="107" t="n">
        <v>32</v>
      </c>
      <c r="B50" s="317" t="inlineStr">
        <is>
          <t>ABILITY</t>
        </is>
      </c>
      <c r="C50" s="108" t="n">
        <v>45691</v>
      </c>
      <c r="D50" s="318" t="n">
        <v>11000</v>
      </c>
      <c r="E50" s="324">
        <f>D51+D50</f>
        <v/>
      </c>
      <c r="F50" s="141" t="inlineStr">
        <is>
          <t>OCP NUTRI</t>
        </is>
      </c>
      <c r="G50" s="112" t="n">
        <v>2</v>
      </c>
      <c r="H50" s="129" t="inlineStr">
        <is>
          <t>NPK</t>
        </is>
      </c>
      <c r="I50" s="114" t="inlineStr">
        <is>
          <t xml:space="preserve">NPK 10 26 26 </t>
        </is>
      </c>
      <c r="J50" s="113" t="inlineStr">
        <is>
          <t>FOB</t>
        </is>
      </c>
      <c r="K50" s="123" t="n">
        <v>510</v>
      </c>
      <c r="L50" s="337">
        <f>D50*K50</f>
        <v/>
      </c>
      <c r="M50" s="111" t="n">
        <v>10.0377</v>
      </c>
      <c r="N50" s="338">
        <f>L50*M50</f>
        <v/>
      </c>
      <c r="O50" s="124" t="inlineStr">
        <is>
          <t>117 H DU 26/01/2025</t>
        </is>
      </c>
      <c r="P50" s="113" t="inlineStr">
        <is>
          <t>UKRAINIAN AGRICULTURAL COMPANY LLC</t>
        </is>
      </c>
      <c r="Q50" s="113" t="inlineStr">
        <is>
          <t>EUROPE</t>
        </is>
      </c>
      <c r="R50" s="113" t="inlineStr">
        <is>
          <t>UKRAINE</t>
        </is>
      </c>
      <c r="S50" s="113" t="inlineStr">
        <is>
          <t>SGS</t>
        </is>
      </c>
      <c r="T50" s="122" t="inlineStr">
        <is>
          <t>INTERTEK</t>
        </is>
      </c>
      <c r="U50" s="112" t="n">
        <v>142</v>
      </c>
      <c r="V50" s="129">
        <f>IF(U50&lt;130, "Mini Bulker", IF(AND(U50&gt;=130, U50&lt;150), "Handysize", IF(AND(U50&gt;=150, U50&lt;200), "Handymax", IF(AND(U50&gt;=200, U50&lt;230), "Panamax", IF(AND(U50&gt;=230, U50&lt;=270), "Capesize", "Autre")))))</f>
        <v/>
      </c>
      <c r="W50" s="132" t="n"/>
      <c r="X50" s="111">
        <f>IF(E50&lt;9999,"1",IF(E50&lt;19999,"2",IF(E50&lt;29999,"3",IF(E50&lt;39999,"4",IF(E50&lt;49999,"5",IF(E50&gt;50000,"6"))))))</f>
        <v/>
      </c>
      <c r="Y50" s="115" t="inlineStr">
        <is>
          <t>1N/1BIS/6/1N</t>
        </is>
      </c>
      <c r="AA50" s="96" t="n">
        <v>45666.85416666666</v>
      </c>
      <c r="AB50" s="96" t="n">
        <v>45667.375</v>
      </c>
      <c r="AE50" s="96" t="n">
        <v>45666.85416666666</v>
      </c>
      <c r="AF50" s="96" t="n">
        <v>45680.5125</v>
      </c>
      <c r="AG50" s="96" t="n">
        <v>45680.59375</v>
      </c>
      <c r="AH50" s="96" t="n">
        <v>45680.61805555555</v>
      </c>
      <c r="AI50" s="96" t="n">
        <v>45680.77430555555</v>
      </c>
      <c r="AJ50" s="96" t="n">
        <v>45680.79166666666</v>
      </c>
      <c r="AK50" s="96" t="n">
        <v>45691.11805555555</v>
      </c>
      <c r="AL50" s="96" t="n">
        <v>45691.16666666666</v>
      </c>
      <c r="AM50" s="96" t="n">
        <v>45691.1875</v>
      </c>
      <c r="AN50" s="96" t="n">
        <v>45691.24652777778</v>
      </c>
      <c r="AO50" s="96" t="n">
        <v>45691.32638888889</v>
      </c>
      <c r="AP50" s="117">
        <f>(AG50-AF50)*1440</f>
        <v/>
      </c>
      <c r="AQ50" s="117">
        <f>(AG50-AE50)*1440</f>
        <v/>
      </c>
      <c r="AR50" s="117">
        <f>(AH50-AF50)*1440</f>
        <v/>
      </c>
      <c r="AS50" s="117">
        <f>(AI50-AH50)*1440</f>
        <v/>
      </c>
      <c r="AT50" s="117">
        <f>(AJ50-AH50)*1440</f>
        <v/>
      </c>
      <c r="AU50" s="117">
        <f>(AL50-AK50)*1440</f>
        <v/>
      </c>
      <c r="AV50" s="117">
        <f>(AM50-AL50)*1440</f>
        <v/>
      </c>
      <c r="AW50" s="117">
        <f>(AO50-AM50)*1440</f>
        <v/>
      </c>
      <c r="AX50" s="118">
        <f>AP50+AS50+AU50+AV50+AW50</f>
        <v/>
      </c>
      <c r="AY50" s="119">
        <f>(AG50-AA50)</f>
        <v/>
      </c>
      <c r="AZ50" s="119">
        <f>(AK50-AJ50)</f>
        <v/>
      </c>
      <c r="BA50" s="119">
        <f>AO50-AG50</f>
        <v/>
      </c>
      <c r="BB50" s="119">
        <f>(AO50-AA50)-(AP50/1440)-(AW50/1440)</f>
        <v/>
      </c>
      <c r="BC50" s="117">
        <f>E50/AZ50</f>
        <v/>
      </c>
      <c r="BE50" s="117">
        <f>IF(E50&lt;10000,3000,IF(E50&lt;15000,3600,IF(E50&lt;20000,4500,IF(E50&lt;25000,6000,IF(E50&lt;30000,7500,IF(E50&lt;40000,9000,IF(E50&gt;40000,10000)))))))</f>
        <v/>
      </c>
      <c r="BF50" s="322">
        <f>(E50/BE50)+2</f>
        <v/>
      </c>
      <c r="BS50" s="120" t="inlineStr">
        <is>
          <t>CHANGE DU POSTE 1N VERS POSTE 1BIS LE 25/01 - 0538 // CHANGE DU POSTE 1BIS VERS POSTE 6 LE 25/01 - 2354 // CHANGE DU POSTE 6 VERS LA RADE LE 27/01- 0110// RE-ACCOSTAGE LE 02/02 - 0140</t>
        </is>
      </c>
      <c r="BT50" s="120" t="n">
        <v>4</v>
      </c>
      <c r="BU50" s="120" t="inlineStr">
        <is>
          <t>NON CLEAN</t>
        </is>
      </c>
      <c r="BV50" s="120" t="inlineStr">
        <is>
          <t>GRAIN</t>
        </is>
      </c>
      <c r="BW50" s="323">
        <f>AI50-AH50</f>
        <v/>
      </c>
      <c r="BX50" s="120" t="inlineStr">
        <is>
          <t>TBC</t>
        </is>
      </c>
      <c r="BY50" s="120" t="inlineStr">
        <is>
          <t>TBC</t>
        </is>
      </c>
      <c r="CB50" s="111" t="n">
        <v>12192</v>
      </c>
    </row>
    <row r="51" ht="15" customFormat="1" customHeight="1" s="230">
      <c r="A51" s="107" t="n"/>
      <c r="B51" s="317" t="inlineStr">
        <is>
          <t>ABILITY</t>
        </is>
      </c>
      <c r="C51" s="108" t="n">
        <v>45691</v>
      </c>
      <c r="D51" s="318" t="n">
        <v>5342</v>
      </c>
      <c r="E51" s="325" t="n"/>
      <c r="F51" s="141" t="inlineStr">
        <is>
          <t>OCP NUTRI</t>
        </is>
      </c>
      <c r="G51" s="112" t="n">
        <v>2</v>
      </c>
      <c r="H51" s="129" t="inlineStr">
        <is>
          <t>MAP</t>
        </is>
      </c>
      <c r="I51" s="114" t="inlineStr">
        <is>
          <t xml:space="preserve">MAP 11 52 SPECIAL </t>
        </is>
      </c>
      <c r="J51" s="113" t="inlineStr">
        <is>
          <t>FOB</t>
        </is>
      </c>
      <c r="K51" s="123" t="n">
        <v>600</v>
      </c>
      <c r="L51" s="337">
        <f>D51*K51</f>
        <v/>
      </c>
      <c r="M51" s="111" t="n">
        <v>10.0377</v>
      </c>
      <c r="N51" s="338">
        <f>L51*M51</f>
        <v/>
      </c>
      <c r="O51" s="124" t="inlineStr">
        <is>
          <t>116 H DU 26/01/2025</t>
        </is>
      </c>
      <c r="P51" s="113" t="inlineStr">
        <is>
          <t>UKRAINIAN AGRICULTURAL COMPANY LLC</t>
        </is>
      </c>
      <c r="Q51" s="113" t="inlineStr">
        <is>
          <t>EUROPE</t>
        </is>
      </c>
      <c r="R51" s="113" t="inlineStr">
        <is>
          <t>UKRAINE</t>
        </is>
      </c>
      <c r="S51" s="233" t="n"/>
      <c r="T51" s="122" t="inlineStr">
        <is>
          <t>INTERTEK</t>
        </is>
      </c>
      <c r="U51" s="112" t="n">
        <v>142</v>
      </c>
      <c r="V51" s="129">
        <f>IF(U51&lt;130, "Mini Bulker", IF(AND(U51&gt;=130, U51&lt;150), "Handysize", IF(AND(U51&gt;=150, U51&lt;200), "Handymax", IF(AND(U51&gt;=200, U51&lt;230), "Panamax", IF(AND(U51&gt;=230, U51&lt;=270), "Capesize", "Autre")))))</f>
        <v/>
      </c>
      <c r="X51" s="111">
        <f>IF(E51&lt;9999,"1",IF(E51&lt;19999,"2",IF(E51&lt;29999,"3",IF(E51&lt;39999,"4",IF(E51&lt;49999,"5",IF(E51&gt;50000,"6"))))))</f>
        <v/>
      </c>
      <c r="Y51" s="115" t="inlineStr">
        <is>
          <t>1N/1BIS/6/1N</t>
        </is>
      </c>
      <c r="AA51" s="121" t="n"/>
      <c r="AB51" s="121" t="n"/>
      <c r="AC51" s="121" t="n"/>
      <c r="AD51" s="121" t="n"/>
      <c r="AE51" s="121" t="n"/>
      <c r="AF51" s="121" t="n"/>
      <c r="AG51" s="121" t="n"/>
      <c r="AH51" s="121" t="n"/>
      <c r="AI51" s="121" t="n"/>
      <c r="AJ51" s="121" t="n"/>
      <c r="AK51" s="121" t="n"/>
      <c r="AL51" s="121" t="n"/>
      <c r="AM51" s="121" t="n"/>
      <c r="AN51" s="121" t="n"/>
      <c r="AO51" s="121" t="n"/>
      <c r="AP51" s="121" t="n"/>
      <c r="AQ51" s="121" t="n"/>
      <c r="AR51" s="121" t="n"/>
      <c r="AS51" s="121" t="n"/>
      <c r="AT51" s="121" t="n"/>
      <c r="AU51" s="121" t="n"/>
      <c r="AV51" s="121" t="n"/>
      <c r="AW51" s="121" t="n"/>
      <c r="AX51" s="121" t="n"/>
      <c r="AY51" s="121" t="n"/>
      <c r="AZ51" s="121" t="n"/>
      <c r="BA51" s="121" t="n"/>
      <c r="BB51" s="121" t="n"/>
      <c r="BC51" s="121" t="n"/>
      <c r="BD51" s="121" t="n"/>
      <c r="BE51" s="121" t="n"/>
      <c r="BF51" s="121" t="n"/>
      <c r="BG51" s="121" t="n"/>
      <c r="BH51" s="121" t="n"/>
      <c r="BI51" s="121" t="n"/>
      <c r="BJ51" s="121" t="n"/>
      <c r="BK51" s="121" t="n"/>
      <c r="BL51" s="121" t="n"/>
      <c r="BM51" s="121" t="n"/>
      <c r="BN51" s="121" t="n"/>
      <c r="BO51" s="121" t="n"/>
      <c r="BS51" s="120" t="inlineStr">
        <is>
          <t>CHANGE DU POSTE 1N VERS POSTE 1BIS LE 25/01 - 0538 // CHANGE DU POSTE 1BIS VERS POSTE 6 LE 25/01 - 2354 // CHANGE DU POSTE 6 VERS LA RADE LE 27/01- 0110// RE-ACCOSTAGE LE 02/02 - 0140</t>
        </is>
      </c>
      <c r="BT51" s="120" t="n"/>
      <c r="BU51" s="120" t="n"/>
      <c r="BV51" s="120" t="n"/>
      <c r="BW51" s="323">
        <f>AI51-AH51</f>
        <v/>
      </c>
      <c r="BX51" s="120" t="inlineStr">
        <is>
          <t>TBC</t>
        </is>
      </c>
      <c r="BY51" s="120" t="inlineStr">
        <is>
          <t>TBC</t>
        </is>
      </c>
      <c r="CB51" s="111" t="n"/>
    </row>
    <row r="52" ht="14.55" customFormat="1" customHeight="1" s="230">
      <c r="A52" s="107" t="n">
        <v>33</v>
      </c>
      <c r="B52" s="317" t="inlineStr">
        <is>
          <t>VISBY</t>
        </is>
      </c>
      <c r="C52" s="108" t="n">
        <v>45691</v>
      </c>
      <c r="D52" s="318" t="n">
        <v>5500</v>
      </c>
      <c r="E52" s="324">
        <f>D53+D52</f>
        <v/>
      </c>
      <c r="F52" s="141" t="inlineStr">
        <is>
          <t>OCP NUTRI</t>
        </is>
      </c>
      <c r="G52" s="112" t="n">
        <v>2</v>
      </c>
      <c r="H52" s="129" t="inlineStr">
        <is>
          <t>TSP</t>
        </is>
      </c>
      <c r="I52" s="114" t="inlineStr">
        <is>
          <t xml:space="preserve">TSP SPECIAL JORF </t>
        </is>
      </c>
      <c r="J52" s="113" t="inlineStr">
        <is>
          <t>CFR</t>
        </is>
      </c>
      <c r="K52" s="123" t="n">
        <v>473.33</v>
      </c>
      <c r="L52" s="337">
        <f>D52*K52</f>
        <v/>
      </c>
      <c r="M52" s="111" t="n">
        <v>10.0377</v>
      </c>
      <c r="N52" s="338">
        <f>L52*M52</f>
        <v/>
      </c>
      <c r="O52" s="124" t="inlineStr">
        <is>
          <t>116 H DU 26/01/2025</t>
        </is>
      </c>
      <c r="P52" s="113" t="inlineStr">
        <is>
          <t>OCP Fertilizantes LTDA</t>
        </is>
      </c>
      <c r="Q52" s="131" t="inlineStr">
        <is>
          <t>AMERIQUE LATINE</t>
        </is>
      </c>
      <c r="R52" s="113" t="inlineStr">
        <is>
          <t>BRESIL</t>
        </is>
      </c>
      <c r="S52" s="113" t="inlineStr">
        <is>
          <t>*</t>
        </is>
      </c>
      <c r="T52" s="122" t="inlineStr">
        <is>
          <t>INSPECTORATE</t>
        </is>
      </c>
      <c r="U52" s="112" t="n">
        <v>180</v>
      </c>
      <c r="V52" s="129">
        <f>IF(U52&lt;130, "Mini Bulker", IF(AND(U52&gt;=130, U52&lt;150), "Handysize", IF(AND(U52&gt;=150, U52&lt;200), "Handymax", IF(AND(U52&gt;=200, U52&lt;230), "Panamax", IF(AND(U52&gt;=230, U52&lt;=270), "Capesize", "Autre")))))</f>
        <v/>
      </c>
      <c r="X52" s="111">
        <f>IF(E52&lt;9999,"1",IF(E52&lt;19999,"2",IF(E52&lt;29999,"3",IF(E52&lt;39999,"4",IF(E52&lt;49999,"5",IF(E52&gt;50000,"6"))))))</f>
        <v/>
      </c>
      <c r="Y52" s="115" t="inlineStr">
        <is>
          <t>1BIS/1TER</t>
        </is>
      </c>
      <c r="AA52" s="96" t="n">
        <v>45679.95138888889</v>
      </c>
      <c r="AB52" s="96" t="n">
        <v>45680.375</v>
      </c>
      <c r="AC52" s="108" t="n">
        <v>45681</v>
      </c>
      <c r="AD52" s="108" t="n">
        <v>45683</v>
      </c>
      <c r="AE52" s="96" t="n">
        <v>45679.88333333333</v>
      </c>
      <c r="AF52" s="96" t="n">
        <v>45680.96666666667</v>
      </c>
      <c r="AG52" s="96" t="n">
        <v>45681.04166666666</v>
      </c>
      <c r="AH52" s="96" t="n">
        <v>45681.06597222222</v>
      </c>
      <c r="AI52" s="96" t="n">
        <v>45681.125</v>
      </c>
      <c r="AJ52" s="96" t="n">
        <v>45681.16666666666</v>
      </c>
      <c r="AK52" s="96" t="n">
        <v>45691.46527777778</v>
      </c>
      <c r="AL52" s="96" t="n">
        <v>45691.50694444445</v>
      </c>
      <c r="AM52" s="96" t="n">
        <v>45691.53472222222</v>
      </c>
      <c r="AN52" s="96" t="n">
        <v>45691.57847222222</v>
      </c>
      <c r="AO52" s="96" t="n">
        <v>45691.57986111111</v>
      </c>
      <c r="AP52" s="117">
        <f>(AG52-AF52)*1440</f>
        <v/>
      </c>
      <c r="AQ52" s="117">
        <f>(AG52-AE52)*1440</f>
        <v/>
      </c>
      <c r="AR52" s="117">
        <f>(AH52-AF52)*1440</f>
        <v/>
      </c>
      <c r="AS52" s="117">
        <f>(AI52-AH52)*1440</f>
        <v/>
      </c>
      <c r="AT52" s="117">
        <f>(AJ52-AH52)*1440</f>
        <v/>
      </c>
      <c r="AU52" s="117">
        <f>(AL52-AK52)*1440</f>
        <v/>
      </c>
      <c r="AV52" s="117">
        <f>(AM52-AL52)*1440</f>
        <v/>
      </c>
      <c r="AW52" s="117">
        <f>(AO52-AM52)*1440</f>
        <v/>
      </c>
      <c r="AX52" s="118">
        <f>AP52+AS52+AU52+AV52+AW52</f>
        <v/>
      </c>
      <c r="AY52" s="119">
        <f>(AG52-AA52)</f>
        <v/>
      </c>
      <c r="AZ52" s="119">
        <f>(AK52-AJ52)</f>
        <v/>
      </c>
      <c r="BA52" s="119">
        <f>AO52-AG52</f>
        <v/>
      </c>
      <c r="BB52" s="119">
        <f>(AO52-AA52)-(AP52/1440)-(AW52/1440)</f>
        <v/>
      </c>
      <c r="BC52" s="117">
        <f>E52/AZ52</f>
        <v/>
      </c>
      <c r="BE52" s="117">
        <f>IF(E52&lt;10000,3000,IF(E52&lt;15000,3600,IF(E52&lt;20000,4500,IF(E52&lt;25000,6000,IF(E52&lt;30000,7500,IF(E52&lt;40000,9000,IF(E52&gt;40000,10000)))))))</f>
        <v/>
      </c>
      <c r="BF52" s="322">
        <f>(E52/BE52)+2</f>
        <v/>
      </c>
      <c r="BS52" s="120" t="inlineStr">
        <is>
          <t>CHANGE DU POSTE 1BIS VERS POSTE 1TER LE 24/01 - 1425 / CHANGE DU POSTE 1TER VERS LA RADE LE 27/01- 0535 // RE-ACCOSTAGE LE 02/02 - 0100</t>
        </is>
      </c>
      <c r="BT52" s="120" t="n">
        <v>3</v>
      </c>
      <c r="BU52" s="120" t="n"/>
      <c r="BV52" s="120" t="n"/>
      <c r="BW52" s="323">
        <f>AI52-AH52</f>
        <v/>
      </c>
      <c r="BX52" s="120" t="inlineStr">
        <is>
          <t>TBC</t>
        </is>
      </c>
      <c r="BY52" s="120" t="inlineStr">
        <is>
          <t>TBC</t>
        </is>
      </c>
      <c r="CB52" s="111" t="n">
        <v>22409</v>
      </c>
    </row>
    <row r="53" ht="15" customFormat="1" customHeight="1" s="230">
      <c r="A53" s="107" t="n"/>
      <c r="B53" s="317" t="inlineStr">
        <is>
          <t>VISBY</t>
        </is>
      </c>
      <c r="C53" s="108" t="n">
        <v>45691</v>
      </c>
      <c r="D53" s="318" t="n">
        <v>27500</v>
      </c>
      <c r="E53" s="325" t="n"/>
      <c r="F53" s="141" t="inlineStr">
        <is>
          <t>OCP NUTRI</t>
        </is>
      </c>
      <c r="G53" s="112" t="n">
        <v>2</v>
      </c>
      <c r="H53" s="129" t="inlineStr">
        <is>
          <t>MAP</t>
        </is>
      </c>
      <c r="I53" s="114" t="inlineStr">
        <is>
          <t xml:space="preserve">MAP 11 52 SPECIAL </t>
        </is>
      </c>
      <c r="J53" s="113" t="inlineStr">
        <is>
          <t>CFR</t>
        </is>
      </c>
      <c r="K53" s="123" t="n">
        <v>630</v>
      </c>
      <c r="L53" s="337">
        <f>D53*K53</f>
        <v/>
      </c>
      <c r="M53" s="111" t="n">
        <v>10.0377</v>
      </c>
      <c r="N53" s="338">
        <f>L53*M53</f>
        <v/>
      </c>
      <c r="O53" s="124" t="inlineStr">
        <is>
          <t>116 H DU 26/01/2025</t>
        </is>
      </c>
      <c r="P53" s="113" t="inlineStr">
        <is>
          <t>OCP Fertilizantes LTDA</t>
        </is>
      </c>
      <c r="Q53" s="131" t="inlineStr">
        <is>
          <t>AMERIQUE LATINE</t>
        </is>
      </c>
      <c r="R53" s="113" t="inlineStr">
        <is>
          <t>BRESIL</t>
        </is>
      </c>
      <c r="S53" s="233" t="n"/>
      <c r="T53" s="122" t="inlineStr">
        <is>
          <t>INSPECTORATE</t>
        </is>
      </c>
      <c r="U53" s="112" t="n">
        <v>180</v>
      </c>
      <c r="V53" s="129">
        <f>IF(U53&lt;130, "Mini Bulker", IF(AND(U53&gt;=130, U53&lt;150), "Handysize", IF(AND(U53&gt;=150, U53&lt;200), "Handymax", IF(AND(U53&gt;=200, U53&lt;230), "Panamax", IF(AND(U53&gt;=230, U53&lt;=270), "Capesize", "Autre")))))</f>
        <v/>
      </c>
      <c r="X53" s="111">
        <f>IF(E53&lt;9999,"1",IF(E53&lt;19999,"2",IF(E53&lt;29999,"3",IF(E53&lt;39999,"4",IF(E53&lt;49999,"5",IF(E53&gt;50000,"6"))))))</f>
        <v/>
      </c>
      <c r="Y53" s="115" t="inlineStr">
        <is>
          <t>1BIS/1TER</t>
        </is>
      </c>
      <c r="AA53" s="121" t="n"/>
      <c r="AB53" s="121" t="n"/>
      <c r="AC53" s="121" t="n"/>
      <c r="AD53" s="121" t="n"/>
      <c r="AE53" s="121" t="n"/>
      <c r="AF53" s="121" t="n"/>
      <c r="AG53" s="121" t="n"/>
      <c r="AH53" s="121" t="n"/>
      <c r="AI53" s="121" t="n"/>
      <c r="AJ53" s="121" t="n"/>
      <c r="AK53" s="121" t="n"/>
      <c r="AL53" s="121" t="n"/>
      <c r="AM53" s="121" t="n"/>
      <c r="AN53" s="121" t="n"/>
      <c r="AO53" s="121" t="n"/>
      <c r="AP53" s="121" t="n"/>
      <c r="AQ53" s="121" t="n"/>
      <c r="AR53" s="121" t="n"/>
      <c r="AS53" s="121" t="n"/>
      <c r="AT53" s="121" t="n"/>
      <c r="AU53" s="121" t="n"/>
      <c r="AV53" s="121" t="n"/>
      <c r="AW53" s="121" t="n"/>
      <c r="AX53" s="121" t="n"/>
      <c r="AY53" s="121" t="n"/>
      <c r="AZ53" s="121" t="n"/>
      <c r="BA53" s="121" t="n"/>
      <c r="BB53" s="121" t="n"/>
      <c r="BC53" s="121" t="n"/>
      <c r="BD53" s="121" t="n"/>
      <c r="BE53" s="121" t="n"/>
      <c r="BF53" s="121" t="n"/>
      <c r="BS53" s="120" t="inlineStr">
        <is>
          <t>CHANGE DU POSTE 1BIS VERS POSTE 1TER LE 24/01 - 1425 / CHANGE DU POSTE 1TER VERS LA RADE LE 27/01- 0535 // RE-ACCOSTAGE LE 02/02 - 0100</t>
        </is>
      </c>
      <c r="BT53" s="120" t="n"/>
      <c r="BU53" s="120" t="n"/>
      <c r="BV53" s="120" t="n"/>
      <c r="BW53" s="323">
        <f>AI53-AH53</f>
        <v/>
      </c>
      <c r="BX53" s="120" t="inlineStr">
        <is>
          <t>TBC</t>
        </is>
      </c>
      <c r="BY53" s="120" t="inlineStr">
        <is>
          <t>TBC</t>
        </is>
      </c>
      <c r="CB53" s="111" t="n"/>
    </row>
    <row r="54" customFormat="1" s="230">
      <c r="A54" s="107" t="n">
        <v>34</v>
      </c>
      <c r="B54" s="317" t="inlineStr">
        <is>
          <t xml:space="preserve">BADGER ISLAND </t>
        </is>
      </c>
      <c r="C54" s="108" t="n">
        <v>45692</v>
      </c>
      <c r="D54" s="318" t="n">
        <v>44000</v>
      </c>
      <c r="E54" s="318" t="n">
        <v>44000</v>
      </c>
      <c r="F54" s="141" t="inlineStr">
        <is>
          <t>KOFERT</t>
        </is>
      </c>
      <c r="G54" s="112" t="n">
        <v>1</v>
      </c>
      <c r="H54" s="129" t="inlineStr">
        <is>
          <t>DAP</t>
        </is>
      </c>
      <c r="I54" s="114" t="inlineStr">
        <is>
          <t xml:space="preserve">DAP STANDARD </t>
        </is>
      </c>
      <c r="J54" s="113" t="inlineStr">
        <is>
          <t>FOB</t>
        </is>
      </c>
      <c r="K54" s="123" t="n">
        <v>584.5</v>
      </c>
      <c r="L54" s="337">
        <f>D54*K54</f>
        <v/>
      </c>
      <c r="M54" s="111" t="n">
        <v>10.0949</v>
      </c>
      <c r="N54" s="338">
        <f>L54*M54</f>
        <v/>
      </c>
      <c r="O54" s="124" t="inlineStr">
        <is>
          <t>124 S  DU 26/01/2025</t>
        </is>
      </c>
      <c r="P54" s="113" t="inlineStr">
        <is>
          <t>BANGLADESH AGRICULTURAL</t>
        </is>
      </c>
      <c r="Q54" s="131" t="inlineStr">
        <is>
          <t>ASIE</t>
        </is>
      </c>
      <c r="R54" s="131" t="inlineStr">
        <is>
          <t>BANGLADESH</t>
        </is>
      </c>
      <c r="S54" s="113" t="inlineStr">
        <is>
          <t>*</t>
        </is>
      </c>
      <c r="T54" s="122" t="inlineStr">
        <is>
          <t>INSPECTORATE</t>
        </is>
      </c>
      <c r="U54" s="112" t="n">
        <v>190</v>
      </c>
      <c r="V54" s="129">
        <f>IF(U54&lt;130, "Mini Bulker", IF(AND(U54&gt;=130, U54&lt;150), "Handysize", IF(AND(U54&gt;=150, U54&lt;200), "Handymax", IF(AND(U54&gt;=200, U54&lt;230), "Panamax", IF(AND(U54&gt;=230, U54&lt;=270), "Capesize", "Autre")))))</f>
        <v/>
      </c>
      <c r="X54" s="111">
        <f>IF(E54&lt;9999,"1",IF(E54&lt;19999,"2",IF(E54&lt;29999,"3",IF(E54&lt;39999,"4",IF(E54&lt;49999,"5",IF(E54&gt;50000,"6"))))))</f>
        <v/>
      </c>
      <c r="Y54" s="115" t="inlineStr">
        <is>
          <t>2BIS</t>
        </is>
      </c>
      <c r="AA54" s="96" t="n">
        <v>45673.42916666667</v>
      </c>
      <c r="AB54" s="96" t="n">
        <v>45673.42916666667</v>
      </c>
      <c r="AC54" s="108" t="n">
        <v>45666</v>
      </c>
      <c r="AD54" s="108" t="n">
        <v>45672</v>
      </c>
      <c r="AE54" s="96" t="n">
        <v>45673.37916666667</v>
      </c>
      <c r="AF54" s="96" t="n">
        <v>45689.05694444444</v>
      </c>
      <c r="AG54" s="96" t="n">
        <v>45689.10416666666</v>
      </c>
      <c r="AH54" s="96" t="n">
        <v>45689.13194444445</v>
      </c>
      <c r="AI54" s="96" t="n">
        <v>45689.18055555555</v>
      </c>
      <c r="AJ54" s="96" t="n">
        <v>45689.21527777778</v>
      </c>
      <c r="AK54" s="96" t="n">
        <v>45692.65972222222</v>
      </c>
      <c r="AL54" s="96" t="n">
        <v>45692.70486111111</v>
      </c>
      <c r="AM54" s="96" t="n">
        <v>45692.71805555555</v>
      </c>
      <c r="AN54" s="96" t="n">
        <v>45692.75972222222</v>
      </c>
      <c r="AO54" s="96" t="n">
        <v>45692.8125</v>
      </c>
      <c r="AP54" s="117">
        <f>(AG54-AF54)*1440</f>
        <v/>
      </c>
      <c r="AQ54" s="117">
        <f>(AG54-AE54)*1440</f>
        <v/>
      </c>
      <c r="AR54" s="117">
        <f>(AH54-AF54)*1440</f>
        <v/>
      </c>
      <c r="AS54" s="117">
        <f>(AI54-AH54)*1440</f>
        <v/>
      </c>
      <c r="AT54" s="117">
        <f>(AJ54-AH54)*1440</f>
        <v/>
      </c>
      <c r="AU54" s="117">
        <f>(AL54-AK54)*1440</f>
        <v/>
      </c>
      <c r="AV54" s="117">
        <f>(AM54-AL54)*1440</f>
        <v/>
      </c>
      <c r="AW54" s="117">
        <f>(AO54-AM54)*1440</f>
        <v/>
      </c>
      <c r="AX54" s="118">
        <f>AP54+AS54+AU54+AV54+AW54</f>
        <v/>
      </c>
      <c r="AY54" s="119">
        <f>(AG54-AA54)</f>
        <v/>
      </c>
      <c r="AZ54" s="119">
        <f>(AK54-AJ54)</f>
        <v/>
      </c>
      <c r="BA54" s="119">
        <f>AO54-AG54</f>
        <v/>
      </c>
      <c r="BB54" s="119">
        <f>(AO54-AA54)-(AP54/1440)-(AW54/1440)</f>
        <v/>
      </c>
      <c r="BC54" s="117">
        <f>E54/AZ54</f>
        <v/>
      </c>
      <c r="BE54" s="117">
        <f>IF(E54&lt;10000,3000,IF(E54&lt;15000,3600,IF(E54&lt;20000,4500,IF(E54&lt;25000,6000,IF(E54&lt;30000,7500,IF(E54&lt;40000,9000,IF(E54&gt;40000,10000)))))))</f>
        <v/>
      </c>
      <c r="BF54" s="322">
        <f>(E54/BE54)+2</f>
        <v/>
      </c>
      <c r="BS54" s="120" t="inlineStr">
        <is>
          <t>NUL</t>
        </is>
      </c>
      <c r="BT54" s="120" t="n"/>
      <c r="BU54" s="120" t="n"/>
      <c r="BV54" s="120" t="n"/>
      <c r="BW54" s="323">
        <f>AI54-AH54</f>
        <v/>
      </c>
      <c r="BX54" s="120" t="inlineStr">
        <is>
          <t>NUL</t>
        </is>
      </c>
      <c r="BY54" s="120" t="inlineStr">
        <is>
          <t>NUL</t>
        </is>
      </c>
      <c r="CB54" s="111" t="n">
        <v>32345</v>
      </c>
    </row>
    <row r="55" customFormat="1" s="230">
      <c r="A55" s="107" t="n">
        <v>36</v>
      </c>
      <c r="B55" s="317" t="inlineStr">
        <is>
          <t>CRIMSON SAPPHIRE</t>
        </is>
      </c>
      <c r="C55" s="108" t="n">
        <v>45693</v>
      </c>
      <c r="D55" s="318" t="n">
        <v>20642</v>
      </c>
      <c r="E55" s="324">
        <f>D56+D55</f>
        <v/>
      </c>
      <c r="F55" s="141" t="inlineStr">
        <is>
          <t>JFC1</t>
        </is>
      </c>
      <c r="G55" s="112" t="n">
        <v>2</v>
      </c>
      <c r="H55" s="129" t="inlineStr">
        <is>
          <t>MAP</t>
        </is>
      </c>
      <c r="I55" s="114" t="inlineStr">
        <is>
          <t xml:space="preserve">MAP 10 50 SPECIAL </t>
        </is>
      </c>
      <c r="J55" s="113" t="inlineStr">
        <is>
          <t>FOB</t>
        </is>
      </c>
      <c r="K55" s="123" t="n">
        <v>586</v>
      </c>
      <c r="L55" s="337">
        <f>D55*K55</f>
        <v/>
      </c>
      <c r="M55" s="111" t="n">
        <v>10.0683</v>
      </c>
      <c r="N55" s="338">
        <f>L55*M55</f>
        <v/>
      </c>
      <c r="O55" s="124" t="inlineStr">
        <is>
          <t>122 P DU 26/01/2025</t>
        </is>
      </c>
      <c r="P55" s="113" t="inlineStr">
        <is>
          <t>NITRON GROUP LLC</t>
        </is>
      </c>
      <c r="Q55" s="113" t="inlineStr">
        <is>
          <t>AUSTRALIE</t>
        </is>
      </c>
      <c r="R55" s="131" t="inlineStr">
        <is>
          <t>AUSTRALIE</t>
        </is>
      </c>
      <c r="S55" s="115" t="inlineStr">
        <is>
          <t>*</t>
        </is>
      </c>
      <c r="T55" s="122" t="inlineStr">
        <is>
          <t>INTERTEK</t>
        </is>
      </c>
      <c r="U55" s="112" t="n">
        <v>183</v>
      </c>
      <c r="V55" s="129">
        <f>IF(U55&lt;130, "Mini Bulker", IF(AND(U55&gt;=130, U55&lt;150), "Handysize", IF(AND(U55&gt;=150, U55&lt;200), "Handymax", IF(AND(U55&gt;=200, U55&lt;230), "Panamax", IF(AND(U55&gt;=230, U55&lt;=270), "Capesize", "Autre")))))</f>
        <v/>
      </c>
      <c r="X55" s="111">
        <f>IF(E55&lt;9999,"1",IF(E55&lt;19999,"2",IF(E55&lt;29999,"3",IF(E55&lt;39999,"4",IF(E55&lt;49999,"5",IF(E55&gt;50000,"6"))))))</f>
        <v/>
      </c>
      <c r="Y55" s="115" t="inlineStr">
        <is>
          <t>2TER</t>
        </is>
      </c>
      <c r="AA55" s="96" t="n">
        <v>45684.59583333333</v>
      </c>
      <c r="AB55" s="96" t="n">
        <v>45684.59583333333</v>
      </c>
      <c r="AC55" s="108" t="n">
        <v>45685</v>
      </c>
      <c r="AD55" s="108" t="n">
        <v>45688</v>
      </c>
      <c r="AE55" s="96" t="n">
        <v>45684.51666666667</v>
      </c>
      <c r="AF55" s="96" t="n">
        <v>45688.97430555556</v>
      </c>
      <c r="AG55" s="96" t="n">
        <v>45689.01666666667</v>
      </c>
      <c r="AH55" s="96" t="n">
        <v>45689.02430555555</v>
      </c>
      <c r="AI55" s="96" t="n">
        <v>45689.5625</v>
      </c>
      <c r="AJ55" s="96" t="n">
        <v>45689.82986111111</v>
      </c>
      <c r="AK55" s="96" t="n">
        <v>45693.77430555555</v>
      </c>
      <c r="AL55" s="96" t="n">
        <v>45693.82291666666</v>
      </c>
      <c r="AM55" s="96" t="n">
        <v>45693.87152777778</v>
      </c>
      <c r="AN55" s="96" t="n">
        <v>45693.91666666666</v>
      </c>
      <c r="AO55" s="96" t="n">
        <v>45693.9375</v>
      </c>
      <c r="AP55" s="117">
        <f>(AG55-AF55)*1440</f>
        <v/>
      </c>
      <c r="AQ55" s="117">
        <f>(AG55-AE55)*1440</f>
        <v/>
      </c>
      <c r="AR55" s="117">
        <f>(AH55-AF55)*1440</f>
        <v/>
      </c>
      <c r="AS55" s="117">
        <f>(AI55-AH55)*1440</f>
        <v/>
      </c>
      <c r="AT55" s="117">
        <f>(AJ55-AH55)*1440</f>
        <v/>
      </c>
      <c r="AU55" s="117">
        <f>(AL55-AK55)*1440</f>
        <v/>
      </c>
      <c r="AV55" s="117">
        <f>(AM55-AL55)*1440</f>
        <v/>
      </c>
      <c r="AW55" s="117">
        <f>(AO55-AM55)*1440</f>
        <v/>
      </c>
      <c r="AX55" s="118">
        <f>AP55+AS55+AU55+AV55+AW55</f>
        <v/>
      </c>
      <c r="AY55" s="119">
        <f>(AG55-AA55)</f>
        <v/>
      </c>
      <c r="AZ55" s="119">
        <f>(AK55-AJ55)</f>
        <v/>
      </c>
      <c r="BA55" s="119">
        <f>AO55-AG55</f>
        <v/>
      </c>
      <c r="BB55" s="119">
        <f>(AO55-AA55)-(AP55/1440)-(AW55/1440)</f>
        <v/>
      </c>
      <c r="BC55" s="117">
        <f>E55/AZ55</f>
        <v/>
      </c>
      <c r="BE55" s="117">
        <f>IF(E55&lt;10000,3000,IF(E55&lt;15000,3600,IF(E55&lt;20000,4500,IF(E55&lt;25000,6000,IF(E55&lt;30000,7500,IF(E55&lt;40000,9000,IF(E55&gt;40000,10000)))))))</f>
        <v/>
      </c>
      <c r="BF55" s="322">
        <f>(E55/BE55)+2</f>
        <v/>
      </c>
      <c r="BS55" s="120" t="inlineStr">
        <is>
          <t>AQIS INSPECTION // MAINTENU PAR SHORE TENSION</t>
        </is>
      </c>
      <c r="BT55" s="125" t="n"/>
      <c r="BW55" s="323">
        <f>AI55-AH55</f>
        <v/>
      </c>
      <c r="BX55" s="120" t="n"/>
      <c r="BY55" s="120" t="n">
        <v>50</v>
      </c>
      <c r="CB55" s="111" t="n">
        <v>25073</v>
      </c>
    </row>
    <row r="56" ht="14.55" customFormat="1" customHeight="1" s="230">
      <c r="A56" s="107" t="n"/>
      <c r="B56" s="317" t="inlineStr">
        <is>
          <t>CRIMSON SAPPHIRE</t>
        </is>
      </c>
      <c r="C56" s="108" t="n">
        <v>45693</v>
      </c>
      <c r="D56" s="318" t="n">
        <v>18001</v>
      </c>
      <c r="E56" s="325" t="n"/>
      <c r="F56" s="141" t="inlineStr">
        <is>
          <t>JFC1</t>
        </is>
      </c>
      <c r="G56" s="112" t="n">
        <v>2</v>
      </c>
      <c r="H56" s="129" t="inlineStr">
        <is>
          <t>DAP</t>
        </is>
      </c>
      <c r="I56" s="114" t="inlineStr">
        <is>
          <t xml:space="preserve">DAP SPECIAL </t>
        </is>
      </c>
      <c r="J56" s="113" t="inlineStr">
        <is>
          <t>FOB</t>
        </is>
      </c>
      <c r="K56" s="123" t="n">
        <v>596</v>
      </c>
      <c r="L56" s="337">
        <f>D56*K56</f>
        <v/>
      </c>
      <c r="M56" s="111" t="n">
        <v>10.0683</v>
      </c>
      <c r="N56" s="338">
        <f>L56*M56</f>
        <v/>
      </c>
      <c r="O56" s="124" t="inlineStr">
        <is>
          <t>122 P DU 26/01/2025</t>
        </is>
      </c>
      <c r="P56" s="113" t="inlineStr">
        <is>
          <t>NITRON GROUP LLC</t>
        </is>
      </c>
      <c r="Q56" s="131" t="inlineStr">
        <is>
          <t>AUSTRALIE</t>
        </is>
      </c>
      <c r="R56" s="131" t="inlineStr">
        <is>
          <t>AUSTRALIE</t>
        </is>
      </c>
      <c r="S56" s="209" t="n"/>
      <c r="T56" s="122" t="inlineStr">
        <is>
          <t>INTERTEK</t>
        </is>
      </c>
      <c r="U56" s="112" t="n">
        <v>183</v>
      </c>
      <c r="V56" s="129">
        <f>IF(U56&lt;130, "Mini Bulker", IF(AND(U56&gt;=130, U56&lt;150), "Handysize", IF(AND(U56&gt;=150, U56&lt;200), "Handymax", IF(AND(U56&gt;=200, U56&lt;230), "Panamax", IF(AND(U56&gt;=230, U56&lt;=270), "Capesize", "Autre")))))</f>
        <v/>
      </c>
      <c r="X56" s="111">
        <f>IF(E56&lt;9999,"1",IF(E56&lt;19999,"2",IF(E56&lt;29999,"3",IF(E56&lt;39999,"4",IF(E56&lt;49999,"5",IF(E56&gt;50000,"6"))))))</f>
        <v/>
      </c>
      <c r="Y56" s="115" t="inlineStr">
        <is>
          <t>2TER</t>
        </is>
      </c>
      <c r="AA56" s="96" t="n"/>
      <c r="AB56" s="96" t="n"/>
      <c r="AC56" s="121" t="n"/>
      <c r="AD56" s="121" t="n"/>
      <c r="AE56" s="96" t="n"/>
      <c r="AF56" s="96" t="n"/>
      <c r="AG56" s="96" t="n"/>
      <c r="AH56" s="96" t="n"/>
      <c r="AI56" s="96" t="n"/>
      <c r="AJ56" s="96" t="n"/>
      <c r="AK56" s="96" t="n"/>
      <c r="AL56" s="96" t="n"/>
      <c r="AM56" s="96" t="n"/>
      <c r="AN56" s="96" t="n"/>
      <c r="AO56" s="96" t="n"/>
      <c r="AP56" s="121" t="n"/>
      <c r="AQ56" s="121" t="n"/>
      <c r="AR56" s="121" t="n"/>
      <c r="AS56" s="121" t="n"/>
      <c r="AT56" s="121" t="n"/>
      <c r="AU56" s="121" t="n"/>
      <c r="AV56" s="121" t="n"/>
      <c r="AW56" s="121" t="n"/>
      <c r="AX56" s="121" t="n"/>
      <c r="AY56" s="121" t="n"/>
      <c r="AZ56" s="121" t="n"/>
      <c r="BA56" s="121" t="n"/>
      <c r="BB56" s="121" t="n"/>
      <c r="BC56" s="121" t="n"/>
      <c r="BD56" s="215" t="n"/>
      <c r="BE56" s="121" t="n"/>
      <c r="BF56" s="121" t="n"/>
      <c r="BS56" s="120" t="inlineStr">
        <is>
          <t>AQIS INSPECTION // MAINTENU PAR SHORE TENSION</t>
        </is>
      </c>
      <c r="BT56" s="125" t="n"/>
      <c r="BW56" s="323">
        <f>AI56-AH56</f>
        <v/>
      </c>
      <c r="BX56" s="120" t="n"/>
      <c r="BY56" s="120" t="n">
        <v>50</v>
      </c>
      <c r="CB56" s="111" t="n"/>
    </row>
    <row r="57" ht="15" customFormat="1" customHeight="1" s="230">
      <c r="A57" s="107" t="n">
        <v>35</v>
      </c>
      <c r="B57" s="317" t="inlineStr">
        <is>
          <t>SEAWAY K</t>
        </is>
      </c>
      <c r="C57" s="108" t="n">
        <v>45693</v>
      </c>
      <c r="D57" s="318" t="n">
        <v>12500</v>
      </c>
      <c r="E57" s="318" t="n">
        <v>12500</v>
      </c>
      <c r="F57" s="141" t="inlineStr">
        <is>
          <t>OCP NUTRI</t>
        </is>
      </c>
      <c r="G57" s="112" t="n">
        <v>1</v>
      </c>
      <c r="H57" s="129" t="inlineStr">
        <is>
          <t>NPK</t>
        </is>
      </c>
      <c r="I57" s="114" t="inlineStr">
        <is>
          <t xml:space="preserve">NPK 15 15 15 SPECIAL </t>
        </is>
      </c>
      <c r="J57" s="113" t="inlineStr">
        <is>
          <t>FOB</t>
        </is>
      </c>
      <c r="K57" s="123" t="n">
        <v>397</v>
      </c>
      <c r="L57" s="337">
        <f>D57*K57</f>
        <v/>
      </c>
      <c r="M57" s="111" t="n">
        <v>10.0683</v>
      </c>
      <c r="N57" s="338">
        <f>L57*M57</f>
        <v/>
      </c>
      <c r="O57" s="124" t="inlineStr">
        <is>
          <t>116 H DU 26/01/2025</t>
        </is>
      </c>
      <c r="P57" s="113" t="inlineStr">
        <is>
          <t>LLC ''SUNAGRO UKRAINE''</t>
        </is>
      </c>
      <c r="Q57" s="131" t="inlineStr">
        <is>
          <t>EUROPE</t>
        </is>
      </c>
      <c r="R57" s="131" t="inlineStr">
        <is>
          <t>UKRAINE</t>
        </is>
      </c>
      <c r="S57" s="134" t="n"/>
      <c r="T57" s="122" t="inlineStr">
        <is>
          <t>INTERTEK</t>
        </is>
      </c>
      <c r="U57" s="112" t="n">
        <v>128</v>
      </c>
      <c r="V57" s="129">
        <f>IF(U57&lt;130, "Mini Bulker", IF(AND(U57&gt;=130, U57&lt;150), "Handysize", IF(AND(U57&gt;=150, U57&lt;200), "Handymax", IF(AND(U57&gt;=200, U57&lt;230), "Panamax", IF(AND(U57&gt;=230, U57&lt;=270), "Capesize", "Autre")))))</f>
        <v/>
      </c>
      <c r="X57" s="111">
        <f>IF(E57&lt;9999,"1",IF(E57&lt;19999,"2",IF(E57&lt;29999,"3",IF(E57&lt;39999,"4",IF(E57&lt;49999,"5",IF(E57&gt;50000,"6"))))))</f>
        <v/>
      </c>
      <c r="Y57" s="115" t="inlineStr">
        <is>
          <t>1N</t>
        </is>
      </c>
      <c r="AA57" s="121" t="n">
        <v>45690.26041666666</v>
      </c>
      <c r="AB57" s="121" t="n">
        <v>45691.375</v>
      </c>
      <c r="AC57" s="108" t="n">
        <v>45686</v>
      </c>
      <c r="AD57" s="108" t="n">
        <v>45689</v>
      </c>
      <c r="AE57" s="121" t="n">
        <v>45690.27083333334</v>
      </c>
      <c r="AF57" s="121" t="n">
        <v>45691.32638888889</v>
      </c>
      <c r="AG57" s="121" t="n">
        <v>45691.40625</v>
      </c>
      <c r="AH57" s="121" t="n">
        <v>45691.42361111111</v>
      </c>
      <c r="AI57" s="121" t="n">
        <v>45691.48611111111</v>
      </c>
      <c r="AJ57" s="121" t="n">
        <v>45691.55902777778</v>
      </c>
      <c r="AK57" s="121" t="n">
        <v>45693.74652777778</v>
      </c>
      <c r="AL57" s="121" t="n">
        <v>45693.79166666666</v>
      </c>
      <c r="AM57" s="121" t="n">
        <v>45693.84722222222</v>
      </c>
      <c r="AN57" s="121" t="n">
        <v>45693.8625</v>
      </c>
      <c r="AO57" s="121" t="n">
        <v>45693.90625</v>
      </c>
      <c r="AP57" s="117">
        <f>(AG57-AF57)*1440</f>
        <v/>
      </c>
      <c r="AQ57" s="117">
        <f>(AG57-AE57)*1440</f>
        <v/>
      </c>
      <c r="AR57" s="117">
        <f>(AH57-AF57)*1440</f>
        <v/>
      </c>
      <c r="AS57" s="117">
        <f>(AI57-AH57)*1440</f>
        <v/>
      </c>
      <c r="AT57" s="117">
        <f>(AJ57-AH57)*1440</f>
        <v/>
      </c>
      <c r="AU57" s="117">
        <f>(AL57-AK57)*1440</f>
        <v/>
      </c>
      <c r="AV57" s="117">
        <f>(AM57-AL57)*1440</f>
        <v/>
      </c>
      <c r="AW57" s="117">
        <f>(AO57-AM57)*1440</f>
        <v/>
      </c>
      <c r="AX57" s="118">
        <f>AP57+AS57+AU57+AV57+AW57</f>
        <v/>
      </c>
      <c r="AY57" s="119">
        <f>(AG57-AA57)</f>
        <v/>
      </c>
      <c r="AZ57" s="119">
        <f>(AK57-AJ57)</f>
        <v/>
      </c>
      <c r="BA57" s="119">
        <f>AO57-AG57</f>
        <v/>
      </c>
      <c r="BB57" s="119">
        <f>(AO57-AA57)-(AP57/1440)-(AW57/1440)</f>
        <v/>
      </c>
      <c r="BC57" s="117">
        <f>E57/AZ57</f>
        <v/>
      </c>
      <c r="BD57" s="225" t="n"/>
      <c r="BE57" s="117">
        <f>IF(E57&lt;10000,3000,IF(E57&lt;15000,3600,IF(E57&lt;20000,4500,IF(E57&lt;25000,6000,IF(E57&lt;30000,7500,IF(E57&lt;40000,9000,IF(E57&gt;40000,10000)))))))</f>
        <v/>
      </c>
      <c r="BF57" s="322">
        <f>(E57/BE57)+2</f>
        <v/>
      </c>
      <c r="BS57" s="120" t="inlineStr">
        <is>
          <t>NUL</t>
        </is>
      </c>
      <c r="BT57" s="125" t="n"/>
      <c r="BW57" s="323">
        <f>AI57-AH57</f>
        <v/>
      </c>
      <c r="BX57" s="120" t="inlineStr">
        <is>
          <t>TBC</t>
        </is>
      </c>
      <c r="BY57" s="120" t="inlineStr">
        <is>
          <t>90/100</t>
        </is>
      </c>
      <c r="CB57" s="111" t="n">
        <v>7918</v>
      </c>
    </row>
    <row r="58" ht="14.55" customFormat="1" customHeight="1" s="230">
      <c r="A58" s="107" t="n">
        <v>37</v>
      </c>
      <c r="B58" s="317" t="inlineStr">
        <is>
          <t>BRAVE STAR</t>
        </is>
      </c>
      <c r="C58" s="108" t="n">
        <v>45694</v>
      </c>
      <c r="D58" s="318" t="n">
        <v>8300</v>
      </c>
      <c r="E58" s="318">
        <f>D58+D59+D60</f>
        <v/>
      </c>
      <c r="F58" s="141" t="inlineStr">
        <is>
          <t>OCP NUTRI</t>
        </is>
      </c>
      <c r="G58" s="112" t="n">
        <v>2</v>
      </c>
      <c r="H58" s="129" t="inlineStr">
        <is>
          <t>MAP</t>
        </is>
      </c>
      <c r="I58" s="114" t="inlineStr">
        <is>
          <t xml:space="preserve">MAP 11 52 JAPAN </t>
        </is>
      </c>
      <c r="J58" s="113" t="inlineStr">
        <is>
          <t>FOB</t>
        </is>
      </c>
      <c r="K58" s="123" t="n">
        <v>609.25</v>
      </c>
      <c r="L58" s="337">
        <f>D58*K58</f>
        <v/>
      </c>
      <c r="M58" s="111" t="n">
        <v>10.0207</v>
      </c>
      <c r="N58" s="338">
        <f>L58*M58</f>
        <v/>
      </c>
      <c r="O58" s="124" t="inlineStr">
        <is>
          <t>116 H DU 26/01/2025</t>
        </is>
      </c>
      <c r="P58" s="113" t="inlineStr">
        <is>
          <t xml:space="preserve">ZEN-NOH GREEN RESOURCES CORPORATION </t>
        </is>
      </c>
      <c r="Q58" s="131" t="inlineStr">
        <is>
          <t>ASIE</t>
        </is>
      </c>
      <c r="R58" s="131" t="inlineStr">
        <is>
          <t>JAPAN</t>
        </is>
      </c>
      <c r="S58" s="113" t="inlineStr">
        <is>
          <t>*</t>
        </is>
      </c>
      <c r="T58" s="122" t="inlineStr">
        <is>
          <t>INSPECTORATE</t>
        </is>
      </c>
      <c r="U58" s="112" t="n">
        <v>180</v>
      </c>
      <c r="V58" s="129">
        <f>IF(U58&lt;130, "Mini Bulker", IF(AND(U58&gt;=130, U58&lt;150), "Handysize", IF(AND(U58&gt;=150, U58&lt;200), "Handymax", IF(AND(U58&gt;=200, U58&lt;230), "Panamax", IF(AND(U58&gt;=230, U58&lt;=270), "Capesize", "Autre")))))</f>
        <v/>
      </c>
      <c r="X58" s="111">
        <f>IF(E58&lt;9999,"1",IF(E58&lt;19999,"2",IF(E58&lt;29999,"3",IF(E58&lt;39999,"4",IF(E58&lt;49999,"5",IF(E58&gt;50000,"6"))))))</f>
        <v/>
      </c>
      <c r="Y58" s="115" t="inlineStr">
        <is>
          <t>2N/1BIS/2N</t>
        </is>
      </c>
      <c r="AA58" s="96" t="n">
        <v>45687.91666666666</v>
      </c>
      <c r="AB58" s="96" t="n">
        <v>45688.375</v>
      </c>
      <c r="AC58" s="108" t="n">
        <v>45683</v>
      </c>
      <c r="AD58" s="108" t="n">
        <v>45687</v>
      </c>
      <c r="AE58" s="96" t="n">
        <v>45687.91666666666</v>
      </c>
      <c r="AF58" s="96" t="n">
        <v>45689.06944444445</v>
      </c>
      <c r="AG58" s="96" t="n">
        <v>45689.12916666667</v>
      </c>
      <c r="AH58" s="96" t="n">
        <v>45689.14583333334</v>
      </c>
      <c r="AI58" s="96" t="n">
        <v>45689.20833333334</v>
      </c>
      <c r="AJ58" s="96" t="n">
        <v>45689.41666666666</v>
      </c>
      <c r="AK58" s="96" t="n">
        <v>45694.43055555555</v>
      </c>
      <c r="AL58" s="96" t="n">
        <v>45694.47291666667</v>
      </c>
      <c r="AM58" s="96" t="n">
        <v>45694.5</v>
      </c>
      <c r="AN58" s="96" t="n">
        <v>45694.52430555555</v>
      </c>
      <c r="AO58" s="96" t="n">
        <v>45694.53888888889</v>
      </c>
      <c r="AP58" s="117">
        <f>(AG58-AF58)*1440</f>
        <v/>
      </c>
      <c r="AQ58" s="117">
        <f>(AG58-AE58)*1440</f>
        <v/>
      </c>
      <c r="AR58" s="117">
        <f>(AH58-AF58)*1440</f>
        <v/>
      </c>
      <c r="AS58" s="117">
        <f>(AI58-AH58)*1440</f>
        <v/>
      </c>
      <c r="AT58" s="117">
        <f>(AJ58-AH58)*1440</f>
        <v/>
      </c>
      <c r="AU58" s="117">
        <f>(AL58-AK58)*1440</f>
        <v/>
      </c>
      <c r="AV58" s="117">
        <f>(AM58-AL58)*1440</f>
        <v/>
      </c>
      <c r="AW58" s="117">
        <f>(AO58-AM58)*1440</f>
        <v/>
      </c>
      <c r="AX58" s="118">
        <f>AP58+AS58+AU58+AV58+AW58</f>
        <v/>
      </c>
      <c r="AY58" s="119">
        <f>(AG58-AA58)</f>
        <v/>
      </c>
      <c r="AZ58" s="119">
        <f>(AK58-AJ58)</f>
        <v/>
      </c>
      <c r="BA58" s="119">
        <f>AO58-AG58</f>
        <v/>
      </c>
      <c r="BB58" s="119">
        <f>(AO58-AA58)-(AP58/1440)-(AW58/1440)</f>
        <v/>
      </c>
      <c r="BC58" s="117">
        <f>E58/AZ58</f>
        <v/>
      </c>
      <c r="BE58" s="117">
        <f>IF(E58&lt;10000,3000,IF(E58&lt;15000,3600,IF(E58&lt;20000,4500,IF(E58&lt;25000,6000,IF(E58&lt;30000,7500,IF(E58&lt;40000,9000,IF(E58&gt;40000,10000)))))))</f>
        <v/>
      </c>
      <c r="BF58" s="322">
        <f>(E58/BE58)+2</f>
        <v/>
      </c>
      <c r="BS58" s="120" t="inlineStr">
        <is>
          <t>CHANGE DU POSTE 2N VERS POSTE 1BIS LE 03/02- 1547 //CHANGE DU POSTE 1BIS VERS POSTE 2N LE 04/02- 1345 //  MAINTENU PAR SHORE TENSION</t>
        </is>
      </c>
      <c r="BT58" s="125" t="n">
        <v>2</v>
      </c>
      <c r="BW58" s="323">
        <f>AI58-AH58</f>
        <v/>
      </c>
      <c r="BX58" s="120" t="inlineStr">
        <is>
          <t>NUL</t>
        </is>
      </c>
      <c r="BY58" s="120" t="inlineStr">
        <is>
          <t>NUL</t>
        </is>
      </c>
      <c r="CB58" s="111" t="n">
        <v>23194</v>
      </c>
    </row>
    <row r="59" ht="14.55" customFormat="1" customHeight="1" s="230">
      <c r="A59" s="107" t="n"/>
      <c r="B59" s="317" t="inlineStr">
        <is>
          <t>BRAVE STAR</t>
        </is>
      </c>
      <c r="C59" s="108" t="n">
        <v>45694</v>
      </c>
      <c r="D59" s="318" t="n">
        <v>5928</v>
      </c>
      <c r="E59" s="325" t="n"/>
      <c r="F59" s="141" t="inlineStr">
        <is>
          <t>OCP NUTRI</t>
        </is>
      </c>
      <c r="G59" s="112" t="n">
        <v>2</v>
      </c>
      <c r="H59" s="129" t="inlineStr">
        <is>
          <t>DAP</t>
        </is>
      </c>
      <c r="I59" s="114" t="inlineStr">
        <is>
          <t xml:space="preserve">DAP JAPAN </t>
        </is>
      </c>
      <c r="J59" s="113" t="inlineStr">
        <is>
          <t>FOB</t>
        </is>
      </c>
      <c r="K59" s="123" t="n">
        <v>603.75</v>
      </c>
      <c r="L59" s="337">
        <f>D59*K59</f>
        <v/>
      </c>
      <c r="M59" s="111" t="n">
        <v>10.0207</v>
      </c>
      <c r="N59" s="338">
        <f>L59*M59</f>
        <v/>
      </c>
      <c r="O59" s="124" t="inlineStr">
        <is>
          <t>116 H DU 26/01/2025</t>
        </is>
      </c>
      <c r="P59" s="113" t="inlineStr">
        <is>
          <t xml:space="preserve">ZEN-NOH GREEN RESOURCES CORPORATION </t>
        </is>
      </c>
      <c r="Q59" s="131" t="inlineStr">
        <is>
          <t>ASIE</t>
        </is>
      </c>
      <c r="R59" s="131" t="inlineStr">
        <is>
          <t>JAPAN</t>
        </is>
      </c>
      <c r="S59" s="113" t="inlineStr">
        <is>
          <t>*</t>
        </is>
      </c>
      <c r="T59" s="122" t="inlineStr">
        <is>
          <t>INSPECTORATE</t>
        </is>
      </c>
      <c r="U59" s="112" t="n">
        <v>180</v>
      </c>
      <c r="V59" s="129">
        <f>IF(U59&lt;130, "Mini Bulker", IF(AND(U59&gt;=130, U59&lt;150), "Handysize", IF(AND(U59&gt;=150, U59&lt;200), "Handymax", IF(AND(U59&gt;=200, U59&lt;230), "Panamax", IF(AND(U59&gt;=230, U59&lt;=270), "Capesize", "Autre")))))</f>
        <v/>
      </c>
      <c r="X59" s="111">
        <f>IF(E59&lt;9999,"1",IF(E59&lt;19999,"2",IF(E59&lt;29999,"3",IF(E59&lt;39999,"4",IF(E59&lt;49999,"5",IF(E59&gt;50000,"6"))))))</f>
        <v/>
      </c>
      <c r="Y59" s="115" t="inlineStr">
        <is>
          <t>2N/1BIS/2N</t>
        </is>
      </c>
      <c r="AA59" s="121" t="n"/>
      <c r="AB59" s="121" t="n"/>
      <c r="AC59" s="121" t="n"/>
      <c r="AD59" s="121" t="n"/>
      <c r="AE59" s="121" t="n"/>
      <c r="AF59" s="121" t="n"/>
      <c r="AG59" s="121" t="n"/>
      <c r="AH59" s="121" t="n"/>
      <c r="AI59" s="121" t="n"/>
      <c r="AJ59" s="121" t="n"/>
      <c r="AK59" s="121" t="n"/>
      <c r="AL59" s="121" t="n"/>
      <c r="AM59" s="121" t="n"/>
      <c r="AN59" s="121" t="n"/>
      <c r="AO59" s="121" t="n"/>
      <c r="AP59" s="121" t="n"/>
      <c r="AQ59" s="121" t="n"/>
      <c r="AR59" s="121" t="n"/>
      <c r="AS59" s="121" t="n"/>
      <c r="AT59" s="121" t="n"/>
      <c r="AU59" s="121" t="n"/>
      <c r="AV59" s="121" t="n"/>
      <c r="AW59" s="121" t="n"/>
      <c r="AX59" s="121" t="n"/>
      <c r="AY59" s="121" t="n"/>
      <c r="AZ59" s="121" t="n"/>
      <c r="BA59" s="121" t="n"/>
      <c r="BB59" s="121" t="n"/>
      <c r="BC59" s="121" t="n"/>
      <c r="BD59" s="121" t="n"/>
      <c r="BE59" s="121" t="n"/>
      <c r="BF59" s="121" t="n"/>
      <c r="BG59" s="121" t="n"/>
      <c r="BH59" s="121" t="n"/>
      <c r="BI59" s="121" t="n"/>
      <c r="BJ59" s="121" t="n"/>
      <c r="BK59" s="121" t="n"/>
      <c r="BL59" s="121" t="n"/>
      <c r="BM59" s="121" t="n"/>
      <c r="BN59" s="121" t="n"/>
      <c r="BO59" s="121" t="n"/>
      <c r="BS59" s="120" t="inlineStr">
        <is>
          <t>CHANGE DU POSTE 2N VERS POSTE 1BIS LE 03/02- 1547 //CHANGE DU POSTE 1BIS VERS POSTE 2N LE 04/02- 1345 //  MAINTENU PAR SHORE TENSION</t>
        </is>
      </c>
      <c r="BT59" s="125" t="n"/>
      <c r="BW59" s="323">
        <f>AI59-AH59</f>
        <v/>
      </c>
      <c r="BX59" s="120" t="inlineStr">
        <is>
          <t>NUL</t>
        </is>
      </c>
      <c r="BY59" s="120" t="inlineStr">
        <is>
          <t>NUL</t>
        </is>
      </c>
      <c r="CB59" s="111" t="n"/>
    </row>
    <row r="60" ht="15" customFormat="1" customHeight="1" s="230">
      <c r="A60" s="107" t="n"/>
      <c r="B60" s="317" t="inlineStr">
        <is>
          <t>BRAVE STAR</t>
        </is>
      </c>
      <c r="C60" s="108" t="n">
        <v>45694</v>
      </c>
      <c r="D60" s="318" t="n">
        <v>13179</v>
      </c>
      <c r="E60" s="325" t="n"/>
      <c r="F60" s="141" t="inlineStr">
        <is>
          <t>OCP NUTRI</t>
        </is>
      </c>
      <c r="G60" s="112" t="n">
        <v>2</v>
      </c>
      <c r="H60" s="129" t="inlineStr">
        <is>
          <t>DAP</t>
        </is>
      </c>
      <c r="I60" s="114" t="inlineStr">
        <is>
          <t xml:space="preserve">DAP SPECIAL DARK JAPAN </t>
        </is>
      </c>
      <c r="J60" s="113" t="inlineStr">
        <is>
          <t>FOB</t>
        </is>
      </c>
      <c r="K60" s="123" t="n">
        <v>603.75</v>
      </c>
      <c r="L60" s="337">
        <f>D60*K60</f>
        <v/>
      </c>
      <c r="M60" s="111" t="n">
        <v>10.0207</v>
      </c>
      <c r="N60" s="338">
        <f>L60*M60</f>
        <v/>
      </c>
      <c r="O60" s="124" t="inlineStr">
        <is>
          <t>116 H DU 26/01/2025</t>
        </is>
      </c>
      <c r="P60" s="113" t="inlineStr">
        <is>
          <t xml:space="preserve">ZEN-NOH GREEN RESOURCES CORPORATION </t>
        </is>
      </c>
      <c r="Q60" s="131" t="inlineStr">
        <is>
          <t>ASIE</t>
        </is>
      </c>
      <c r="R60" s="131" t="inlineStr">
        <is>
          <t>JAPAN</t>
        </is>
      </c>
      <c r="S60" s="113" t="inlineStr">
        <is>
          <t>*</t>
        </is>
      </c>
      <c r="T60" s="122" t="inlineStr">
        <is>
          <t>INSPECTORATE</t>
        </is>
      </c>
      <c r="U60" s="112" t="n">
        <v>180</v>
      </c>
      <c r="V60" s="129">
        <f>IF(U60&lt;130, "Mini Bulker", IF(AND(U60&gt;=130, U60&lt;150), "Handysize", IF(AND(U60&gt;=150, U60&lt;200), "Handymax", IF(AND(U60&gt;=200, U60&lt;230), "Panamax", IF(AND(U60&gt;=230, U60&lt;=270), "Capesize", "Autre")))))</f>
        <v/>
      </c>
      <c r="X60" s="111">
        <f>IF(E60&lt;9999,"1",IF(E60&lt;19999,"2",IF(E60&lt;29999,"3",IF(E60&lt;39999,"4",IF(E60&lt;49999,"5",IF(E60&gt;50000,"6"))))))</f>
        <v/>
      </c>
      <c r="Y60" s="115" t="inlineStr">
        <is>
          <t>2N/1BIS/2N</t>
        </is>
      </c>
      <c r="AA60" s="121" t="n"/>
      <c r="AB60" s="121" t="n"/>
      <c r="AC60" s="121" t="n"/>
      <c r="AD60" s="121" t="n"/>
      <c r="AE60" s="121" t="n"/>
      <c r="AF60" s="121" t="n"/>
      <c r="AG60" s="121" t="n"/>
      <c r="AH60" s="121" t="n"/>
      <c r="AI60" s="121" t="n"/>
      <c r="AJ60" s="121" t="n"/>
      <c r="AK60" s="121" t="n"/>
      <c r="AL60" s="121" t="n"/>
      <c r="AM60" s="121" t="n"/>
      <c r="AN60" s="121" t="n"/>
      <c r="AO60" s="121" t="n"/>
      <c r="AP60" s="121" t="n"/>
      <c r="AQ60" s="121" t="n"/>
      <c r="AR60" s="121" t="n"/>
      <c r="AS60" s="121" t="n"/>
      <c r="AT60" s="121" t="n"/>
      <c r="AU60" s="121" t="n"/>
      <c r="AV60" s="121" t="n"/>
      <c r="AW60" s="121" t="n"/>
      <c r="AX60" s="121" t="n"/>
      <c r="AY60" s="121" t="n"/>
      <c r="AZ60" s="121" t="n"/>
      <c r="BA60" s="121" t="n"/>
      <c r="BB60" s="121" t="n"/>
      <c r="BC60" s="121" t="n"/>
      <c r="BD60" s="121" t="n"/>
      <c r="BE60" s="121" t="n"/>
      <c r="BF60" s="121" t="n"/>
      <c r="BG60" s="121" t="n"/>
      <c r="BH60" s="121" t="n"/>
      <c r="BI60" s="121" t="n"/>
      <c r="BJ60" s="121" t="n"/>
      <c r="BK60" s="121" t="n"/>
      <c r="BL60" s="121" t="n"/>
      <c r="BM60" s="121" t="n"/>
      <c r="BN60" s="121" t="n"/>
      <c r="BO60" s="121" t="n"/>
      <c r="BS60" s="120" t="inlineStr">
        <is>
          <t>CHANGE DU POSTE 2N VERS POSTE 1BIS LE 03/02- 1547 //CHANGE DU POSTE 1BIS VERS POSTE 2N LE 04/02- 1345 //  MAINTENU PAR SHORE TENSION</t>
        </is>
      </c>
      <c r="BT60" s="125" t="n"/>
      <c r="BW60" s="323">
        <f>AI60-AH60</f>
        <v/>
      </c>
      <c r="BX60" s="120" t="inlineStr">
        <is>
          <t>NUL</t>
        </is>
      </c>
      <c r="BY60" s="120" t="inlineStr">
        <is>
          <t>NUL</t>
        </is>
      </c>
    </row>
    <row r="61" customFormat="1" s="230">
      <c r="A61" s="107" t="n">
        <v>39</v>
      </c>
      <c r="B61" s="317" t="inlineStr">
        <is>
          <t>KIRANA NAREE</t>
        </is>
      </c>
      <c r="C61" s="108" t="n">
        <v>45696</v>
      </c>
      <c r="D61" s="318" t="n">
        <v>50030</v>
      </c>
      <c r="E61" s="318" t="n">
        <v>50030</v>
      </c>
      <c r="F61" s="141" t="inlineStr">
        <is>
          <t>JFC2</t>
        </is>
      </c>
      <c r="G61" s="112" t="n">
        <v>1</v>
      </c>
      <c r="H61" s="129" t="inlineStr">
        <is>
          <t>MAP</t>
        </is>
      </c>
      <c r="I61" s="114" t="inlineStr">
        <is>
          <t xml:space="preserve">MAP 10 50 SPECIAL </t>
        </is>
      </c>
      <c r="J61" s="113" t="inlineStr">
        <is>
          <t>FOB</t>
        </is>
      </c>
      <c r="K61" s="82" t="n">
        <v>566.8</v>
      </c>
      <c r="L61" s="336">
        <f>D61*K61</f>
        <v/>
      </c>
      <c r="M61" s="14" t="n">
        <v>10.0091</v>
      </c>
      <c r="N61" s="335">
        <f>L61*M61</f>
        <v/>
      </c>
      <c r="O61" s="16" t="inlineStr">
        <is>
          <t>123 R DU 26/01/2025</t>
        </is>
      </c>
      <c r="P61" s="50" t="inlineStr">
        <is>
          <t>Graceland Industry Pte Ltd</t>
        </is>
      </c>
      <c r="Q61" s="131" t="inlineStr">
        <is>
          <t>AUSTRALIE</t>
        </is>
      </c>
      <c r="R61" s="131" t="inlineStr">
        <is>
          <t>AUSTRALIE</t>
        </is>
      </c>
      <c r="S61" s="113" t="inlineStr">
        <is>
          <t>*</t>
        </is>
      </c>
      <c r="T61" s="122" t="inlineStr">
        <is>
          <t>INTERTEK</t>
        </is>
      </c>
      <c r="U61" s="112" t="n">
        <v>190</v>
      </c>
      <c r="V61" s="129">
        <f>IF(U61&lt;130, "Mini Bulker", IF(AND(U61&gt;=130, U61&lt;150), "Handysize", IF(AND(U61&gt;=150, U61&lt;200), "Handymax", IF(AND(U61&gt;=200, U61&lt;230), "Panamax", IF(AND(U61&gt;=230, U61&lt;=270), "Capesize", "Autre")))))</f>
        <v/>
      </c>
      <c r="X61" s="111">
        <f>IF(E61&lt;9999,"1",IF(E61&lt;19999,"2",IF(E61&lt;29999,"3",IF(E61&lt;39999,"4",IF(E61&lt;49999,"5",IF(E61&gt;50000,"6"))))))</f>
        <v/>
      </c>
      <c r="Y61" s="115" t="inlineStr">
        <is>
          <t>1TER</t>
        </is>
      </c>
      <c r="AA61" s="96" t="n">
        <v>45691.05416666667</v>
      </c>
      <c r="AB61" s="96" t="n">
        <v>45691.375</v>
      </c>
      <c r="AC61" s="108" t="n">
        <v>45681</v>
      </c>
      <c r="AD61" s="108" t="n">
        <v>45692</v>
      </c>
      <c r="AE61" s="96" t="n">
        <v>45691.0125</v>
      </c>
      <c r="AF61" s="26" t="n">
        <v>45693.54513888889</v>
      </c>
      <c r="AG61" s="96" t="n">
        <v>45693.6375</v>
      </c>
      <c r="AH61" s="96" t="n">
        <v>45693.65277777778</v>
      </c>
      <c r="AI61" s="26" t="n">
        <v>45694.47916666666</v>
      </c>
      <c r="AJ61" s="96" t="n">
        <v>45694.5</v>
      </c>
      <c r="AK61" s="96" t="n">
        <v>45696.86805555555</v>
      </c>
      <c r="AL61" s="96" t="n">
        <v>45696.92083333333</v>
      </c>
      <c r="AM61" s="96" t="n">
        <v>45696.9375</v>
      </c>
      <c r="AN61" s="26" t="n">
        <v>45696.9375</v>
      </c>
      <c r="AO61" s="96" t="n">
        <v>45697.00347222222</v>
      </c>
      <c r="AP61" s="117">
        <f>(AG61-AF61)*1440</f>
        <v/>
      </c>
      <c r="AQ61" s="117">
        <f>(AG61-AE61)*1440</f>
        <v/>
      </c>
      <c r="AR61" s="117">
        <f>(AH61-AF61)*1440</f>
        <v/>
      </c>
      <c r="AS61" s="117">
        <f>(AI61-AH61)*1440</f>
        <v/>
      </c>
      <c r="AT61" s="117">
        <f>(AJ61-AH61)*1440</f>
        <v/>
      </c>
      <c r="AU61" s="117">
        <f>(AL61-AK61)*1440</f>
        <v/>
      </c>
      <c r="AV61" s="117">
        <f>(AM61-AL61)*1440</f>
        <v/>
      </c>
      <c r="AW61" s="117">
        <f>(AO61-AM61)*1440</f>
        <v/>
      </c>
      <c r="AX61" s="118">
        <f>AP61+AS61+AU61+AV61+AW61</f>
        <v/>
      </c>
      <c r="AY61" s="119">
        <f>(AG61-AA61)</f>
        <v/>
      </c>
      <c r="AZ61" s="119">
        <f>(AK61-AJ61)</f>
        <v/>
      </c>
      <c r="BA61" s="119">
        <f>AO61-AG61</f>
        <v/>
      </c>
      <c r="BB61" s="119">
        <f>(AO61-AA61)-(AP61/1440)-(AW61/1440)</f>
        <v/>
      </c>
      <c r="BC61" s="117">
        <f>E61/AZ61</f>
        <v/>
      </c>
      <c r="BE61" s="117">
        <f>IF(E61&lt;10000,3000,IF(E61&lt;15000,3600,IF(E61&lt;20000,4500,IF(E61&lt;25000,6000,IF(E61&lt;30000,7500,IF(E61&lt;40000,9000,IF(E61&gt;40000,10000)))))))</f>
        <v/>
      </c>
      <c r="BF61" s="322">
        <f>(E61/BE61)+2</f>
        <v/>
      </c>
      <c r="BS61" s="120" t="inlineStr">
        <is>
          <t>AQIS INSPECTION</t>
        </is>
      </c>
      <c r="BT61" s="125" t="n">
        <v>0</v>
      </c>
      <c r="BV61" s="125" t="n"/>
      <c r="BW61" s="323">
        <f>AI61-AH61</f>
        <v/>
      </c>
      <c r="BX61" s="120" t="inlineStr">
        <is>
          <t>TBC</t>
        </is>
      </c>
      <c r="BY61" s="120" t="inlineStr">
        <is>
          <t>TBC</t>
        </is>
      </c>
      <c r="CB61" s="111" t="n">
        <v>33044</v>
      </c>
    </row>
    <row r="62" customFormat="1" s="230">
      <c r="A62" s="107" t="n">
        <v>38</v>
      </c>
      <c r="B62" s="317" t="inlineStr">
        <is>
          <t>MANTA HATICE</t>
        </is>
      </c>
      <c r="C62" s="108" t="n">
        <v>45696</v>
      </c>
      <c r="D62" s="318" t="n">
        <v>21300</v>
      </c>
      <c r="E62" s="318" t="n">
        <v>21300</v>
      </c>
      <c r="F62" s="141" t="inlineStr">
        <is>
          <t>OCP NUTRI</t>
        </is>
      </c>
      <c r="G62" s="112" t="n">
        <v>1</v>
      </c>
      <c r="H62" s="129" t="inlineStr">
        <is>
          <t>DAP</t>
        </is>
      </c>
      <c r="I62" s="114" t="inlineStr">
        <is>
          <t xml:space="preserve">DAP EURO </t>
        </is>
      </c>
      <c r="J62" s="113" t="inlineStr">
        <is>
          <t>FOB</t>
        </is>
      </c>
      <c r="K62" s="82" t="n">
        <v>586.25</v>
      </c>
      <c r="L62" s="336">
        <f>D62*K62</f>
        <v/>
      </c>
      <c r="M62" s="14" t="n">
        <v>10.0091</v>
      </c>
      <c r="N62" s="335">
        <f>L62*M62</f>
        <v/>
      </c>
      <c r="O62" s="16" t="inlineStr">
        <is>
          <t>116 H DU 26/01/2025</t>
        </is>
      </c>
      <c r="P62" s="50" t="inlineStr">
        <is>
          <t>HELM AG</t>
        </is>
      </c>
      <c r="Q62" s="131" t="inlineStr">
        <is>
          <t>EUROPE</t>
        </is>
      </c>
      <c r="R62" s="131" t="inlineStr">
        <is>
          <t>Belgique/ALLEMEGNE</t>
        </is>
      </c>
      <c r="S62" s="113" t="inlineStr">
        <is>
          <t>*</t>
        </is>
      </c>
      <c r="T62" s="122" t="inlineStr">
        <is>
          <t>INSPECTORATE</t>
        </is>
      </c>
      <c r="U62" s="112" t="n">
        <v>175</v>
      </c>
      <c r="V62" s="129">
        <f>IF(U62&lt;130, "Mini Bulker", IF(AND(U62&gt;=130, U62&lt;150), "Handysize", IF(AND(U62&gt;=150, U62&lt;200), "Handymax", IF(AND(U62&gt;=200, U62&lt;230), "Panamax", IF(AND(U62&gt;=230, U62&lt;=270), "Capesize", "Autre")))))</f>
        <v/>
      </c>
      <c r="X62" s="111">
        <f>IF(E62&lt;9999,"1",IF(E62&lt;19999,"2",IF(E62&lt;29999,"3",IF(E62&lt;39999,"4",IF(E62&lt;49999,"5",IF(E62&gt;50000,"6"))))))</f>
        <v/>
      </c>
      <c r="Y62" s="115" t="inlineStr">
        <is>
          <t>1TER/1N</t>
        </is>
      </c>
      <c r="AA62" s="96" t="n">
        <v>45684.31944444445</v>
      </c>
      <c r="AB62" s="96" t="n">
        <v>45684.375</v>
      </c>
      <c r="AC62" s="108" t="n">
        <v>45688</v>
      </c>
      <c r="AD62" s="108" t="n">
        <v>45689</v>
      </c>
      <c r="AE62" s="96" t="n">
        <v>45684.30208333334</v>
      </c>
      <c r="AF62" s="26" t="n">
        <v>45689.39236111111</v>
      </c>
      <c r="AG62" s="96" t="n">
        <v>45689.49166666667</v>
      </c>
      <c r="AH62" s="96" t="n">
        <v>45689.51388888889</v>
      </c>
      <c r="AI62" s="26" t="n">
        <v>45689.57638888889</v>
      </c>
      <c r="AJ62" s="96" t="n">
        <v>45689.62152777778</v>
      </c>
      <c r="AK62" s="96" t="n">
        <v>45696.38888888889</v>
      </c>
      <c r="AL62" s="96" t="n">
        <v>45696.43194444444</v>
      </c>
      <c r="AM62" s="96" t="n">
        <v>45696.46527777778</v>
      </c>
      <c r="AN62" s="26" t="n">
        <v>45696.52083333334</v>
      </c>
      <c r="AO62" s="96" t="n">
        <v>45696.54166666666</v>
      </c>
      <c r="AP62" s="117">
        <f>(AG62-AF62)*1440</f>
        <v/>
      </c>
      <c r="AQ62" s="117">
        <f>(AG62-AE62)*1440</f>
        <v/>
      </c>
      <c r="AR62" s="117">
        <f>(AH62-AF62)*1440</f>
        <v/>
      </c>
      <c r="AS62" s="117">
        <f>(AI62-AH62)*1440</f>
        <v/>
      </c>
      <c r="AT62" s="117">
        <f>(AJ62-AH62)*1440</f>
        <v/>
      </c>
      <c r="AU62" s="117">
        <f>(AL62-AK62)*1440</f>
        <v/>
      </c>
      <c r="AV62" s="117">
        <f>(AM62-AL62)*1440</f>
        <v/>
      </c>
      <c r="AW62" s="117">
        <f>(AO62-AM62)*1440</f>
        <v/>
      </c>
      <c r="AX62" s="118">
        <f>AP62+AS62+AU62+AV62+AW62</f>
        <v/>
      </c>
      <c r="AY62" s="119">
        <f>(AG62-AA62)</f>
        <v/>
      </c>
      <c r="AZ62" s="119">
        <f>(AK62-AJ62)</f>
        <v/>
      </c>
      <c r="BA62" s="119">
        <f>AO62-AG62</f>
        <v/>
      </c>
      <c r="BB62" s="119">
        <f>(AO62-AA62)-(AP62/1440)-(AW62/1440)</f>
        <v/>
      </c>
      <c r="BC62" s="117">
        <f>E62/AZ62</f>
        <v/>
      </c>
      <c r="BE62" s="117">
        <f>IF(E62&lt;10000,3000,IF(E62&lt;15000,3600,IF(E62&lt;20000,4500,IF(E62&lt;25000,6000,IF(E62&lt;30000,7500,IF(E62&lt;40000,9000,IF(E62&gt;40000,10000)))))))</f>
        <v/>
      </c>
      <c r="BF62" s="322">
        <f>(E62/BE62)+2</f>
        <v/>
      </c>
      <c r="BS62" s="120" t="inlineStr">
        <is>
          <t>CHANGE DU POSTE 1TER VERS LA RADE LE 05/02- 1335 // RE-ACCOSTAGE AU POSTE 1N LE 07/02 - 1505</t>
        </is>
      </c>
      <c r="BT62" s="125" t="n">
        <v>2</v>
      </c>
      <c r="BV62" s="223" t="n"/>
      <c r="BW62" s="323">
        <f>AI62-AH62</f>
        <v/>
      </c>
      <c r="BX62" s="120" t="inlineStr">
        <is>
          <t>TBC</t>
        </is>
      </c>
      <c r="BY62" s="120" t="inlineStr">
        <is>
          <t>TBC</t>
        </is>
      </c>
      <c r="CB62" s="111" t="n">
        <v>19816</v>
      </c>
    </row>
    <row r="63" customFormat="1" s="230">
      <c r="A63" s="107" t="n">
        <v>41</v>
      </c>
      <c r="B63" s="317" t="inlineStr">
        <is>
          <t>INGRID B</t>
        </is>
      </c>
      <c r="C63" s="108" t="n">
        <v>45698</v>
      </c>
      <c r="D63" s="318" t="n">
        <v>1650</v>
      </c>
      <c r="E63" s="324">
        <f>D64+D63</f>
        <v/>
      </c>
      <c r="F63" s="141" t="inlineStr">
        <is>
          <t>OCP NUTRI</t>
        </is>
      </c>
      <c r="G63" s="112" t="n">
        <v>2</v>
      </c>
      <c r="H63" s="129" t="inlineStr">
        <is>
          <t>DAP</t>
        </is>
      </c>
      <c r="I63" s="114" t="inlineStr">
        <is>
          <t xml:space="preserve">DAP EURO </t>
        </is>
      </c>
      <c r="J63" s="113" t="inlineStr">
        <is>
          <t>CFR</t>
        </is>
      </c>
      <c r="K63" s="82" t="n">
        <v>640</v>
      </c>
      <c r="L63" s="336">
        <f>D63*K63</f>
        <v/>
      </c>
      <c r="M63" s="14" t="n">
        <v>10.0091</v>
      </c>
      <c r="N63" s="335">
        <f>L63*M63</f>
        <v/>
      </c>
      <c r="O63" s="16" t="inlineStr">
        <is>
          <t>116 H DU 26/01/2025</t>
        </is>
      </c>
      <c r="P63" s="50" t="inlineStr">
        <is>
          <t>FERTINAGRO FRANCE SAS</t>
        </is>
      </c>
      <c r="Q63" s="131" t="inlineStr">
        <is>
          <t>EUROPE</t>
        </is>
      </c>
      <c r="R63" s="131" t="inlineStr">
        <is>
          <t>FRANCE</t>
        </is>
      </c>
      <c r="S63" s="113" t="inlineStr">
        <is>
          <t>*</t>
        </is>
      </c>
      <c r="T63" s="122" t="inlineStr">
        <is>
          <t>INTERTEK</t>
        </is>
      </c>
      <c r="U63" s="112" t="n">
        <v>82</v>
      </c>
      <c r="V63" s="129">
        <f>IF(U63&lt;130, "Mini Bulker", IF(AND(U63&gt;=130, U63&lt;150), "Handysize", IF(AND(U63&gt;=150, U63&lt;200), "Handymax", IF(AND(U63&gt;=200, U63&lt;230), "Panamax", IF(AND(U63&gt;=230, U63&lt;=270), "Capesize", "Autre")))))</f>
        <v/>
      </c>
      <c r="X63" s="111">
        <f>IF(E63&lt;9999,"1",IF(E63&lt;19999,"2",IF(E63&lt;29999,"3",IF(E63&lt;39999,"4",IF(E63&lt;49999,"5",IF(E63&gt;50000,"6"))))))</f>
        <v/>
      </c>
      <c r="Y63" s="115" t="inlineStr">
        <is>
          <t>4BIS/1SUD/2TER/1SUD/1N</t>
        </is>
      </c>
      <c r="AA63" s="96" t="n">
        <v>45675.0625</v>
      </c>
      <c r="AB63" s="96" t="n">
        <v>45675.375</v>
      </c>
      <c r="AC63" s="108" t="n">
        <v>45706</v>
      </c>
      <c r="AD63" s="108" t="n">
        <v>45709</v>
      </c>
      <c r="AE63" s="96" t="n">
        <v>45675.0625</v>
      </c>
      <c r="AF63" s="26" t="n">
        <v>45693.35416666666</v>
      </c>
      <c r="AG63" s="96" t="n">
        <v>45693.40972222222</v>
      </c>
      <c r="AH63" s="96" t="n">
        <v>45693.42361111111</v>
      </c>
      <c r="AI63" s="26" t="n">
        <v>45694.13541666666</v>
      </c>
      <c r="AJ63" s="96" t="n">
        <v>45694.17013888889</v>
      </c>
      <c r="AK63" s="96" t="n">
        <v>45698.48611111111</v>
      </c>
      <c r="AL63" s="96" t="n">
        <v>45698.52083333334</v>
      </c>
      <c r="AM63" s="96" t="n">
        <v>45698.55555555555</v>
      </c>
      <c r="AN63" s="26" t="n">
        <v>45698.60694444444</v>
      </c>
      <c r="AO63" s="96" t="n">
        <v>45698.60069444445</v>
      </c>
      <c r="AP63" s="117">
        <f>(AG63-AF63)*1440</f>
        <v/>
      </c>
      <c r="AQ63" s="117">
        <f>(AG63-AE63)*1440</f>
        <v/>
      </c>
      <c r="AR63" s="117">
        <f>(AH63-AF63)*1440</f>
        <v/>
      </c>
      <c r="AS63" s="117">
        <f>(AI63-AH63)*1440</f>
        <v/>
      </c>
      <c r="AT63" s="117">
        <f>(AJ63-AH63)*1440</f>
        <v/>
      </c>
      <c r="AU63" s="117">
        <f>(AL63-AK63)*1440</f>
        <v/>
      </c>
      <c r="AV63" s="117">
        <f>(AM63-AL63)*1440</f>
        <v/>
      </c>
      <c r="AW63" s="117">
        <f>(AO63-AM63)*1440</f>
        <v/>
      </c>
      <c r="AX63" s="118">
        <f>AP63+AS63+AU63+AV63+AW63</f>
        <v/>
      </c>
      <c r="AY63" s="119">
        <f>(AG63-AA63)</f>
        <v/>
      </c>
      <c r="AZ63" s="119">
        <f>(AK63-AJ63)</f>
        <v/>
      </c>
      <c r="BA63" s="119">
        <f>AO63-AG63</f>
        <v/>
      </c>
      <c r="BB63" s="119">
        <f>(AO63-AA63)-(AP63/1440)-(AW63/1440)</f>
        <v/>
      </c>
      <c r="BC63" s="117">
        <f>E63/AZ63</f>
        <v/>
      </c>
      <c r="BE63" s="117">
        <f>IF(E63&lt;10000,3000,IF(E63&lt;15000,3600,IF(E63&lt;20000,4500,IF(E63&lt;25000,6000,IF(E63&lt;30000,7500,IF(E63&lt;40000,9000,IF(E63&gt;40000,10000)))))))</f>
        <v/>
      </c>
      <c r="BF63" s="322">
        <f>(E63/BE63)+2</f>
        <v/>
      </c>
      <c r="BS63" s="120" t="inlineStr">
        <is>
          <t>CHANGE DU POSTE 4BIS VERS POSTE 1SUD LE 05/02- 1558// CHANGE DU POSTE 1SUD VERS POSTE 2TER LE 05/02- 2315 // CHANGE DU POSTE 2TER VERS LE POSTE 1SUD LE 07/02 - 1315 // CHANGE DU POSTE 1S VERS 1N LE 10/02- 0505</t>
        </is>
      </c>
      <c r="BT63" s="125" t="n">
        <v>4</v>
      </c>
      <c r="BU63" s="223" t="n"/>
      <c r="BV63" s="120" t="inlineStr">
        <is>
          <t>SEPARATION BULK HEAD</t>
        </is>
      </c>
      <c r="BW63" s="323">
        <f>AI63-AH63</f>
        <v/>
      </c>
      <c r="BX63" s="120" t="n"/>
      <c r="BY63" s="120" t="n">
        <v>25</v>
      </c>
      <c r="CB63" s="111" t="n">
        <v>2437</v>
      </c>
    </row>
    <row r="64" ht="14.55" customFormat="1" customHeight="1" s="230">
      <c r="A64" s="202" t="n"/>
      <c r="B64" s="317" t="inlineStr">
        <is>
          <t>INGRID B</t>
        </is>
      </c>
      <c r="C64" s="108" t="n">
        <v>45698</v>
      </c>
      <c r="D64" s="318" t="n">
        <v>1644</v>
      </c>
      <c r="E64" s="325" t="n"/>
      <c r="F64" s="141" t="inlineStr">
        <is>
          <t>OCP NUTRI</t>
        </is>
      </c>
      <c r="G64" s="112" t="n">
        <v>2</v>
      </c>
      <c r="H64" s="129" t="inlineStr">
        <is>
          <t>MAP</t>
        </is>
      </c>
      <c r="I64" s="114" t="inlineStr">
        <is>
          <t>MAP 11 52 EU</t>
        </is>
      </c>
      <c r="J64" s="113" t="inlineStr">
        <is>
          <t>CFR</t>
        </is>
      </c>
      <c r="K64" s="82" t="n">
        <v>640</v>
      </c>
      <c r="L64" s="336">
        <f>D64*K64</f>
        <v/>
      </c>
      <c r="M64" s="14" t="n">
        <v>10.0091</v>
      </c>
      <c r="N64" s="335">
        <f>L64*M64</f>
        <v/>
      </c>
      <c r="O64" s="16" t="inlineStr">
        <is>
          <t>116 H DU 26/01/2025</t>
        </is>
      </c>
      <c r="P64" s="50" t="inlineStr">
        <is>
          <t>FERTINAGRO FRANCE SAS</t>
        </is>
      </c>
      <c r="Q64" s="113" t="inlineStr">
        <is>
          <t>EUROPE</t>
        </is>
      </c>
      <c r="R64" s="131" t="inlineStr">
        <is>
          <t>FRANCE</t>
        </is>
      </c>
      <c r="S64" s="113" t="inlineStr">
        <is>
          <t>*</t>
        </is>
      </c>
      <c r="T64" s="122" t="inlineStr">
        <is>
          <t>INTERTEK</t>
        </is>
      </c>
      <c r="U64" s="112" t="n">
        <v>82</v>
      </c>
      <c r="V64" s="129">
        <f>IF(U64&lt;130, "Mini Bulker", IF(AND(U64&gt;=130, U64&lt;150), "Handysize", IF(AND(U64&gt;=150, U64&lt;200), "Handymax", IF(AND(U64&gt;=200, U64&lt;230), "Panamax", IF(AND(U64&gt;=230, U64&lt;=270), "Capesize", "Autre")))))</f>
        <v/>
      </c>
      <c r="X64" s="111">
        <f>IF(E64&lt;9999,"1",IF(E64&lt;19999,"2",IF(E64&lt;29999,"3",IF(E64&lt;39999,"4",IF(E64&lt;49999,"5",IF(E64&gt;50000,"6"))))))</f>
        <v/>
      </c>
      <c r="Y64" s="115" t="inlineStr">
        <is>
          <t>4BIS/1SUD/2TER/1SUD/1N</t>
        </is>
      </c>
      <c r="AA64" s="96" t="n"/>
      <c r="AB64" s="96" t="n"/>
      <c r="AC64" s="121" t="n"/>
      <c r="AD64" s="121" t="n"/>
      <c r="AE64" s="96" t="n"/>
      <c r="AF64" s="219" t="n"/>
      <c r="AG64" s="96" t="n"/>
      <c r="AH64" s="96" t="n"/>
      <c r="AI64" s="219" t="n"/>
      <c r="AJ64" s="96" t="n"/>
      <c r="AK64" s="96" t="n"/>
      <c r="AL64" s="96" t="n"/>
      <c r="AM64" s="96" t="n"/>
      <c r="AN64" s="219" t="n"/>
      <c r="AO64" s="96" t="n"/>
      <c r="AP64" s="121" t="n"/>
      <c r="AQ64" s="121" t="n"/>
      <c r="AR64" s="121" t="n"/>
      <c r="AS64" s="121" t="n"/>
      <c r="AT64" s="121" t="n"/>
      <c r="AU64" s="121" t="n"/>
      <c r="AV64" s="121" t="n"/>
      <c r="AW64" s="121" t="n"/>
      <c r="AX64" s="121" t="n"/>
      <c r="AY64" s="121" t="n"/>
      <c r="AZ64" s="121" t="n"/>
      <c r="BA64" s="121" t="n"/>
      <c r="BB64" s="121" t="n"/>
      <c r="BC64" s="121" t="n"/>
      <c r="BD64" s="215" t="n"/>
      <c r="BE64" s="121" t="n"/>
      <c r="BF64" s="121" t="n"/>
      <c r="BS64" s="120" t="inlineStr">
        <is>
          <t>CHANGE DU POSTE 4BIS VERS POSTE 1SUD LE 05/02- 1558// CHANGE DU POSTE 1SUD VERS POSTE 2TER LE 05/02- 2315 // CHANGE DU POSTE 2TER VERS LE POSTE 1SUD LE 07/02 - 1315 // CHANGE DU POSTE 1S VERS 1N LE 10/02- 0505</t>
        </is>
      </c>
      <c r="BT64" s="125" t="n">
        <v>4</v>
      </c>
      <c r="BV64" s="120" t="inlineStr">
        <is>
          <t>SEPARATION BULK HEAD</t>
        </is>
      </c>
      <c r="BW64" s="323">
        <f>AI64-AH64</f>
        <v/>
      </c>
      <c r="BX64" s="120" t="n"/>
      <c r="BY64" s="120" t="n">
        <v>25</v>
      </c>
      <c r="CB64" s="111" t="n"/>
    </row>
    <row r="65" ht="15" customFormat="1" customHeight="1" s="230">
      <c r="A65" s="112" t="n">
        <v>40</v>
      </c>
      <c r="B65" s="317" t="inlineStr">
        <is>
          <t>MEGHNA STAR</t>
        </is>
      </c>
      <c r="C65" s="108" t="n">
        <v>45698</v>
      </c>
      <c r="D65" s="318" t="n">
        <v>45171</v>
      </c>
      <c r="E65" s="318" t="n">
        <v>45171</v>
      </c>
      <c r="F65" s="141" t="inlineStr">
        <is>
          <t>OCP NUTRI</t>
        </is>
      </c>
      <c r="G65" s="112" t="n">
        <v>1</v>
      </c>
      <c r="H65" s="129" t="inlineStr">
        <is>
          <t>NPK</t>
        </is>
      </c>
      <c r="I65" s="114" t="inlineStr">
        <is>
          <t xml:space="preserve">NPK 14 18 18 6S 1B2O3 AFRIQUE </t>
        </is>
      </c>
      <c r="J65" s="113" t="inlineStr">
        <is>
          <t>FOB</t>
        </is>
      </c>
      <c r="K65" s="82" t="n">
        <v>420</v>
      </c>
      <c r="L65" s="336">
        <f>D65*K65</f>
        <v/>
      </c>
      <c r="M65" s="14" t="n">
        <v>10.0091</v>
      </c>
      <c r="N65" s="335">
        <f>L65*M65</f>
        <v/>
      </c>
      <c r="O65" s="16" t="inlineStr">
        <is>
          <t>116 H DU 26/01/2025</t>
        </is>
      </c>
      <c r="P65" s="50" t="inlineStr">
        <is>
          <t>SOCIETE POUR LE DEVELOPPEMENT DU COTON (SODECO SA)</t>
        </is>
      </c>
      <c r="Q65" s="113" t="inlineStr">
        <is>
          <t>AFRIQUE</t>
        </is>
      </c>
      <c r="R65" s="131" t="inlineStr">
        <is>
          <t>BENIN</t>
        </is>
      </c>
      <c r="S65" s="113" t="inlineStr">
        <is>
          <t>*</t>
        </is>
      </c>
      <c r="T65" s="122" t="inlineStr">
        <is>
          <t>INTERTEK</t>
        </is>
      </c>
      <c r="U65" s="112" t="n">
        <v>189</v>
      </c>
      <c r="V65" s="129">
        <f>IF(U65&lt;130, "Mini Bulker", IF(AND(U65&gt;=130, U65&lt;150), "Handysize", IF(AND(U65&gt;=150, U65&lt;200), "Handymax", IF(AND(U65&gt;=200, U65&lt;230), "Panamax", IF(AND(U65&gt;=230, U65&lt;=270), "Capesize", "Autre")))))</f>
        <v/>
      </c>
      <c r="X65" s="111">
        <f>IF(E65&lt;9999,"1",IF(E65&lt;19999,"2",IF(E65&lt;29999,"3",IF(E65&lt;39999,"4",IF(E65&lt;49999,"5",IF(E65&gt;50000,"6"))))))</f>
        <v/>
      </c>
      <c r="Y65" s="115" t="inlineStr">
        <is>
          <t>1BIS/1N/1BIS/1N</t>
        </is>
      </c>
      <c r="AA65" s="121" t="n">
        <v>45674.16666666666</v>
      </c>
      <c r="AB65" s="121" t="n">
        <v>45674.375</v>
      </c>
      <c r="AC65" s="108" t="n">
        <v>45672</v>
      </c>
      <c r="AD65" s="108" t="n">
        <v>45676</v>
      </c>
      <c r="AE65" s="121" t="n">
        <v>45674.0625</v>
      </c>
      <c r="AF65" s="17" t="n">
        <v>45681.60069444445</v>
      </c>
      <c r="AG65" s="121" t="n">
        <v>45681.64583333334</v>
      </c>
      <c r="AH65" s="121" t="n">
        <v>45681.67361111111</v>
      </c>
      <c r="AI65" s="17" t="n">
        <v>45681.72569444445</v>
      </c>
      <c r="AJ65" s="121" t="n">
        <v>45681.80555555555</v>
      </c>
      <c r="AK65" s="121" t="n">
        <v>45698.03472222222</v>
      </c>
      <c r="AL65" s="121" t="n">
        <v>45698.09652777778</v>
      </c>
      <c r="AM65" s="121" t="n">
        <v>45698.13194444445</v>
      </c>
      <c r="AN65" s="17" t="n">
        <v>45698.17430555556</v>
      </c>
      <c r="AO65" s="121" t="n">
        <v>45698.18541666667</v>
      </c>
      <c r="AP65" s="117">
        <f>(AG65-AF65)*1440</f>
        <v/>
      </c>
      <c r="AQ65" s="117">
        <f>(AG65-AE65)*1440</f>
        <v/>
      </c>
      <c r="AR65" s="117">
        <f>(AH65-AF65)*1440</f>
        <v/>
      </c>
      <c r="AS65" s="117">
        <f>(AI65-AH65)*1440</f>
        <v/>
      </c>
      <c r="AT65" s="117">
        <f>(AJ65-AH65)*1440</f>
        <v/>
      </c>
      <c r="AU65" s="117">
        <f>(AL65-AK65)*1440</f>
        <v/>
      </c>
      <c r="AV65" s="117">
        <f>(AM65-AL65)*1440</f>
        <v/>
      </c>
      <c r="AW65" s="117">
        <f>(AO65-AM65)*1440</f>
        <v/>
      </c>
      <c r="AX65" s="118">
        <f>AP65+AS65+AU65+AV65+AW65</f>
        <v/>
      </c>
      <c r="AY65" s="119">
        <f>(AG65-AA65)</f>
        <v/>
      </c>
      <c r="AZ65" s="119">
        <f>(AK65-AJ65)</f>
        <v/>
      </c>
      <c r="BA65" s="119">
        <f>AO65-AG65</f>
        <v/>
      </c>
      <c r="BB65" s="119">
        <f>(AO65-AA65)-(AP65/1440)-(AW65/1440)</f>
        <v/>
      </c>
      <c r="BC65" s="117">
        <f>E65/AZ65</f>
        <v/>
      </c>
      <c r="BD65" s="225" t="n"/>
      <c r="BE65" s="117">
        <f>IF(E65&lt;10000,3000,IF(E65&lt;15000,3600,IF(E65&lt;20000,4500,IF(E65&lt;25000,6000,IF(E65&lt;30000,7500,IF(E65&lt;40000,9000,IF(E65&gt;40000,10000)))))))</f>
        <v/>
      </c>
      <c r="BF65" s="322">
        <f>(E65/BE65)+2</f>
        <v/>
      </c>
      <c r="BS65" s="120" t="inlineStr">
        <is>
          <t>CHANGE DU POSTE 1BIS VERS POSTE 1N LE 25/01 - 0456 // CHANGE DU POSTE 1N VERS LA RADE LE 31/01- 1800 // RE-ACCOSTAGE AU POSTE 1BIS LE 06/02 - 1611 // CHANGE DU POSTE 1BIS VERS POSTE 1N LE 08/02- 1326</t>
        </is>
      </c>
      <c r="BT65" s="125" t="n">
        <v>4</v>
      </c>
      <c r="BU65" s="125" t="inlineStr">
        <is>
          <t>NON CLEAN</t>
        </is>
      </c>
      <c r="BV65" s="120" t="inlineStr">
        <is>
          <t>WATER/LAST CARGO</t>
        </is>
      </c>
      <c r="BW65" s="323">
        <f>AI65-AH65</f>
        <v/>
      </c>
      <c r="BX65" s="120" t="inlineStr">
        <is>
          <t>TBC</t>
        </is>
      </c>
      <c r="BY65" s="120" t="inlineStr">
        <is>
          <t>TBC</t>
        </is>
      </c>
      <c r="CB65" s="111" t="n">
        <v>32927</v>
      </c>
    </row>
    <row r="66" customFormat="1" s="230">
      <c r="A66" s="107" t="n">
        <v>42</v>
      </c>
      <c r="B66" s="317" t="inlineStr">
        <is>
          <t>DAY DREAM</t>
        </is>
      </c>
      <c r="C66" s="108" t="n">
        <v>45699</v>
      </c>
      <c r="D66" s="318" t="n">
        <v>3780</v>
      </c>
      <c r="E66" s="318" t="n">
        <v>3780</v>
      </c>
      <c r="F66" s="141" t="inlineStr">
        <is>
          <t>OCP NUTRI</t>
        </is>
      </c>
      <c r="G66" s="112" t="n">
        <v>1</v>
      </c>
      <c r="H66" s="129" t="inlineStr">
        <is>
          <t>DAP</t>
        </is>
      </c>
      <c r="I66" s="114" t="inlineStr">
        <is>
          <t xml:space="preserve">DAP HUNGARY </t>
        </is>
      </c>
      <c r="J66" s="129" t="inlineStr">
        <is>
          <t>CFR</t>
        </is>
      </c>
      <c r="K66" s="82" t="n">
        <v>647</v>
      </c>
      <c r="L66" s="336">
        <f>D66*K66</f>
        <v/>
      </c>
      <c r="M66" s="14" t="n">
        <v>10.0411</v>
      </c>
      <c r="N66" s="335">
        <f>L66*M66</f>
        <v/>
      </c>
      <c r="O66" s="16" t="inlineStr">
        <is>
          <t>116 H DU 26/01/2025</t>
        </is>
      </c>
      <c r="P66" s="50" t="inlineStr">
        <is>
          <t>Origin UK Operations Limited</t>
        </is>
      </c>
      <c r="Q66" s="113" t="inlineStr">
        <is>
          <t>EUROPE</t>
        </is>
      </c>
      <c r="R66" s="131" t="inlineStr">
        <is>
          <t>UK</t>
        </is>
      </c>
      <c r="S66" s="113" t="inlineStr">
        <is>
          <t>*</t>
        </is>
      </c>
      <c r="T66" s="122" t="inlineStr">
        <is>
          <t>INTERTEK</t>
        </is>
      </c>
      <c r="U66" s="112" t="n">
        <v>99</v>
      </c>
      <c r="V66" s="129">
        <f>IF(U66&lt;130, "Mini Bulker", IF(AND(U66&gt;=130, U66&lt;150), "Handysize", IF(AND(U66&gt;=150, U66&lt;200), "Handymax", IF(AND(U66&gt;=200, U66&lt;230), "Panamax", IF(AND(U66&gt;=230, U66&lt;=270), "Capesize", "Autre")))))</f>
        <v/>
      </c>
      <c r="X66" s="111">
        <f>IF(E66&lt;9999,"1",IF(E66&lt;19999,"2",IF(E66&lt;29999,"3",IF(E66&lt;39999,"4",IF(E66&lt;49999,"5",IF(E66&gt;50000,"6"))))))</f>
        <v/>
      </c>
      <c r="Y66" s="115" t="inlineStr">
        <is>
          <t>1SUD</t>
        </is>
      </c>
      <c r="AA66" s="96" t="n">
        <v>45697.09027777778</v>
      </c>
      <c r="AB66" s="96" t="n">
        <v>45698.375</v>
      </c>
      <c r="AC66" s="108" t="n">
        <v>45681</v>
      </c>
      <c r="AD66" s="108" t="n">
        <v>45685</v>
      </c>
      <c r="AE66" s="96" t="n">
        <v>45697.09027777778</v>
      </c>
      <c r="AF66" s="26" t="n">
        <v>45698.54375</v>
      </c>
      <c r="AG66" s="96" t="n">
        <v>45698.59722222222</v>
      </c>
      <c r="AH66" s="96" t="n">
        <v>45698.61458333334</v>
      </c>
      <c r="AI66" s="26" t="n">
        <v>45698.75</v>
      </c>
      <c r="AJ66" s="96" t="n">
        <v>45698.77083333334</v>
      </c>
      <c r="AK66" s="96" t="n">
        <v>45699.65972222222</v>
      </c>
      <c r="AL66" s="96" t="n">
        <v>45699.70138888889</v>
      </c>
      <c r="AM66" s="96" t="n">
        <v>45699.73611111111</v>
      </c>
      <c r="AN66" s="26" t="n">
        <v>45699.8125</v>
      </c>
      <c r="AO66" s="96" t="n">
        <v>45699.81597222222</v>
      </c>
      <c r="AP66" s="117">
        <f>(AG66-AF66)*1440</f>
        <v/>
      </c>
      <c r="AQ66" s="117">
        <f>(AG66-AE66)*1440</f>
        <v/>
      </c>
      <c r="AR66" s="117">
        <f>(AH66-AF66)*1440</f>
        <v/>
      </c>
      <c r="AS66" s="117">
        <f>(AI66-AH66)*1440</f>
        <v/>
      </c>
      <c r="AT66" s="117">
        <f>(AJ66-AH66)*1440</f>
        <v/>
      </c>
      <c r="AU66" s="117">
        <f>(AL66-AK66)*1440</f>
        <v/>
      </c>
      <c r="AV66" s="117">
        <f>(AM66-AL66)*1440</f>
        <v/>
      </c>
      <c r="AW66" s="117">
        <f>(AO66-AM66)*1440</f>
        <v/>
      </c>
      <c r="AX66" s="118">
        <f>AP66+AS66+AU66+AV66+AW66</f>
        <v/>
      </c>
      <c r="AY66" s="119">
        <f>(AG66-AA66)</f>
        <v/>
      </c>
      <c r="AZ66" s="119">
        <f>(AK66-AJ66)</f>
        <v/>
      </c>
      <c r="BA66" s="119">
        <f>AO66-AG66</f>
        <v/>
      </c>
      <c r="BB66" s="119">
        <f>(AO66-AA66)-(AP66/1440)-(AW66/1440)</f>
        <v/>
      </c>
      <c r="BC66" s="117">
        <f>E66/AZ66</f>
        <v/>
      </c>
      <c r="BE66" s="117">
        <f>IF(E66&lt;10000,3000,IF(E66&lt;15000,3600,IF(E66&lt;20000,4500,IF(E66&lt;25000,6000,IF(E66&lt;30000,7500,IF(E66&lt;40000,9000,IF(E66&gt;40000,10000)))))))</f>
        <v/>
      </c>
      <c r="BF66" s="322">
        <f>(E66/BE66)+2</f>
        <v/>
      </c>
      <c r="BS66" s="120" t="inlineStr">
        <is>
          <t>NUL</t>
        </is>
      </c>
      <c r="BT66" s="120" t="n">
        <v>0</v>
      </c>
      <c r="BU66" s="120" t="inlineStr">
        <is>
          <t>NON CLEAN</t>
        </is>
      </c>
      <c r="BV66" s="120" t="inlineStr">
        <is>
          <t>LAST CARGO/BULK HEAD</t>
        </is>
      </c>
      <c r="BW66" s="323">
        <f>AI66-AH66</f>
        <v/>
      </c>
      <c r="BX66" s="120" t="n"/>
      <c r="BY66" s="120" t="n">
        <v>25</v>
      </c>
      <c r="CB66" s="111" t="n">
        <v>3911</v>
      </c>
    </row>
    <row r="67" ht="15" customFormat="1" customHeight="1" s="230">
      <c r="A67" s="112" t="n">
        <v>43</v>
      </c>
      <c r="B67" s="317" t="inlineStr">
        <is>
          <t>WAGON B</t>
        </is>
      </c>
      <c r="C67" s="108" t="n">
        <v>45700</v>
      </c>
      <c r="D67" s="318" t="n">
        <v>4200</v>
      </c>
      <c r="E67" s="318" t="n">
        <v>4200</v>
      </c>
      <c r="F67" s="141" t="inlineStr">
        <is>
          <t>OCP NUTRI</t>
        </is>
      </c>
      <c r="G67" s="112" t="n">
        <v>1</v>
      </c>
      <c r="H67" s="115" t="inlineStr">
        <is>
          <t>DAP</t>
        </is>
      </c>
      <c r="I67" s="114" t="inlineStr">
        <is>
          <t xml:space="preserve">DAP EURO </t>
        </is>
      </c>
      <c r="J67" s="113" t="inlineStr">
        <is>
          <t>FOB</t>
        </is>
      </c>
      <c r="K67" s="82" t="n">
        <v>605</v>
      </c>
      <c r="L67" s="336">
        <f>D67*K67</f>
        <v/>
      </c>
      <c r="M67" s="14" t="n">
        <v>10.0407</v>
      </c>
      <c r="N67" s="335">
        <f>L67*M67</f>
        <v/>
      </c>
      <c r="O67" s="16" t="inlineStr">
        <is>
          <t>116 H DU 26/01/2025</t>
        </is>
      </c>
      <c r="P67" s="50" t="inlineStr">
        <is>
          <t>GRASSLAND AGRO Brian Brickley</t>
        </is>
      </c>
      <c r="Q67" s="113" t="inlineStr">
        <is>
          <t>EUROPE</t>
        </is>
      </c>
      <c r="R67" s="131" t="inlineStr">
        <is>
          <t>Irlande</t>
        </is>
      </c>
      <c r="S67" s="113" t="inlineStr">
        <is>
          <t>*</t>
        </is>
      </c>
      <c r="T67" s="122" t="inlineStr">
        <is>
          <t>INSPECTORATE</t>
        </is>
      </c>
      <c r="U67" s="112" t="n">
        <v>90</v>
      </c>
      <c r="V67" s="129">
        <f>IF(U67&lt;130, "Mini Bulker", IF(AND(U67&gt;=130, U67&lt;150), "Handysize", IF(AND(U67&gt;=150, U67&lt;200), "Handymax", IF(AND(U67&gt;=200, U67&lt;230), "Panamax", IF(AND(U67&gt;=230, U67&lt;=270), "Capesize", "Autre")))))</f>
        <v/>
      </c>
      <c r="X67" s="111">
        <f>IF(E67&lt;9999,"1",IF(E67&lt;19999,"2",IF(E67&lt;29999,"3",IF(E67&lt;39999,"4",IF(E67&lt;49999,"5",IF(E67&gt;50000,"6"))))))</f>
        <v/>
      </c>
      <c r="Y67" s="115" t="inlineStr">
        <is>
          <t>1N</t>
        </is>
      </c>
      <c r="AA67" s="96" t="n">
        <v>45689.77083333334</v>
      </c>
      <c r="AB67" s="96" t="n">
        <v>45691.375</v>
      </c>
      <c r="AC67" s="108" t="n">
        <v>45686</v>
      </c>
      <c r="AD67" s="108" t="n">
        <v>45689</v>
      </c>
      <c r="AE67" s="96" t="n">
        <v>45689.77083333334</v>
      </c>
      <c r="AF67" s="26" t="n">
        <v>45698.60069444445</v>
      </c>
      <c r="AG67" s="96" t="n">
        <v>45698.64930555555</v>
      </c>
      <c r="AH67" s="96" t="n">
        <v>45698.67708333334</v>
      </c>
      <c r="AI67" s="26" t="n">
        <v>45698.72916666666</v>
      </c>
      <c r="AJ67" s="96" t="n">
        <v>45699.05555555555</v>
      </c>
      <c r="AK67" s="96" t="n">
        <v>45700.00347222222</v>
      </c>
      <c r="AL67" s="96" t="n">
        <v>45700.03472222222</v>
      </c>
      <c r="AM67" s="96" t="n">
        <v>45700.0625</v>
      </c>
      <c r="AN67" s="26" t="n">
        <v>45700.10833333333</v>
      </c>
      <c r="AO67" s="96" t="n">
        <v>45700.09166666667</v>
      </c>
      <c r="AP67" s="117">
        <f>(AG67-AF67)*1440</f>
        <v/>
      </c>
      <c r="AQ67" s="117">
        <f>(AG67-AE67)*1440</f>
        <v/>
      </c>
      <c r="AR67" s="117">
        <f>(AH67-AF67)*1440</f>
        <v/>
      </c>
      <c r="AS67" s="117">
        <f>(AI67-AH67)*1440</f>
        <v/>
      </c>
      <c r="AT67" s="117">
        <f>(AJ67-AH67)*1440</f>
        <v/>
      </c>
      <c r="AU67" s="117">
        <f>(AL67-AK67)*1440</f>
        <v/>
      </c>
      <c r="AV67" s="117">
        <f>(AM67-AL67)*1440</f>
        <v/>
      </c>
      <c r="AW67" s="117">
        <f>(AO67-AM67)*1440</f>
        <v/>
      </c>
      <c r="AX67" s="118">
        <f>AP67+AS67+AU67+AV67+AW67</f>
        <v/>
      </c>
      <c r="AY67" s="119">
        <f>(AG67-AA67)</f>
        <v/>
      </c>
      <c r="AZ67" s="119">
        <f>(AK67-AJ67)</f>
        <v/>
      </c>
      <c r="BA67" s="119">
        <f>AO67-AG67</f>
        <v/>
      </c>
      <c r="BB67" s="119">
        <f>(AO67-AA67)-(AP67/1440)-(AW67/1440)</f>
        <v/>
      </c>
      <c r="BC67" s="117">
        <f>E67/AZ67</f>
        <v/>
      </c>
      <c r="BE67" s="117">
        <f>IF(E67&lt;10000,3000,IF(E67&lt;15000,3600,IF(E67&lt;20000,4500,IF(E67&lt;25000,6000,IF(E67&lt;30000,7500,IF(E67&lt;40000,9000,IF(E67&gt;40000,10000)))))))</f>
        <v/>
      </c>
      <c r="BF67" s="322">
        <f>(E67/BE67)+2</f>
        <v/>
      </c>
      <c r="BS67" s="120" t="inlineStr">
        <is>
          <t>NUL</t>
        </is>
      </c>
      <c r="BT67" s="125" t="n">
        <v>0</v>
      </c>
      <c r="BV67" s="120" t="n"/>
      <c r="BW67" s="323">
        <f>AI67-AH67</f>
        <v/>
      </c>
      <c r="BX67" s="120" t="n"/>
      <c r="BY67" s="120" t="n">
        <v>40</v>
      </c>
      <c r="CB67" s="111" t="n">
        <v>2846</v>
      </c>
    </row>
    <row r="68" ht="14.55" customFormat="1" customHeight="1" s="230">
      <c r="A68" s="112" t="n">
        <v>44</v>
      </c>
      <c r="B68" s="317" t="inlineStr">
        <is>
          <t>JIN MAO</t>
        </is>
      </c>
      <c r="C68" s="108" t="n">
        <v>45701</v>
      </c>
      <c r="D68" s="318" t="n">
        <v>22000</v>
      </c>
      <c r="E68" s="318">
        <f>D68+D69+D70</f>
        <v/>
      </c>
      <c r="F68" s="141" t="inlineStr">
        <is>
          <t>JFC2</t>
        </is>
      </c>
      <c r="G68" s="112" t="n">
        <v>3</v>
      </c>
      <c r="H68" s="115" t="inlineStr">
        <is>
          <t>DAP</t>
        </is>
      </c>
      <c r="I68" s="114" t="inlineStr">
        <is>
          <t>DAP TANZANIE</t>
        </is>
      </c>
      <c r="J68" s="113" t="inlineStr">
        <is>
          <t>CFR/CIF</t>
        </is>
      </c>
      <c r="K68" s="82" t="n">
        <v>612.5</v>
      </c>
      <c r="L68" s="336">
        <f>D68*K68</f>
        <v/>
      </c>
      <c r="M68" s="14" t="n">
        <v>10.0079</v>
      </c>
      <c r="N68" s="335">
        <f>L68*M68</f>
        <v/>
      </c>
      <c r="O68" s="16" t="inlineStr">
        <is>
          <t>123 R DU 26/01/2025</t>
        </is>
      </c>
      <c r="P68" s="50" t="inlineStr">
        <is>
          <t>TANZANIE FERTILIZER COMPANY LIMITED/OCP TANZANIA LTD</t>
        </is>
      </c>
      <c r="Q68" s="113" t="inlineStr">
        <is>
          <t>AFRIQUE</t>
        </is>
      </c>
      <c r="R68" s="131" t="inlineStr">
        <is>
          <t>TANZANIE</t>
        </is>
      </c>
      <c r="S68" s="113" t="inlineStr">
        <is>
          <t>*</t>
        </is>
      </c>
      <c r="T68" s="122" t="inlineStr">
        <is>
          <t>INSPECTORATE</t>
        </is>
      </c>
      <c r="U68" s="112" t="n">
        <v>190</v>
      </c>
      <c r="V68" s="129">
        <f>IF(U68&lt;130, "Mini Bulker", IF(AND(U68&gt;=130, U68&lt;150), "Handysize", IF(AND(U68&gt;=150, U68&lt;200), "Handymax", IF(AND(U68&gt;=200, U68&lt;230), "Panamax", IF(AND(U68&gt;=230, U68&lt;=270), "Capesize", "Autre")))))</f>
        <v/>
      </c>
      <c r="X68" s="111">
        <f>IF(E68&lt;9999,"1",IF(E68&lt;19999,"2",IF(E68&lt;29999,"3",IF(E68&lt;39999,"4",IF(E68&lt;49999,"5",IF(E68&gt;50000,"6"))))))</f>
        <v/>
      </c>
      <c r="Y68" s="115" t="inlineStr">
        <is>
          <t>2BIS/2TER/1BIS/1TER</t>
        </is>
      </c>
      <c r="AA68" s="96" t="n">
        <v>45689.67916666667</v>
      </c>
      <c r="AB68" s="96" t="n">
        <v>45691.375</v>
      </c>
      <c r="AC68" s="108" t="n">
        <v>45689</v>
      </c>
      <c r="AD68" s="108" t="n">
        <v>45691</v>
      </c>
      <c r="AE68" s="96" t="n">
        <v>45689.625</v>
      </c>
      <c r="AF68" s="26" t="n">
        <v>45693.60625</v>
      </c>
      <c r="AG68" s="96" t="n">
        <v>45693.64583333334</v>
      </c>
      <c r="AH68" s="96" t="n">
        <v>45693.65972222222</v>
      </c>
      <c r="AI68" s="26" t="n">
        <v>45693.71527777778</v>
      </c>
      <c r="AJ68" s="96" t="n">
        <v>45693.875</v>
      </c>
      <c r="AK68" s="96" t="n">
        <v>45701.38541666666</v>
      </c>
      <c r="AL68" s="96" t="n">
        <v>45701.45486111111</v>
      </c>
      <c r="AM68" s="96" t="n">
        <v>45701.48958333334</v>
      </c>
      <c r="AN68" s="26" t="n">
        <v>45701.53194444445</v>
      </c>
      <c r="AO68" s="96" t="n">
        <v>45701.55694444444</v>
      </c>
      <c r="AP68" s="117">
        <f>(AG68-AF68)*1440</f>
        <v/>
      </c>
      <c r="AQ68" s="117">
        <f>(AG68-AE68)*1440</f>
        <v/>
      </c>
      <c r="AR68" s="117">
        <f>(AH68-AF68)*1440</f>
        <v/>
      </c>
      <c r="AS68" s="117">
        <f>(AI68-AH68)*1440</f>
        <v/>
      </c>
      <c r="AT68" s="117">
        <f>(AJ68-AH68)*1440</f>
        <v/>
      </c>
      <c r="AU68" s="117">
        <f>(AL68-AK68)*1440</f>
        <v/>
      </c>
      <c r="AV68" s="117">
        <f>(AM68-AL68)*1440</f>
        <v/>
      </c>
      <c r="AW68" s="117">
        <f>(AO68-AM68)*1440</f>
        <v/>
      </c>
      <c r="AX68" s="118">
        <f>AP68+AS68+AU68+AV68+AW68</f>
        <v/>
      </c>
      <c r="AY68" s="119">
        <f>(AG68-AA68)</f>
        <v/>
      </c>
      <c r="AZ68" s="119">
        <f>(AK68-AJ68)</f>
        <v/>
      </c>
      <c r="BA68" s="119">
        <f>AO68-AG68</f>
        <v/>
      </c>
      <c r="BB68" s="119">
        <f>(AO68-AA68)-(AP68/1440)-(AW68/1440)</f>
        <v/>
      </c>
      <c r="BC68" s="117">
        <f>E68/AZ68</f>
        <v/>
      </c>
      <c r="BE68" s="117">
        <f>IF(E68&lt;10000,3000,IF(E68&lt;15000,3600,IF(E68&lt;20000,4500,IF(E68&lt;25000,6000,IF(E68&lt;30000,7500,IF(E68&lt;40000,9000,IF(E68&gt;40000,10000)))))))</f>
        <v/>
      </c>
      <c r="BF68" s="322">
        <f>(E68/BE68)+2</f>
        <v/>
      </c>
      <c r="BS68" s="120" t="inlineStr">
        <is>
          <t>CHANGEMENT DU POSTE 2BIS VERS LE POSTE 2TER LE 07/02 - 1329 // CHANGE DU POSTE 2TER VERS 1BIS LE 09/02- 0305 // DEHALAGE DU POSTE 1BIS VERS 1TER LE 10/02- 2010</t>
        </is>
      </c>
      <c r="BT68" s="125" t="n">
        <v>3</v>
      </c>
      <c r="BV68" s="120" t="n"/>
      <c r="BW68" s="323">
        <f>AI68-AH68</f>
        <v/>
      </c>
      <c r="BX68" s="120" t="inlineStr">
        <is>
          <t>NUL</t>
        </is>
      </c>
      <c r="BY68" s="120" t="inlineStr">
        <is>
          <t>NUL</t>
        </is>
      </c>
      <c r="CB68" s="111" t="n">
        <v>33057</v>
      </c>
    </row>
    <row r="69" customFormat="1" s="230">
      <c r="B69" s="317" t="inlineStr">
        <is>
          <t>JIN MAO</t>
        </is>
      </c>
      <c r="C69" s="108" t="n">
        <v>45701</v>
      </c>
      <c r="D69" s="318" t="n">
        <v>16500</v>
      </c>
      <c r="E69" s="325" t="n"/>
      <c r="F69" s="141" t="inlineStr">
        <is>
          <t>OCP NUTRI</t>
        </is>
      </c>
      <c r="G69" s="112" t="n">
        <v>3</v>
      </c>
      <c r="H69" s="115" t="inlineStr">
        <is>
          <t>NPS</t>
        </is>
      </c>
      <c r="I69" s="114" t="inlineStr">
        <is>
          <t>NPS 12 45 5S 0.2ZN</t>
        </is>
      </c>
      <c r="J69" s="113" t="inlineStr">
        <is>
          <t>CFR</t>
        </is>
      </c>
      <c r="K69" s="82" t="n">
        <v>546</v>
      </c>
      <c r="L69" s="336">
        <f>D69*K69</f>
        <v/>
      </c>
      <c r="M69" s="14" t="n">
        <v>10.0079</v>
      </c>
      <c r="N69" s="335">
        <f>L69*M69</f>
        <v/>
      </c>
      <c r="O69" s="16" t="inlineStr">
        <is>
          <t>116 H DU 26/01/2025</t>
        </is>
      </c>
      <c r="P69" s="50" t="inlineStr">
        <is>
          <t>OCP TANZANIA LTD</t>
        </is>
      </c>
      <c r="Q69" s="113" t="inlineStr">
        <is>
          <t>AFRIQUE</t>
        </is>
      </c>
      <c r="R69" s="131" t="inlineStr">
        <is>
          <t>TANZANIE</t>
        </is>
      </c>
      <c r="S69" s="113" t="inlineStr">
        <is>
          <t>*</t>
        </is>
      </c>
      <c r="T69" s="122" t="inlineStr">
        <is>
          <t>INSPECTORATE</t>
        </is>
      </c>
      <c r="U69" s="112" t="n">
        <v>190</v>
      </c>
      <c r="V69" s="129">
        <f>IF(U69&lt;130, "Mini Bulker", IF(AND(U69&gt;=130, U69&lt;150), "Handysize", IF(AND(U69&gt;=150, U69&lt;200), "Handymax", IF(AND(U69&gt;=200, U69&lt;230), "Panamax", IF(AND(U69&gt;=230, U69&lt;=270), "Capesize", "Autre")))))</f>
        <v/>
      </c>
      <c r="X69" s="111">
        <f>IF(E69&lt;9999,"1",IF(E69&lt;19999,"2",IF(E69&lt;29999,"3",IF(E69&lt;39999,"4",IF(E69&lt;49999,"5",IF(E69&gt;50000,"6"))))))</f>
        <v/>
      </c>
      <c r="Y69" s="115" t="inlineStr">
        <is>
          <t>2BIS/2TER/1BIS/1TER</t>
        </is>
      </c>
      <c r="AA69" s="121" t="n"/>
      <c r="AB69" s="121" t="n"/>
      <c r="AC69" s="121" t="n"/>
      <c r="AD69" s="121" t="n"/>
      <c r="AE69" s="121" t="n"/>
      <c r="AF69" s="22" t="n"/>
      <c r="AG69" s="121" t="n"/>
      <c r="AH69" s="121" t="n"/>
      <c r="AI69" s="22" t="n"/>
      <c r="AJ69" s="121" t="n"/>
      <c r="AK69" s="121" t="n"/>
      <c r="AL69" s="121" t="n"/>
      <c r="AM69" s="121" t="n"/>
      <c r="AN69" s="22" t="n"/>
      <c r="AO69" s="121" t="n"/>
      <c r="AP69" s="121" t="n"/>
      <c r="AQ69" s="121" t="n"/>
      <c r="AR69" s="121" t="n"/>
      <c r="AS69" s="121" t="n"/>
      <c r="AT69" s="121" t="n"/>
      <c r="AU69" s="121" t="n"/>
      <c r="AV69" s="121" t="n"/>
      <c r="AW69" s="121" t="n"/>
      <c r="AX69" s="121" t="n"/>
      <c r="AY69" s="121" t="n"/>
      <c r="AZ69" s="121" t="n"/>
      <c r="BA69" s="121" t="n"/>
      <c r="BB69" s="121" t="n"/>
      <c r="BC69" s="121" t="n"/>
      <c r="BD69" s="121" t="n"/>
      <c r="BE69" s="121" t="n"/>
      <c r="BF69" s="121" t="n"/>
      <c r="BS69" s="120" t="inlineStr">
        <is>
          <t>CHANGEMENT DU POSTE 2BIS VERS LE POSTE 2TER LE 07/02 - 1329 // CHANGE DU POSTE 2TER VERS 1BIS LE 09/02- 0305 // DEHALAGE DU POSTE 1BIS VERS 1TER LE 10/02- 2010</t>
        </is>
      </c>
      <c r="BT69" s="125" t="n"/>
      <c r="BV69" s="120" t="n"/>
      <c r="BW69" s="323">
        <f>AI69-AH69</f>
        <v/>
      </c>
      <c r="BX69" s="120" t="inlineStr">
        <is>
          <t>NUL</t>
        </is>
      </c>
      <c r="BY69" s="120" t="inlineStr">
        <is>
          <t>NUL</t>
        </is>
      </c>
      <c r="CB69" s="111" t="n"/>
    </row>
    <row r="70" customFormat="1" s="230">
      <c r="B70" s="317" t="inlineStr">
        <is>
          <t>JIN MAO</t>
        </is>
      </c>
      <c r="C70" s="108" t="n">
        <v>45701</v>
      </c>
      <c r="D70" s="318" t="n">
        <v>11000</v>
      </c>
      <c r="E70" s="325" t="n"/>
      <c r="F70" s="141" t="inlineStr">
        <is>
          <t>JFC5</t>
        </is>
      </c>
      <c r="G70" s="112" t="n">
        <v>3</v>
      </c>
      <c r="H70" s="115" t="inlineStr">
        <is>
          <t>TSP</t>
        </is>
      </c>
      <c r="I70" s="114" t="inlineStr">
        <is>
          <t>TSP CIV</t>
        </is>
      </c>
      <c r="J70" s="113" t="inlineStr">
        <is>
          <t>CFR</t>
        </is>
      </c>
      <c r="K70" s="82" t="n">
        <v>465</v>
      </c>
      <c r="L70" s="336">
        <f>D70*K70</f>
        <v/>
      </c>
      <c r="M70" s="14" t="n">
        <v>10.0079</v>
      </c>
      <c r="N70" s="335">
        <f>L70*M70</f>
        <v/>
      </c>
      <c r="O70" s="16" t="inlineStr">
        <is>
          <t>126 U DU 26/01/2025</t>
        </is>
      </c>
      <c r="P70" s="50" t="inlineStr">
        <is>
          <t>OCP TANZANIA LTD</t>
        </is>
      </c>
      <c r="Q70" s="113" t="inlineStr">
        <is>
          <t>AFRIQUE</t>
        </is>
      </c>
      <c r="R70" s="131" t="inlineStr">
        <is>
          <t>TANZANIE</t>
        </is>
      </c>
      <c r="S70" s="113" t="inlineStr">
        <is>
          <t>*</t>
        </is>
      </c>
      <c r="T70" s="122" t="inlineStr">
        <is>
          <t>INSPECTORATE</t>
        </is>
      </c>
      <c r="U70" s="112" t="n">
        <v>190</v>
      </c>
      <c r="V70" s="129">
        <f>IF(U70&lt;130, "Mini Bulker", IF(AND(U70&gt;=130, U70&lt;150), "Handysize", IF(AND(U70&gt;=150, U70&lt;200), "Handymax", IF(AND(U70&gt;=200, U70&lt;230), "Panamax", IF(AND(U70&gt;=230, U70&lt;=270), "Capesize", "Autre")))))</f>
        <v/>
      </c>
      <c r="X70" s="111">
        <f>IF(E70&lt;9999,"1",IF(E70&lt;19999,"2",IF(E70&lt;29999,"3",IF(E70&lt;39999,"4",IF(E70&lt;49999,"5",IF(E70&gt;50000,"6"))))))</f>
        <v/>
      </c>
      <c r="Y70" s="115" t="inlineStr">
        <is>
          <t>2BIS/2TER/1BIS/1TER</t>
        </is>
      </c>
      <c r="AA70" s="121" t="n"/>
      <c r="AB70" s="121" t="n"/>
      <c r="AC70" s="121" t="n"/>
      <c r="AD70" s="121" t="n"/>
      <c r="AE70" s="121" t="n"/>
      <c r="AF70" s="22" t="n"/>
      <c r="AG70" s="121" t="n"/>
      <c r="AH70" s="121" t="n"/>
      <c r="AI70" s="22" t="n"/>
      <c r="AJ70" s="121" t="n"/>
      <c r="AK70" s="121" t="n"/>
      <c r="AL70" s="121" t="n"/>
      <c r="AM70" s="121" t="n"/>
      <c r="AN70" s="22" t="n"/>
      <c r="AO70" s="121" t="n"/>
      <c r="AP70" s="121" t="n"/>
      <c r="AQ70" s="121" t="n"/>
      <c r="AR70" s="121" t="n"/>
      <c r="AS70" s="121" t="n"/>
      <c r="AT70" s="121" t="n"/>
      <c r="AU70" s="121" t="n"/>
      <c r="AV70" s="121" t="n"/>
      <c r="AW70" s="121" t="n"/>
      <c r="AX70" s="121" t="n"/>
      <c r="AY70" s="121" t="n"/>
      <c r="AZ70" s="121" t="n"/>
      <c r="BA70" s="121" t="n"/>
      <c r="BB70" s="121" t="n"/>
      <c r="BC70" s="121" t="n"/>
      <c r="BD70" s="121" t="n"/>
      <c r="BE70" s="121" t="n"/>
      <c r="BF70" s="121" t="n"/>
      <c r="BS70" s="120" t="inlineStr">
        <is>
          <t>CHANGEMENT DU POSTE 2BIS VERS LE POSTE 2TER LE 07/02 - 1329 // CHANGE DU POSTE 2TER VERS 1BIS LE 09/02- 0305 // DEHALAGE DU POSTE 1BIS VERS 1TER LE 10/02- 2010</t>
        </is>
      </c>
      <c r="BT70" s="125" t="n"/>
      <c r="BV70" s="120" t="n"/>
      <c r="BW70" s="323">
        <f>AI70-AH70</f>
        <v/>
      </c>
      <c r="BX70" s="120" t="inlineStr">
        <is>
          <t>NUL</t>
        </is>
      </c>
      <c r="BY70" s="120" t="inlineStr">
        <is>
          <t>NUL</t>
        </is>
      </c>
      <c r="CB70" s="111" t="n"/>
    </row>
    <row r="71" customFormat="1" s="230">
      <c r="A71" s="112" t="n">
        <v>45</v>
      </c>
      <c r="B71" s="317" t="inlineStr">
        <is>
          <t xml:space="preserve">KEREM </t>
        </is>
      </c>
      <c r="C71" s="108" t="n">
        <v>45703</v>
      </c>
      <c r="D71" s="318" t="n">
        <v>27500</v>
      </c>
      <c r="E71" s="318" t="n">
        <v>27500</v>
      </c>
      <c r="F71" s="141" t="inlineStr">
        <is>
          <t>JFC1</t>
        </is>
      </c>
      <c r="G71" s="112" t="n">
        <v>1</v>
      </c>
      <c r="H71" s="115" t="inlineStr">
        <is>
          <t>DAP</t>
        </is>
      </c>
      <c r="I71" s="114" t="inlineStr">
        <is>
          <t xml:space="preserve">DAP EU </t>
        </is>
      </c>
      <c r="J71" s="113" t="inlineStr">
        <is>
          <t>FOB</t>
        </is>
      </c>
      <c r="K71" s="82" t="n">
        <v>614</v>
      </c>
      <c r="L71" s="336">
        <f>D71*K71</f>
        <v/>
      </c>
      <c r="M71" s="14" t="n">
        <v>9.9663</v>
      </c>
      <c r="N71" s="335">
        <f>L71*M71</f>
        <v/>
      </c>
      <c r="O71" s="16" t="inlineStr">
        <is>
          <t>122 P DU 26/01/2025</t>
        </is>
      </c>
      <c r="P71" s="16" t="inlineStr">
        <is>
          <t>Igsas Istanbul Gubre Sanayii A.S</t>
        </is>
      </c>
      <c r="Q71" s="113" t="inlineStr">
        <is>
          <t>EUROPE</t>
        </is>
      </c>
      <c r="R71" s="131" t="inlineStr">
        <is>
          <t>TURQUIE</t>
        </is>
      </c>
      <c r="S71" s="113" t="inlineStr">
        <is>
          <t>*</t>
        </is>
      </c>
      <c r="T71" s="122" t="inlineStr">
        <is>
          <t>INSPECTORATE</t>
        </is>
      </c>
      <c r="U71" s="112" t="n">
        <v>171</v>
      </c>
      <c r="V71" s="129">
        <f>IF(U71&lt;130, "Mini Bulker", IF(AND(U71&gt;=130, U71&lt;150), "Handysize", IF(AND(U71&gt;=150, U71&lt;200), "Handymax", IF(AND(U71&gt;=200, U71&lt;230), "Panamax", IF(AND(U71&gt;=230, U71&lt;=270), "Capesize", "Autre")))))</f>
        <v/>
      </c>
      <c r="X71" s="111">
        <f>IF(E71&lt;9999,"1",IF(E71&lt;19999,"2",IF(E71&lt;29999,"3",IF(E71&lt;39999,"4",IF(E71&lt;49999,"5",IF(E71&gt;50000,"6"))))))</f>
        <v/>
      </c>
      <c r="Y71" s="115" t="inlineStr">
        <is>
          <t>2BIS</t>
        </is>
      </c>
      <c r="AA71" s="96" t="n">
        <v>45698.00069444445</v>
      </c>
      <c r="AB71" s="96" t="n">
        <v>45698.375</v>
      </c>
      <c r="AC71" s="108" t="n">
        <v>45698</v>
      </c>
      <c r="AD71" s="108" t="n">
        <v>45701</v>
      </c>
      <c r="AE71" s="96" t="n">
        <v>45697.91666666666</v>
      </c>
      <c r="AF71" s="26" t="n">
        <v>45698.65694444445</v>
      </c>
      <c r="AG71" s="96" t="n">
        <v>45698.6875</v>
      </c>
      <c r="AH71" s="96" t="n">
        <v>45698.70138888889</v>
      </c>
      <c r="AI71" s="26" t="n">
        <v>45698.75347222222</v>
      </c>
      <c r="AJ71" s="96" t="n">
        <v>45698.82291666666</v>
      </c>
      <c r="AK71" s="96" t="n">
        <v>45703.125</v>
      </c>
      <c r="AL71" s="96" t="n">
        <v>45703.16319444445</v>
      </c>
      <c r="AM71" s="96" t="n">
        <v>45703.17708333334</v>
      </c>
      <c r="AN71" s="26" t="n">
        <v>45703.22916666666</v>
      </c>
      <c r="AO71" s="96" t="n">
        <v>45703.31944444445</v>
      </c>
      <c r="AP71" s="117">
        <f>(AG71-AF71)*1440</f>
        <v/>
      </c>
      <c r="AQ71" s="117">
        <f>(AG71-AE71)*1440</f>
        <v/>
      </c>
      <c r="AR71" s="117">
        <f>(AH71-AF71)*1440</f>
        <v/>
      </c>
      <c r="AS71" s="117">
        <f>(AI71-AH71)*1440</f>
        <v/>
      </c>
      <c r="AT71" s="117">
        <f>(AJ71-AH71)*1440</f>
        <v/>
      </c>
      <c r="AU71" s="117">
        <f>(AL71-AK71)*1440</f>
        <v/>
      </c>
      <c r="AV71" s="117">
        <f>(AM71-AL71)*1440</f>
        <v/>
      </c>
      <c r="AW71" s="117">
        <f>(AO71-AM71)*1440</f>
        <v/>
      </c>
      <c r="AX71" s="118">
        <f>AP71+AS71+AU71+AV71+AW71</f>
        <v/>
      </c>
      <c r="AY71" s="119">
        <f>(AG71-AA71)</f>
        <v/>
      </c>
      <c r="AZ71" s="119">
        <f>(AK71-AJ71)</f>
        <v/>
      </c>
      <c r="BA71" s="119">
        <f>AO71-AG71</f>
        <v/>
      </c>
      <c r="BB71" s="119">
        <f>(AO71-AA71)-(AP71/1440)-(AW71/1440)</f>
        <v/>
      </c>
      <c r="BC71" s="117">
        <f>E71/AZ71</f>
        <v/>
      </c>
      <c r="BE71" s="117">
        <f>IF(E71&lt;10000,3000,IF(E71&lt;15000,3600,IF(E71&lt;20000,4500,IF(E71&lt;25000,6000,IF(E71&lt;30000,7500,IF(E71&lt;40000,9000,IF(E71&gt;40000,10000)))))))</f>
        <v/>
      </c>
      <c r="BF71" s="322">
        <f>(E71/BE71)+2</f>
        <v/>
      </c>
      <c r="BS71" s="120" t="inlineStr">
        <is>
          <t>NUL</t>
        </is>
      </c>
      <c r="BT71" s="125" t="n">
        <v>0</v>
      </c>
      <c r="BV71" s="120" t="n"/>
      <c r="BW71" s="323">
        <f>AI71-AH71</f>
        <v/>
      </c>
      <c r="BX71" s="120" t="inlineStr">
        <is>
          <t>NUL</t>
        </is>
      </c>
      <c r="BY71" s="120" t="inlineStr">
        <is>
          <t>NUL</t>
        </is>
      </c>
      <c r="CB71" s="111" t="n">
        <v>18675</v>
      </c>
    </row>
    <row r="72" customFormat="1" s="230">
      <c r="A72" s="112" t="n">
        <v>48</v>
      </c>
      <c r="B72" s="317" t="inlineStr">
        <is>
          <t>SARITA NAREE</t>
        </is>
      </c>
      <c r="C72" s="108" t="n">
        <v>45703</v>
      </c>
      <c r="D72" s="318" t="n">
        <v>10017</v>
      </c>
      <c r="E72" s="318">
        <f>D72+D73+D74</f>
        <v/>
      </c>
      <c r="F72" s="141" t="inlineStr">
        <is>
          <t>OCP NUTRI</t>
        </is>
      </c>
      <c r="G72" s="112" t="n">
        <v>2</v>
      </c>
      <c r="H72" s="129" t="inlineStr">
        <is>
          <t>MAP</t>
        </is>
      </c>
      <c r="I72" s="114" t="inlineStr">
        <is>
          <t xml:space="preserve">MAP 10 50 1Zn </t>
        </is>
      </c>
      <c r="J72" s="113" t="inlineStr">
        <is>
          <t>FOB</t>
        </is>
      </c>
      <c r="K72" s="82" t="n">
        <v>607.16</v>
      </c>
      <c r="L72" s="336">
        <f>D72*K72</f>
        <v/>
      </c>
      <c r="M72" s="14" t="n">
        <v>9.962199999999999</v>
      </c>
      <c r="N72" s="335">
        <f>L72*M72</f>
        <v/>
      </c>
      <c r="O72" s="16" t="inlineStr">
        <is>
          <t>116 H DU 26/01/2025</t>
        </is>
      </c>
      <c r="P72" s="16" t="inlineStr">
        <is>
          <t>AMEROPA AUSTRALIA PTE LTD</t>
        </is>
      </c>
      <c r="Q72" s="129" t="inlineStr">
        <is>
          <t>AUSTRALIA</t>
        </is>
      </c>
      <c r="R72" s="131" t="inlineStr">
        <is>
          <t>AUSTRALIA</t>
        </is>
      </c>
      <c r="S72" s="113" t="inlineStr">
        <is>
          <t>*</t>
        </is>
      </c>
      <c r="T72" s="113" t="inlineStr">
        <is>
          <t>OCP</t>
        </is>
      </c>
      <c r="U72" s="112" t="n">
        <v>199</v>
      </c>
      <c r="V72" s="129">
        <f>IF(U72&lt;130, "Mini Bulker", IF(AND(U72&gt;=130, U72&lt;150), "Handysize", IF(AND(U72&gt;=150, U72&lt;200), "Handymax", IF(AND(U72&gt;=200, U72&lt;230), "Panamax", IF(AND(U72&gt;=230, U72&lt;=270), "Capesize", "Autre")))))</f>
        <v/>
      </c>
      <c r="X72" s="111">
        <f>IF(E72&lt;9999,"1",IF(E72&lt;19999,"2",IF(E72&lt;29999,"3",IF(E72&lt;39999,"4",IF(E72&lt;49999,"5",IF(E72&gt;50000,"6"))))))</f>
        <v/>
      </c>
      <c r="Y72" s="115" t="inlineStr">
        <is>
          <t>2N/2BIS/2TER/Rade</t>
        </is>
      </c>
      <c r="AA72" s="96" t="n">
        <v>45694.95416666667</v>
      </c>
      <c r="AB72" s="96" t="n">
        <v>45695.375</v>
      </c>
      <c r="AC72" s="108" t="n">
        <v>45695</v>
      </c>
      <c r="AD72" s="108" t="n">
        <v>45699</v>
      </c>
      <c r="AE72" s="96" t="n">
        <v>45694.875</v>
      </c>
      <c r="AF72" s="26" t="n">
        <v>45694.96875</v>
      </c>
      <c r="AG72" s="96" t="n">
        <v>45695.00833333333</v>
      </c>
      <c r="AH72" s="96" t="n">
        <v>45695.02222222222</v>
      </c>
      <c r="AI72" s="26" t="n">
        <v>45695.75</v>
      </c>
      <c r="AJ72" s="96" t="n">
        <v>45695.82986111111</v>
      </c>
      <c r="AK72" s="96" t="n">
        <v>45703.57638888889</v>
      </c>
      <c r="AL72" s="223" t="n"/>
      <c r="AM72" s="96" t="n">
        <v>45706.18055555555</v>
      </c>
      <c r="AN72" s="216" t="n"/>
      <c r="AO72" s="96" t="n">
        <v>45706.1875</v>
      </c>
      <c r="AP72" s="117">
        <f>(AG72-AF72)*1440</f>
        <v/>
      </c>
      <c r="AQ72" s="117">
        <f>(AG72-AE72)*1440</f>
        <v/>
      </c>
      <c r="AR72" s="117">
        <f>(AH72-AF72)*1440</f>
        <v/>
      </c>
      <c r="AS72" s="117">
        <f>(AI72-AH72)*1440</f>
        <v/>
      </c>
      <c r="AT72" s="117">
        <f>(AJ72-AH72)*1440</f>
        <v/>
      </c>
      <c r="AU72" s="117" t="n"/>
      <c r="AV72" s="117" t="n"/>
      <c r="AW72" s="117">
        <f>(AO72-AM72)*1440</f>
        <v/>
      </c>
      <c r="AX72" s="118">
        <f>AP72+AS72+AU72+AV72+AW72</f>
        <v/>
      </c>
      <c r="AY72" s="119">
        <f>(AG72-AA72)</f>
        <v/>
      </c>
      <c r="AZ72" s="119">
        <f>(AK72-AJ72)</f>
        <v/>
      </c>
      <c r="BA72" s="119">
        <f>AO72-AG72</f>
        <v/>
      </c>
      <c r="BB72" s="119">
        <f>(AO72-AA72)-(AP72/1440)-(AW72/1440)</f>
        <v/>
      </c>
      <c r="BC72" s="117">
        <f>E72/AZ72</f>
        <v/>
      </c>
      <c r="BE72" s="117">
        <f>IF(E72&lt;10000,3000,IF(E72&lt;15000,3600,IF(E72&lt;20000,4500,IF(E72&lt;25000,6000,IF(E72&lt;30000,7500,IF(E72&lt;40000,9000,IF(E72&gt;40000,10000)))))))</f>
        <v/>
      </c>
      <c r="BF72" s="322">
        <f>(E72/BE72)+2</f>
        <v/>
      </c>
      <c r="BS72" s="120" t="inlineStr">
        <is>
          <t>AQIS INSPECTION // CHANGEMENT DU POSTE 2N VERS LE POSTE 2BIS LE 07/02 - 1459 // DEHALAGE 15M VERS 2TER LE 09/02- 1512 // CHANGE DU POSTE 2BIS VERS 2TER LE 10/02- 1540/CHANGE DU POSTE 2TER VERS LA RADE LE 15/02- 2143</t>
        </is>
      </c>
      <c r="BT72" s="125" t="n">
        <v>4</v>
      </c>
      <c r="BU72" s="125" t="n"/>
      <c r="BV72" s="120" t="n"/>
      <c r="BW72" s="323">
        <f>AI72-AH72</f>
        <v/>
      </c>
      <c r="BX72" s="120" t="inlineStr">
        <is>
          <t>NUL</t>
        </is>
      </c>
      <c r="BY72" s="120" t="inlineStr">
        <is>
          <t>NUL</t>
        </is>
      </c>
      <c r="CB72" s="111" t="n">
        <v>36416</v>
      </c>
    </row>
    <row r="73" ht="14.55" customFormat="1" customHeight="1" s="230">
      <c r="B73" s="317" t="inlineStr">
        <is>
          <t>SARITA NAREE</t>
        </is>
      </c>
      <c r="C73" s="108" t="n">
        <v>45703</v>
      </c>
      <c r="D73" s="318" t="n">
        <v>10590</v>
      </c>
      <c r="E73" s="325" t="n"/>
      <c r="F73" s="141" t="inlineStr">
        <is>
          <t>KOFERT</t>
        </is>
      </c>
      <c r="G73" s="112" t="n">
        <v>2</v>
      </c>
      <c r="H73" s="129" t="inlineStr">
        <is>
          <t>DAP</t>
        </is>
      </c>
      <c r="I73" s="114" t="inlineStr">
        <is>
          <t xml:space="preserve">DAP SPECIAL DARK </t>
        </is>
      </c>
      <c r="J73" s="113" t="inlineStr">
        <is>
          <t>FOB</t>
        </is>
      </c>
      <c r="K73" s="82" t="n">
        <v>597.5</v>
      </c>
      <c r="L73" s="336">
        <f>D73*K73</f>
        <v/>
      </c>
      <c r="M73" s="14" t="n">
        <v>9.962199999999999</v>
      </c>
      <c r="N73" s="335">
        <f>L73*M73</f>
        <v/>
      </c>
      <c r="O73" s="16" t="inlineStr">
        <is>
          <t>124 S DU 26/01/2025</t>
        </is>
      </c>
      <c r="P73" s="16" t="inlineStr">
        <is>
          <t>AMEROPA AUSTRALIA PTE LTD</t>
        </is>
      </c>
      <c r="Q73" s="131" t="inlineStr">
        <is>
          <t>AUSTRALIA</t>
        </is>
      </c>
      <c r="R73" s="131" t="inlineStr">
        <is>
          <t>AUSTRALIA</t>
        </is>
      </c>
      <c r="S73" s="113" t="inlineStr">
        <is>
          <t>*</t>
        </is>
      </c>
      <c r="T73" s="131" t="inlineStr">
        <is>
          <t>OCP</t>
        </is>
      </c>
      <c r="U73" s="112" t="n">
        <v>199</v>
      </c>
      <c r="V73" s="129">
        <f>IF(U73&lt;130, "Mini Bulker", IF(AND(U73&gt;=130, U73&lt;150), "Handysize", IF(AND(U73&gt;=150, U73&lt;200), "Handymax", IF(AND(U73&gt;=200, U73&lt;230), "Panamax", IF(AND(U73&gt;=230, U73&lt;=270), "Capesize", "Autre")))))</f>
        <v/>
      </c>
      <c r="X73" s="111">
        <f>IF(E73&lt;9999,"1",IF(E73&lt;19999,"2",IF(E73&lt;29999,"3",IF(E73&lt;39999,"4",IF(E73&lt;49999,"5",IF(E73&gt;50000,"6"))))))</f>
        <v/>
      </c>
      <c r="Y73" s="115" t="inlineStr">
        <is>
          <t>2N/2BIS/2TER/Rade</t>
        </is>
      </c>
      <c r="AA73" s="96" t="n"/>
      <c r="AB73" s="96" t="n"/>
      <c r="AC73" s="121" t="n"/>
      <c r="AD73" s="121" t="n"/>
      <c r="AE73" s="96" t="n"/>
      <c r="AF73" s="219" t="n"/>
      <c r="AG73" s="96" t="n"/>
      <c r="AH73" s="96" t="n"/>
      <c r="AI73" s="219" t="n"/>
      <c r="AJ73" s="96" t="n"/>
      <c r="AK73" s="96" t="n"/>
      <c r="AL73" s="215" t="n"/>
      <c r="AM73" s="96" t="n"/>
      <c r="AN73" s="227" t="n"/>
      <c r="AO73" s="96" t="n"/>
      <c r="AP73" s="121" t="n"/>
      <c r="AQ73" s="121" t="n"/>
      <c r="AR73" s="121" t="n"/>
      <c r="AS73" s="121" t="n"/>
      <c r="AT73" s="121" t="n"/>
      <c r="AU73" s="121" t="n"/>
      <c r="AV73" s="121" t="n"/>
      <c r="AW73" s="121" t="n"/>
      <c r="AX73" s="121" t="n"/>
      <c r="AY73" s="121" t="n"/>
      <c r="AZ73" s="121" t="n"/>
      <c r="BA73" s="121" t="n"/>
      <c r="BB73" s="121" t="n"/>
      <c r="BC73" s="121" t="n"/>
      <c r="BD73" s="215" t="n"/>
      <c r="BE73" s="121" t="n"/>
      <c r="BF73" s="121" t="n"/>
      <c r="BG73" s="215" t="n"/>
      <c r="BH73" s="215" t="n"/>
      <c r="BI73" s="215" t="n"/>
      <c r="BJ73" s="215" t="n"/>
      <c r="BK73" s="215" t="n"/>
      <c r="BL73" s="215" t="n"/>
      <c r="BM73" s="215" t="n"/>
      <c r="BN73" s="215" t="n"/>
      <c r="BO73" s="215" t="n"/>
      <c r="BS73" s="120" t="inlineStr">
        <is>
          <t>AQIS INSPECTION // CHANGEMENT DU POSTE 2N VERS LE POSTE 2BIS LE 07/02 - 1459 // DEHALAGE 15M VERS 2TER LE 09/02- 1512 // CHANGE DU POSTE 2BIS VERS 2TER LE 10/02- 1540/CHANGE DU POSTE 2TER VERS LA RADE LE 15/02- 2143</t>
        </is>
      </c>
      <c r="BT73" s="120" t="n"/>
      <c r="BU73" s="120" t="n"/>
      <c r="BV73" s="223" t="n"/>
      <c r="BW73" s="323">
        <f>AI73-AH73</f>
        <v/>
      </c>
      <c r="BX73" s="120" t="inlineStr">
        <is>
          <t>NUL</t>
        </is>
      </c>
      <c r="BY73" s="120" t="inlineStr">
        <is>
          <t>NUL</t>
        </is>
      </c>
      <c r="CB73" s="111" t="n"/>
    </row>
    <row r="74" ht="14.55" customFormat="1" customHeight="1" s="230">
      <c r="B74" s="317" t="inlineStr">
        <is>
          <t>SARITA NAREE</t>
        </is>
      </c>
      <c r="C74" s="108" t="n">
        <v>45703</v>
      </c>
      <c r="D74" s="318" t="n">
        <v>28117</v>
      </c>
      <c r="E74" s="325" t="n"/>
      <c r="F74" s="141" t="inlineStr">
        <is>
          <t>OCP NUTRI</t>
        </is>
      </c>
      <c r="G74" s="112" t="n">
        <v>2</v>
      </c>
      <c r="H74" s="129" t="inlineStr">
        <is>
          <t>MAP</t>
        </is>
      </c>
      <c r="I74" s="114" t="inlineStr">
        <is>
          <t xml:space="preserve">MAP 10 50 SPECIAL </t>
        </is>
      </c>
      <c r="J74" s="113" t="inlineStr">
        <is>
          <t>FOB</t>
        </is>
      </c>
      <c r="K74" s="82" t="n">
        <v>560.16</v>
      </c>
      <c r="L74" s="336">
        <f>D74*K74</f>
        <v/>
      </c>
      <c r="M74" s="14" t="n">
        <v>9.962199999999999</v>
      </c>
      <c r="N74" s="335">
        <f>L74*M74</f>
        <v/>
      </c>
      <c r="O74" s="16" t="inlineStr">
        <is>
          <t>116 H DU 26/01/2025</t>
        </is>
      </c>
      <c r="P74" s="16" t="inlineStr">
        <is>
          <t>AMEROPA AUSTRALIA PTE LTD</t>
        </is>
      </c>
      <c r="Q74" s="131" t="inlineStr">
        <is>
          <t>AUSTRALIA</t>
        </is>
      </c>
      <c r="R74" s="131" t="inlineStr">
        <is>
          <t>AUSTRALIA</t>
        </is>
      </c>
      <c r="S74" s="113" t="inlineStr">
        <is>
          <t>*</t>
        </is>
      </c>
      <c r="T74" s="131" t="inlineStr">
        <is>
          <t>OCP</t>
        </is>
      </c>
      <c r="U74" s="112" t="n">
        <v>199</v>
      </c>
      <c r="V74" s="129">
        <f>IF(U74&lt;130, "Mini Bulker", IF(AND(U74&gt;=130, U74&lt;150), "Handysize", IF(AND(U74&gt;=150, U74&lt;200), "Handymax", IF(AND(U74&gt;=200, U74&lt;230), "Panamax", IF(AND(U74&gt;=230, U74&lt;=270), "Capesize", "Autre")))))</f>
        <v/>
      </c>
      <c r="X74" s="111">
        <f>IF(E74&lt;9999,"1",IF(E74&lt;19999,"2",IF(E74&lt;29999,"3",IF(E74&lt;39999,"4",IF(E74&lt;49999,"5",IF(E74&gt;50000,"6"))))))</f>
        <v/>
      </c>
      <c r="Y74" s="115" t="inlineStr">
        <is>
          <t>2N/2BIS/2TER/Rade</t>
        </is>
      </c>
      <c r="AA74" s="121" t="n"/>
      <c r="AB74" s="121" t="n"/>
      <c r="AC74" s="121" t="n"/>
      <c r="AD74" s="121" t="n"/>
      <c r="AE74" s="121" t="n"/>
      <c r="AF74" s="22" t="n"/>
      <c r="AG74" s="121" t="n"/>
      <c r="AH74" s="121" t="n"/>
      <c r="AI74" s="22" t="n"/>
      <c r="AJ74" s="121" t="n"/>
      <c r="AK74" s="121" t="n"/>
      <c r="AL74" s="121" t="n"/>
      <c r="AM74" s="121" t="n"/>
      <c r="AN74" s="22" t="n"/>
      <c r="AO74" s="121" t="n"/>
      <c r="AP74" s="121" t="n"/>
      <c r="AQ74" s="121" t="n"/>
      <c r="AR74" s="121" t="n"/>
      <c r="AS74" s="121" t="n"/>
      <c r="AT74" s="121" t="n"/>
      <c r="AU74" s="121" t="n"/>
      <c r="AV74" s="121" t="n"/>
      <c r="AW74" s="121" t="n"/>
      <c r="AX74" s="121" t="n"/>
      <c r="AY74" s="121" t="n"/>
      <c r="AZ74" s="121" t="n"/>
      <c r="BA74" s="121" t="n"/>
      <c r="BB74" s="121" t="n"/>
      <c r="BC74" s="121" t="n"/>
      <c r="BD74" s="121" t="n"/>
      <c r="BE74" s="121" t="n"/>
      <c r="BF74" s="121" t="n"/>
      <c r="BG74" s="121" t="n"/>
      <c r="BH74" s="121" t="n"/>
      <c r="BI74" s="121" t="n"/>
      <c r="BJ74" s="121" t="n"/>
      <c r="BK74" s="121" t="n"/>
      <c r="BL74" s="121" t="n"/>
      <c r="BM74" s="121" t="n"/>
      <c r="BN74" s="121" t="n"/>
      <c r="BO74" s="121" t="n"/>
      <c r="BS74" s="120" t="inlineStr">
        <is>
          <t>AQIS INSPECTION // CHANGEMENT DU POSTE 2N VERS LE POSTE 2BIS LE 07/02 - 1459 // DEHALAGE 15M VERS 2TER LE 09/02- 1512 // CHANGE DU POSTE 2BIS VERS 2TER LE 10/02- 1540/CHANGE DU POSTE 2TER VERS LA RADE LE 15/02- 2143</t>
        </is>
      </c>
      <c r="BT74" s="120" t="n"/>
      <c r="BU74" s="120" t="n"/>
      <c r="BW74" s="323">
        <f>AI74-AH74</f>
        <v/>
      </c>
      <c r="BX74" s="120" t="inlineStr">
        <is>
          <t>NUL</t>
        </is>
      </c>
      <c r="BY74" s="120" t="inlineStr">
        <is>
          <t>NUL</t>
        </is>
      </c>
      <c r="CB74" s="111" t="n"/>
    </row>
    <row r="75" ht="15" customFormat="1" customHeight="1" s="230">
      <c r="A75" s="112" t="n">
        <v>46</v>
      </c>
      <c r="B75" s="317" t="inlineStr">
        <is>
          <t>RIGHT STEP</t>
        </is>
      </c>
      <c r="C75" s="108" t="n">
        <v>45705</v>
      </c>
      <c r="D75" s="318" t="n">
        <v>5148</v>
      </c>
      <c r="E75" s="318" t="n">
        <v>5148</v>
      </c>
      <c r="F75" s="141" t="inlineStr">
        <is>
          <t>OCP NUTRI</t>
        </is>
      </c>
      <c r="G75" s="112" t="n">
        <v>1</v>
      </c>
      <c r="H75" s="129" t="inlineStr">
        <is>
          <t>DAP</t>
        </is>
      </c>
      <c r="I75" s="114" t="inlineStr">
        <is>
          <t xml:space="preserve">DAP EURO </t>
        </is>
      </c>
      <c r="J75" s="113" t="inlineStr">
        <is>
          <t>CFR</t>
        </is>
      </c>
      <c r="K75" s="82" t="n">
        <v>645</v>
      </c>
      <c r="L75" s="336">
        <f>D75*K75</f>
        <v/>
      </c>
      <c r="M75" s="14" t="n">
        <v>9.9663</v>
      </c>
      <c r="N75" s="335">
        <f>L75*M75</f>
        <v/>
      </c>
      <c r="O75" s="16" t="inlineStr">
        <is>
          <t>116 H DU 26/01/2025</t>
        </is>
      </c>
      <c r="P75" s="16" t="inlineStr">
        <is>
          <t>Goulding Soil Nutrition Ltd /INDEPENDENT FERTILISERS LIMITED</t>
        </is>
      </c>
      <c r="Q75" s="131" t="inlineStr">
        <is>
          <t>EUROPE</t>
        </is>
      </c>
      <c r="R75" s="131" t="inlineStr">
        <is>
          <t xml:space="preserve"> Ireland </t>
        </is>
      </c>
      <c r="S75" s="113" t="inlineStr">
        <is>
          <t>*</t>
        </is>
      </c>
      <c r="T75" s="107" t="inlineStr">
        <is>
          <t>INSPECTORATE</t>
        </is>
      </c>
      <c r="U75" s="112" t="n">
        <v>101</v>
      </c>
      <c r="V75" s="129">
        <f>IF(U75&lt;130, "Mini Bulker", IF(AND(U75&gt;=130, U75&lt;150), "Handysize", IF(AND(U75&gt;=150, U75&lt;200), "Handymax", IF(AND(U75&gt;=200, U75&lt;230), "Panamax", IF(AND(U75&gt;=230, U75&lt;=270), "Capesize", "Autre")))))</f>
        <v/>
      </c>
      <c r="X75" s="111">
        <f>IF(E75&lt;9999,"1",IF(E75&lt;19999,"2",IF(E75&lt;29999,"3",IF(E75&lt;39999,"4",IF(E75&lt;49999,"5",IF(E75&gt;50000,"6"))))))</f>
        <v/>
      </c>
      <c r="Y75" s="115" t="inlineStr">
        <is>
          <t>1TER</t>
        </is>
      </c>
      <c r="AA75" s="121" t="n">
        <v>45692.22916666666</v>
      </c>
      <c r="AB75" s="121" t="n">
        <v>45692.375</v>
      </c>
      <c r="AC75" s="108" t="n">
        <v>45689</v>
      </c>
      <c r="AD75" s="108" t="n">
        <v>45691</v>
      </c>
      <c r="AE75" s="121" t="n">
        <v>45692.22916666666</v>
      </c>
      <c r="AF75" s="17" t="n">
        <v>45701.55694444444</v>
      </c>
      <c r="AG75" s="121" t="n">
        <v>45701.59722222222</v>
      </c>
      <c r="AH75" s="121" t="n">
        <v>45701.61111111111</v>
      </c>
      <c r="AI75" s="17" t="n">
        <v>45701.66666666666</v>
      </c>
      <c r="AJ75" s="121" t="n">
        <v>45704.68055555555</v>
      </c>
      <c r="AK75" s="121" t="n">
        <v>45705.66666666666</v>
      </c>
      <c r="AL75" s="121" t="n">
        <v>45705.70833333334</v>
      </c>
      <c r="AM75" s="121" t="n">
        <v>45705.72916666666</v>
      </c>
      <c r="AN75" s="17" t="n">
        <v>45705.77083333334</v>
      </c>
      <c r="AO75" s="121" t="n">
        <v>45705.82083333333</v>
      </c>
      <c r="AP75" s="117">
        <f>(AG75-AF75)*1440</f>
        <v/>
      </c>
      <c r="AQ75" s="117">
        <f>(AG75-AE75)*1440</f>
        <v/>
      </c>
      <c r="AR75" s="117">
        <f>(AH75-AF75)*1440</f>
        <v/>
      </c>
      <c r="AS75" s="117">
        <f>(AI75-AH75)*1440</f>
        <v/>
      </c>
      <c r="AT75" s="117">
        <f>(AJ75-AH75)*1440</f>
        <v/>
      </c>
      <c r="AU75" s="117">
        <f>(AL75-AK75)*1440</f>
        <v/>
      </c>
      <c r="AV75" s="117">
        <f>(AM75-AL75)*1440</f>
        <v/>
      </c>
      <c r="AW75" s="117">
        <f>(AO75-AM75)*1440</f>
        <v/>
      </c>
      <c r="AX75" s="118">
        <f>AP75+AS75+AU75+AV75+AW75</f>
        <v/>
      </c>
      <c r="AY75" s="119">
        <f>(AG75-AA75)</f>
        <v/>
      </c>
      <c r="AZ75" s="119">
        <f>(AK75-AJ75)</f>
        <v/>
      </c>
      <c r="BA75" s="119">
        <f>AO75-AG75</f>
        <v/>
      </c>
      <c r="BB75" s="119">
        <f>(AO75-AA75)-(AP75/1440)-(AW75/1440)</f>
        <v/>
      </c>
      <c r="BC75" s="117">
        <f>E75/AZ75</f>
        <v/>
      </c>
      <c r="BD75" s="225" t="n"/>
      <c r="BE75" s="117">
        <f>IF(E75&lt;10000,3000,IF(E75&lt;15000,3600,IF(E75&lt;20000,4500,IF(E75&lt;25000,6000,IF(E75&lt;30000,7500,IF(E75&lt;40000,9000,IF(E75&gt;40000,10000)))))))</f>
        <v/>
      </c>
      <c r="BF75" s="322">
        <f>(E75/BE75)+2</f>
        <v/>
      </c>
      <c r="BG75" s="225" t="n"/>
      <c r="BH75" s="225" t="n"/>
      <c r="BI75" s="225" t="n"/>
      <c r="BJ75" s="225" t="n"/>
      <c r="BK75" s="225" t="n"/>
      <c r="BL75" s="225" t="n"/>
      <c r="BM75" s="225" t="n"/>
      <c r="BN75" s="225" t="n"/>
      <c r="BO75" s="225" t="n"/>
      <c r="BS75" s="120" t="inlineStr">
        <is>
          <t>NUL</t>
        </is>
      </c>
      <c r="BT75" s="120" t="n">
        <v>0</v>
      </c>
      <c r="BU75" s="223" t="n"/>
      <c r="BV75" s="125" t="n"/>
      <c r="BW75" s="323">
        <f>AI75-AH75</f>
        <v/>
      </c>
      <c r="BX75" s="120" t="inlineStr">
        <is>
          <t>NUL</t>
        </is>
      </c>
      <c r="BY75" s="120" t="inlineStr">
        <is>
          <t>NUL</t>
        </is>
      </c>
      <c r="CB75" s="111" t="n">
        <v>3796</v>
      </c>
    </row>
    <row r="76" ht="15" customFormat="1" customHeight="1" s="230">
      <c r="A76" s="112" t="n">
        <v>50</v>
      </c>
      <c r="B76" s="317" t="inlineStr">
        <is>
          <t>NORD BREMEN</t>
        </is>
      </c>
      <c r="C76" s="108" t="n">
        <v>45706</v>
      </c>
      <c r="D76" s="318" t="n">
        <v>36180</v>
      </c>
      <c r="E76" s="318" t="n">
        <v>36180</v>
      </c>
      <c r="F76" s="141" t="inlineStr">
        <is>
          <t>OCP NUTRI</t>
        </is>
      </c>
      <c r="G76" s="112" t="n">
        <v>1</v>
      </c>
      <c r="H76" s="129" t="inlineStr">
        <is>
          <t>MAP</t>
        </is>
      </c>
      <c r="I76" s="114" t="inlineStr">
        <is>
          <t xml:space="preserve">MAP 10 50 SPECIAL </t>
        </is>
      </c>
      <c r="J76" s="113" t="inlineStr">
        <is>
          <t>FOB</t>
        </is>
      </c>
      <c r="K76" s="82" t="n">
        <v>570.92</v>
      </c>
      <c r="L76" s="336">
        <f>D76*K76</f>
        <v/>
      </c>
      <c r="M76" s="14" t="n">
        <v>9.962199999999999</v>
      </c>
      <c r="N76" s="335">
        <f>L76*M76</f>
        <v/>
      </c>
      <c r="O76" s="16" t="inlineStr">
        <is>
          <t>116 H DU 26/01/2025</t>
        </is>
      </c>
      <c r="P76" s="16" t="inlineStr">
        <is>
          <t>Incitec Pivot Fertilisers</t>
        </is>
      </c>
      <c r="Q76" s="129" t="inlineStr">
        <is>
          <t>AUSTRALIA</t>
        </is>
      </c>
      <c r="R76" s="131" t="inlineStr">
        <is>
          <t>AUSTRALIA</t>
        </is>
      </c>
      <c r="S76" s="113" t="inlineStr">
        <is>
          <t>*</t>
        </is>
      </c>
      <c r="T76" s="113" t="inlineStr">
        <is>
          <t>INTERTEK</t>
        </is>
      </c>
      <c r="U76" s="112" t="n">
        <v>183</v>
      </c>
      <c r="V76" s="129">
        <f>IF(U76&lt;130, "Mini Bulker", IF(AND(U76&gt;=130, U76&lt;150), "Handysize", IF(AND(U76&gt;=150, U76&lt;200), "Handymax", IF(AND(U76&gt;=200, U76&lt;230), "Panamax", IF(AND(U76&gt;=230, U76&lt;=270), "Capesize", "Autre")))))</f>
        <v/>
      </c>
      <c r="X76" s="111">
        <f>IF(E76&lt;9999,"1",IF(E76&lt;19999,"2",IF(E76&lt;29999,"3",IF(E76&lt;39999,"4",IF(E76&lt;49999,"5",IF(E76&gt;50000,"6"))))))</f>
        <v/>
      </c>
      <c r="Y76" s="115" t="inlineStr">
        <is>
          <t>1BIS/1N</t>
        </is>
      </c>
      <c r="Z76" s="223" t="n"/>
      <c r="AA76" s="96" t="n">
        <v>45696.29166666666</v>
      </c>
      <c r="AB76" s="96" t="n">
        <v>45698.375</v>
      </c>
      <c r="AC76" s="108" t="n">
        <v>45693</v>
      </c>
      <c r="AD76" s="108" t="n">
        <v>45698</v>
      </c>
      <c r="AE76" s="96" t="n">
        <v>45696.29166666666</v>
      </c>
      <c r="AF76" s="26" t="n">
        <v>45698.84027777778</v>
      </c>
      <c r="AG76" s="96" t="n">
        <v>45698.875</v>
      </c>
      <c r="AH76" s="96" t="n">
        <v>45698.89583333334</v>
      </c>
      <c r="AI76" s="26" t="n">
        <v>45699.5</v>
      </c>
      <c r="AJ76" s="96" t="n">
        <v>45699.5625</v>
      </c>
      <c r="AK76" s="96" t="n">
        <v>45706.375</v>
      </c>
      <c r="AL76" s="96" t="n">
        <v>45706.44722222222</v>
      </c>
      <c r="AM76" s="96" t="n">
        <v>45706.47222222222</v>
      </c>
      <c r="AN76" s="26" t="n">
        <v>45706.53472222222</v>
      </c>
      <c r="AO76" s="96" t="n">
        <v>45706.54166666666</v>
      </c>
      <c r="AP76" s="117">
        <f>(AG76-AF76)*1440</f>
        <v/>
      </c>
      <c r="AQ76" s="117">
        <f>(AG76-AE76)*1440</f>
        <v/>
      </c>
      <c r="AR76" s="117">
        <f>(AH76-AF76)*1440</f>
        <v/>
      </c>
      <c r="AS76" s="117">
        <f>(AI76-AH76)*1440</f>
        <v/>
      </c>
      <c r="AT76" s="117">
        <f>(AJ76-AH76)*1440</f>
        <v/>
      </c>
      <c r="AU76" s="117">
        <f>(AL76-AK76)*1440</f>
        <v/>
      </c>
      <c r="AV76" s="117">
        <f>(AM76-AL76)*1440</f>
        <v/>
      </c>
      <c r="AW76" s="117">
        <f>(AO76-AM76)*1440</f>
        <v/>
      </c>
      <c r="AX76" s="118">
        <f>AP76+AS76+AU76+AV76+AW76</f>
        <v/>
      </c>
      <c r="AY76" s="119">
        <f>(AG76-AA76)</f>
        <v/>
      </c>
      <c r="AZ76" s="119">
        <f>(AK76-AJ76)</f>
        <v/>
      </c>
      <c r="BA76" s="119">
        <f>AO76-AG76</f>
        <v/>
      </c>
      <c r="BB76" s="119">
        <f>(AO76-AA76)-(AP76/1440)-(AW76/1440)</f>
        <v/>
      </c>
      <c r="BC76" s="117">
        <f>E76/AZ76</f>
        <v/>
      </c>
      <c r="BE76" s="117">
        <f>IF(E76&lt;10000,3000,IF(E76&lt;15000,3600,IF(E76&lt;20000,4500,IF(E76&lt;25000,6000,IF(E76&lt;30000,7500,IF(E76&lt;40000,9000,IF(E76&gt;40000,10000)))))))</f>
        <v/>
      </c>
      <c r="BF76" s="322">
        <f>(E76/BE76)+2</f>
        <v/>
      </c>
      <c r="BS76" s="120" t="inlineStr">
        <is>
          <t>CHANGE DU POSTE 1BIS VERS LA 
RADE LE 14/02- 2152 //RE-ACCOSTAGE AU POSTE 1N LE 17/02- 2312</t>
        </is>
      </c>
      <c r="BT76" s="125" t="n">
        <v>2</v>
      </c>
      <c r="BW76" s="323">
        <f>AI76-AH76</f>
        <v/>
      </c>
      <c r="BX76" s="120" t="inlineStr">
        <is>
          <t>NUL</t>
        </is>
      </c>
      <c r="BY76" s="120" t="inlineStr">
        <is>
          <t>NUL</t>
        </is>
      </c>
      <c r="CB76" s="111" t="n">
        <v>25240</v>
      </c>
    </row>
    <row r="77" ht="15" customFormat="1" customHeight="1" s="230">
      <c r="A77" s="112" t="n">
        <v>49</v>
      </c>
      <c r="B77" s="317" t="inlineStr">
        <is>
          <t>DAY BLUE</t>
        </is>
      </c>
      <c r="C77" s="108" t="n">
        <v>45707</v>
      </c>
      <c r="D77" s="318" t="n">
        <v>4400</v>
      </c>
      <c r="E77" s="318" t="n">
        <v>4400</v>
      </c>
      <c r="F77" s="141" t="n"/>
      <c r="G77" s="112" t="n">
        <v>1</v>
      </c>
      <c r="H77" s="129" t="inlineStr">
        <is>
          <t>MAP</t>
        </is>
      </c>
      <c r="I77" s="114" t="inlineStr">
        <is>
          <t xml:space="preserve">MAP 11 52 EU </t>
        </is>
      </c>
      <c r="J77" s="113" t="inlineStr">
        <is>
          <t>FOB</t>
        </is>
      </c>
      <c r="K77" s="123" t="n"/>
      <c r="L77" s="337">
        <f>D77*K77</f>
        <v/>
      </c>
      <c r="M77" s="111" t="n"/>
      <c r="N77" s="338">
        <f>L77*M77</f>
        <v/>
      </c>
      <c r="O77" s="124" t="n"/>
      <c r="P77" s="124" t="n"/>
      <c r="Q77" s="131" t="inlineStr">
        <is>
          <t>EUROPE</t>
        </is>
      </c>
      <c r="R77" s="131" t="inlineStr">
        <is>
          <t>ITALY</t>
        </is>
      </c>
      <c r="S77" s="113" t="inlineStr">
        <is>
          <t>*</t>
        </is>
      </c>
      <c r="T77" s="107" t="inlineStr">
        <is>
          <t>INSPECTORATE</t>
        </is>
      </c>
      <c r="U77" s="112" t="n">
        <v>90</v>
      </c>
      <c r="V77" s="129">
        <f>IF(U77&lt;130, "Mini Bulker", IF(AND(U77&gt;=130, U77&lt;150), "Handysize", IF(AND(U77&gt;=150, U77&lt;200), "Handymax", IF(AND(U77&gt;=200, U77&lt;230), "Panamax", IF(AND(U77&gt;=230, U77&lt;=270), "Capesize", "Autre")))))</f>
        <v/>
      </c>
      <c r="X77" s="111">
        <f>IF(E77&lt;9999,"1",IF(E77&lt;19999,"2",IF(E77&lt;29999,"3",IF(E77&lt;39999,"4",IF(E77&lt;49999,"5",IF(E77&gt;50000,"6"))))))</f>
        <v/>
      </c>
      <c r="Y77" s="115" t="inlineStr">
        <is>
          <t>2TER/16S</t>
        </is>
      </c>
      <c r="Z77" s="215" t="n">
        <v>45702.49652777778</v>
      </c>
      <c r="AA77" s="96" t="n">
        <v>45702.49652777778</v>
      </c>
      <c r="AB77" s="96" t="n">
        <v>45702.49652777778</v>
      </c>
      <c r="AC77" s="108" t="n">
        <v>45702</v>
      </c>
      <c r="AD77" s="108" t="n">
        <v>45704</v>
      </c>
      <c r="AE77" s="96" t="n">
        <v>45702.03819444445</v>
      </c>
      <c r="AF77" s="96" t="n">
        <v>45705.5</v>
      </c>
      <c r="AG77" s="96" t="n">
        <v>45705.55208333334</v>
      </c>
      <c r="AH77" s="96" t="n">
        <v>45705.57638888889</v>
      </c>
      <c r="AI77" s="96" t="n">
        <v>45705.625</v>
      </c>
      <c r="AJ77" s="96" t="n">
        <v>45705.76388888889</v>
      </c>
      <c r="AK77" s="96" t="n">
        <v>45707.05208333334</v>
      </c>
      <c r="AL77" s="96" t="n">
        <v>45707.08958333333</v>
      </c>
      <c r="AM77" s="96" t="n">
        <v>45707.11527777778</v>
      </c>
      <c r="AN77" s="96" t="n">
        <v>45707.17152777778</v>
      </c>
      <c r="AO77" s="96" t="n">
        <v>45707.15555555555</v>
      </c>
      <c r="AP77" s="117">
        <f>(AG77-AF77)*1440</f>
        <v/>
      </c>
      <c r="AQ77" s="117">
        <f>(AG77-AE77)*1440</f>
        <v/>
      </c>
      <c r="AR77" s="117">
        <f>(AH77-AF77)*1440</f>
        <v/>
      </c>
      <c r="AS77" s="117">
        <f>(AI77-AH77)*1440</f>
        <v/>
      </c>
      <c r="AT77" s="117">
        <f>(AJ77-AH77)*1440</f>
        <v/>
      </c>
      <c r="AU77" s="117">
        <f>(AL77-AK77)*1440</f>
        <v/>
      </c>
      <c r="AV77" s="117">
        <f>(AM77-AL77)*1440</f>
        <v/>
      </c>
      <c r="AW77" s="117">
        <f>(AO77-AM77)*1440</f>
        <v/>
      </c>
      <c r="AX77" s="118">
        <f>AP77+AS77+AU77+AV77+AW77</f>
        <v/>
      </c>
      <c r="AY77" s="119">
        <f>(AG77-AA77)</f>
        <v/>
      </c>
      <c r="AZ77" s="119">
        <f>(AK77-AJ77)</f>
        <v/>
      </c>
      <c r="BA77" s="119">
        <f>AO77-AG77</f>
        <v/>
      </c>
      <c r="BB77" s="119">
        <f>(AO77-AA77)-(AP77/1440)-(AW77/1440)</f>
        <v/>
      </c>
      <c r="BC77" s="117">
        <f>E77/AZ77</f>
        <v/>
      </c>
      <c r="BE77" s="117">
        <f>IF(E77&lt;10000,3000,IF(E77&lt;15000,3600,IF(E77&lt;20000,4500,IF(E77&lt;25000,6000,IF(E77&lt;30000,7500,IF(E77&lt;40000,9000,IF(E77&gt;40000,10000)))))))</f>
        <v/>
      </c>
      <c r="BF77" s="322">
        <f>(E77/BE77)+2</f>
        <v/>
      </c>
      <c r="BS77" s="120" t="inlineStr">
        <is>
          <t>CHANGE DU POSTE 2TER VERS 16S LE 18/02- 1425 // ATTENTE DECHARGEMENT SURPLUS</t>
        </is>
      </c>
      <c r="BT77" s="125" t="n">
        <v>1</v>
      </c>
      <c r="BW77" s="323">
        <f>AI77-AH77</f>
        <v/>
      </c>
      <c r="BX77" s="120" t="inlineStr">
        <is>
          <t>NUL</t>
        </is>
      </c>
      <c r="BY77" s="120" t="inlineStr">
        <is>
          <t>NUL</t>
        </is>
      </c>
      <c r="CB77" s="111" t="n">
        <v>2834</v>
      </c>
    </row>
    <row r="78" ht="15" customFormat="1" customHeight="1" s="230">
      <c r="A78" s="112" t="n">
        <v>51</v>
      </c>
      <c r="B78" s="317" t="inlineStr">
        <is>
          <t>JADELAND</t>
        </is>
      </c>
      <c r="C78" s="108" t="n">
        <v>45708</v>
      </c>
      <c r="D78" s="318" t="n">
        <v>5405</v>
      </c>
      <c r="E78" s="318" t="n">
        <v>5405</v>
      </c>
      <c r="F78" s="141" t="inlineStr">
        <is>
          <t>OCP NUTRI</t>
        </is>
      </c>
      <c r="G78" s="112" t="n">
        <v>1</v>
      </c>
      <c r="H78" s="129" t="inlineStr">
        <is>
          <t>NPK</t>
        </is>
      </c>
      <c r="I78" s="114" t="inlineStr">
        <is>
          <t xml:space="preserve">NPK 15 15 15 EU </t>
        </is>
      </c>
      <c r="J78" s="113" t="inlineStr">
        <is>
          <t>CFR/DAT</t>
        </is>
      </c>
      <c r="K78" s="82" t="n">
        <v>437.5</v>
      </c>
      <c r="L78" s="336">
        <f>D78*K78</f>
        <v/>
      </c>
      <c r="M78" s="14" t="n">
        <v>9.98</v>
      </c>
      <c r="N78" s="335">
        <f>L78*M78</f>
        <v/>
      </c>
      <c r="O78" s="16" t="inlineStr">
        <is>
          <t>116 H DU 26/01/2025</t>
        </is>
      </c>
      <c r="P78" s="16" t="inlineStr">
        <is>
          <t>ABONOS JIMENEZ, S.L. /SEVITRADE S.L</t>
        </is>
      </c>
      <c r="Q78" s="113" t="inlineStr">
        <is>
          <t>EUROPE</t>
        </is>
      </c>
      <c r="R78" s="131" t="inlineStr">
        <is>
          <t>Espagne</t>
        </is>
      </c>
      <c r="S78" s="233" t="n"/>
      <c r="T78" s="131" t="inlineStr">
        <is>
          <t>INTERTEK</t>
        </is>
      </c>
      <c r="U78" s="112" t="n">
        <v>106</v>
      </c>
      <c r="V78" s="129">
        <f>IF(U78&lt;130, "Mini Bulker", IF(AND(U78&gt;=130, U78&lt;150), "Handysize", IF(AND(U78&gt;=150, U78&lt;200), "Handymax", IF(AND(U78&gt;=200, U78&lt;230), "Panamax", IF(AND(U78&gt;=230, U78&lt;=270), "Capesize", "Autre")))))</f>
        <v/>
      </c>
      <c r="X78" s="111">
        <f>IF(E78&lt;9999,"1",IF(E78&lt;19999,"2",IF(E78&lt;29999,"3",IF(E78&lt;39999,"4",IF(E78&lt;49999,"5",IF(E78&gt;50000,"6"))))))</f>
        <v/>
      </c>
      <c r="Y78" s="115" t="inlineStr">
        <is>
          <t>1TER</t>
        </is>
      </c>
      <c r="AA78" s="96" t="n">
        <v>45700.30416666667</v>
      </c>
      <c r="AB78" s="96" t="n">
        <v>45700.375</v>
      </c>
      <c r="AC78" s="108" t="n">
        <v>45699</v>
      </c>
      <c r="AD78" s="108" t="n">
        <v>45701</v>
      </c>
      <c r="AE78" s="96" t="n">
        <v>45700.30416666667</v>
      </c>
      <c r="AG78" s="96" t="n">
        <v>45705.91666666666</v>
      </c>
      <c r="AH78" s="96" t="n">
        <v>45705.9375</v>
      </c>
      <c r="AI78" s="26" t="n">
        <v>45705.99652777778</v>
      </c>
      <c r="AJ78" s="96" t="n">
        <v>45706.07638888889</v>
      </c>
      <c r="AK78" s="96" t="n">
        <v>45708.48958333334</v>
      </c>
      <c r="AL78" s="96" t="n">
        <v>45708.52777777778</v>
      </c>
      <c r="AM78" s="96" t="n">
        <v>45708.5625</v>
      </c>
      <c r="AN78" s="26" t="n">
        <v>45708.62013888889</v>
      </c>
      <c r="AO78" s="96" t="n">
        <v>45708.63194444445</v>
      </c>
      <c r="AP78" s="117">
        <f>(AG78-AF78)*1440</f>
        <v/>
      </c>
      <c r="AQ78" s="117">
        <f>(AG78-AE78)*1440</f>
        <v/>
      </c>
      <c r="AR78" s="117">
        <f>(AH78-AF78)*1440</f>
        <v/>
      </c>
      <c r="AS78" s="117">
        <f>(AI78-AH78)*1440</f>
        <v/>
      </c>
      <c r="AT78" s="117">
        <f>(AJ78-AH78)*1440</f>
        <v/>
      </c>
      <c r="AU78" s="117">
        <f>(AL78-AK78)*1440</f>
        <v/>
      </c>
      <c r="AV78" s="117">
        <f>(AM78-AL78)*1440</f>
        <v/>
      </c>
      <c r="AW78" s="117">
        <f>(AO78-AM78)*1440</f>
        <v/>
      </c>
      <c r="AX78" s="118">
        <f>AP78+AS78+AU78+AV78+AW78</f>
        <v/>
      </c>
      <c r="AY78" s="119">
        <f>(AG78-AA78)</f>
        <v/>
      </c>
      <c r="AZ78" s="119">
        <f>(AK78-AJ78)</f>
        <v/>
      </c>
      <c r="BA78" s="119">
        <f>AO78-AG78</f>
        <v/>
      </c>
      <c r="BB78" s="119">
        <f>(AO78-AA78)-(AP78/1440)-(AW78/1440)</f>
        <v/>
      </c>
      <c r="BC78" s="117">
        <f>E78/AZ78</f>
        <v/>
      </c>
      <c r="BE78" s="117">
        <f>IF(E78&lt;10000,3000,IF(E78&lt;15000,3600,IF(E78&lt;20000,4500,IF(E78&lt;25000,6000,IF(E78&lt;30000,7500,IF(E78&lt;40000,9000,IF(E78&gt;40000,10000)))))))</f>
        <v/>
      </c>
      <c r="BF78" s="322">
        <f>(E78/BE78)+2</f>
        <v/>
      </c>
      <c r="BS78" s="120" t="inlineStr">
        <is>
          <t>NUL</t>
        </is>
      </c>
      <c r="BT78" s="125" t="n">
        <v>0</v>
      </c>
      <c r="BW78" s="323">
        <f>AI78-AH78</f>
        <v/>
      </c>
      <c r="BX78" s="120" t="inlineStr">
        <is>
          <t>NUL</t>
        </is>
      </c>
      <c r="BY78" s="120" t="inlineStr">
        <is>
          <t>NUL</t>
        </is>
      </c>
      <c r="CB78" s="111" t="n">
        <v>4220</v>
      </c>
    </row>
    <row r="79" ht="14.55" customFormat="1" customHeight="1" s="230">
      <c r="A79" s="112" t="n">
        <v>53</v>
      </c>
      <c r="B79" s="317" t="inlineStr">
        <is>
          <t>BASIC ISLAND</t>
        </is>
      </c>
      <c r="C79" s="108" t="n">
        <v>45709</v>
      </c>
      <c r="D79" s="318" t="n">
        <v>11000</v>
      </c>
      <c r="E79" s="318">
        <f>D79+D80+D81</f>
        <v/>
      </c>
      <c r="F79" s="141" t="inlineStr">
        <is>
          <t>OCP NUTRI</t>
        </is>
      </c>
      <c r="G79" s="112" t="n">
        <v>3</v>
      </c>
      <c r="H79" s="115" t="inlineStr">
        <is>
          <t>ASP</t>
        </is>
      </c>
      <c r="I79" s="114" t="inlineStr">
        <is>
          <t xml:space="preserve">ASP 19 38 6S EURO </t>
        </is>
      </c>
      <c r="J79" s="113" t="inlineStr">
        <is>
          <t>CFR</t>
        </is>
      </c>
      <c r="K79" s="82" t="n">
        <v>572.4</v>
      </c>
      <c r="L79" s="336">
        <f>D79*K79</f>
        <v/>
      </c>
      <c r="M79" s="14" t="n">
        <v>9.9809</v>
      </c>
      <c r="N79" s="335">
        <f>L79*M79</f>
        <v/>
      </c>
      <c r="O79" s="16" t="inlineStr">
        <is>
          <t>116 H DU 26/01/2025</t>
        </is>
      </c>
      <c r="P79" s="16" t="inlineStr">
        <is>
          <t>South East Europe Fertilizer Company S.A</t>
        </is>
      </c>
      <c r="Q79" s="113" t="inlineStr">
        <is>
          <t>EUROPE</t>
        </is>
      </c>
      <c r="R79" s="115" t="inlineStr">
        <is>
          <t>ROUMANIE</t>
        </is>
      </c>
      <c r="S79" s="233" t="n"/>
      <c r="T79" s="131" t="inlineStr">
        <is>
          <t>INSPECTORATE</t>
        </is>
      </c>
      <c r="U79" s="112" t="n">
        <v>180</v>
      </c>
      <c r="V79" s="129">
        <f>IF(U79&lt;130, "Mini Bulker", IF(AND(U79&gt;=130, U79&lt;150), "Handysize", IF(AND(U79&gt;=150, U79&lt;200), "Handymax", IF(AND(U79&gt;=200, U79&lt;230), "Panamax", IF(AND(U79&gt;=230, U79&lt;=270), "Capesize", "Autre")))))</f>
        <v/>
      </c>
      <c r="X79" s="111">
        <f>IF(E79&lt;9999,"1",IF(E79&lt;19999,"2",IF(E79&lt;29999,"3",IF(E79&lt;39999,"4",IF(E79&lt;49999,"5",IF(E79&gt;50000,"6"))))))</f>
        <v/>
      </c>
      <c r="Y79" s="115" t="inlineStr">
        <is>
          <t>2N/1N/1BIS/1N</t>
        </is>
      </c>
      <c r="AA79" s="96" t="n">
        <v>45691.67708333334</v>
      </c>
      <c r="AB79" s="96" t="n">
        <v>45691.67708333334</v>
      </c>
      <c r="AC79" s="108" t="n">
        <v>45691</v>
      </c>
      <c r="AD79" s="108" t="n">
        <v>45693</v>
      </c>
      <c r="AE79" s="96" t="n">
        <v>45691.64583333334</v>
      </c>
      <c r="AF79" s="26" t="n">
        <v>45695.58333333334</v>
      </c>
      <c r="AG79" s="96" t="n">
        <v>45695.67361111111</v>
      </c>
      <c r="AH79" s="96" t="n">
        <v>45695.6875</v>
      </c>
      <c r="AI79" s="26" t="n">
        <v>45695.75</v>
      </c>
      <c r="AJ79" s="96" t="n">
        <v>45695.83680555555</v>
      </c>
      <c r="AK79" s="96" t="n">
        <v>45709.72916666666</v>
      </c>
      <c r="AL79" s="96" t="n">
        <v>45709.77083333334</v>
      </c>
      <c r="AM79" s="96" t="n">
        <v>45709.79166666666</v>
      </c>
      <c r="AN79" s="26" t="n">
        <v>45709.83402777778</v>
      </c>
      <c r="AO79" s="96" t="n">
        <v>45709.85069444445</v>
      </c>
      <c r="AP79" s="117">
        <f>(AG79-AF79)*1440</f>
        <v/>
      </c>
      <c r="AQ79" s="117">
        <f>(AG79-AE79)*1440</f>
        <v/>
      </c>
      <c r="AR79" s="117">
        <f>(AH79-AF79)*1440</f>
        <v/>
      </c>
      <c r="AS79" s="117">
        <f>(AI79-AH79)*1440</f>
        <v/>
      </c>
      <c r="AT79" s="117">
        <f>(AJ79-AH79)*1440</f>
        <v/>
      </c>
      <c r="AU79" s="117">
        <f>(AL79-AK79)*1440</f>
        <v/>
      </c>
      <c r="AV79" s="117">
        <f>(AM79-AL79)*1440</f>
        <v/>
      </c>
      <c r="AW79" s="117">
        <f>(AO79-AM79)*1440</f>
        <v/>
      </c>
      <c r="AX79" s="118">
        <f>AP79+AS79+AU79+AV79+AW79</f>
        <v/>
      </c>
      <c r="AY79" s="119">
        <f>(AG79-AA79)</f>
        <v/>
      </c>
      <c r="AZ79" s="119">
        <f>(AK79-AJ79)</f>
        <v/>
      </c>
      <c r="BA79" s="119">
        <f>AO79-AG79</f>
        <v/>
      </c>
      <c r="BB79" s="119">
        <f>(AO79-AA79)-(AP79/1440)-(AW79/1440)</f>
        <v/>
      </c>
      <c r="BC79" s="117">
        <f>E79/AZ79</f>
        <v/>
      </c>
      <c r="BE79" s="117">
        <f>IF(E79&lt;10000,3000,IF(E79&lt;15000,3600,IF(E79&lt;20000,4500,IF(E79&lt;25000,6000,IF(E79&lt;30000,7500,IF(E79&lt;40000,9000,IF(E79&gt;40000,10000)))))))</f>
        <v/>
      </c>
      <c r="BF79" s="322">
        <f>(E79/BE79)+2</f>
        <v/>
      </c>
      <c r="BS79" s="120" t="inlineStr">
        <is>
          <t>CHANGE DU POSTE 2N VERS LA RADE LE 08/02- 1408 / RE-ACC AU POSTE 1N LE 12/02- 0609 // CHANGE DU POSTE 1N VERS POSTE 1BIS LE 14/02- 2325 //  MAINTENU PAR SHORE TENSION // CHANGE DU POSTE 1BIS VERS LA RADE LE 17/02- 1900 // RE-ACC AU POSTE 1 LE 20/02- 1635</t>
        </is>
      </c>
      <c r="BT79" s="125" t="n">
        <v>5</v>
      </c>
      <c r="BW79" s="323">
        <f>AI79-AH79</f>
        <v/>
      </c>
      <c r="BX79" s="120" t="inlineStr">
        <is>
          <t>NUL</t>
        </is>
      </c>
      <c r="BY79" s="120" t="inlineStr">
        <is>
          <t>NUL</t>
        </is>
      </c>
      <c r="CB79" s="111" t="n">
        <v>23264</v>
      </c>
    </row>
    <row r="80" ht="15" customFormat="1" customHeight="1" s="230">
      <c r="A80" s="112" t="n"/>
      <c r="B80" s="317" t="inlineStr">
        <is>
          <t>BASIC ISLAND</t>
        </is>
      </c>
      <c r="C80" s="108" t="n">
        <v>45709</v>
      </c>
      <c r="D80" s="318" t="n">
        <v>11000</v>
      </c>
      <c r="E80" s="325" t="n"/>
      <c r="F80" s="141" t="inlineStr">
        <is>
          <t>OCP NUTRI</t>
        </is>
      </c>
      <c r="G80" s="112" t="n">
        <v>3</v>
      </c>
      <c r="H80" s="115" t="inlineStr">
        <is>
          <t>NPK</t>
        </is>
      </c>
      <c r="I80" s="114" t="inlineStr">
        <is>
          <t xml:space="preserve">NPK 14 28 14 EU </t>
        </is>
      </c>
      <c r="J80" s="113" t="inlineStr">
        <is>
          <t>CFR</t>
        </is>
      </c>
      <c r="K80" s="82" t="n">
        <v>520.4</v>
      </c>
      <c r="L80" s="336">
        <f>D80*K80</f>
        <v/>
      </c>
      <c r="M80" s="14" t="n">
        <v>9.9809</v>
      </c>
      <c r="N80" s="335">
        <f>L80*M80</f>
        <v/>
      </c>
      <c r="O80" s="16" t="inlineStr">
        <is>
          <t>116 H DU 26/01/2025</t>
        </is>
      </c>
      <c r="P80" s="16" t="inlineStr">
        <is>
          <t>South East Europe Fertilizer Company S.A</t>
        </is>
      </c>
      <c r="Q80" s="113" t="inlineStr">
        <is>
          <t>EUROPE</t>
        </is>
      </c>
      <c r="R80" s="115" t="inlineStr">
        <is>
          <t>ROUMANIE</t>
        </is>
      </c>
      <c r="S80" s="233" t="n"/>
      <c r="T80" s="131" t="inlineStr">
        <is>
          <t>INSPECTORATE</t>
        </is>
      </c>
      <c r="U80" s="112" t="n">
        <v>180</v>
      </c>
      <c r="V80" s="129">
        <f>IF(U80&lt;130, "Mini Bulker", IF(AND(U80&gt;=130, U80&lt;150), "Handysize", IF(AND(U80&gt;=150, U80&lt;200), "Handymax", IF(AND(U80&gt;=200, U80&lt;230), "Panamax", IF(AND(U80&gt;=230, U80&lt;=270), "Capesize", "Autre")))))</f>
        <v/>
      </c>
      <c r="X80" s="111">
        <f>IF(E80&lt;9999,"1",IF(E80&lt;19999,"2",IF(E80&lt;29999,"3",IF(E80&lt;39999,"4",IF(E80&lt;49999,"5",IF(E80&gt;50000,"6"))))))</f>
        <v/>
      </c>
      <c r="Y80" s="115" t="inlineStr">
        <is>
          <t>2N/1N/1BIS/1N</t>
        </is>
      </c>
      <c r="AA80" s="121" t="n"/>
      <c r="AB80" s="121" t="n"/>
      <c r="AC80" s="121" t="n"/>
      <c r="AD80" s="121" t="n"/>
      <c r="AE80" s="121" t="n"/>
      <c r="AF80" s="22" t="n"/>
      <c r="AG80" s="121" t="n"/>
      <c r="AH80" s="121" t="n"/>
      <c r="AI80" s="22" t="n"/>
      <c r="AJ80" s="121" t="n"/>
      <c r="AK80" s="121" t="n"/>
      <c r="AL80" s="121" t="n"/>
      <c r="AM80" s="121" t="n"/>
      <c r="AN80" s="22" t="n"/>
      <c r="AO80" s="121" t="n"/>
      <c r="AP80" s="121" t="n"/>
      <c r="AQ80" s="121" t="n"/>
      <c r="AR80" s="121" t="n"/>
      <c r="AS80" s="121" t="n"/>
      <c r="AT80" s="121" t="n"/>
      <c r="AU80" s="121" t="n"/>
      <c r="AV80" s="121" t="n"/>
      <c r="AW80" s="121" t="n"/>
      <c r="AX80" s="121" t="n"/>
      <c r="AY80" s="121" t="n"/>
      <c r="AZ80" s="121" t="n"/>
      <c r="BA80" s="121" t="n"/>
      <c r="BB80" s="121" t="n"/>
      <c r="BC80" s="121" t="n"/>
      <c r="BD80" s="121" t="n"/>
      <c r="BE80" s="121" t="n"/>
      <c r="BF80" s="121" t="n"/>
      <c r="BG80" s="121" t="n"/>
      <c r="BH80" s="121" t="n"/>
      <c r="BI80" s="121" t="n"/>
      <c r="BJ80" s="121" t="n"/>
      <c r="BK80" s="121" t="n"/>
      <c r="BL80" s="121" t="n"/>
      <c r="BM80" s="121" t="n"/>
      <c r="BN80" s="121" t="n"/>
      <c r="BO80" s="121" t="n"/>
      <c r="BS80" s="120" t="inlineStr">
        <is>
          <t>CHANGE DU POSTE 2N VERS LA RADE LE 08/02- 1408 / RE-ACC AU POSTE 1N LE 12/02- 0609 // CHANGE DU POSTE 1N VERS POSTE 1BIS LE 14/02- 2325 //  MAINTENU PAR SHORE TENSION // CHANGE DU POSTE 1BIS VERS LA RADE LE 17/02- 1900 // RE-ACC AU POSTE 1 LE 20/02- 1635</t>
        </is>
      </c>
      <c r="BT80" s="125" t="n"/>
      <c r="BW80" s="323">
        <f>AI80-AH80</f>
        <v/>
      </c>
      <c r="BX80" s="120" t="inlineStr">
        <is>
          <t>NUL</t>
        </is>
      </c>
      <c r="BY80" s="120" t="inlineStr">
        <is>
          <t>NUL</t>
        </is>
      </c>
      <c r="CB80" s="111" t="n"/>
    </row>
    <row r="81" ht="14.55" customFormat="1" customHeight="1" s="230">
      <c r="A81" s="112" t="n"/>
      <c r="B81" s="317" t="inlineStr">
        <is>
          <t>BASIC ISLAND</t>
        </is>
      </c>
      <c r="C81" s="108" t="n">
        <v>45709</v>
      </c>
      <c r="D81" s="318" t="n">
        <v>9320</v>
      </c>
      <c r="E81" s="325" t="n"/>
      <c r="F81" s="141" t="inlineStr">
        <is>
          <t>JFC1</t>
        </is>
      </c>
      <c r="G81" s="112" t="n">
        <v>3</v>
      </c>
      <c r="H81" s="115" t="inlineStr">
        <is>
          <t>NP</t>
        </is>
      </c>
      <c r="I81" s="114" t="inlineStr">
        <is>
          <t xml:space="preserve">NP 10 30 EU (Test) </t>
        </is>
      </c>
      <c r="J81" s="113" t="inlineStr">
        <is>
          <t>CFR</t>
        </is>
      </c>
      <c r="K81" s="82" t="n">
        <v>427.4</v>
      </c>
      <c r="L81" s="336">
        <f>D81*K81</f>
        <v/>
      </c>
      <c r="M81" s="14" t="n">
        <v>9.9809</v>
      </c>
      <c r="N81" s="335">
        <f>L81*M81</f>
        <v/>
      </c>
      <c r="O81" s="16" t="inlineStr">
        <is>
          <t>122 P DU 26/01/2025</t>
        </is>
      </c>
      <c r="P81" s="16" t="inlineStr">
        <is>
          <t>South East Europe Fertilizer Company S.A</t>
        </is>
      </c>
      <c r="Q81" s="113" t="inlineStr">
        <is>
          <t>EUROPE</t>
        </is>
      </c>
      <c r="R81" s="115" t="inlineStr">
        <is>
          <t>ROUMANIE</t>
        </is>
      </c>
      <c r="S81" s="233" t="n"/>
      <c r="T81" s="131" t="inlineStr">
        <is>
          <t>INSPECTORATE</t>
        </is>
      </c>
      <c r="U81" s="112" t="n">
        <v>180</v>
      </c>
      <c r="V81" s="129">
        <f>IF(U81&lt;130, "Mini Bulker", IF(AND(U81&gt;=130, U81&lt;150), "Handysize", IF(AND(U81&gt;=150, U81&lt;200), "Handymax", IF(AND(U81&gt;=200, U81&lt;230), "Panamax", IF(AND(U81&gt;=230, U81&lt;=270), "Capesize", "Autre")))))</f>
        <v/>
      </c>
      <c r="X81" s="111">
        <f>IF(E81&lt;9999,"1",IF(E81&lt;19999,"2",IF(E81&lt;29999,"3",IF(E81&lt;39999,"4",IF(E81&lt;49999,"5",IF(E81&gt;50000,"6"))))))</f>
        <v/>
      </c>
      <c r="Y81" s="115" t="inlineStr">
        <is>
          <t>2N/1N/1BIS/1N</t>
        </is>
      </c>
      <c r="AA81" s="96" t="n"/>
      <c r="AB81" s="96" t="n"/>
      <c r="AC81" s="121" t="n"/>
      <c r="AD81" s="121" t="n"/>
      <c r="AE81" s="96" t="n"/>
      <c r="AF81" s="219" t="n"/>
      <c r="AG81" s="96" t="n"/>
      <c r="AH81" s="96" t="n"/>
      <c r="AI81" s="219" t="n"/>
      <c r="AJ81" s="96" t="n"/>
      <c r="AK81" s="96" t="n"/>
      <c r="AL81" s="96" t="n"/>
      <c r="AM81" s="96" t="n"/>
      <c r="AN81" s="219" t="n"/>
      <c r="AO81" s="96" t="n"/>
      <c r="AP81" s="121" t="n"/>
      <c r="AQ81" s="121" t="n"/>
      <c r="AR81" s="121" t="n"/>
      <c r="AS81" s="121" t="n"/>
      <c r="AT81" s="121" t="n"/>
      <c r="AU81" s="121" t="n"/>
      <c r="AV81" s="121" t="n"/>
      <c r="AW81" s="121" t="n"/>
      <c r="AX81" s="121" t="n"/>
      <c r="AY81" s="121" t="n"/>
      <c r="AZ81" s="121" t="n"/>
      <c r="BA81" s="121" t="n"/>
      <c r="BB81" s="121" t="n"/>
      <c r="BC81" s="121" t="n"/>
      <c r="BD81" s="215" t="n"/>
      <c r="BE81" s="121" t="n"/>
      <c r="BF81" s="121" t="n"/>
      <c r="BG81" s="215" t="n"/>
      <c r="BH81" s="215" t="n"/>
      <c r="BI81" s="215" t="n"/>
      <c r="BJ81" s="215" t="n"/>
      <c r="BK81" s="215" t="n"/>
      <c r="BL81" s="215" t="n"/>
      <c r="BM81" s="215" t="n"/>
      <c r="BN81" s="215" t="n"/>
      <c r="BO81" s="215" t="n"/>
      <c r="BS81" s="120" t="inlineStr">
        <is>
          <t>CHANGE DU POSTE 2N VERS LA RADE LE 08/02- 1408 / RE-ACC AU POSTE 1N LE 12/02- 0609 // CHANGE DU POSTE 1N VERS POSTE 1BIS LE 14/02- 2325 //  MAINTENU PAR SHORE TENSION // CHANGE DU POSTE 1BIS VERS LA RADE LE 17/02- 1900 // RE-ACC AU POSTE 1 LE 20/02- 1635</t>
        </is>
      </c>
      <c r="BT81" s="125" t="n"/>
      <c r="BW81" s="323">
        <f>AI81-AH81</f>
        <v/>
      </c>
      <c r="BX81" s="120" t="inlineStr">
        <is>
          <t>NUL</t>
        </is>
      </c>
      <c r="BY81" s="120" t="inlineStr">
        <is>
          <t>NUL</t>
        </is>
      </c>
      <c r="CB81" s="111" t="n"/>
    </row>
    <row r="82" ht="14.55" customFormat="1" customHeight="1" s="230">
      <c r="A82" s="112" t="n">
        <v>52</v>
      </c>
      <c r="B82" s="317" t="inlineStr">
        <is>
          <t xml:space="preserve">SOLITAIRE I </t>
        </is>
      </c>
      <c r="C82" s="108" t="n">
        <v>45709</v>
      </c>
      <c r="D82" s="318" t="n">
        <v>16500</v>
      </c>
      <c r="E82" s="324">
        <f>D83+D82</f>
        <v/>
      </c>
      <c r="F82" s="141" t="inlineStr">
        <is>
          <t>OCP NUTRI</t>
        </is>
      </c>
      <c r="G82" s="112" t="n">
        <v>2</v>
      </c>
      <c r="H82" s="115" t="inlineStr">
        <is>
          <t>TSP</t>
        </is>
      </c>
      <c r="I82" s="114" t="inlineStr">
        <is>
          <t xml:space="preserve">TSP CIV </t>
        </is>
      </c>
      <c r="J82" s="113" t="inlineStr">
        <is>
          <t>FOB</t>
        </is>
      </c>
      <c r="K82" s="82" t="n">
        <v>443</v>
      </c>
      <c r="L82" s="336">
        <f>D82*K82</f>
        <v/>
      </c>
      <c r="M82" s="14" t="n">
        <v>9.9809</v>
      </c>
      <c r="N82" s="335">
        <f>L82*M82</f>
        <v/>
      </c>
      <c r="O82" s="16" t="inlineStr">
        <is>
          <t>116 H DU 26/01/2025</t>
        </is>
      </c>
      <c r="P82" s="16" t="inlineStr">
        <is>
          <t>SOLEVO COTE D'IVOIRE SA</t>
        </is>
      </c>
      <c r="Q82" s="113" t="inlineStr">
        <is>
          <t>AFRIQUE</t>
        </is>
      </c>
      <c r="R82" s="115" t="inlineStr">
        <is>
          <t>COTE D'IVOIRE</t>
        </is>
      </c>
      <c r="S82" s="233" t="n"/>
      <c r="T82" s="131" t="inlineStr">
        <is>
          <t>INSPECTORATE</t>
        </is>
      </c>
      <c r="U82" s="112" t="n">
        <v>160</v>
      </c>
      <c r="V82" s="129">
        <f>IF(U82&lt;130, "Mini Bulker", IF(AND(U82&gt;=130, U82&lt;150), "Handysize", IF(AND(U82&gt;=150, U82&lt;200), "Handymax", IF(AND(U82&gt;=200, U82&lt;230), "Panamax", IF(AND(U82&gt;=230, U82&lt;=270), "Capesize", "Autre")))))</f>
        <v/>
      </c>
      <c r="X82" s="111">
        <f>IF(E82&lt;9999,"1",IF(E82&lt;19999,"2",IF(E82&lt;29999,"3",IF(E82&lt;39999,"4",IF(E82&lt;49999,"5",IF(E82&gt;50000,"6"))))))</f>
        <v/>
      </c>
      <c r="Y82" s="115" t="inlineStr">
        <is>
          <t>2N</t>
        </is>
      </c>
      <c r="AA82" s="121" t="n">
        <v>45695.66666666666</v>
      </c>
      <c r="AB82" s="121" t="n">
        <v>45695.66666666666</v>
      </c>
      <c r="AC82" s="108" t="n">
        <v>45694</v>
      </c>
      <c r="AD82" s="108" t="n">
        <v>45696</v>
      </c>
      <c r="AE82" s="121" t="n">
        <v>45693.10833333333</v>
      </c>
      <c r="AF82" s="17" t="n">
        <v>45696.58888888889</v>
      </c>
      <c r="AG82" s="121" t="n">
        <v>45696.66666666666</v>
      </c>
      <c r="AH82" s="121" t="n">
        <v>45696.68402777778</v>
      </c>
      <c r="AI82" s="17" t="n">
        <v>45696.75347222222</v>
      </c>
      <c r="AJ82" s="121" t="n">
        <v>45696.8125</v>
      </c>
      <c r="AK82" s="121" t="n">
        <v>45709.19097222222</v>
      </c>
      <c r="AL82" s="121" t="n">
        <v>45709.22083333333</v>
      </c>
      <c r="AM82" s="121" t="n">
        <v>45709.23958333334</v>
      </c>
      <c r="AN82" s="17" t="n">
        <v>45709.26944444444</v>
      </c>
      <c r="AO82" s="121" t="n">
        <v>45709.36875</v>
      </c>
      <c r="AP82" s="117">
        <f>(AG82-AF82)*1440</f>
        <v/>
      </c>
      <c r="AQ82" s="117">
        <f>(AG82-AE82)*1440</f>
        <v/>
      </c>
      <c r="AR82" s="117">
        <f>(AH82-AF82)*1440</f>
        <v/>
      </c>
      <c r="AS82" s="117">
        <f>(AI82-AH82)*1440</f>
        <v/>
      </c>
      <c r="AT82" s="117">
        <f>(AJ82-AH82)*1440</f>
        <v/>
      </c>
      <c r="AU82" s="117">
        <f>(AL82-AK82)*1440</f>
        <v/>
      </c>
      <c r="AV82" s="117">
        <f>(AM82-AL82)*1440</f>
        <v/>
      </c>
      <c r="AW82" s="117">
        <f>(AO82-AM82)*1440</f>
        <v/>
      </c>
      <c r="AX82" s="118">
        <f>AP82+AS82+AU82+AV82+AW82</f>
        <v/>
      </c>
      <c r="AY82" s="119">
        <f>(AG82-AA82)</f>
        <v/>
      </c>
      <c r="AZ82" s="119">
        <f>(AK82-AJ82)</f>
        <v/>
      </c>
      <c r="BA82" s="119">
        <f>AO82-AG82</f>
        <v/>
      </c>
      <c r="BB82" s="119">
        <f>(AO82-AA82)-(AP82/1440)-(AW82/1440)</f>
        <v/>
      </c>
      <c r="BC82" s="117">
        <f>E82/AZ82</f>
        <v/>
      </c>
      <c r="BD82" s="225" t="n"/>
      <c r="BE82" s="117">
        <f>IF(E82&lt;10000,3000,IF(E82&lt;15000,3600,IF(E82&lt;20000,4500,IF(E82&lt;25000,6000,IF(E82&lt;30000,7500,IF(E82&lt;40000,9000,IF(E82&gt;40000,10000)))))))</f>
        <v/>
      </c>
      <c r="BF82" s="322">
        <f>(E82/BE82)+2</f>
        <v/>
      </c>
      <c r="BG82" s="225" t="n"/>
      <c r="BH82" s="225" t="n"/>
      <c r="BI82" s="225" t="n"/>
      <c r="BJ82" s="225" t="n"/>
      <c r="BK82" s="225" t="n"/>
      <c r="BL82" s="225" t="n"/>
      <c r="BM82" s="225" t="n"/>
      <c r="BN82" s="225" t="n"/>
      <c r="BO82" s="225" t="n"/>
      <c r="BS82" s="120" t="inlineStr">
        <is>
          <t>CHANGE DU POSTE 2N VERS LA RADE LE 11/02- 1626 // RE-ACC AU POSTE 2N LE 20/02- 1500</t>
        </is>
      </c>
      <c r="BT82" s="125" t="n">
        <v>2</v>
      </c>
      <c r="BW82" s="323">
        <f>AI82-AH82</f>
        <v/>
      </c>
      <c r="BX82" s="120" t="inlineStr">
        <is>
          <t>NUL</t>
        </is>
      </c>
      <c r="BY82" s="120" t="inlineStr">
        <is>
          <t>NUL</t>
        </is>
      </c>
      <c r="CB82" s="111" t="n">
        <v>15609</v>
      </c>
    </row>
    <row r="83" ht="14.55" customFormat="1" customHeight="1" s="230">
      <c r="B83" s="317" t="inlineStr">
        <is>
          <t xml:space="preserve">SOLITAIRE I </t>
        </is>
      </c>
      <c r="C83" s="108" t="n">
        <v>45709</v>
      </c>
      <c r="D83" s="318" t="n">
        <v>5500</v>
      </c>
      <c r="E83" s="325" t="n"/>
      <c r="F83" s="141" t="inlineStr">
        <is>
          <t>KOFERT</t>
        </is>
      </c>
      <c r="G83" s="112" t="n">
        <v>2</v>
      </c>
      <c r="H83" s="115" t="inlineStr">
        <is>
          <t>DAP</t>
        </is>
      </c>
      <c r="I83" s="114" t="inlineStr">
        <is>
          <t xml:space="preserve">DAP SPECIAL DARK </t>
        </is>
      </c>
      <c r="J83" s="113" t="inlineStr">
        <is>
          <t>FOB</t>
        </is>
      </c>
      <c r="K83" s="82" t="n">
        <v>595</v>
      </c>
      <c r="L83" s="336">
        <f>D83*K83</f>
        <v/>
      </c>
      <c r="M83" s="14" t="n">
        <v>9.9809</v>
      </c>
      <c r="N83" s="335">
        <f>L83*M83</f>
        <v/>
      </c>
      <c r="O83" s="16" t="inlineStr">
        <is>
          <t>124 S DU 26/01/2025</t>
        </is>
      </c>
      <c r="P83" s="16" t="inlineStr">
        <is>
          <t>SOLEVO COTE D'IVOIRE SA</t>
        </is>
      </c>
      <c r="Q83" s="113" t="inlineStr">
        <is>
          <t>AFRIQUE</t>
        </is>
      </c>
      <c r="R83" s="115" t="inlineStr">
        <is>
          <t>COTE D'IVOIRE</t>
        </is>
      </c>
      <c r="S83" s="233" t="n"/>
      <c r="T83" s="131" t="inlineStr">
        <is>
          <t>INSPECTORATE</t>
        </is>
      </c>
      <c r="U83" s="112" t="n">
        <v>160</v>
      </c>
      <c r="V83" s="129">
        <f>IF(U83&lt;130, "Mini Bulker", IF(AND(U83&gt;=130, U83&lt;150), "Handysize", IF(AND(U83&gt;=150, U83&lt;200), "Handymax", IF(AND(U83&gt;=200, U83&lt;230), "Panamax", IF(AND(U83&gt;=230, U83&lt;=270), "Capesize", "Autre")))))</f>
        <v/>
      </c>
      <c r="X83" s="111">
        <f>IF(E83&lt;9999,"1",IF(E83&lt;19999,"2",IF(E83&lt;29999,"3",IF(E83&lt;39999,"4",IF(E83&lt;49999,"5",IF(E83&gt;50000,"6"))))))</f>
        <v/>
      </c>
      <c r="Y83" s="115" t="inlineStr">
        <is>
          <t>2N</t>
        </is>
      </c>
      <c r="AA83" s="121" t="n"/>
      <c r="AB83" s="121" t="n"/>
      <c r="AC83" s="121" t="n"/>
      <c r="AD83" s="121" t="n"/>
      <c r="AE83" s="121" t="n"/>
      <c r="AF83" s="22" t="n"/>
      <c r="AG83" s="121" t="n"/>
      <c r="AH83" s="121" t="n"/>
      <c r="AI83" s="22" t="n"/>
      <c r="AJ83" s="121" t="n"/>
      <c r="AK83" s="121" t="n"/>
      <c r="AL83" s="121" t="n"/>
      <c r="AM83" s="121" t="n"/>
      <c r="AN83" s="22" t="n"/>
      <c r="AO83" s="121" t="n"/>
      <c r="AP83" s="121" t="n"/>
      <c r="AQ83" s="121" t="n"/>
      <c r="AR83" s="121" t="n"/>
      <c r="AS83" s="121" t="n"/>
      <c r="AT83" s="121" t="n"/>
      <c r="AU83" s="121" t="n"/>
      <c r="AV83" s="121" t="n"/>
      <c r="AW83" s="121" t="n"/>
      <c r="AX83" s="121" t="n"/>
      <c r="AY83" s="121" t="n"/>
      <c r="AZ83" s="121" t="n"/>
      <c r="BA83" s="121" t="n"/>
      <c r="BB83" s="121" t="n"/>
      <c r="BC83" s="121" t="n"/>
      <c r="BD83" s="121" t="n"/>
      <c r="BE83" s="121" t="n"/>
      <c r="BF83" s="121" t="n"/>
      <c r="BG83" s="121" t="n"/>
      <c r="BH83" s="121" t="n"/>
      <c r="BI83" s="121" t="n"/>
      <c r="BJ83" s="121" t="n"/>
      <c r="BK83" s="121" t="n"/>
      <c r="BL83" s="121" t="n"/>
      <c r="BM83" s="121" t="n"/>
      <c r="BN83" s="121" t="n"/>
      <c r="BO83" s="121" t="n"/>
      <c r="BS83" s="120" t="inlineStr">
        <is>
          <t>CHANGE DU POSTE 2N VERS LA RADE LE 11/02- 1626 // RE-ACC AU POSTE 2N LE 20/02- 1500</t>
        </is>
      </c>
      <c r="BT83" s="125" t="n"/>
      <c r="BW83" s="323">
        <f>AI83-AH83</f>
        <v/>
      </c>
      <c r="BX83" s="120" t="inlineStr">
        <is>
          <t>NUL</t>
        </is>
      </c>
      <c r="BY83" s="120" t="inlineStr">
        <is>
          <t>NUL</t>
        </is>
      </c>
      <c r="CB83" s="111" t="n"/>
    </row>
    <row r="84" customFormat="1" s="230">
      <c r="A84" s="112" t="n">
        <v>54</v>
      </c>
      <c r="B84" s="317" t="inlineStr">
        <is>
          <t>OCMIS RISE</t>
        </is>
      </c>
      <c r="C84" s="108" t="n">
        <v>45710</v>
      </c>
      <c r="D84" s="318" t="n">
        <v>3325</v>
      </c>
      <c r="E84" s="318" t="n">
        <v>3325</v>
      </c>
      <c r="F84" s="141" t="inlineStr">
        <is>
          <t>OCP NUTRI</t>
        </is>
      </c>
      <c r="G84" s="112" t="n">
        <v>1</v>
      </c>
      <c r="H84" s="115" t="inlineStr">
        <is>
          <t>DAP</t>
        </is>
      </c>
      <c r="I84" s="114" t="inlineStr">
        <is>
          <t xml:space="preserve">DAP EURO </t>
        </is>
      </c>
      <c r="J84" s="113" t="inlineStr">
        <is>
          <t>CFR</t>
        </is>
      </c>
      <c r="K84" s="82" t="n">
        <v>630</v>
      </c>
      <c r="L84" s="336">
        <f>D84*K84</f>
        <v/>
      </c>
      <c r="M84" s="14" t="n">
        <v>9.950699999999999</v>
      </c>
      <c r="N84" s="335">
        <f>L84*M84</f>
        <v/>
      </c>
      <c r="O84" s="16" t="inlineStr">
        <is>
          <t>116 H DU 26/01/2025</t>
        </is>
      </c>
      <c r="P84" s="16" t="inlineStr">
        <is>
          <t xml:space="preserve">MUGAVERO S.P.A. </t>
        </is>
      </c>
      <c r="Q84" s="129" t="inlineStr">
        <is>
          <t>EUROPE</t>
        </is>
      </c>
      <c r="R84" s="131" t="inlineStr">
        <is>
          <t>ITALY</t>
        </is>
      </c>
      <c r="S84" s="233" t="n"/>
      <c r="T84" s="131" t="inlineStr">
        <is>
          <t>INTERTEK</t>
        </is>
      </c>
      <c r="U84" s="112" t="n">
        <v>100</v>
      </c>
      <c r="V84" s="129">
        <f>IF(U84&lt;130, "Mini Bulker", IF(AND(U84&gt;=130, U84&lt;150), "Handysize", IF(AND(U84&gt;=150, U84&lt;200), "Handymax", IF(AND(U84&gt;=200, U84&lt;230), "Panamax", IF(AND(U84&gt;=230, U84&lt;=270), "Capesize", "Autre")))))</f>
        <v/>
      </c>
      <c r="X84" s="111">
        <f>IF(E84&lt;9999,"1",IF(E84&lt;19999,"2",IF(E84&lt;29999,"3",IF(E84&lt;39999,"4",IF(E84&lt;49999,"5",IF(E84&gt;50000,"6"))))))</f>
        <v/>
      </c>
      <c r="Y84" s="115" t="inlineStr">
        <is>
          <t>1TER</t>
        </is>
      </c>
      <c r="AA84" s="96" t="n">
        <v>45697.44791666666</v>
      </c>
      <c r="AB84" s="96" t="n">
        <v>45698.375</v>
      </c>
      <c r="AC84" s="108" t="n">
        <v>45686</v>
      </c>
      <c r="AD84" s="108" t="n">
        <v>45695</v>
      </c>
      <c r="AE84" s="96" t="n">
        <v>45695.09375</v>
      </c>
      <c r="AF84" s="26" t="n">
        <v>45709.31388888889</v>
      </c>
      <c r="AG84" s="96" t="n">
        <v>45709.45833333334</v>
      </c>
      <c r="AH84" s="96" t="n">
        <v>45709.47569444445</v>
      </c>
      <c r="AI84" s="26" t="n">
        <v>45709.55208333334</v>
      </c>
      <c r="AJ84" s="96" t="n">
        <v>45709.74305555555</v>
      </c>
      <c r="AK84" s="96" t="n">
        <v>45710.13888888889</v>
      </c>
      <c r="AL84" s="96" t="n">
        <v>45710.17083333333</v>
      </c>
      <c r="AM84" s="96" t="n">
        <v>45710.19444444445</v>
      </c>
      <c r="AN84" s="26" t="n">
        <v>45710.25486111111</v>
      </c>
      <c r="AO84" s="96" t="n">
        <v>45710.30555555555</v>
      </c>
      <c r="AP84" s="117">
        <f>(AG84-AF84)*1440</f>
        <v/>
      </c>
      <c r="AQ84" s="117">
        <f>(AG84-AE84)*1440</f>
        <v/>
      </c>
      <c r="AR84" s="117">
        <f>(AH84-AF84)*1440</f>
        <v/>
      </c>
      <c r="AS84" s="117">
        <f>(AI84-AH84)*1440</f>
        <v/>
      </c>
      <c r="AT84" s="117">
        <f>(AJ84-AH84)*1440</f>
        <v/>
      </c>
      <c r="AU84" s="117">
        <f>(AL84-AK84)*1440</f>
        <v/>
      </c>
      <c r="AV84" s="117">
        <f>(AM84-AL84)*1440</f>
        <v/>
      </c>
      <c r="AW84" s="117">
        <f>(AO84-AM84)*1440</f>
        <v/>
      </c>
      <c r="AX84" s="118">
        <f>AP84+AS84+AU84+AV84+AW84</f>
        <v/>
      </c>
      <c r="AY84" s="119">
        <f>(AG84-AA84)</f>
        <v/>
      </c>
      <c r="AZ84" s="119">
        <f>(AK84-AJ84)</f>
        <v/>
      </c>
      <c r="BA84" s="119">
        <f>AO84-AG84</f>
        <v/>
      </c>
      <c r="BB84" s="119">
        <f>(AO84-AA84)-(AP84/1440)-(AW84/1440)</f>
        <v/>
      </c>
      <c r="BC84" s="117">
        <f>E84/AZ84</f>
        <v/>
      </c>
      <c r="BE84" s="117">
        <f>IF(E84&lt;10000,3000,IF(E84&lt;15000,3600,IF(E84&lt;20000,4500,IF(E84&lt;25000,6000,IF(E84&lt;30000,7500,IF(E84&lt;40000,9000,IF(E84&gt;40000,10000)))))))</f>
        <v/>
      </c>
      <c r="BF84" s="322">
        <f>(E84/BE84)+2</f>
        <v/>
      </c>
      <c r="BS84" s="120" t="inlineStr">
        <is>
          <t>NUL</t>
        </is>
      </c>
      <c r="BT84" s="125" t="n">
        <v>0</v>
      </c>
      <c r="BW84" s="323">
        <f>AI84-AH84</f>
        <v/>
      </c>
      <c r="BX84" s="120" t="n"/>
      <c r="BY84" s="120" t="n">
        <v>50</v>
      </c>
      <c r="CB84" s="111" t="n">
        <v>3862</v>
      </c>
    </row>
    <row r="85" customFormat="1" s="230">
      <c r="A85" s="112" t="n">
        <v>55</v>
      </c>
      <c r="B85" s="317" t="inlineStr">
        <is>
          <t>TELMO</t>
        </is>
      </c>
      <c r="C85" s="108" t="n">
        <v>45710</v>
      </c>
      <c r="D85" s="318" t="n">
        <v>4950</v>
      </c>
      <c r="E85" s="318" t="n">
        <v>4950</v>
      </c>
      <c r="F85" s="141" t="inlineStr">
        <is>
          <t>JFC2</t>
        </is>
      </c>
      <c r="G85" s="112" t="n">
        <v>1</v>
      </c>
      <c r="H85" s="115" t="inlineStr">
        <is>
          <t>DAP</t>
        </is>
      </c>
      <c r="I85" s="114" t="inlineStr">
        <is>
          <t xml:space="preserve">DAP EURO </t>
        </is>
      </c>
      <c r="J85" s="113" t="inlineStr">
        <is>
          <t>CFR</t>
        </is>
      </c>
      <c r="K85" s="82" t="n">
        <v>662</v>
      </c>
      <c r="L85" s="336">
        <f>D85*K85</f>
        <v/>
      </c>
      <c r="M85" s="14" t="n">
        <v>9.950699999999999</v>
      </c>
      <c r="N85" s="335">
        <f>L85*M85</f>
        <v/>
      </c>
      <c r="O85" s="16" t="inlineStr">
        <is>
          <t>123 R DU 26/01/2025</t>
        </is>
      </c>
      <c r="P85" s="16" t="inlineStr">
        <is>
          <t>Origin UK Operations Limited</t>
        </is>
      </c>
      <c r="Q85" s="129" t="inlineStr">
        <is>
          <t>EUROPE</t>
        </is>
      </c>
      <c r="R85" s="115" t="inlineStr">
        <is>
          <t>ROYAUME UNI</t>
        </is>
      </c>
      <c r="S85" s="233" t="n"/>
      <c r="T85" s="131" t="inlineStr">
        <is>
          <t>INSPECTORATE</t>
        </is>
      </c>
      <c r="U85" s="112" t="n">
        <v>100</v>
      </c>
      <c r="V85" s="129">
        <f>IF(U85&lt;130, "Mini Bulker", IF(AND(U85&gt;=130, U85&lt;150), "Handysize", IF(AND(U85&gt;=150, U85&lt;200), "Handymax", IF(AND(U85&gt;=200, U85&lt;230), "Panamax", IF(AND(U85&gt;=230, U85&lt;=270), "Capesize", "Autre")))))</f>
        <v/>
      </c>
      <c r="X85" s="111">
        <f>IF(E85&lt;9999,"1",IF(E85&lt;19999,"2",IF(E85&lt;29999,"3",IF(E85&lt;39999,"4",IF(E85&lt;49999,"5",IF(E85&gt;50000,"6"))))))</f>
        <v/>
      </c>
      <c r="Y85" s="115" t="inlineStr">
        <is>
          <t>4BIS/1N</t>
        </is>
      </c>
      <c r="AA85" s="96" t="n">
        <v>45702.375</v>
      </c>
      <c r="AB85" s="96" t="n">
        <v>45702.375</v>
      </c>
      <c r="AC85" s="108" t="n">
        <v>45700</v>
      </c>
      <c r="AD85" s="108" t="n">
        <v>45703</v>
      </c>
      <c r="AE85" s="96" t="n">
        <v>45701.875</v>
      </c>
      <c r="AF85" s="26" t="n">
        <v>45709.4375</v>
      </c>
      <c r="AG85" s="96" t="n">
        <v>45709.53472222222</v>
      </c>
      <c r="AH85" s="96" t="n">
        <v>45709.54861111111</v>
      </c>
      <c r="AI85" s="26" t="n">
        <v>45709.91666666666</v>
      </c>
      <c r="AJ85" s="96" t="n">
        <v>45709.93402777778</v>
      </c>
      <c r="AK85" s="96" t="n">
        <v>45710.83333333334</v>
      </c>
      <c r="AL85" s="96" t="n">
        <v>45710.89722222222</v>
      </c>
      <c r="AM85" s="96" t="n">
        <v>45710.91666666666</v>
      </c>
      <c r="AN85" s="26" t="n">
        <v>45711</v>
      </c>
      <c r="AO85" s="96" t="n">
        <v>45711.01736111111</v>
      </c>
      <c r="AP85" s="117">
        <f>(AG85-AF85)*1440</f>
        <v/>
      </c>
      <c r="AQ85" s="117">
        <f>(AG85-AE85)*1440</f>
        <v/>
      </c>
      <c r="AR85" s="117">
        <f>(AH85-AF85)*1440</f>
        <v/>
      </c>
      <c r="AS85" s="117">
        <f>(AI85-AH85)*1440</f>
        <v/>
      </c>
      <c r="AT85" s="117">
        <f>(AJ85-AH85)*1440</f>
        <v/>
      </c>
      <c r="AU85" s="117">
        <f>(AL85-AK85)*1440</f>
        <v/>
      </c>
      <c r="AV85" s="117">
        <f>(AM85-AL85)*1440</f>
        <v/>
      </c>
      <c r="AW85" s="117">
        <f>(AO85-AM85)*1440</f>
        <v/>
      </c>
      <c r="AX85" s="118">
        <f>AP85+AS85+AU85+AV85+AW85</f>
        <v/>
      </c>
      <c r="AY85" s="119">
        <f>(AG85-AA85)</f>
        <v/>
      </c>
      <c r="AZ85" s="119">
        <f>(AK85-AJ85)</f>
        <v/>
      </c>
      <c r="BA85" s="119">
        <f>AO85-AG85</f>
        <v/>
      </c>
      <c r="BB85" s="119">
        <f>(AO85-AA85)-(AP85/1440)-(AW85/1440)</f>
        <v/>
      </c>
      <c r="BC85" s="117">
        <f>E85/AZ85</f>
        <v/>
      </c>
      <c r="BE85" s="117">
        <f>IF(E85&lt;10000,3000,IF(E85&lt;15000,3600,IF(E85&lt;20000,4500,IF(E85&lt;25000,6000,IF(E85&lt;30000,7500,IF(E85&lt;40000,9000,IF(E85&gt;40000,10000)))))))</f>
        <v/>
      </c>
      <c r="BF85" s="322">
        <f>(E85/BE85)+2</f>
        <v/>
      </c>
      <c r="BS85" s="120" t="inlineStr">
        <is>
          <t>'CHANGE DU POSTE 4BIS VERS LE POSTE 1N LE 21/02 - 2128</t>
        </is>
      </c>
      <c r="BT85" s="125" t="n">
        <v>1</v>
      </c>
      <c r="BW85" s="323">
        <f>AI85-AH85</f>
        <v/>
      </c>
      <c r="BX85" s="120" t="n"/>
      <c r="BY85" s="120" t="n">
        <v>20</v>
      </c>
      <c r="CB85" s="111" t="n">
        <v>3978</v>
      </c>
    </row>
    <row r="86" customFormat="1" s="230">
      <c r="A86" s="112" t="n">
        <v>56</v>
      </c>
      <c r="B86" s="317" t="inlineStr">
        <is>
          <t>ANZORAS</t>
        </is>
      </c>
      <c r="C86" s="108" t="n">
        <v>45711</v>
      </c>
      <c r="D86" s="318" t="n">
        <v>5241</v>
      </c>
      <c r="E86" s="318" t="n">
        <v>5241</v>
      </c>
      <c r="F86" s="141" t="inlineStr">
        <is>
          <t>JFC2</t>
        </is>
      </c>
      <c r="G86" s="112" t="n">
        <v>1</v>
      </c>
      <c r="H86" s="115" t="inlineStr">
        <is>
          <t>DAP</t>
        </is>
      </c>
      <c r="I86" s="114" t="inlineStr">
        <is>
          <t xml:space="preserve">DAP EURO </t>
        </is>
      </c>
      <c r="J86" s="113" t="inlineStr">
        <is>
          <t>FOB</t>
        </is>
      </c>
      <c r="K86" s="82" t="n">
        <v>607</v>
      </c>
      <c r="L86" s="336">
        <f>D86*K86</f>
        <v/>
      </c>
      <c r="M86" s="14" t="n">
        <v>9.950699999999999</v>
      </c>
      <c r="N86" s="335">
        <f>L86*M86</f>
        <v/>
      </c>
      <c r="O86" s="16" t="inlineStr">
        <is>
          <t>252 F DU 26/02/2025</t>
        </is>
      </c>
      <c r="P86" s="16" t="inlineStr">
        <is>
          <t>Helm AG</t>
        </is>
      </c>
      <c r="Q86" s="129" t="inlineStr">
        <is>
          <t>EUROPE</t>
        </is>
      </c>
      <c r="R86" s="115" t="inlineStr">
        <is>
          <t>IRLANDE</t>
        </is>
      </c>
      <c r="S86" s="233" t="n"/>
      <c r="T86" s="131" t="inlineStr">
        <is>
          <t>INSPECTORATE</t>
        </is>
      </c>
      <c r="U86" s="112" t="n">
        <v>100</v>
      </c>
      <c r="V86" s="129">
        <f>IF(U86&lt;130, "Mini Bulker", IF(AND(U86&gt;=130, U86&lt;150), "Handysize", IF(AND(U86&gt;=150, U86&lt;200), "Handymax", IF(AND(U86&gt;=200, U86&lt;230), "Panamax", IF(AND(U86&gt;=230, U86&lt;=270), "Capesize", "Autre")))))</f>
        <v/>
      </c>
      <c r="X86" s="111">
        <f>IF(E86&lt;9999,"1",IF(E86&lt;19999,"2",IF(E86&lt;29999,"3",IF(E86&lt;39999,"4",IF(E86&lt;49999,"5",IF(E86&gt;50000,"6"))))))</f>
        <v/>
      </c>
      <c r="Y86" s="115" t="inlineStr">
        <is>
          <t>1SUD</t>
        </is>
      </c>
      <c r="AA86" s="96" t="n">
        <v>45702.53125</v>
      </c>
      <c r="AB86" s="96" t="n">
        <v>45702.53125</v>
      </c>
      <c r="AC86" s="108" t="n">
        <v>45701</v>
      </c>
      <c r="AD86" s="108" t="n">
        <v>45704</v>
      </c>
      <c r="AE86" s="96" t="n">
        <v>45702.53819444445</v>
      </c>
      <c r="AF86" s="26" t="n">
        <v>45710.64583333334</v>
      </c>
      <c r="AG86" s="96" t="n">
        <v>45710.69791666666</v>
      </c>
      <c r="AH86" s="133" t="n">
        <v>45710.70833333334</v>
      </c>
      <c r="AI86" s="94" t="n">
        <v>45710.76388888889</v>
      </c>
      <c r="AJ86" s="96" t="n">
        <v>45711.09375</v>
      </c>
      <c r="AK86" s="96" t="n">
        <v>45711.64236111111</v>
      </c>
      <c r="AL86" s="96" t="n">
        <v>45711.675</v>
      </c>
      <c r="AM86" s="96" t="n">
        <v>45711.69097222222</v>
      </c>
      <c r="AN86" s="26" t="n">
        <v>45711.72569444445</v>
      </c>
      <c r="AO86" s="96" t="n">
        <v>45711.73402777778</v>
      </c>
      <c r="AP86" s="117">
        <f>(AG86-AF86)*1440</f>
        <v/>
      </c>
      <c r="AQ86" s="117">
        <f>(AG86-AE86)*1440</f>
        <v/>
      </c>
      <c r="AR86" s="117">
        <f>(AH86-AF86)*1440</f>
        <v/>
      </c>
      <c r="AS86" s="117">
        <f>(AI86-AH86)*1440</f>
        <v/>
      </c>
      <c r="AT86" s="117">
        <f>(AJ86-AH86)*1440</f>
        <v/>
      </c>
      <c r="AU86" s="117">
        <f>(AL86-AK86)*1440</f>
        <v/>
      </c>
      <c r="AV86" s="117">
        <f>(AM86-AL86)*1440</f>
        <v/>
      </c>
      <c r="AW86" s="117">
        <f>(AO86-AM86)*1440</f>
        <v/>
      </c>
      <c r="AX86" s="118">
        <f>AP86+AS86+AU86+AV86+AW86</f>
        <v/>
      </c>
      <c r="AY86" s="119">
        <f>(AG86-AA86)</f>
        <v/>
      </c>
      <c r="AZ86" s="119">
        <f>(AK86-AJ86)</f>
        <v/>
      </c>
      <c r="BA86" s="119">
        <f>AO86-AG86</f>
        <v/>
      </c>
      <c r="BB86" s="119">
        <f>(AO86-AA86)-(AP86/1440)-(AW86/1440)</f>
        <v/>
      </c>
      <c r="BC86" s="117">
        <f>E86/AZ86</f>
        <v/>
      </c>
      <c r="BE86" s="117">
        <f>IF(E86&lt;10000,3000,IF(E86&lt;15000,3600,IF(E86&lt;20000,4500,IF(E86&lt;25000,6000,IF(E86&lt;30000,7500,IF(E86&lt;40000,9000,IF(E86&gt;40000,10000)))))))</f>
        <v/>
      </c>
      <c r="BF86" s="322">
        <f>(E86/BE86)+2</f>
        <v/>
      </c>
      <c r="BS86" s="120" t="inlineStr">
        <is>
          <t>NUL</t>
        </is>
      </c>
      <c r="BT86" s="125" t="n">
        <v>0</v>
      </c>
      <c r="BW86" s="323">
        <f>AI86-AH86</f>
        <v/>
      </c>
      <c r="BX86" s="120" t="inlineStr">
        <is>
          <t>NUL</t>
        </is>
      </c>
      <c r="BY86" s="120" t="inlineStr">
        <is>
          <t>NUL</t>
        </is>
      </c>
      <c r="CB86" s="111" t="n">
        <v>3995</v>
      </c>
    </row>
    <row r="87" ht="14.55" customFormat="1" customHeight="1" s="230">
      <c r="A87" s="112" t="n">
        <v>58</v>
      </c>
      <c r="B87" s="317" t="inlineStr">
        <is>
          <t>EYUP</t>
        </is>
      </c>
      <c r="C87" s="108" t="n">
        <v>45712</v>
      </c>
      <c r="D87" s="318" t="n">
        <v>7700</v>
      </c>
      <c r="E87" s="318" t="n">
        <v>7700</v>
      </c>
      <c r="F87" s="141" t="inlineStr">
        <is>
          <t>JFC2</t>
        </is>
      </c>
      <c r="G87" s="112" t="n">
        <v>1</v>
      </c>
      <c r="H87" s="129" t="inlineStr">
        <is>
          <t>DAP</t>
        </is>
      </c>
      <c r="I87" s="114" t="inlineStr">
        <is>
          <t xml:space="preserve">DAP EURO </t>
        </is>
      </c>
      <c r="J87" s="113" t="inlineStr">
        <is>
          <t>CFR</t>
        </is>
      </c>
      <c r="K87" s="82" t="n">
        <v>642.5</v>
      </c>
      <c r="L87" s="336">
        <f>D87*K87</f>
        <v/>
      </c>
      <c r="M87" s="14" t="n">
        <v>9.950699999999999</v>
      </c>
      <c r="N87" s="335">
        <f>L87*M87</f>
        <v/>
      </c>
      <c r="O87" s="16" t="inlineStr">
        <is>
          <t>123 R DU 26/01/2025</t>
        </is>
      </c>
      <c r="P87" s="16" t="inlineStr">
        <is>
          <t>Fertinagro Biotech SL /FERTILIZANTES DEL NORESTE SL</t>
        </is>
      </c>
      <c r="Q87" s="113" t="inlineStr">
        <is>
          <t>EUROPE</t>
        </is>
      </c>
      <c r="R87" s="115" t="inlineStr">
        <is>
          <t>Espagne</t>
        </is>
      </c>
      <c r="S87" s="233" t="n"/>
      <c r="T87" s="131" t="inlineStr">
        <is>
          <t>INTERTEK</t>
        </is>
      </c>
      <c r="U87" s="112" t="n">
        <v>108</v>
      </c>
      <c r="V87" s="129">
        <f>IF(U87&lt;130, "Mini Bulker", IF(AND(U87&gt;=130, U87&lt;150), "Handysize", IF(AND(U87&gt;=150, U87&lt;200), "Handymax", IF(AND(U87&gt;=200, U87&lt;230), "Panamax", IF(AND(U87&gt;=230, U87&lt;=270), "Capesize", "Autre")))))</f>
        <v/>
      </c>
      <c r="X87" s="111">
        <f>IF(E87&lt;9999,"1",IF(E87&lt;19999,"2",IF(E87&lt;29999,"3",IF(E87&lt;39999,"4",IF(E87&lt;49999,"5",IF(E87&gt;50000,"6"))))))</f>
        <v/>
      </c>
      <c r="Y87" s="115" t="inlineStr">
        <is>
          <t>1TER</t>
        </is>
      </c>
      <c r="AA87" s="96" t="n">
        <v>45702.51041666666</v>
      </c>
      <c r="AB87" s="96" t="n">
        <v>45702.51041666666</v>
      </c>
      <c r="AC87" s="108" t="n">
        <v>45707</v>
      </c>
      <c r="AD87" s="108" t="n">
        <v>45709</v>
      </c>
      <c r="AE87" s="96" t="n">
        <v>45702.5</v>
      </c>
      <c r="AF87" s="94" t="n">
        <v>45710.52777777778</v>
      </c>
      <c r="AG87" s="133" t="n">
        <v>45710.625</v>
      </c>
      <c r="AH87" s="133" t="n">
        <v>45710.63541666666</v>
      </c>
      <c r="AI87" s="94" t="n">
        <v>45710.69791666666</v>
      </c>
      <c r="AJ87" s="96" t="n">
        <v>45710.86111111111</v>
      </c>
      <c r="AK87" s="96" t="n">
        <v>45712.81944444445</v>
      </c>
      <c r="AL87" s="96" t="n">
        <v>45712.86111111111</v>
      </c>
      <c r="AM87" s="96" t="n">
        <v>45712.87847222222</v>
      </c>
      <c r="AN87" s="26" t="n">
        <v>45712.91666666666</v>
      </c>
      <c r="AO87" s="96" t="n">
        <v>45712.94305555556</v>
      </c>
      <c r="AP87" s="117">
        <f>(AG87-AF87)*1440</f>
        <v/>
      </c>
      <c r="AQ87" s="117">
        <f>(AG87-AE87)*1440</f>
        <v/>
      </c>
      <c r="AR87" s="117">
        <f>(AH87-AF87)*1440</f>
        <v/>
      </c>
      <c r="AS87" s="117">
        <f>(AI87-AH87)*1440</f>
        <v/>
      </c>
      <c r="AT87" s="117">
        <f>(AJ87-AH87)*1440</f>
        <v/>
      </c>
      <c r="AU87" s="117">
        <f>(AL87-AK87)*1440</f>
        <v/>
      </c>
      <c r="AV87" s="117">
        <f>(AM87-AL87)*1440</f>
        <v/>
      </c>
      <c r="AW87" s="117">
        <f>(AO87-AM87)*1440</f>
        <v/>
      </c>
      <c r="AX87" s="118">
        <f>AP87+AS87+AU87+AV87+AW87</f>
        <v/>
      </c>
      <c r="AY87" s="119">
        <f>(AG87-AA87)</f>
        <v/>
      </c>
      <c r="AZ87" s="119">
        <f>(AK87-AJ87)</f>
        <v/>
      </c>
      <c r="BA87" s="119">
        <f>AO87-AG87</f>
        <v/>
      </c>
      <c r="BB87" s="119">
        <f>(AO87-AA87)-(AP87/1440)-(AW87/1440)</f>
        <v/>
      </c>
      <c r="BC87" s="117">
        <f>E87/AZ87</f>
        <v/>
      </c>
      <c r="BE87" s="117">
        <f>IF(E87&lt;10000,3000,IF(E87&lt;15000,3600,IF(E87&lt;20000,4500,IF(E87&lt;25000,6000,IF(E87&lt;30000,7500,IF(E87&lt;40000,9000,IF(E87&gt;40000,10000)))))))</f>
        <v/>
      </c>
      <c r="BF87" s="322">
        <f>(E87/BE87)+2</f>
        <v/>
      </c>
      <c r="BS87" s="120" t="inlineStr">
        <is>
          <t>NUL</t>
        </is>
      </c>
      <c r="BT87" s="125" t="n">
        <v>0</v>
      </c>
      <c r="BW87" s="323">
        <f>AI87-AH87</f>
        <v/>
      </c>
      <c r="BX87" s="120" t="n"/>
      <c r="BY87" s="120" t="n">
        <v>50</v>
      </c>
      <c r="CB87" s="111" t="n">
        <v>5581</v>
      </c>
    </row>
    <row r="88" ht="15" customFormat="1" customHeight="1" s="230">
      <c r="A88" s="112" t="n">
        <v>57</v>
      </c>
      <c r="B88" s="317" t="inlineStr">
        <is>
          <t>SOPHIA I</t>
        </is>
      </c>
      <c r="C88" s="108" t="n">
        <v>45712</v>
      </c>
      <c r="D88" s="318" t="n">
        <v>7700</v>
      </c>
      <c r="E88" s="324">
        <f>D89+D88</f>
        <v/>
      </c>
      <c r="F88" s="141" t="n"/>
      <c r="G88" s="112" t="n">
        <v>2</v>
      </c>
      <c r="H88" s="129" t="inlineStr">
        <is>
          <t>DAP</t>
        </is>
      </c>
      <c r="I88" s="114" t="inlineStr">
        <is>
          <t>DAP EURO</t>
        </is>
      </c>
      <c r="J88" s="113" t="inlineStr">
        <is>
          <t>FOB</t>
        </is>
      </c>
      <c r="K88" s="82" t="n"/>
      <c r="L88" s="336">
        <f>D88*K88</f>
        <v/>
      </c>
      <c r="M88" s="14" t="n"/>
      <c r="N88" s="335">
        <f>L88*M88</f>
        <v/>
      </c>
      <c r="O88" s="16" t="n"/>
      <c r="P88" s="16" t="n"/>
      <c r="Q88" s="113" t="inlineStr">
        <is>
          <t>EUROPE</t>
        </is>
      </c>
      <c r="R88" s="115" t="inlineStr">
        <is>
          <t>POLOGNE</t>
        </is>
      </c>
      <c r="S88" s="233" t="n"/>
      <c r="T88" s="131" t="inlineStr">
        <is>
          <t>INSPECTORATE</t>
        </is>
      </c>
      <c r="U88" s="112" t="n">
        <v>140</v>
      </c>
      <c r="V88" s="129">
        <f>IF(U88&lt;130, "Mini Bulker", IF(AND(U88&gt;=130, U88&lt;150), "Handysize", IF(AND(U88&gt;=150, U88&lt;200), "Handymax", IF(AND(U88&gt;=200, U88&lt;230), "Panamax", IF(AND(U88&gt;=230, U88&lt;=270), "Capesize", "Autre")))))</f>
        <v/>
      </c>
      <c r="X88" s="111">
        <f>IF(E88&lt;9999,"1",IF(E88&lt;19999,"2",IF(E88&lt;29999,"3",IF(E88&lt;39999,"4",IF(E88&lt;49999,"5",IF(E88&gt;50000,"6"))))))</f>
        <v/>
      </c>
      <c r="Y88" s="115" t="inlineStr">
        <is>
          <t>2TER</t>
        </is>
      </c>
      <c r="AA88" s="121" t="n">
        <v>45699.10416666666</v>
      </c>
      <c r="AB88" s="121" t="n">
        <v>45699.375</v>
      </c>
      <c r="AC88" s="108" t="n">
        <v>45699</v>
      </c>
      <c r="AD88" s="108" t="n">
        <v>45701</v>
      </c>
      <c r="AE88" s="121" t="n">
        <v>45698.97222222222</v>
      </c>
      <c r="AF88" s="17" t="n">
        <v>45708.61388888889</v>
      </c>
      <c r="AG88" s="121" t="n">
        <v>45708.67708333334</v>
      </c>
      <c r="AH88" s="121" t="n">
        <v>45708.69791666666</v>
      </c>
      <c r="AI88" s="17" t="n">
        <v>45708.75347222222</v>
      </c>
      <c r="AJ88" s="121" t="n">
        <v>45708.80555555555</v>
      </c>
      <c r="AK88" s="121" t="n">
        <v>45712.55555555555</v>
      </c>
      <c r="AL88" s="121" t="n">
        <v>45712.59722222222</v>
      </c>
      <c r="AM88" s="121" t="n">
        <v>45712.63541666666</v>
      </c>
      <c r="AN88" s="17" t="n">
        <v>45712.68055555555</v>
      </c>
      <c r="AO88" s="121" t="n">
        <v>45712.74305555555</v>
      </c>
      <c r="AP88" s="117">
        <f>(AG88-AF88)*1440</f>
        <v/>
      </c>
      <c r="AQ88" s="117">
        <f>(AG88-AE88)*1440</f>
        <v/>
      </c>
      <c r="AR88" s="117">
        <f>(AH88-AF88)*1440</f>
        <v/>
      </c>
      <c r="AS88" s="117">
        <f>(AI88-AH88)*1440</f>
        <v/>
      </c>
      <c r="AT88" s="117">
        <f>(AJ88-AH88)*1440</f>
        <v/>
      </c>
      <c r="AU88" s="117">
        <f>(AL88-AK88)*1440</f>
        <v/>
      </c>
      <c r="AV88" s="117">
        <f>(AM88-AL88)*1440</f>
        <v/>
      </c>
      <c r="AW88" s="117">
        <f>(AO88-AM88)*1440</f>
        <v/>
      </c>
      <c r="AX88" s="118">
        <f>AP88+AS88+AU88+AV88+AW88</f>
        <v/>
      </c>
      <c r="AY88" s="119">
        <f>(AG88-AA88)</f>
        <v/>
      </c>
      <c r="AZ88" s="119">
        <f>(AK88-AJ88)</f>
        <v/>
      </c>
      <c r="BA88" s="119">
        <f>AO88-AG88</f>
        <v/>
      </c>
      <c r="BB88" s="119">
        <f>(AO88-AA88)-(AP88/1440)-(AW88/1440)</f>
        <v/>
      </c>
      <c r="BC88" s="117">
        <f>E88/AZ88</f>
        <v/>
      </c>
      <c r="BD88" s="225" t="n"/>
      <c r="BE88" s="117">
        <f>IF(E88&lt;10000,3000,IF(E88&lt;15000,3600,IF(E88&lt;20000,4500,IF(E88&lt;25000,6000,IF(E88&lt;30000,7500,IF(E88&lt;40000,9000,IF(E88&gt;40000,10000)))))))</f>
        <v/>
      </c>
      <c r="BF88" s="322">
        <f>(E88/BE88)+2</f>
        <v/>
      </c>
      <c r="BG88" s="225" t="n"/>
      <c r="BH88" s="225" t="n"/>
      <c r="BI88" s="225" t="n"/>
      <c r="BJ88" s="225" t="n"/>
      <c r="BK88" s="225" t="n"/>
      <c r="BL88" s="225" t="n"/>
      <c r="BM88" s="225" t="n"/>
      <c r="BN88" s="225" t="n"/>
      <c r="BO88" s="225" t="n"/>
      <c r="BS88" s="120" t="inlineStr">
        <is>
          <t>NUL</t>
        </is>
      </c>
      <c r="BT88" s="125" t="n">
        <v>0</v>
      </c>
      <c r="BW88" s="323">
        <f>AI88-AH88</f>
        <v/>
      </c>
      <c r="BX88" s="120" t="n"/>
      <c r="BY88" s="120" t="n">
        <v>90</v>
      </c>
      <c r="CB88" s="111" t="n">
        <v>7988</v>
      </c>
    </row>
    <row r="89" customFormat="1" s="230">
      <c r="A89" s="112" t="n"/>
      <c r="B89" s="317" t="inlineStr">
        <is>
          <t>SOPHIA I</t>
        </is>
      </c>
      <c r="C89" s="108" t="n">
        <v>45712</v>
      </c>
      <c r="D89" s="318" t="n">
        <v>3300</v>
      </c>
      <c r="E89" s="325" t="n"/>
      <c r="F89" s="141" t="n"/>
      <c r="G89" s="112" t="n">
        <v>2</v>
      </c>
      <c r="H89" s="129" t="inlineStr">
        <is>
          <t>MAP</t>
        </is>
      </c>
      <c r="I89" s="114" t="inlineStr">
        <is>
          <t>MAP</t>
        </is>
      </c>
      <c r="J89" s="113" t="inlineStr">
        <is>
          <t>FOB</t>
        </is>
      </c>
      <c r="K89" s="82" t="n"/>
      <c r="L89" s="336">
        <f>D89*K89</f>
        <v/>
      </c>
      <c r="M89" s="14" t="n"/>
      <c r="N89" s="335">
        <f>L89*M89</f>
        <v/>
      </c>
      <c r="O89" s="16" t="n"/>
      <c r="P89" s="16" t="n"/>
      <c r="Q89" s="129" t="inlineStr">
        <is>
          <t>EUROPE</t>
        </is>
      </c>
      <c r="R89" s="115" t="inlineStr">
        <is>
          <t>POLOGNE</t>
        </is>
      </c>
      <c r="S89" s="233" t="n"/>
      <c r="T89" s="131" t="inlineStr">
        <is>
          <t>INSPECTORATE</t>
        </is>
      </c>
      <c r="U89" s="112" t="n">
        <v>140</v>
      </c>
      <c r="V89" s="129">
        <f>IF(U89&lt;130, "Mini Bulker", IF(AND(U89&gt;=130, U89&lt;150), "Handysize", IF(AND(U89&gt;=150, U89&lt;200), "Handymax", IF(AND(U89&gt;=200, U89&lt;230), "Panamax", IF(AND(U89&gt;=230, U89&lt;=270), "Capesize", "Autre")))))</f>
        <v/>
      </c>
      <c r="X89" s="111">
        <f>IF(E89&lt;9999,"1",IF(E89&lt;19999,"2",IF(E89&lt;29999,"3",IF(E89&lt;39999,"4",IF(E89&lt;49999,"5",IF(E89&gt;50000,"6"))))))</f>
        <v/>
      </c>
      <c r="Y89" s="115" t="inlineStr">
        <is>
          <t>2TER</t>
        </is>
      </c>
      <c r="AA89" s="96" t="n"/>
      <c r="AB89" s="96" t="n"/>
      <c r="AC89" s="121" t="n"/>
      <c r="AD89" s="121" t="n"/>
      <c r="AE89" s="96" t="n"/>
      <c r="AF89" s="219" t="n"/>
      <c r="AG89" s="96" t="n"/>
      <c r="AH89" s="96" t="n"/>
      <c r="AI89" s="219" t="n"/>
      <c r="AJ89" s="96" t="n"/>
      <c r="AK89" s="96" t="n"/>
      <c r="AL89" s="96" t="n"/>
      <c r="AM89" s="96" t="n"/>
      <c r="AN89" s="219" t="n"/>
      <c r="AO89" s="96" t="n"/>
      <c r="AP89" s="121" t="n"/>
      <c r="AQ89" s="121" t="n"/>
      <c r="AR89" s="121" t="n"/>
      <c r="AS89" s="121" t="n"/>
      <c r="AT89" s="121" t="n"/>
      <c r="AU89" s="121" t="n"/>
      <c r="AV89" s="121" t="n"/>
      <c r="AW89" s="121" t="n"/>
      <c r="AX89" s="121" t="n"/>
      <c r="AY89" s="121" t="n"/>
      <c r="AZ89" s="121" t="n"/>
      <c r="BA89" s="121" t="n"/>
      <c r="BB89" s="121" t="n"/>
      <c r="BC89" s="121" t="n"/>
      <c r="BD89" s="215" t="n"/>
      <c r="BE89" s="121" t="n"/>
      <c r="BF89" s="121" t="n"/>
      <c r="BG89" s="215" t="n"/>
      <c r="BH89" s="215" t="n"/>
      <c r="BI89" s="215" t="n"/>
      <c r="BJ89" s="215" t="n"/>
      <c r="BK89" s="215" t="n"/>
      <c r="BL89" s="215" t="n"/>
      <c r="BM89" s="215" t="n"/>
      <c r="BN89" s="215" t="n"/>
      <c r="BO89" s="215" t="n"/>
      <c r="BS89" s="120" t="inlineStr">
        <is>
          <t>NUL</t>
        </is>
      </c>
      <c r="BT89" s="125" t="n">
        <v>0</v>
      </c>
      <c r="BW89" s="323">
        <f>AI89-AH89</f>
        <v/>
      </c>
      <c r="BX89" s="120" t="n"/>
      <c r="BY89" s="120" t="n">
        <v>90</v>
      </c>
      <c r="CB89" s="111" t="n">
        <v>7988</v>
      </c>
    </row>
    <row r="90" ht="22.5" customFormat="1" customHeight="1" s="230">
      <c r="A90" s="112" t="n">
        <v>59</v>
      </c>
      <c r="B90" s="317" t="inlineStr">
        <is>
          <t>DENSA PUMA</t>
        </is>
      </c>
      <c r="C90" s="108" t="n">
        <v>45713</v>
      </c>
      <c r="D90" s="318" t="n">
        <v>26004</v>
      </c>
      <c r="E90" s="324">
        <f>D91+D90</f>
        <v/>
      </c>
      <c r="F90" s="141" t="inlineStr">
        <is>
          <t>KOFERT/JFC1</t>
        </is>
      </c>
      <c r="G90" s="112" t="n">
        <v>2</v>
      </c>
      <c r="H90" s="129" t="inlineStr">
        <is>
          <t>DAP</t>
        </is>
      </c>
      <c r="I90" s="114" t="inlineStr">
        <is>
          <t xml:space="preserve">DAP SPECIAL DARK </t>
        </is>
      </c>
      <c r="J90" s="113" t="inlineStr">
        <is>
          <t>FOB</t>
        </is>
      </c>
      <c r="K90" s="82" t="n">
        <v>586.35</v>
      </c>
      <c r="L90" s="336">
        <f>D90*K90</f>
        <v/>
      </c>
      <c r="M90" s="14" t="n">
        <v>9.957800000000001</v>
      </c>
      <c r="N90" s="335">
        <f>L90*M90</f>
        <v/>
      </c>
      <c r="O90" s="16" t="inlineStr">
        <is>
          <t>124 S DU 26/01/2025/   122 P DU 26/01/2025</t>
        </is>
      </c>
      <c r="P90" s="16" t="inlineStr">
        <is>
          <t>AMS AMEROPA MARKETING AND SALES AG</t>
        </is>
      </c>
      <c r="Q90" s="115" t="inlineStr">
        <is>
          <t>AMERIQUE</t>
        </is>
      </c>
      <c r="R90" s="115" t="inlineStr">
        <is>
          <t>HONDURAS/ MEXICO</t>
        </is>
      </c>
      <c r="S90" s="233" t="n"/>
      <c r="T90" s="131" t="inlineStr">
        <is>
          <t>INTERTEK</t>
        </is>
      </c>
      <c r="U90" s="112" t="n">
        <v>186</v>
      </c>
      <c r="V90" s="129">
        <f>IF(U90&lt;130, "Mini Bulker", IF(AND(U90&gt;=130, U90&lt;150), "Handysize", IF(AND(U90&gt;=150, U90&lt;200), "Handymax", IF(AND(U90&gt;=200, U90&lt;230), "Panamax", IF(AND(U90&gt;=230, U90&lt;=270), "Capesize", "Autre")))))</f>
        <v/>
      </c>
      <c r="X90" s="111">
        <f>IF(E90&lt;9999,"1",IF(E90&lt;19999,"2",IF(E90&lt;29999,"3",IF(E90&lt;39999,"4",IF(E90&lt;49999,"5",IF(E90&gt;50000,"6"))))))</f>
        <v/>
      </c>
      <c r="Y90" s="115" t="inlineStr">
        <is>
          <t>2BIS</t>
        </is>
      </c>
      <c r="AA90" s="96" t="n">
        <v>45706.66666666666</v>
      </c>
      <c r="AB90" s="96" t="n">
        <v>45706.66666666666</v>
      </c>
      <c r="AC90" s="108" t="n">
        <v>45706</v>
      </c>
      <c r="AD90" s="108" t="n">
        <v>45709</v>
      </c>
      <c r="AE90" s="96" t="n">
        <v>45706.66666666666</v>
      </c>
      <c r="AF90" s="26" t="n">
        <v>45708.86805555555</v>
      </c>
      <c r="AG90" s="96" t="n">
        <v>45708.92708333334</v>
      </c>
      <c r="AH90" s="96" t="n">
        <v>45708.95486111111</v>
      </c>
      <c r="AI90" s="26" t="n">
        <v>45709.01041666666</v>
      </c>
      <c r="AJ90" s="96" t="n">
        <v>45709.22222222222</v>
      </c>
      <c r="AK90" s="96" t="n">
        <v>45713.39236111111</v>
      </c>
      <c r="AL90" s="96" t="n">
        <v>45713.41319444445</v>
      </c>
      <c r="AM90" s="96" t="n">
        <v>45713.44444444445</v>
      </c>
      <c r="AN90" s="26" t="n">
        <v>45713.5</v>
      </c>
      <c r="AO90" s="96" t="n">
        <v>45713.66666666666</v>
      </c>
      <c r="AP90" s="117">
        <f>(AG90-AF90)*1440</f>
        <v/>
      </c>
      <c r="AQ90" s="117">
        <f>(AG90-AE90)*1440</f>
        <v/>
      </c>
      <c r="AR90" s="117">
        <f>(AH90-AF90)*1440</f>
        <v/>
      </c>
      <c r="AS90" s="117">
        <f>(AI90-AH90)*1440</f>
        <v/>
      </c>
      <c r="AT90" s="117">
        <f>(AJ90-AH90)*1440</f>
        <v/>
      </c>
      <c r="AU90" s="117">
        <f>(AL90-AK90)*1440</f>
        <v/>
      </c>
      <c r="AV90" s="117">
        <f>(AM90-AL90)*1440</f>
        <v/>
      </c>
      <c r="AW90" s="117">
        <f>(AO90-AM90)*1440</f>
        <v/>
      </c>
      <c r="AX90" s="118">
        <f>AP90+AS90+AU90+AV90+AW90</f>
        <v/>
      </c>
      <c r="AY90" s="119">
        <f>(AG90-AA90)</f>
        <v/>
      </c>
      <c r="AZ90" s="119">
        <f>(AK90-AJ90)</f>
        <v/>
      </c>
      <c r="BA90" s="119">
        <f>AO90-AG90</f>
        <v/>
      </c>
      <c r="BB90" s="119">
        <f>(AO90-AA90)-(AP90/1440)-(AW90/1440)</f>
        <v/>
      </c>
      <c r="BC90" s="117">
        <f>E90/AZ90</f>
        <v/>
      </c>
      <c r="BE90" s="117">
        <f>IF(E90&lt;10000,3000,IF(E90&lt;15000,3600,IF(E90&lt;20000,4500,IF(E90&lt;25000,6000,IF(E90&lt;30000,7500,IF(E90&lt;40000,9000,IF(E90&gt;40000,10000)))))))</f>
        <v/>
      </c>
      <c r="BF90" s="322">
        <f>(E90/BE90)+2</f>
        <v/>
      </c>
      <c r="BS90" s="120" t="inlineStr">
        <is>
          <t>NUL</t>
        </is>
      </c>
      <c r="BT90" s="125" t="n">
        <v>0</v>
      </c>
      <c r="BW90" s="323">
        <f>AI90-AH90</f>
        <v/>
      </c>
      <c r="BX90" s="120" t="inlineStr">
        <is>
          <t>NUL</t>
        </is>
      </c>
      <c r="BY90" s="120" t="inlineStr">
        <is>
          <t>NUL</t>
        </is>
      </c>
      <c r="CB90" s="111" t="n">
        <v>22709</v>
      </c>
    </row>
    <row r="91" ht="15" customFormat="1" customHeight="1" s="230" thickBot="1">
      <c r="A91" s="112" t="n"/>
      <c r="B91" s="317" t="inlineStr">
        <is>
          <t>DENSA PUMA</t>
        </is>
      </c>
      <c r="C91" s="108" t="n">
        <v>45713</v>
      </c>
      <c r="D91" s="318" t="n">
        <v>6010</v>
      </c>
      <c r="E91" s="325" t="n"/>
      <c r="F91" s="141" t="inlineStr">
        <is>
          <t>OCP NUTRI</t>
        </is>
      </c>
      <c r="G91" s="112" t="n">
        <v>2</v>
      </c>
      <c r="H91" s="129" t="inlineStr">
        <is>
          <t>MAP</t>
        </is>
      </c>
      <c r="I91" s="114" t="inlineStr">
        <is>
          <t>MAP 11 52 SPECIAL</t>
        </is>
      </c>
      <c r="J91" s="113" t="inlineStr">
        <is>
          <t>FOB</t>
        </is>
      </c>
      <c r="K91" s="82" t="n">
        <v>610</v>
      </c>
      <c r="L91" s="336">
        <f>D91*K91</f>
        <v/>
      </c>
      <c r="M91" s="14" t="n">
        <v>9.957800000000001</v>
      </c>
      <c r="N91" s="335">
        <f>L91*M91</f>
        <v/>
      </c>
      <c r="O91" s="16" t="inlineStr">
        <is>
          <t>116 H DU 26/01/2025</t>
        </is>
      </c>
      <c r="P91" s="16" t="inlineStr">
        <is>
          <t>AMS AMEROPA MARKETING AND SALES AG</t>
        </is>
      </c>
      <c r="Q91" s="115" t="inlineStr">
        <is>
          <t>AMERIQUE</t>
        </is>
      </c>
      <c r="R91" s="115" t="inlineStr">
        <is>
          <t>HONDURAS/ MEXICO</t>
        </is>
      </c>
      <c r="S91" s="233" t="n"/>
      <c r="T91" s="131" t="inlineStr">
        <is>
          <t>INTERTEK</t>
        </is>
      </c>
      <c r="U91" s="112" t="n">
        <v>186</v>
      </c>
      <c r="V91" s="129">
        <f>IF(U91&lt;130, "Mini Bulker", IF(AND(U91&gt;=130, U91&lt;150), "Handysize", IF(AND(U91&gt;=150, U91&lt;200), "Handymax", IF(AND(U91&gt;=200, U91&lt;230), "Panamax", IF(AND(U91&gt;=230, U91&lt;=270), "Capesize", "Autre")))))</f>
        <v/>
      </c>
      <c r="X91" s="111">
        <f>IF(E91&lt;9999,"1",IF(E91&lt;19999,"2",IF(E91&lt;29999,"3",IF(E91&lt;39999,"4",IF(E91&lt;49999,"5",IF(E91&gt;50000,"6"))))))</f>
        <v/>
      </c>
      <c r="Y91" s="115" t="inlineStr">
        <is>
          <t>2BIS</t>
        </is>
      </c>
      <c r="AA91" s="121" t="n"/>
      <c r="AB91" s="121" t="n"/>
      <c r="AC91" s="121" t="n"/>
      <c r="AD91" s="121" t="n"/>
      <c r="AE91" s="121" t="n"/>
      <c r="AF91" s="22" t="n"/>
      <c r="AG91" s="121" t="n"/>
      <c r="AH91" s="121" t="n"/>
      <c r="AI91" s="22" t="n"/>
      <c r="AJ91" s="121" t="n"/>
      <c r="AK91" s="121" t="n"/>
      <c r="AL91" s="121" t="n"/>
      <c r="AM91" s="121" t="n"/>
      <c r="AN91" s="22" t="n"/>
      <c r="AO91" s="121" t="n"/>
      <c r="AP91" s="121" t="n"/>
      <c r="AQ91" s="121" t="n"/>
      <c r="AR91" s="121" t="n"/>
      <c r="AS91" s="121" t="n"/>
      <c r="AT91" s="121" t="n"/>
      <c r="AU91" s="121" t="n"/>
      <c r="AV91" s="121" t="n"/>
      <c r="AW91" s="121" t="n"/>
      <c r="AX91" s="121" t="n"/>
      <c r="AY91" s="121" t="n"/>
      <c r="AZ91" s="121" t="n"/>
      <c r="BA91" s="121" t="n"/>
      <c r="BB91" s="121" t="n"/>
      <c r="BC91" s="121" t="n"/>
      <c r="BD91" s="121" t="n"/>
      <c r="BE91" s="121" t="n"/>
      <c r="BF91" s="121" t="n"/>
      <c r="BG91" s="121" t="n"/>
      <c r="BH91" s="121" t="n"/>
      <c r="BI91" s="121" t="n"/>
      <c r="BJ91" s="121" t="n"/>
      <c r="BK91" s="121" t="n"/>
      <c r="BL91" s="121" t="n"/>
      <c r="BM91" s="121" t="n"/>
      <c r="BN91" s="121" t="n"/>
      <c r="BO91" s="121" t="n"/>
      <c r="BS91" s="120" t="inlineStr">
        <is>
          <t>NUL</t>
        </is>
      </c>
      <c r="BT91" s="125" t="n">
        <v>0</v>
      </c>
      <c r="BW91" s="323">
        <f>AI91-AH91</f>
        <v/>
      </c>
      <c r="BX91" s="120" t="inlineStr">
        <is>
          <t>NUL</t>
        </is>
      </c>
      <c r="BY91" s="120" t="inlineStr">
        <is>
          <t>NUL</t>
        </is>
      </c>
      <c r="CB91" s="111" t="n"/>
    </row>
    <row r="92" ht="15" customFormat="1" customHeight="1" s="230">
      <c r="A92" s="112" t="n">
        <v>60</v>
      </c>
      <c r="B92" s="317" t="inlineStr">
        <is>
          <t>FEDERAL MICHIGAN</t>
        </is>
      </c>
      <c r="C92" s="108" t="n">
        <v>45713</v>
      </c>
      <c r="D92" s="318" t="n">
        <v>8800</v>
      </c>
      <c r="E92" s="318" t="n">
        <v>8800</v>
      </c>
      <c r="F92" s="141" t="n"/>
      <c r="G92" s="112" t="n">
        <v>1</v>
      </c>
      <c r="H92" s="129" t="inlineStr">
        <is>
          <t>MAP</t>
        </is>
      </c>
      <c r="I92" s="114" t="inlineStr">
        <is>
          <t>MAP 11 52 SPECIAL</t>
        </is>
      </c>
      <c r="J92" s="113" t="inlineStr">
        <is>
          <t>FOB</t>
        </is>
      </c>
      <c r="K92" s="82" t="n"/>
      <c r="L92" s="336">
        <f>D92*K92</f>
        <v/>
      </c>
      <c r="M92" s="14" t="n"/>
      <c r="N92" s="335">
        <f>L92*M92</f>
        <v/>
      </c>
      <c r="O92" s="16" t="n"/>
      <c r="P92" s="16" t="n"/>
      <c r="Q92" s="115" t="inlineStr">
        <is>
          <t>AMERIQUE</t>
        </is>
      </c>
      <c r="R92" s="115" t="inlineStr">
        <is>
          <t>CANADA</t>
        </is>
      </c>
      <c r="S92" s="233" t="n"/>
      <c r="T92" s="131" t="inlineStr">
        <is>
          <t>INSPECTORATE</t>
        </is>
      </c>
      <c r="U92" s="112" t="n">
        <v>200</v>
      </c>
      <c r="V92" s="129">
        <f>IF(U92&lt;130, "Mini Bulker", IF(AND(U92&gt;=130, U92&lt;150), "Handysize", IF(AND(U92&gt;=150, U92&lt;200), "Handymax", IF(AND(U92&gt;=200, U92&lt;230), "Panamax", IF(AND(U92&gt;=230, U92&lt;=270), "Capesize", "Autre")))))</f>
        <v/>
      </c>
      <c r="X92" s="111">
        <f>IF(E92&lt;9999,"1",IF(E92&lt;19999,"2",IF(E92&lt;29999,"3",IF(E92&lt;39999,"4",IF(E92&lt;49999,"5",IF(E92&gt;50000,"6"))))))</f>
        <v/>
      </c>
      <c r="Y92" s="115" t="inlineStr">
        <is>
          <t>1BIS</t>
        </is>
      </c>
      <c r="AA92" s="95" t="n">
        <v>45710.025</v>
      </c>
      <c r="AB92" s="96" t="n">
        <v>45710.375</v>
      </c>
      <c r="AC92" s="108" t="n">
        <v>45706</v>
      </c>
      <c r="AD92" s="108" t="n">
        <v>45711</v>
      </c>
      <c r="AE92" s="96" t="n">
        <v>45709.94583333333</v>
      </c>
      <c r="AF92" s="26" t="n">
        <v>45712.28472222222</v>
      </c>
      <c r="AG92" s="96" t="n">
        <v>45712.3375</v>
      </c>
      <c r="AH92" s="96" t="n">
        <v>45712.36458333334</v>
      </c>
      <c r="AI92" s="26" t="n">
        <v>45712.42708333334</v>
      </c>
      <c r="AJ92" s="96" t="n">
        <v>45712.50833333333</v>
      </c>
      <c r="AK92" s="96" t="n">
        <v>45713.44097222222</v>
      </c>
      <c r="AL92" s="96" t="n">
        <v>45713.47569444445</v>
      </c>
      <c r="AM92" s="96" t="n">
        <v>45713.49305555555</v>
      </c>
      <c r="AN92" s="26" t="n">
        <v>45713.53541666667</v>
      </c>
      <c r="AO92" s="96" t="n">
        <v>45713.60416666666</v>
      </c>
      <c r="AP92" s="117">
        <f>(AG92-AF92)*1440</f>
        <v/>
      </c>
      <c r="AQ92" s="117">
        <f>(AG92-AE92)*1440</f>
        <v/>
      </c>
      <c r="AR92" s="117">
        <f>(AH92-AF92)*1440</f>
        <v/>
      </c>
      <c r="AS92" s="117">
        <f>(AI92-AH92)*1440</f>
        <v/>
      </c>
      <c r="AT92" s="117">
        <f>(AJ92-AH92)*1440</f>
        <v/>
      </c>
      <c r="AU92" s="117">
        <f>(AL92-AK92)*1440</f>
        <v/>
      </c>
      <c r="AV92" s="117">
        <f>(AM92-AL92)*1440</f>
        <v/>
      </c>
      <c r="AW92" s="117">
        <f>(AO92-AM92)*1440</f>
        <v/>
      </c>
      <c r="AX92" s="118">
        <f>AP92+AS92+AU92+AV92+AW92</f>
        <v/>
      </c>
      <c r="AY92" s="119">
        <f>(AG92-AA92)</f>
        <v/>
      </c>
      <c r="AZ92" s="119">
        <f>(AK92-AJ92)</f>
        <v/>
      </c>
      <c r="BA92" s="119">
        <f>AO92-AG92</f>
        <v/>
      </c>
      <c r="BB92" s="119">
        <f>(AO92-AA92)-(AP92/1440)-(AW92/1440)</f>
        <v/>
      </c>
      <c r="BC92" s="117">
        <f>E92/AZ92</f>
        <v/>
      </c>
      <c r="BE92" s="117">
        <f>IF(E92&lt;10000,3000,IF(E92&lt;15000,3600,IF(E92&lt;20000,4500,IF(E92&lt;25000,6000,IF(E92&lt;30000,7500,IF(E92&lt;40000,9000,IF(E92&gt;40000,10000)))))))</f>
        <v/>
      </c>
      <c r="BF92" s="322">
        <f>(E92/BE92)+2</f>
        <v/>
      </c>
      <c r="BS92" s="120" t="inlineStr">
        <is>
          <t>NUL</t>
        </is>
      </c>
      <c r="BT92" s="125" t="n">
        <v>0</v>
      </c>
      <c r="BW92" s="323">
        <f>AI92-AH92</f>
        <v/>
      </c>
      <c r="BX92" s="120" t="inlineStr">
        <is>
          <t>NUL</t>
        </is>
      </c>
      <c r="BY92" s="120" t="inlineStr">
        <is>
          <t>NUL</t>
        </is>
      </c>
      <c r="CB92" s="111" t="n">
        <v>21043</v>
      </c>
    </row>
    <row r="93" ht="14.55" customHeight="1" s="70">
      <c r="A93" s="81" t="n">
        <v>61</v>
      </c>
      <c r="B93" s="328" t="inlineStr">
        <is>
          <t>KAPADOKYA</t>
        </is>
      </c>
      <c r="C93" s="15" t="n">
        <v>45714</v>
      </c>
      <c r="D93" s="329" t="n">
        <v>15533</v>
      </c>
      <c r="E93" s="333">
        <f>D94+D93</f>
        <v/>
      </c>
      <c r="F93" s="142" t="inlineStr">
        <is>
          <t>OCP NUTRI</t>
        </is>
      </c>
      <c r="G93" s="81" t="n">
        <v>2</v>
      </c>
      <c r="H93" s="75" t="inlineStr">
        <is>
          <t>TSP</t>
        </is>
      </c>
      <c r="I93" s="306" t="inlineStr">
        <is>
          <t xml:space="preserve">TSP CIV </t>
        </is>
      </c>
      <c r="J93" s="50" t="inlineStr">
        <is>
          <t>FOB</t>
        </is>
      </c>
      <c r="K93" s="82" t="n">
        <v>443</v>
      </c>
      <c r="L93" s="336">
        <f>D93*K93</f>
        <v/>
      </c>
      <c r="M93" s="14" t="n">
        <v>9.9375</v>
      </c>
      <c r="N93" s="335">
        <f>L93*M93</f>
        <v/>
      </c>
      <c r="O93" s="16" t="inlineStr">
        <is>
          <t>252 F DU 26/02/2025</t>
        </is>
      </c>
      <c r="P93" s="16" t="inlineStr">
        <is>
          <t>ETG INPUTS IVC LIMITED</t>
        </is>
      </c>
      <c r="Q93" s="75" t="inlineStr">
        <is>
          <t>AFRIQUE</t>
        </is>
      </c>
      <c r="R93" s="75" t="inlineStr">
        <is>
          <t>COTE D'IVOIRE</t>
        </is>
      </c>
      <c r="T93" s="89" t="inlineStr">
        <is>
          <t>INTERTEK</t>
        </is>
      </c>
      <c r="U93" s="81" t="n">
        <v>171</v>
      </c>
      <c r="V93" s="53">
        <f>IF(U93&lt;130, "Mini Bulker", IF(AND(U93&gt;=130, U93&lt;150), "Handysize", IF(AND(U93&gt;=150, U93&lt;200), "Handymax", IF(AND(U93&gt;=200, U93&lt;230), "Panamax", IF(AND(U93&gt;=230, U93&lt;=270), "Capesize", "Autre")))))</f>
        <v/>
      </c>
      <c r="X93" s="14">
        <f>IF(E93&lt;9999,"1",IF(E93&lt;19999,"2",IF(E93&lt;29999,"3",IF(E93&lt;39999,"4",IF(E93&lt;49999,"5",IF(E93&gt;50000,"6"))))))</f>
        <v/>
      </c>
      <c r="Y93" s="75" t="inlineStr">
        <is>
          <t>2N/2BIS</t>
        </is>
      </c>
      <c r="AA93" s="26" t="n">
        <v>45704.94444444445</v>
      </c>
      <c r="AB93" s="26" t="n">
        <v>45705.375</v>
      </c>
      <c r="AC93" s="15" t="n">
        <v>45703</v>
      </c>
      <c r="AD93" s="15" t="n">
        <v>45705</v>
      </c>
      <c r="AE93" s="26" t="n">
        <v>45704.94444444445</v>
      </c>
      <c r="AF93" s="26" t="n">
        <v>45709.36875</v>
      </c>
      <c r="AG93" s="26" t="n">
        <v>45709.45833333334</v>
      </c>
      <c r="AH93" s="26" t="n">
        <v>45709.47916666666</v>
      </c>
      <c r="AI93" s="26" t="n">
        <v>45709.54166666666</v>
      </c>
      <c r="AJ93" s="26" t="n">
        <v>45709.71527777778</v>
      </c>
      <c r="AK93" s="26" t="n">
        <v>45714.56597222222</v>
      </c>
      <c r="AL93" s="26" t="n">
        <v>45714.61111111111</v>
      </c>
      <c r="AM93" s="26" t="n">
        <v>45714.61388888889</v>
      </c>
      <c r="AN93" s="26" t="n">
        <v>45714.65555555555</v>
      </c>
      <c r="AO93" s="26" t="n">
        <v>45714.71875</v>
      </c>
      <c r="AP93" s="20">
        <f>(AG93-AF93)*1440</f>
        <v/>
      </c>
      <c r="AQ93" s="20">
        <f>(AG93-AE93)*1440</f>
        <v/>
      </c>
      <c r="AR93" s="20">
        <f>(AH93-AF93)*1440</f>
        <v/>
      </c>
      <c r="AS93" s="20">
        <f>(AI93-AH93)*1440</f>
        <v/>
      </c>
      <c r="AT93" s="20">
        <f>(AJ93-AH93)*1440</f>
        <v/>
      </c>
      <c r="AU93" s="20">
        <f>(AL93-AK93)*1440</f>
        <v/>
      </c>
      <c r="AV93" s="20">
        <f>(AM93-AL93)*1440</f>
        <v/>
      </c>
      <c r="AW93" s="20">
        <f>(AO93-AM93)*1440</f>
        <v/>
      </c>
      <c r="AX93" s="19">
        <f>AP93+AS93+AU93+AV93+AW93</f>
        <v/>
      </c>
      <c r="AY93" s="18">
        <f>(AG93-AA93)</f>
        <v/>
      </c>
      <c r="AZ93" s="18">
        <f>(AK93-AJ93)</f>
        <v/>
      </c>
      <c r="BA93" s="18">
        <f>AO93-AG93</f>
        <v/>
      </c>
      <c r="BB93" s="18">
        <f>(AO93-AA93)-(AP93/1440)-(AW93/1440)</f>
        <v/>
      </c>
      <c r="BC93" s="20">
        <f>E93/AZ93</f>
        <v/>
      </c>
      <c r="BE93" s="20">
        <f>IF(E93&lt;10000,3000,IF(E93&lt;15000,3600,IF(E93&lt;20000,4500,IF(E93&lt;25000,6000,IF(E93&lt;30000,7500,IF(E93&lt;40000,9000,IF(E93&gt;40000,10000)))))))</f>
        <v/>
      </c>
      <c r="BF93" s="334">
        <f>(E93/BE93)+2</f>
        <v/>
      </c>
      <c r="BS93" s="24" t="inlineStr">
        <is>
          <t>CHANGE DU POSTE 2N VERS LA RADE 
LE 24/02- 1530 // RE-ACC AU POSTE 2BIS LE 25/02- 1940</t>
        </is>
      </c>
      <c r="BT93" s="99" t="n">
        <v>2</v>
      </c>
      <c r="BW93" s="332">
        <f>AI93-AH93</f>
        <v/>
      </c>
      <c r="BX93" s="24" t="inlineStr">
        <is>
          <t>NUL</t>
        </is>
      </c>
      <c r="BY93" s="24" t="inlineStr">
        <is>
          <t>NUL</t>
        </is>
      </c>
      <c r="CB93" s="14" t="n">
        <v>19883</v>
      </c>
    </row>
    <row r="94" ht="15" customHeight="1" s="70">
      <c r="A94" s="81" t="n"/>
      <c r="B94" s="328" t="inlineStr">
        <is>
          <t>KAPADOKYA</t>
        </is>
      </c>
      <c r="C94" s="15" t="n">
        <v>45714</v>
      </c>
      <c r="D94" s="329" t="n">
        <v>10148</v>
      </c>
      <c r="E94" s="330" t="n"/>
      <c r="F94" s="142" t="inlineStr">
        <is>
          <t>KOFERT</t>
        </is>
      </c>
      <c r="G94" s="81" t="n">
        <v>2</v>
      </c>
      <c r="H94" s="75" t="inlineStr">
        <is>
          <t>DAP</t>
        </is>
      </c>
      <c r="I94" s="306" t="inlineStr">
        <is>
          <t>DAP STANDARD</t>
        </is>
      </c>
      <c r="J94" s="50" t="inlineStr">
        <is>
          <t>FOB</t>
        </is>
      </c>
      <c r="K94" s="82" t="n">
        <v>595</v>
      </c>
      <c r="L94" s="336">
        <f>D94*K94</f>
        <v/>
      </c>
      <c r="M94" s="14" t="n">
        <v>9.9375</v>
      </c>
      <c r="N94" s="335">
        <f>L94*M94</f>
        <v/>
      </c>
      <c r="O94" s="16" t="inlineStr">
        <is>
          <t>259 N DU 26/02/2025</t>
        </is>
      </c>
      <c r="P94" s="16" t="inlineStr">
        <is>
          <t>ETG INPUTS IVC LIMITED</t>
        </is>
      </c>
      <c r="Q94" s="50" t="inlineStr">
        <is>
          <t>AFRIQUE</t>
        </is>
      </c>
      <c r="R94" s="75" t="inlineStr">
        <is>
          <t>COTE D'IVOIRE</t>
        </is>
      </c>
      <c r="T94" s="89" t="inlineStr">
        <is>
          <t>INTERTEK</t>
        </is>
      </c>
      <c r="U94" s="81" t="n">
        <v>171</v>
      </c>
      <c r="V94" s="53">
        <f>IF(U94&lt;130, "Mini Bulker", IF(AND(U94&gt;=130, U94&lt;150), "Handysize", IF(AND(U94&gt;=150, U94&lt;200), "Handymax", IF(AND(U94&gt;=200, U94&lt;230), "Panamax", IF(AND(U94&gt;=230, U94&lt;=270), "Capesize", "Autre")))))</f>
        <v/>
      </c>
      <c r="X94" s="14">
        <f>IF(E94&lt;9999,"1",IF(E94&lt;19999,"2",IF(E94&lt;29999,"3",IF(E94&lt;39999,"4",IF(E94&lt;49999,"5",IF(E94&gt;50000,"6"))))))</f>
        <v/>
      </c>
      <c r="Y94" s="75" t="inlineStr">
        <is>
          <t>2N/2BIS</t>
        </is>
      </c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S94" s="24" t="inlineStr">
        <is>
          <t>CHANGE DU POSTE 2N VERS LA RADE 
LE 24/02- 1530 // RE-ACC AU POSTE 2BIS LE 25/02- 1940</t>
        </is>
      </c>
      <c r="BT94" s="99" t="n">
        <v>2</v>
      </c>
      <c r="BW94" s="332">
        <f>AI94-AH94</f>
        <v/>
      </c>
      <c r="BX94" s="24" t="inlineStr">
        <is>
          <t>NUL</t>
        </is>
      </c>
      <c r="BY94" s="24" t="inlineStr">
        <is>
          <t>NUL</t>
        </is>
      </c>
      <c r="CB94" s="14" t="n"/>
    </row>
    <row r="95" ht="15" customHeight="1" s="70" thickBot="1">
      <c r="A95" s="81" t="n">
        <v>62</v>
      </c>
      <c r="B95" s="328" t="inlineStr">
        <is>
          <t>KATUXA NM</t>
        </is>
      </c>
      <c r="C95" s="15" t="n">
        <v>45714</v>
      </c>
      <c r="D95" s="329" t="n">
        <v>5722</v>
      </c>
      <c r="E95" s="329" t="n">
        <v>5722</v>
      </c>
      <c r="F95" s="142" t="inlineStr">
        <is>
          <t>OCP NUTRI</t>
        </is>
      </c>
      <c r="G95" s="81" t="n">
        <v>1</v>
      </c>
      <c r="H95" s="75" t="inlineStr">
        <is>
          <t>DAP</t>
        </is>
      </c>
      <c r="I95" s="306" t="inlineStr">
        <is>
          <t xml:space="preserve">DAP Euro Low Moisture. </t>
        </is>
      </c>
      <c r="J95" s="50" t="inlineStr">
        <is>
          <t>CFR</t>
        </is>
      </c>
      <c r="K95" s="82" t="n">
        <v>635</v>
      </c>
      <c r="L95" s="336">
        <f>D95*K95</f>
        <v/>
      </c>
      <c r="M95" s="14" t="n">
        <v>9.9375</v>
      </c>
      <c r="N95" s="335">
        <f>L95*M95</f>
        <v/>
      </c>
      <c r="O95" s="16" t="inlineStr">
        <is>
          <t>252 F DU 26/02/2025</t>
        </is>
      </c>
      <c r="P95" s="16" t="inlineStr">
        <is>
          <t>Target Fertilisers Ltd</t>
        </is>
      </c>
      <c r="Q95" s="50" t="inlineStr">
        <is>
          <t>EUROPE</t>
        </is>
      </c>
      <c r="R95" s="75" t="inlineStr">
        <is>
          <t>IRLANDE</t>
        </is>
      </c>
      <c r="T95" s="89" t="inlineStr">
        <is>
          <t>INSPECTORATE</t>
        </is>
      </c>
      <c r="U95" s="81" t="n">
        <v>103</v>
      </c>
      <c r="V95" s="53">
        <f>IF(U95&lt;130, "Mini Bulker", IF(AND(U95&gt;=130, U95&lt;150), "Handysize", IF(AND(U95&gt;=150, U95&lt;200), "Handymax", IF(AND(U95&gt;=200, U95&lt;230), "Panamax", IF(AND(U95&gt;=230, U95&lt;=270), "Capesize", "Autre")))))</f>
        <v/>
      </c>
      <c r="X95" s="14">
        <f>IF(E95&lt;9999,"1",IF(E95&lt;19999,"2",IF(E95&lt;29999,"3",IF(E95&lt;39999,"4",IF(E95&lt;49999,"5",IF(E95&gt;50000,"6"))))))</f>
        <v/>
      </c>
      <c r="Y95" s="75" t="inlineStr">
        <is>
          <t>1TER</t>
        </is>
      </c>
      <c r="AA95" s="26" t="n">
        <v>45709.04166666666</v>
      </c>
      <c r="AB95" s="26" t="n">
        <v>45709.375</v>
      </c>
      <c r="AC95" s="15" t="n">
        <v>45707</v>
      </c>
      <c r="AD95" s="15" t="n">
        <v>45709</v>
      </c>
      <c r="AE95" s="26" t="n">
        <v>45709.04166666666</v>
      </c>
      <c r="AF95" s="26" t="n">
        <v>45713.44236111111</v>
      </c>
      <c r="AG95" s="26" t="n">
        <v>45713.53333333333</v>
      </c>
      <c r="AH95" s="26" t="n">
        <v>45713.57291666666</v>
      </c>
      <c r="AI95" s="26" t="n">
        <v>45713.59375</v>
      </c>
      <c r="AJ95" s="26" t="n">
        <v>45713.67708333334</v>
      </c>
      <c r="AK95" s="26" t="n">
        <v>45714.65625</v>
      </c>
      <c r="AL95" s="26" t="n">
        <v>45714.6875</v>
      </c>
      <c r="AM95" s="26" t="n">
        <v>45714.70833333334</v>
      </c>
      <c r="AN95" s="26" t="n">
        <v>45714.75347222222</v>
      </c>
      <c r="AO95" s="26" t="n">
        <v>45714.79166666666</v>
      </c>
      <c r="AP95" s="20">
        <f>(AG95-AF95)*1440</f>
        <v/>
      </c>
      <c r="AQ95" s="20">
        <f>(AG95-AE95)*1440</f>
        <v/>
      </c>
      <c r="AR95" s="20">
        <f>(AH95-AF95)*1440</f>
        <v/>
      </c>
      <c r="AS95" s="20">
        <f>(AI95-AH95)*1440</f>
        <v/>
      </c>
      <c r="AT95" s="20">
        <f>(AJ95-AH95)*1440</f>
        <v/>
      </c>
      <c r="AU95" s="20">
        <f>(AL95-AK95)*1440</f>
        <v/>
      </c>
      <c r="AV95" s="20">
        <f>(AM95-AL95)*1440</f>
        <v/>
      </c>
      <c r="AW95" s="20">
        <f>(AO95-AM95)*1440</f>
        <v/>
      </c>
      <c r="AX95" s="19">
        <f>AP95+AS95+AU95+AV95+AW95</f>
        <v/>
      </c>
      <c r="AY95" s="18">
        <f>(AG95-AA95)</f>
        <v/>
      </c>
      <c r="AZ95" s="18">
        <f>(AK95-AJ95)</f>
        <v/>
      </c>
      <c r="BA95" s="18">
        <f>AO95-AG95</f>
        <v/>
      </c>
      <c r="BB95" s="18">
        <f>(AO95-AA95)-(AP95/1440)-(AW95/1440)</f>
        <v/>
      </c>
      <c r="BC95" s="20">
        <f>E95/AZ95</f>
        <v/>
      </c>
      <c r="BE95" s="20">
        <f>IF(E95&lt;10000,3000,IF(E95&lt;15000,3600,IF(E95&lt;20000,4500,IF(E95&lt;25000,6000,IF(E95&lt;30000,7500,IF(E95&lt;40000,9000,IF(E95&gt;40000,10000)))))))</f>
        <v/>
      </c>
      <c r="BF95" s="334">
        <f>(E95/BE95)+2</f>
        <v/>
      </c>
      <c r="BS95" s="24" t="inlineStr">
        <is>
          <t>NUL</t>
        </is>
      </c>
      <c r="BT95" s="99" t="n">
        <v>0</v>
      </c>
      <c r="BW95" s="332">
        <f>AI95-AH95</f>
        <v/>
      </c>
      <c r="BX95" s="24" t="inlineStr">
        <is>
          <t>NUL</t>
        </is>
      </c>
      <c r="BY95" s="24" t="inlineStr">
        <is>
          <t>NUL</t>
        </is>
      </c>
      <c r="CB95" s="14" t="n">
        <v>4137</v>
      </c>
    </row>
    <row r="96" customFormat="1" s="230">
      <c r="A96" s="112" t="n">
        <v>63</v>
      </c>
      <c r="B96" s="317" t="inlineStr">
        <is>
          <t>FEDERAL SAKURA</t>
        </is>
      </c>
      <c r="C96" s="108" t="n">
        <v>45715</v>
      </c>
      <c r="D96" s="318" t="n">
        <v>29705</v>
      </c>
      <c r="E96" s="318" t="n">
        <v>29705</v>
      </c>
      <c r="F96" s="141" t="n"/>
      <c r="G96" s="112" t="n">
        <v>1</v>
      </c>
      <c r="H96" s="115" t="inlineStr">
        <is>
          <t>NPS</t>
        </is>
      </c>
      <c r="I96" s="114" t="inlineStr">
        <is>
          <t xml:space="preserve">NPS 2 28 7S </t>
        </is>
      </c>
      <c r="J96" s="113" t="inlineStr">
        <is>
          <t>CFR</t>
        </is>
      </c>
      <c r="K96" s="123" t="n"/>
      <c r="L96" s="337">
        <f>D96*K96</f>
        <v/>
      </c>
      <c r="M96" s="111" t="n"/>
      <c r="N96" s="338">
        <f>L96*M96</f>
        <v/>
      </c>
      <c r="O96" s="124" t="n"/>
      <c r="P96" s="124" t="n"/>
      <c r="Q96" s="113" t="n"/>
      <c r="R96" s="113" t="n"/>
      <c r="S96" s="233" t="n"/>
      <c r="T96" s="131" t="inlineStr">
        <is>
          <t>INTERTEK</t>
        </is>
      </c>
      <c r="U96" s="112" t="n">
        <v>190</v>
      </c>
      <c r="V96" s="129">
        <f>IF(U96&lt;130, "Mini Bulker", IF(AND(U96&gt;=130, U96&lt;150), "Handysize", IF(AND(U96&gt;=150, U96&lt;200), "Handymax", IF(AND(U96&gt;=200, U96&lt;230), "Panamax", IF(AND(U96&gt;=230, U96&lt;=270), "Capesize", "Autre")))))</f>
        <v/>
      </c>
      <c r="X96" s="111">
        <f>IF(E96&lt;9999,"1",IF(E96&lt;19999,"2",IF(E96&lt;29999,"3",IF(E96&lt;39999,"4",IF(E96&lt;49999,"5",IF(E96&gt;50000,"6"))))))</f>
        <v/>
      </c>
      <c r="Y96" s="115" t="inlineStr">
        <is>
          <t>1TER</t>
        </is>
      </c>
      <c r="AA96" s="95" t="n">
        <v>45677.25833333333</v>
      </c>
      <c r="AB96" s="95" t="n">
        <v>45677.375</v>
      </c>
      <c r="AC96" s="108" t="n">
        <v>45706</v>
      </c>
      <c r="AD96" s="108" t="n">
        <v>45711</v>
      </c>
      <c r="AE96" s="95" t="n">
        <v>45677.20833333334</v>
      </c>
      <c r="AF96" s="96" t="n"/>
      <c r="AG96" s="95" t="n">
        <v>45677.5625</v>
      </c>
      <c r="AH96" s="95" t="n">
        <v>45677.57638888889</v>
      </c>
      <c r="AI96" s="95" t="n">
        <v>45712.42708333334</v>
      </c>
      <c r="AJ96" s="95" t="n">
        <v>45678.125</v>
      </c>
      <c r="AK96" s="96" t="n">
        <v>45715.39236111111</v>
      </c>
      <c r="AL96" s="96" t="n">
        <v>45715.43194444444</v>
      </c>
      <c r="AM96" s="96" t="n">
        <v>45715.46527777778</v>
      </c>
      <c r="AN96" s="96" t="n">
        <v>45715.50833333333</v>
      </c>
      <c r="AO96" s="96" t="n">
        <v>45715.55902777778</v>
      </c>
      <c r="AP96" s="117">
        <f>(AG96-AF96)*1440</f>
        <v/>
      </c>
      <c r="AQ96" s="117">
        <f>(AG96-AE96)*1440</f>
        <v/>
      </c>
      <c r="AR96" s="117">
        <f>(AH96-AF96)*1440</f>
        <v/>
      </c>
      <c r="AS96" s="117">
        <f>(AI96-AH96)*1440</f>
        <v/>
      </c>
      <c r="AT96" s="117">
        <f>(AJ96-AH96)*1440</f>
        <v/>
      </c>
      <c r="AU96" s="117">
        <f>(AL96-AK96)*1440</f>
        <v/>
      </c>
      <c r="AV96" s="117">
        <f>(AM96-AL96)*1440</f>
        <v/>
      </c>
      <c r="AW96" s="117">
        <f>(AO96-AM96)*1440</f>
        <v/>
      </c>
      <c r="AX96" s="118">
        <f>AP96+AS96+AU96+AV96+AW96</f>
        <v/>
      </c>
      <c r="AY96" s="119">
        <f>(AG96-AA96)</f>
        <v/>
      </c>
      <c r="AZ96" s="119">
        <f>(AK96-AJ96)</f>
        <v/>
      </c>
      <c r="BA96" s="119">
        <f>AO96-AG96</f>
        <v/>
      </c>
      <c r="BB96" s="119">
        <f>(AO96-AA96)-(AP96/1440)-(AW96/1440)</f>
        <v/>
      </c>
      <c r="BC96" s="117">
        <f>E96/AZ96</f>
        <v/>
      </c>
      <c r="BE96" s="117">
        <f>IF(E96&lt;10000,3000,IF(E96&lt;15000,3600,IF(E96&lt;20000,4500,IF(E96&lt;25000,6000,IF(E96&lt;30000,7500,IF(E96&lt;40000,9000,IF(E96&gt;40000,10000)))))))</f>
        <v/>
      </c>
      <c r="BF96" s="322">
        <f>(E96/BE96)+2</f>
        <v/>
      </c>
      <c r="BS96" s="120" t="inlineStr">
        <is>
          <t>CHANGE DU POSTE 1N VERS LA RADE LE 23/01-1020 // RE-ACC AU POSTE 1N LE 31/01- 2210 // CHANGE DU POSTE 1N VERS LA RADE LE 01/02 - 2326 // RE-ACC AU POSTE 1N LE 05/02- 2350 // CHANGE DU POSTE 1N VERS LA RADE LE 07/02 - 1224// RE-ACC AU POSTE 1BIS LE 08/02- 1506 // CHANGE DU POSTE 1BIS VERS POSTE 1TER LE 09/02- 0203 // CHANGE DU POSTE 1TER VERS LA RADE LE 10/02- 1905 // RE-ACC AU POSTE 1N LE 15/02- 0035 //  CHANGE DU POSTE 1N VERS LA RADE LE 17/02- 1335 // CHANGE DU POSTE 5 VERS LA RADE LE 21/02 - 2150 // RE-ACC AU POSTE 1N LE 24/02- 0849 // CHANGE DU POSTE 1N VERS 1BIS LE 26/02- 2040</t>
        </is>
      </c>
      <c r="BT96" s="125" t="n">
        <v>13</v>
      </c>
      <c r="BW96" s="323">
        <f>AI96-AH96</f>
        <v/>
      </c>
      <c r="BX96" s="120" t="inlineStr">
        <is>
          <t>TBC</t>
        </is>
      </c>
      <c r="BY96" s="120" t="inlineStr">
        <is>
          <t>TBC</t>
        </is>
      </c>
      <c r="CB96" s="111" t="n">
        <v>19201</v>
      </c>
    </row>
    <row r="97">
      <c r="A97" s="81" t="n">
        <v>65</v>
      </c>
      <c r="B97" s="340" t="inlineStr">
        <is>
          <t>NIMET TORLAK</t>
        </is>
      </c>
      <c r="C97" s="135" t="n">
        <v>45717</v>
      </c>
      <c r="D97" s="329" t="n">
        <v>11000</v>
      </c>
      <c r="E97" s="329" t="n">
        <v>11000</v>
      </c>
      <c r="F97" s="142" t="inlineStr">
        <is>
          <t>KOFERT</t>
        </is>
      </c>
      <c r="G97" s="81" t="n">
        <v>1</v>
      </c>
      <c r="H97" s="75" t="inlineStr">
        <is>
          <t>DAP</t>
        </is>
      </c>
      <c r="I97" s="306" t="inlineStr">
        <is>
          <t xml:space="preserve">DAP EURO </t>
        </is>
      </c>
      <c r="J97" s="50" t="inlineStr">
        <is>
          <t>DAT</t>
        </is>
      </c>
      <c r="K97" s="82" t="n">
        <v>655</v>
      </c>
      <c r="L97" s="336">
        <f>D97*K97</f>
        <v/>
      </c>
      <c r="M97" s="14" t="n">
        <v>9.963800000000001</v>
      </c>
      <c r="N97" s="335">
        <f>L97*M97</f>
        <v/>
      </c>
      <c r="O97" s="16" t="inlineStr">
        <is>
          <t>252 F DU 26/02/2025</t>
        </is>
      </c>
      <c r="P97" s="16" t="inlineStr">
        <is>
          <t>SPEDRA SHIPPING AGENCY /Navenna S.r.l</t>
        </is>
      </c>
      <c r="Q97" s="50" t="inlineStr">
        <is>
          <t>EUROPE</t>
        </is>
      </c>
      <c r="R97" s="50" t="inlineStr">
        <is>
          <t>ITALY</t>
        </is>
      </c>
      <c r="T97" s="89" t="inlineStr">
        <is>
          <t>INTERTEK</t>
        </is>
      </c>
      <c r="U97" s="81" t="n">
        <v>136</v>
      </c>
      <c r="V97" s="53">
        <f>IF(U97&lt;130, "Mini Bulker", IF(AND(U97&gt;=130, U97&lt;150), "Handysize", IF(AND(U97&gt;=150, U97&lt;200), "Handymax", IF(AND(U97&gt;=200, U97&lt;230), "Panamax", IF(AND(U97&gt;=230, U97&lt;=270), "Capesize", "Autre")))))</f>
        <v/>
      </c>
      <c r="X97" s="14">
        <f>IF(E97&lt;9999,"1",IF(E97&lt;19999,"2",IF(E97&lt;29999,"3",IF(E97&lt;39999,"4",IF(E97&lt;49999,"5",IF(E97&gt;50000,"6"))))))</f>
        <v/>
      </c>
      <c r="Y97" s="75" t="inlineStr">
        <is>
          <t>2BIS/2TER</t>
        </is>
      </c>
      <c r="AA97" s="26" t="n">
        <v>45703.20833333334</v>
      </c>
      <c r="AB97" s="26" t="n">
        <v>45703.375</v>
      </c>
      <c r="AC97" s="15" t="n">
        <v>45699</v>
      </c>
      <c r="AD97" s="15" t="n">
        <v>45701</v>
      </c>
      <c r="AE97" s="26" t="n">
        <v>45703.17708333334</v>
      </c>
      <c r="AF97" s="26" t="n">
        <v>45715.47916666666</v>
      </c>
      <c r="AG97" s="26" t="n">
        <v>45715.54166666666</v>
      </c>
      <c r="AH97" s="26" t="n">
        <v>45715.5625</v>
      </c>
      <c r="AI97" s="26" t="n">
        <v>45715.625</v>
      </c>
      <c r="AJ97" s="26" t="n">
        <v>45715.73611111111</v>
      </c>
      <c r="AK97" s="26" t="n">
        <v>45717.69791666666</v>
      </c>
      <c r="AL97" s="26" t="n">
        <v>45717.75</v>
      </c>
      <c r="AM97" s="26" t="n">
        <v>45717.79166666666</v>
      </c>
      <c r="AN97" s="26" t="n">
        <v>45717.84375</v>
      </c>
      <c r="AO97" s="26" t="n">
        <v>45717.88333333333</v>
      </c>
      <c r="AP97" s="20">
        <f>(AG97-AF97)*1440</f>
        <v/>
      </c>
      <c r="AQ97" s="20">
        <f>(AG97-AE97)*1440</f>
        <v/>
      </c>
      <c r="AR97" s="20">
        <f>(AH97-AF97)*1440</f>
        <v/>
      </c>
      <c r="AS97" s="20">
        <f>(AI97-AH97)*1440</f>
        <v/>
      </c>
      <c r="AT97" s="20">
        <f>(AJ97-AH97)*1440</f>
        <v/>
      </c>
      <c r="AU97" s="20">
        <f>(AL97-AK97)*1440</f>
        <v/>
      </c>
      <c r="AV97" s="20">
        <f>(AM97-AL97)*1440</f>
        <v/>
      </c>
      <c r="AW97" s="20">
        <f>(AO97-AM97)*1440</f>
        <v/>
      </c>
      <c r="AX97" s="19">
        <f>AP97+AS97+AU97+AV97+AW97</f>
        <v/>
      </c>
      <c r="AY97" s="18">
        <f>(AG97-AA97)</f>
        <v/>
      </c>
      <c r="AZ97" s="18">
        <f>(AK97-AJ97)</f>
        <v/>
      </c>
      <c r="BA97" s="18">
        <f>AO97-AG97</f>
        <v/>
      </c>
      <c r="BB97" s="18">
        <f>(AO97-AA97)-(AP97/1440)-(AW97/1440)</f>
        <v/>
      </c>
      <c r="BC97" s="20">
        <f>E97/AZ97</f>
        <v/>
      </c>
      <c r="BE97" s="20">
        <f>IF(E97&lt;10000,3000,IF(E97&lt;15000,3600,IF(E97&lt;20000,4500,IF(E97&lt;25000,6000,IF(E97&lt;30000,7500,IF(E97&lt;40000,9000,IF(E97&gt;40000,10000)))))))</f>
        <v/>
      </c>
      <c r="BF97" s="334">
        <f>(E97/BE97)+2</f>
        <v/>
      </c>
      <c r="BS97" s="24" t="inlineStr">
        <is>
          <t>NUL</t>
        </is>
      </c>
      <c r="BT97" s="24" t="n">
        <v>0</v>
      </c>
      <c r="BU97" s="24" t="n"/>
      <c r="BV97" s="24" t="n"/>
      <c r="BW97" s="332">
        <f>AI97-AH97</f>
        <v/>
      </c>
      <c r="BX97" s="24" t="inlineStr">
        <is>
          <t>NUL</t>
        </is>
      </c>
      <c r="BY97" s="24" t="inlineStr">
        <is>
          <t>NUL</t>
        </is>
      </c>
      <c r="CB97" s="14" t="n">
        <v>11349</v>
      </c>
      <c r="CE97" s="26" t="n">
        <v>45699.17708333334</v>
      </c>
      <c r="CF97" s="222" t="n">
        <v>45701.17708333334</v>
      </c>
    </row>
    <row r="98">
      <c r="A98" s="81" t="n">
        <v>64</v>
      </c>
      <c r="B98" s="340" t="inlineStr">
        <is>
          <t>NING FENG 316</t>
        </is>
      </c>
      <c r="C98" s="135" t="n">
        <v>45717</v>
      </c>
      <c r="D98" s="329" t="n">
        <v>45000</v>
      </c>
      <c r="E98" s="329" t="n">
        <v>45000</v>
      </c>
      <c r="F98" s="142" t="inlineStr">
        <is>
          <t>KOFERT</t>
        </is>
      </c>
      <c r="G98" s="81" t="n">
        <v>1</v>
      </c>
      <c r="H98" s="53" t="inlineStr">
        <is>
          <t>DAP</t>
        </is>
      </c>
      <c r="I98" s="306" t="inlineStr">
        <is>
          <t>DAP SPECIAL</t>
        </is>
      </c>
      <c r="J98" s="50" t="inlineStr">
        <is>
          <t>CFR</t>
        </is>
      </c>
      <c r="K98" s="82" t="n">
        <v>645</v>
      </c>
      <c r="L98" s="336">
        <f>D98*K98</f>
        <v/>
      </c>
      <c r="M98" s="14" t="n">
        <v>9.963800000000001</v>
      </c>
      <c r="N98" s="335">
        <f>L98*M98</f>
        <v/>
      </c>
      <c r="O98" s="16" t="inlineStr">
        <is>
          <t>259 N DU 26/02/2025</t>
        </is>
      </c>
      <c r="P98" s="16" t="inlineStr">
        <is>
          <t>PT PETROKIMIA GRESIK</t>
        </is>
      </c>
      <c r="Q98" s="50" t="inlineStr">
        <is>
          <t>ASIE</t>
        </is>
      </c>
      <c r="R98" s="50" t="inlineStr">
        <is>
          <t>INDONESIE</t>
        </is>
      </c>
      <c r="T98" s="89" t="inlineStr">
        <is>
          <t>INTERTEK</t>
        </is>
      </c>
      <c r="U98" s="81" t="n">
        <v>189</v>
      </c>
      <c r="V98" s="53">
        <f>IF(U98&lt;130, "Mini Bulker", IF(AND(U98&gt;=130, U98&lt;150), "Handysize", IF(AND(U98&gt;=150, U98&lt;200), "Handymax", IF(AND(U98&gt;=200, U98&lt;230), "Panamax", IF(AND(U98&gt;=230, U98&lt;=270), "Capesize", "Autre")))))</f>
        <v/>
      </c>
      <c r="X98" s="14">
        <f>IF(E98&lt;9999,"1",IF(E98&lt;19999,"2",IF(E98&lt;29999,"3",IF(E98&lt;39999,"4",IF(E98&lt;49999,"5",IF(E98&gt;50000,"6"))))))</f>
        <v/>
      </c>
      <c r="Y98" s="75" t="inlineStr">
        <is>
          <t>2TER/2BIS</t>
        </is>
      </c>
      <c r="AA98" s="26" t="n">
        <v>45712.60833333333</v>
      </c>
      <c r="AB98" s="26" t="n">
        <v>45712.60833333333</v>
      </c>
      <c r="AC98" s="15" t="n">
        <v>45710</v>
      </c>
      <c r="AD98" s="15" t="n">
        <v>45713</v>
      </c>
      <c r="AE98" s="26" t="n">
        <v>45712.54166666666</v>
      </c>
      <c r="AF98" s="26" t="n">
        <v>45713.66111111111</v>
      </c>
      <c r="AG98" s="26" t="n">
        <v>45713.75833333333</v>
      </c>
      <c r="AH98" s="26" t="n">
        <v>45713.79166666666</v>
      </c>
      <c r="AI98" s="26" t="n">
        <v>45713.84722222222</v>
      </c>
      <c r="AJ98" s="26" t="n">
        <v>45713.88541666666</v>
      </c>
      <c r="AK98" s="26" t="n">
        <v>45717.625</v>
      </c>
      <c r="AL98" s="26" t="n">
        <v>45717.68055555555</v>
      </c>
      <c r="AM98" s="26" t="n">
        <v>45717.69027777778</v>
      </c>
      <c r="AN98" s="26" t="n">
        <v>45717.73194444444</v>
      </c>
      <c r="AO98" s="26" t="n">
        <v>45717.81944444445</v>
      </c>
      <c r="AP98" s="20">
        <f>(AG98-AF98)*1440</f>
        <v/>
      </c>
      <c r="AQ98" s="20">
        <f>(AG98-AE98)*1440</f>
        <v/>
      </c>
      <c r="AR98" s="20">
        <f>(AH98-AF98)*1440</f>
        <v/>
      </c>
      <c r="AS98" s="20">
        <f>(AI98-AH98)*1440</f>
        <v/>
      </c>
      <c r="AT98" s="20">
        <f>(AJ98-AH98)*1440</f>
        <v/>
      </c>
      <c r="AU98" s="20">
        <f>(AL98-AK98)*1440</f>
        <v/>
      </c>
      <c r="AV98" s="20">
        <f>(AM98-AL98)*1440</f>
        <v/>
      </c>
      <c r="AW98" s="20">
        <f>(AO98-AM98)*1440</f>
        <v/>
      </c>
      <c r="AX98" s="19">
        <f>AP98+AS98+AU98+AV98+AW98</f>
        <v/>
      </c>
      <c r="AY98" s="18">
        <f>(AG98-AA98)</f>
        <v/>
      </c>
      <c r="AZ98" s="18">
        <f>(AK98-AJ98)</f>
        <v/>
      </c>
      <c r="BA98" s="18">
        <f>AO98-AG98</f>
        <v/>
      </c>
      <c r="BB98" s="18">
        <f>(AO98-AA98)-(AP98/1440)-(AW98/1440)</f>
        <v/>
      </c>
      <c r="BC98" s="20">
        <f>E98/AZ98</f>
        <v/>
      </c>
      <c r="BE98" s="20">
        <f>IF(E98&lt;10000,3000,IF(E98&lt;15000,3600,IF(E98&lt;20000,4500,IF(E98&lt;25000,6000,IF(E98&lt;30000,7500,IF(E98&lt;40000,9000,IF(E98&gt;40000,10000)))))))</f>
        <v/>
      </c>
      <c r="BF98" s="334">
        <f>(E98/BE98)+2</f>
        <v/>
      </c>
      <c r="BS98" s="24" t="inlineStr">
        <is>
          <t>NUL</t>
        </is>
      </c>
      <c r="BT98" s="24" t="n">
        <v>0</v>
      </c>
      <c r="BU98" s="24" t="inlineStr">
        <is>
          <t>NON CLEAN</t>
        </is>
      </c>
      <c r="BV98" s="24" t="inlineStr">
        <is>
          <t>HOLD 4 &amp;5</t>
        </is>
      </c>
      <c r="BW98" s="332">
        <f>AI98-AH98</f>
        <v/>
      </c>
      <c r="BX98" s="24" t="n"/>
      <c r="BY98" s="24" t="n">
        <v>80</v>
      </c>
      <c r="CB98" s="14" t="n">
        <v>30669</v>
      </c>
      <c r="CE98" s="26" t="n">
        <v>45713.33333333334</v>
      </c>
      <c r="CF98" s="216" t="n"/>
    </row>
    <row r="99">
      <c r="A99" s="81" t="n">
        <v>66</v>
      </c>
      <c r="B99" s="340" t="inlineStr">
        <is>
          <t>LADY DEBORA</t>
        </is>
      </c>
      <c r="C99" s="135" t="n">
        <v>45718</v>
      </c>
      <c r="D99" s="329" t="n">
        <v>4400</v>
      </c>
      <c r="E99" s="329" t="n">
        <v>4400</v>
      </c>
      <c r="F99" s="142" t="inlineStr">
        <is>
          <t>JFC2</t>
        </is>
      </c>
      <c r="G99" s="81" t="n">
        <v>1</v>
      </c>
      <c r="H99" s="53" t="inlineStr">
        <is>
          <t>DAP</t>
        </is>
      </c>
      <c r="I99" s="306" t="inlineStr">
        <is>
          <t xml:space="preserve">DAP Euro Low Cd </t>
        </is>
      </c>
      <c r="J99" s="50" t="inlineStr">
        <is>
          <t>CFR</t>
        </is>
      </c>
      <c r="K99" s="82" t="n">
        <v>632</v>
      </c>
      <c r="L99" s="336">
        <f>D99*K99</f>
        <v/>
      </c>
      <c r="M99" s="14" t="n">
        <v>9.963800000000001</v>
      </c>
      <c r="N99" s="335">
        <f>L99*M99</f>
        <v/>
      </c>
      <c r="O99" s="16" t="inlineStr">
        <is>
          <t>258 M DU 26/02/2025</t>
        </is>
      </c>
      <c r="P99" s="16" t="inlineStr">
        <is>
          <t>ADP FERTILIZANTES SA</t>
        </is>
      </c>
      <c r="Q99" s="50" t="inlineStr">
        <is>
          <t>EUROPE</t>
        </is>
      </c>
      <c r="R99" s="50" t="inlineStr">
        <is>
          <t>PORTUGAL</t>
        </is>
      </c>
      <c r="S99" s="50" t="n"/>
      <c r="T99" s="89" t="inlineStr">
        <is>
          <t>INTERTEK</t>
        </is>
      </c>
      <c r="U99" s="81" t="n">
        <v>107</v>
      </c>
      <c r="V99" s="53">
        <f>IF(U99&lt;130, "Mini Bulker", IF(AND(U99&gt;=130, U99&lt;150), "Handysize", IF(AND(U99&gt;=150, U99&lt;200), "Handymax", IF(AND(U99&gt;=200, U99&lt;230), "Panamax", IF(AND(U99&gt;=230, U99&lt;=270), "Capesize", "Autre")))))</f>
        <v/>
      </c>
      <c r="X99" s="14">
        <f>IF(E99&lt;9999,"1",IF(E99&lt;19999,"2",IF(E99&lt;29999,"3",IF(E99&lt;39999,"4",IF(E99&lt;49999,"5",IF(E99&gt;50000,"6"))))))</f>
        <v/>
      </c>
      <c r="Y99" s="75" t="inlineStr">
        <is>
          <t>2TER</t>
        </is>
      </c>
      <c r="AA99" s="26" t="n">
        <v>45703.79166666666</v>
      </c>
      <c r="AB99" s="26" t="n">
        <v>45705.375</v>
      </c>
      <c r="AC99" s="15" t="n">
        <v>45710</v>
      </c>
      <c r="AD99" s="15" t="n">
        <v>45712</v>
      </c>
      <c r="AE99" s="26" t="n">
        <v>45703.99166666667</v>
      </c>
      <c r="AF99" s="26" t="n">
        <v>45717.81875</v>
      </c>
      <c r="AG99" s="26" t="n">
        <v>45717.875</v>
      </c>
      <c r="AH99" s="26" t="n">
        <v>45717.89930555555</v>
      </c>
      <c r="AI99" s="26" t="n">
        <v>45718.09375</v>
      </c>
      <c r="AJ99" s="26" t="n">
        <v>45718.11805555555</v>
      </c>
      <c r="AK99" s="26" t="n">
        <v>45718.59027777778</v>
      </c>
      <c r="AL99" s="26" t="n">
        <v>45718.64097222222</v>
      </c>
      <c r="AM99" s="26" t="n">
        <v>45718.65972222222</v>
      </c>
      <c r="AN99" s="26" t="n">
        <v>45718.70416666667</v>
      </c>
      <c r="AO99" s="26" t="n">
        <v>45718.75694444445</v>
      </c>
      <c r="AP99" s="20">
        <f>(AG99-AF99)*1440</f>
        <v/>
      </c>
      <c r="AQ99" s="20">
        <f>(AG99-AE99)*1440</f>
        <v/>
      </c>
      <c r="AR99" s="20">
        <f>(AH99-AF99)*1440</f>
        <v/>
      </c>
      <c r="AS99" s="20">
        <f>(AI99-AH99)*1440</f>
        <v/>
      </c>
      <c r="AT99" s="20">
        <f>(AJ99-AH99)*1440</f>
        <v/>
      </c>
      <c r="AU99" s="20">
        <f>(AL99-AK99)*1440</f>
        <v/>
      </c>
      <c r="AV99" s="20">
        <f>(AM99-AL99)*1440</f>
        <v/>
      </c>
      <c r="AW99" s="20">
        <f>(AO99-AM99)*1440</f>
        <v/>
      </c>
      <c r="AX99" s="19">
        <f>AP99+AS99+AU99+AV99+AW99</f>
        <v/>
      </c>
      <c r="AY99" s="18">
        <f>(AG99-AA99)</f>
        <v/>
      </c>
      <c r="AZ99" s="18">
        <f>(AK99-AJ99)</f>
        <v/>
      </c>
      <c r="BA99" s="18">
        <f>AO99-AG99</f>
        <v/>
      </c>
      <c r="BB99" s="18">
        <f>(AO99-AA99)-(AP99/1440)-(AW99/1440)</f>
        <v/>
      </c>
      <c r="BC99" s="20">
        <f>E99/AZ99</f>
        <v/>
      </c>
      <c r="BE99" s="20">
        <f>IF(E99&lt;10000,3000,IF(E99&lt;15000,3600,IF(E99&lt;20000,4500,IF(E99&lt;25000,6000,IF(E99&lt;30000,7500,IF(E99&lt;40000,9000,IF(E99&gt;40000,10000)))))))</f>
        <v/>
      </c>
      <c r="BF99" s="334">
        <f>(E99/BE99)+2</f>
        <v/>
      </c>
      <c r="BS99" s="24" t="inlineStr">
        <is>
          <t>NUL</t>
        </is>
      </c>
      <c r="BT99" s="24" t="n">
        <v>0</v>
      </c>
      <c r="BU99" s="24" t="inlineStr">
        <is>
          <t>NON CLEAN</t>
        </is>
      </c>
      <c r="BV99" s="24" t="inlineStr">
        <is>
          <t>WATER/DEBALLASTING</t>
        </is>
      </c>
      <c r="BW99" s="332">
        <f>AI99-AH99</f>
        <v/>
      </c>
      <c r="BX99" s="24" t="inlineStr">
        <is>
          <t>NUL</t>
        </is>
      </c>
      <c r="BY99" s="24" t="inlineStr">
        <is>
          <t>NUL</t>
        </is>
      </c>
      <c r="CB99" s="14" t="n">
        <v>5381</v>
      </c>
      <c r="CE99" s="103" t="n">
        <v>45710</v>
      </c>
      <c r="CF99" s="103" t="n">
        <v>45712</v>
      </c>
    </row>
    <row r="100" ht="14.55" customHeight="1" s="70">
      <c r="A100" s="81" t="n">
        <v>67</v>
      </c>
      <c r="B100" s="340" t="inlineStr">
        <is>
          <t>BLUE TUNE</t>
        </is>
      </c>
      <c r="C100" s="135" t="n">
        <v>45719</v>
      </c>
      <c r="D100" s="329" t="n">
        <v>2200</v>
      </c>
      <c r="E100" s="333">
        <f>D101+D100</f>
        <v/>
      </c>
      <c r="F100" s="142" t="inlineStr">
        <is>
          <t>JFC2</t>
        </is>
      </c>
      <c r="G100" s="81" t="n">
        <v>2</v>
      </c>
      <c r="H100" s="53" t="inlineStr">
        <is>
          <t>DAP</t>
        </is>
      </c>
      <c r="I100" s="306" t="inlineStr">
        <is>
          <t xml:space="preserve">DAP EURO </t>
        </is>
      </c>
      <c r="J100" s="50" t="inlineStr">
        <is>
          <t>CFR</t>
        </is>
      </c>
      <c r="K100" s="82" t="n">
        <v>631</v>
      </c>
      <c r="L100" s="336">
        <f>D100*K100</f>
        <v/>
      </c>
      <c r="M100" s="14" t="n">
        <v>9.963800000000001</v>
      </c>
      <c r="N100" s="335">
        <f>L100*M100</f>
        <v/>
      </c>
      <c r="O100" s="16" t="inlineStr">
        <is>
          <t>258 M DU 26/02/2025</t>
        </is>
      </c>
      <c r="P100" s="16" t="inlineStr">
        <is>
          <t xml:space="preserve">ANTONIO TARAZONA S.L.U. </t>
        </is>
      </c>
      <c r="Q100" s="50" t="inlineStr">
        <is>
          <t>EUROPE</t>
        </is>
      </c>
      <c r="R100" s="50" t="inlineStr">
        <is>
          <t>SPAIN</t>
        </is>
      </c>
      <c r="S100" s="50" t="n"/>
      <c r="T100" s="50" t="inlineStr">
        <is>
          <t>INSPECTORATE</t>
        </is>
      </c>
      <c r="U100" s="81" t="n">
        <v>90</v>
      </c>
      <c r="V100" s="53">
        <f>IF(U100&lt;130, "Mini Bulker", IF(AND(U100&gt;=130, U100&lt;150), "Handysize", IF(AND(U100&gt;=150, U100&lt;200), "Handymax", IF(AND(U100&gt;=200, U100&lt;230), "Panamax", IF(AND(U100&gt;=230, U100&lt;=270), "Capesize", "Autre")))))</f>
        <v/>
      </c>
      <c r="X100" s="14">
        <f>IF(E100&lt;9999,"1",IF(E100&lt;19999,"2",IF(E100&lt;29999,"3",IF(E100&lt;39999,"4",IF(E100&lt;49999,"5",IF(E100&gt;50000,"6"))))))</f>
        <v/>
      </c>
      <c r="Y100" s="75" t="inlineStr">
        <is>
          <t>1SUD/1N</t>
        </is>
      </c>
      <c r="AA100" s="26" t="n">
        <v>45705.3125</v>
      </c>
      <c r="AB100" s="26" t="n">
        <v>45705.375</v>
      </c>
      <c r="AC100" s="15" t="n">
        <v>45702</v>
      </c>
      <c r="AD100" s="15" t="n">
        <v>45705</v>
      </c>
      <c r="AE100" s="26" t="n">
        <v>45705.3125</v>
      </c>
      <c r="AF100" s="26" t="n">
        <v>45714.85486111111</v>
      </c>
      <c r="AG100" s="26" t="n">
        <v>45714.95486111111</v>
      </c>
      <c r="AH100" s="26" t="n">
        <v>45714.9375</v>
      </c>
      <c r="AI100" s="26" t="n">
        <v>45715</v>
      </c>
      <c r="AJ100" s="26" t="n">
        <v>45718.45138888889</v>
      </c>
      <c r="AK100" s="26" t="n">
        <v>45719.13888888889</v>
      </c>
      <c r="AL100" s="26" t="n">
        <v>45719.18055555555</v>
      </c>
      <c r="AM100" s="26" t="n">
        <v>45719.20138888889</v>
      </c>
      <c r="AN100" s="26" t="n">
        <v>45719.25486111111</v>
      </c>
      <c r="AO100" s="26" t="n">
        <v>45719.27083333334</v>
      </c>
      <c r="AP100" s="20">
        <f>(AG100-AF100)*1440</f>
        <v/>
      </c>
      <c r="AQ100" s="20">
        <f>(AG100-AE100)*1440</f>
        <v/>
      </c>
      <c r="AR100" s="20">
        <f>(AH100-AF100)*1440</f>
        <v/>
      </c>
      <c r="AS100" s="20">
        <f>(AI100-AH100)*1440</f>
        <v/>
      </c>
      <c r="AT100" s="20">
        <f>(AJ100-AH100)*1440</f>
        <v/>
      </c>
      <c r="AU100" s="20">
        <f>(AL100-AK100)*1440</f>
        <v/>
      </c>
      <c r="AV100" s="20">
        <f>(AM100-AL100)*1440</f>
        <v/>
      </c>
      <c r="AW100" s="20">
        <f>(AO100-AM100)*1440</f>
        <v/>
      </c>
      <c r="AX100" s="19">
        <f>AP100+AS100+AU100+AV100+AW100</f>
        <v/>
      </c>
      <c r="AY100" s="18">
        <f>(AG100-AA100)</f>
        <v/>
      </c>
      <c r="AZ100" s="18">
        <f>(AK100-AJ100)</f>
        <v/>
      </c>
      <c r="BA100" s="18">
        <f>AO100-AG100</f>
        <v/>
      </c>
      <c r="BB100" s="18">
        <f>(AO100-AA100)-(AP100/1440)-(AW100/1440)</f>
        <v/>
      </c>
      <c r="BC100" s="20">
        <f>E100/AZ100</f>
        <v/>
      </c>
      <c r="BE100" s="20">
        <f>IF(E100&lt;10000,3000,IF(E100&lt;15000,3600,IF(E100&lt;20000,4500,IF(E100&lt;25000,6000,IF(E100&lt;30000,7500,IF(E100&lt;40000,9000,IF(E100&gt;40000,10000)))))))</f>
        <v/>
      </c>
      <c r="BF100" s="334">
        <f>(E100/BE100)+2</f>
        <v/>
      </c>
      <c r="BS100" s="24" t="inlineStr">
        <is>
          <t>CHANGE DU POSTE 1S VER 1N LE 02/03- 0742</t>
        </is>
      </c>
      <c r="BT100" s="24" t="n">
        <v>1</v>
      </c>
      <c r="BU100" s="24" t="n"/>
      <c r="BV100" s="24" t="n"/>
      <c r="BW100" s="332">
        <f>AI100-AH100</f>
        <v/>
      </c>
      <c r="BX100" s="24" t="n"/>
      <c r="BY100" s="24" t="n">
        <v>20</v>
      </c>
      <c r="CB100" s="14" t="n">
        <v>3845</v>
      </c>
    </row>
    <row r="101" ht="15" customHeight="1" s="70">
      <c r="B101" s="340" t="inlineStr">
        <is>
          <t>BLUE TUNE</t>
        </is>
      </c>
      <c r="C101" s="135" t="n">
        <v>45719</v>
      </c>
      <c r="D101" s="329" t="n">
        <v>2200</v>
      </c>
      <c r="E101" s="330" t="n"/>
      <c r="F101" s="142" t="inlineStr">
        <is>
          <t>OCP NUTRI</t>
        </is>
      </c>
      <c r="G101" s="81" t="n">
        <v>2</v>
      </c>
      <c r="H101" s="75" t="inlineStr">
        <is>
          <t>NPK</t>
        </is>
      </c>
      <c r="I101" s="306" t="inlineStr">
        <is>
          <t>NPK 15 15 15 EU</t>
        </is>
      </c>
      <c r="J101" s="50" t="inlineStr">
        <is>
          <t>CFR</t>
        </is>
      </c>
      <c r="K101" s="82" t="n">
        <v>436</v>
      </c>
      <c r="L101" s="336">
        <f>D101*K101</f>
        <v/>
      </c>
      <c r="M101" s="14" t="n">
        <v>9.963800000000001</v>
      </c>
      <c r="N101" s="335">
        <f>L101*M101</f>
        <v/>
      </c>
      <c r="O101" s="16" t="inlineStr">
        <is>
          <t>252 F DU 26/02/2025</t>
        </is>
      </c>
      <c r="P101" s="16" t="inlineStr">
        <is>
          <t xml:space="preserve">ANTONIO TARAZONA S.L.U. </t>
        </is>
      </c>
      <c r="Q101" s="50" t="inlineStr">
        <is>
          <t>EUROPE</t>
        </is>
      </c>
      <c r="R101" s="50" t="inlineStr">
        <is>
          <t>SPAIN</t>
        </is>
      </c>
      <c r="S101" s="50" t="n"/>
      <c r="T101" s="50" t="inlineStr">
        <is>
          <t>INSPECTORATE</t>
        </is>
      </c>
      <c r="U101" s="81" t="n">
        <v>90</v>
      </c>
      <c r="V101" s="53">
        <f>IF(U101&lt;130, "Mini Bulker", IF(AND(U101&gt;=130, U101&lt;150), "Handysize", IF(AND(U101&gt;=150, U101&lt;200), "Handymax", IF(AND(U101&gt;=200, U101&lt;230), "Panamax", IF(AND(U101&gt;=230, U101&lt;=270), "Capesize", "Autre")))))</f>
        <v/>
      </c>
      <c r="X101" s="14">
        <f>IF(E101&lt;9999,"1",IF(E101&lt;19999,"2",IF(E101&lt;29999,"3",IF(E101&lt;39999,"4",IF(E101&lt;49999,"5",IF(E101&gt;50000,"6"))))))</f>
        <v/>
      </c>
      <c r="Y101" s="75" t="inlineStr">
        <is>
          <t>1SUD/1N</t>
        </is>
      </c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S101" s="24" t="inlineStr">
        <is>
          <t>CHANGE DU POSTE 1S VER 1N LE 02/03- 0742</t>
        </is>
      </c>
      <c r="BT101" s="24" t="n">
        <v>1</v>
      </c>
      <c r="BU101" s="24" t="n"/>
      <c r="BV101" s="24" t="n"/>
      <c r="BW101" s="332">
        <f>AI101-AH101</f>
        <v/>
      </c>
      <c r="BX101" s="24" t="n"/>
      <c r="BY101" s="24" t="n">
        <v>20</v>
      </c>
      <c r="CB101" s="14" t="n"/>
    </row>
    <row r="102">
      <c r="A102" s="81" t="n">
        <v>69</v>
      </c>
      <c r="B102" s="340" t="inlineStr">
        <is>
          <t>CETUS OMURA</t>
        </is>
      </c>
      <c r="C102" s="135" t="n">
        <v>45720</v>
      </c>
      <c r="D102" s="329" t="n">
        <v>11000</v>
      </c>
      <c r="E102" s="329">
        <f>D102+D103+D104+D105</f>
        <v/>
      </c>
      <c r="F102" s="142" t="inlineStr">
        <is>
          <t>OCP NUTRI</t>
        </is>
      </c>
      <c r="G102" s="81" t="n">
        <v>2</v>
      </c>
      <c r="H102" s="53" t="inlineStr">
        <is>
          <t>NPK</t>
        </is>
      </c>
      <c r="I102" s="306" t="inlineStr">
        <is>
          <t>NPK 15 15 15 6S 1B2O3</t>
        </is>
      </c>
      <c r="J102" s="50" t="inlineStr">
        <is>
          <t>CIF</t>
        </is>
      </c>
      <c r="K102" s="82" t="n">
        <v>458</v>
      </c>
      <c r="L102" s="336">
        <f>D102*K102</f>
        <v/>
      </c>
      <c r="M102" s="14" t="n">
        <v>9.9422</v>
      </c>
      <c r="N102" s="335">
        <f>L102*M102</f>
        <v/>
      </c>
      <c r="O102" s="16" t="inlineStr">
        <is>
          <t>252 F DU 26/02/2025</t>
        </is>
      </c>
      <c r="P102" s="16" t="inlineStr">
        <is>
          <t>DOUCOURE PARTENAIRE AGRO</t>
        </is>
      </c>
      <c r="Q102" s="50" t="inlineStr">
        <is>
          <t>AFRIQUE</t>
        </is>
      </c>
      <c r="R102" s="50" t="inlineStr">
        <is>
          <t>COTE D'IVOIRE</t>
        </is>
      </c>
      <c r="S102" s="50" t="n"/>
      <c r="T102" s="50" t="inlineStr">
        <is>
          <t>INSPECTORATE</t>
        </is>
      </c>
      <c r="U102" s="81" t="n">
        <v>90</v>
      </c>
      <c r="V102" s="53">
        <f>IF(U102&lt;130, "Mini Bulker", IF(AND(U102&gt;=130, U102&lt;150), "Handysize", IF(AND(U102&gt;=150, U102&lt;200), "Handymax", IF(AND(U102&gt;=200, U102&lt;230), "Panamax", IF(AND(U102&gt;=230, U102&lt;=270), "Capesize", "Autre")))))</f>
        <v/>
      </c>
      <c r="X102" s="14">
        <f>IF(E102&lt;9999,"1",IF(E102&lt;19999,"2",IF(E102&lt;29999,"3",IF(E102&lt;39999,"4",IF(E102&lt;49999,"5",IF(E102&gt;50000,"6"))))))</f>
        <v/>
      </c>
      <c r="Y102" s="75" t="inlineStr">
        <is>
          <t>1BIS/1N</t>
        </is>
      </c>
      <c r="AA102" s="26" t="n">
        <v>45706.51388888889</v>
      </c>
      <c r="AB102" s="26" t="n">
        <v>45706.51388888889</v>
      </c>
      <c r="AC102" s="15" t="n">
        <v>45704</v>
      </c>
      <c r="AD102" s="15" t="n">
        <v>45706</v>
      </c>
      <c r="AE102" s="26" t="n">
        <v>45705.375</v>
      </c>
      <c r="AF102" s="26" t="n">
        <v>45705.79166666666</v>
      </c>
      <c r="AG102" s="26" t="n">
        <v>45705.90833333333</v>
      </c>
      <c r="AH102" s="26" t="n">
        <v>45705.93055555555</v>
      </c>
      <c r="AI102" s="26" t="n">
        <v>45706.51388888889</v>
      </c>
      <c r="AJ102" s="26" t="n">
        <v>45706.78819444445</v>
      </c>
      <c r="AK102" s="26" t="n">
        <v>45720.07291666666</v>
      </c>
      <c r="AL102" s="26" t="n">
        <v>45720.15277777778</v>
      </c>
      <c r="AM102" s="26" t="n">
        <v>45720.15277777778</v>
      </c>
      <c r="AN102" s="26" t="n">
        <v>45720.19444444445</v>
      </c>
      <c r="AO102" s="26" t="n">
        <v>45720.26180555556</v>
      </c>
      <c r="AP102" s="20">
        <f>(AG102-AF102)*1440</f>
        <v/>
      </c>
      <c r="AQ102" s="20">
        <f>(AG102-AE102)*1440</f>
        <v/>
      </c>
      <c r="AR102" s="20">
        <f>(AH102-AF102)*1440</f>
        <v/>
      </c>
      <c r="AS102" s="20">
        <f>(AI102-AH102)*1440</f>
        <v/>
      </c>
      <c r="AT102" s="20">
        <f>(AJ102-AH102)*1440</f>
        <v/>
      </c>
      <c r="AU102" s="20">
        <f>(AL102-AK102)*1440</f>
        <v/>
      </c>
      <c r="AV102" s="20">
        <f>(AM102-AL102)*1440</f>
        <v/>
      </c>
      <c r="AW102" s="20">
        <f>(AO102-AM102)*1440</f>
        <v/>
      </c>
      <c r="AX102" s="19">
        <f>AP102+AS102+AU102+AV102+AW102</f>
        <v/>
      </c>
      <c r="AY102" s="18">
        <f>(AG102-AA102)</f>
        <v/>
      </c>
      <c r="AZ102" s="18">
        <f>(AK102-AJ102)</f>
        <v/>
      </c>
      <c r="BA102" s="18">
        <f>AO102-AG102</f>
        <v/>
      </c>
      <c r="BB102" s="18">
        <f>(AO102-AA102)-(AP102/1440)-(AW102/1440)</f>
        <v/>
      </c>
      <c r="BC102" s="20">
        <f>E102/AZ102</f>
        <v/>
      </c>
      <c r="BE102" s="20">
        <f>IF(E102&lt;10000,3000,IF(E102&lt;15000,3600,IF(E102&lt;20000,4500,IF(E102&lt;25000,6000,IF(E102&lt;30000,7500,IF(E102&lt;40000,9000,IF(E102&gt;40000,10000)))))))</f>
        <v/>
      </c>
      <c r="BF102" s="334">
        <f>(E102/BE102)+2</f>
        <v/>
      </c>
      <c r="BS102" s="24" t="inlineStr">
        <is>
          <t>MAINTENU PAR SHORE TENSION // LOADING BY CIMENT HOLE // CHANGE DU POSTE 1BIS VERS LA RADE LE 24/02- 0650 // RE-ACC AU POSTE 1N LE 03/03- 0912</t>
        </is>
      </c>
      <c r="BT102" s="24" t="n">
        <v>2</v>
      </c>
      <c r="BU102" s="24" t="inlineStr">
        <is>
          <t>NON CLEAN</t>
        </is>
      </c>
      <c r="BV102" s="24" t="inlineStr">
        <is>
          <t>WATER/GRAIN/DUST</t>
        </is>
      </c>
      <c r="BW102" s="332">
        <f>AI102-AH102</f>
        <v/>
      </c>
      <c r="BX102" s="24" t="inlineStr">
        <is>
          <t>NUL</t>
        </is>
      </c>
      <c r="BY102" s="24" t="inlineStr">
        <is>
          <t>NUL</t>
        </is>
      </c>
      <c r="CB102" s="14" t="n">
        <v>26411</v>
      </c>
    </row>
    <row r="103" ht="14.55" customHeight="1" s="70">
      <c r="B103" s="340" t="inlineStr">
        <is>
          <t>CETUS OMURA</t>
        </is>
      </c>
      <c r="C103" s="135" t="n">
        <v>45720</v>
      </c>
      <c r="D103" s="329" t="n">
        <v>11000</v>
      </c>
      <c r="E103" s="330" t="n"/>
      <c r="F103" s="142" t="inlineStr">
        <is>
          <t>OCP NUTRI</t>
        </is>
      </c>
      <c r="G103" s="81" t="n">
        <v>2</v>
      </c>
      <c r="H103" s="75" t="inlineStr">
        <is>
          <t>NPK</t>
        </is>
      </c>
      <c r="I103" s="306" t="inlineStr">
        <is>
          <t>NPK 14 18 18 6S 1B2O3 AFRIQUE</t>
        </is>
      </c>
      <c r="J103" s="50" t="inlineStr">
        <is>
          <t>CIF</t>
        </is>
      </c>
      <c r="K103" s="82" t="n">
        <v>432</v>
      </c>
      <c r="L103" s="336">
        <f>D103*K103</f>
        <v/>
      </c>
      <c r="M103" s="14" t="n">
        <v>9.9422</v>
      </c>
      <c r="N103" s="335">
        <f>L103*M103</f>
        <v/>
      </c>
      <c r="O103" s="16" t="inlineStr">
        <is>
          <t>252 F DU 26/02/2025</t>
        </is>
      </c>
      <c r="P103" s="16" t="inlineStr">
        <is>
          <t>DOUCOURE PARTENAIRE AGRO</t>
        </is>
      </c>
      <c r="Q103" s="89" t="inlineStr">
        <is>
          <t>AFRIQUE</t>
        </is>
      </c>
      <c r="R103" s="50" t="inlineStr">
        <is>
          <t>COTE D'IVOIRE</t>
        </is>
      </c>
      <c r="S103" s="50" t="n"/>
      <c r="T103" s="50" t="inlineStr">
        <is>
          <t>INSPECTORATE</t>
        </is>
      </c>
      <c r="U103" s="81" t="n">
        <v>90</v>
      </c>
      <c r="V103" s="53">
        <f>IF(U103&lt;130, "Mini Bulker", IF(AND(U103&gt;=130, U103&lt;150), "Handysize", IF(AND(U103&gt;=150, U103&lt;200), "Handymax", IF(AND(U103&gt;=200, U103&lt;230), "Panamax", IF(AND(U103&gt;=230, U103&lt;=270), "Capesize", "Autre")))))</f>
        <v/>
      </c>
      <c r="X103" s="14">
        <f>IF(E103&lt;9999,"1",IF(E103&lt;19999,"2",IF(E103&lt;29999,"3",IF(E103&lt;39999,"4",IF(E103&lt;49999,"5",IF(E103&gt;50000,"6"))))))</f>
        <v/>
      </c>
      <c r="Y103" s="75" t="inlineStr">
        <is>
          <t>1BIS/1N</t>
        </is>
      </c>
      <c r="AA103" s="219" t="n"/>
      <c r="AB103" s="219" t="n"/>
      <c r="AC103" s="22" t="n"/>
      <c r="AD103" s="22" t="n"/>
      <c r="AE103" s="219" t="n"/>
      <c r="AF103" s="219" t="n"/>
      <c r="AG103" s="219" t="n"/>
      <c r="AH103" s="219" t="n"/>
      <c r="AI103" s="219" t="n"/>
      <c r="AJ103" s="219" t="n"/>
      <c r="AK103" s="219" t="n"/>
      <c r="AL103" s="219" t="n"/>
      <c r="AM103" s="219" t="n"/>
      <c r="AN103" s="219" t="n"/>
      <c r="AO103" s="219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7" t="n"/>
      <c r="BE103" s="22" t="n"/>
      <c r="BF103" s="22" t="n"/>
      <c r="BG103" s="227" t="n"/>
      <c r="BH103" s="227" t="n"/>
      <c r="BI103" s="227" t="n"/>
      <c r="BJ103" s="227" t="n"/>
      <c r="BK103" s="227" t="n"/>
      <c r="BL103" s="227" t="n"/>
      <c r="BM103" s="227" t="n"/>
      <c r="BN103" s="227" t="n"/>
      <c r="BO103" s="227" t="n"/>
      <c r="BS103" s="24" t="inlineStr">
        <is>
          <t>MAINTENU PAR SHORE TENSION // LOADING BY CIMENT HOLE // CHANGE DU POSTE 1BIS VERS LA RADE LE 24/02- 0650 // RE-ACC AU POSTE 1N LE 03/03- 0913</t>
        </is>
      </c>
      <c r="BT103" s="24" t="n">
        <v>2</v>
      </c>
      <c r="BU103" s="24" t="n"/>
      <c r="BV103" s="24" t="n"/>
      <c r="BW103" s="332">
        <f>AI103-AH103</f>
        <v/>
      </c>
      <c r="BX103" s="24" t="inlineStr">
        <is>
          <t>NUL</t>
        </is>
      </c>
      <c r="BY103" s="24" t="inlineStr">
        <is>
          <t>NUL</t>
        </is>
      </c>
      <c r="CB103" s="14" t="n"/>
    </row>
    <row r="104" ht="14.55" customHeight="1" s="70">
      <c r="B104" s="340" t="inlineStr">
        <is>
          <t>CETUS OMURA</t>
        </is>
      </c>
      <c r="C104" s="135" t="n">
        <v>45720</v>
      </c>
      <c r="D104" s="329" t="n">
        <v>5500</v>
      </c>
      <c r="E104" s="330" t="n"/>
      <c r="F104" s="142" t="inlineStr">
        <is>
          <t>OCP NUTRI</t>
        </is>
      </c>
      <c r="G104" s="81" t="n">
        <v>2</v>
      </c>
      <c r="H104" s="75" t="inlineStr">
        <is>
          <t>NPK</t>
        </is>
      </c>
      <c r="I104" s="306" t="inlineStr">
        <is>
          <t xml:space="preserve">NPK 15 15 15 Special </t>
        </is>
      </c>
      <c r="J104" s="50" t="inlineStr">
        <is>
          <t>CIF</t>
        </is>
      </c>
      <c r="K104" s="82" t="n">
        <v>425</v>
      </c>
      <c r="L104" s="336">
        <f>D104*K104</f>
        <v/>
      </c>
      <c r="M104" s="14" t="n">
        <v>9.9422</v>
      </c>
      <c r="N104" s="335">
        <f>L104*M104</f>
        <v/>
      </c>
      <c r="O104" s="16" t="inlineStr">
        <is>
          <t>252 F DU 26/02/2025</t>
        </is>
      </c>
      <c r="P104" s="16" t="inlineStr">
        <is>
          <t>DOUCOURE PARTENAIRE AGRO</t>
        </is>
      </c>
      <c r="Q104" s="89" t="inlineStr">
        <is>
          <t>AFRIQUE</t>
        </is>
      </c>
      <c r="R104" s="50" t="inlineStr">
        <is>
          <t>COTE D'IVOIRE</t>
        </is>
      </c>
      <c r="S104" s="50" t="n"/>
      <c r="T104" s="50" t="inlineStr">
        <is>
          <t>INSPECTORATE</t>
        </is>
      </c>
      <c r="U104" s="81" t="n">
        <v>90</v>
      </c>
      <c r="V104" s="53">
        <f>IF(U104&lt;130, "Mini Bulker", IF(AND(U104&gt;=130, U104&lt;150), "Handysize", IF(AND(U104&gt;=150, U104&lt;200), "Handymax", IF(AND(U104&gt;=200, U104&lt;230), "Panamax", IF(AND(U104&gt;=230, U104&lt;=270), "Capesize", "Autre")))))</f>
        <v/>
      </c>
      <c r="X104" s="14">
        <f>IF(E104&lt;9999,"1",IF(E104&lt;19999,"2",IF(E104&lt;29999,"3",IF(E104&lt;39999,"4",IF(E104&lt;49999,"5",IF(E104&gt;50000,"6"))))))</f>
        <v/>
      </c>
      <c r="Y104" s="75" t="inlineStr">
        <is>
          <t>1BIS/1N</t>
        </is>
      </c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S104" s="24" t="inlineStr">
        <is>
          <t>MAINTENU PAR SHORE TENSION // LOADING BY CIMENT HOLE // CHANGE DU POSTE 1BIS VERS LA RADE LE 24/02- 0650 // RE-ACC AU POSTE 1N LE 03/03- 0914</t>
        </is>
      </c>
      <c r="BT104" s="24" t="n">
        <v>2</v>
      </c>
      <c r="BU104" s="24" t="n"/>
      <c r="BV104" s="24" t="n"/>
      <c r="BW104" s="332">
        <f>AI104-AH104</f>
        <v/>
      </c>
      <c r="BX104" s="24" t="inlineStr">
        <is>
          <t>NUL</t>
        </is>
      </c>
      <c r="BY104" s="24" t="inlineStr">
        <is>
          <t>NUL</t>
        </is>
      </c>
      <c r="CB104" s="14" t="n"/>
    </row>
    <row r="105" ht="14.55" customHeight="1" s="70">
      <c r="A105" s="81" t="n"/>
      <c r="B105" s="340" t="inlineStr">
        <is>
          <t>CETUS OMURA</t>
        </is>
      </c>
      <c r="C105" s="135" t="n">
        <v>45720</v>
      </c>
      <c r="D105" s="329" t="n">
        <v>5500</v>
      </c>
      <c r="E105" s="330" t="n"/>
      <c r="F105" s="142" t="inlineStr">
        <is>
          <t>OCP NUTRI</t>
        </is>
      </c>
      <c r="G105" s="81" t="n">
        <v>2</v>
      </c>
      <c r="H105" s="75" t="inlineStr">
        <is>
          <t>DAP</t>
        </is>
      </c>
      <c r="I105" s="306" t="inlineStr">
        <is>
          <t>DAP SPECIAL</t>
        </is>
      </c>
      <c r="J105" s="50" t="inlineStr">
        <is>
          <t>CIF</t>
        </is>
      </c>
      <c r="K105" s="82" t="n">
        <v>613</v>
      </c>
      <c r="L105" s="336">
        <f>D105*K105</f>
        <v/>
      </c>
      <c r="M105" s="14" t="n">
        <v>9.9422</v>
      </c>
      <c r="N105" s="335">
        <f>L105*M105</f>
        <v/>
      </c>
      <c r="O105" s="16" t="inlineStr">
        <is>
          <t>252 F DU 26/02/2025</t>
        </is>
      </c>
      <c r="P105" s="16" t="inlineStr">
        <is>
          <t>DOUCOURE PARTENAIRE AGRO</t>
        </is>
      </c>
      <c r="Q105" s="89" t="inlineStr">
        <is>
          <t>AFRIQUE</t>
        </is>
      </c>
      <c r="R105" s="50" t="inlineStr">
        <is>
          <t>COTE D'IVOIRE</t>
        </is>
      </c>
      <c r="S105" s="50" t="n"/>
      <c r="T105" s="50" t="inlineStr">
        <is>
          <t>INSPECTORATE</t>
        </is>
      </c>
      <c r="U105" s="81" t="n">
        <v>90</v>
      </c>
      <c r="V105" s="53">
        <f>IF(U105&lt;130, "Mini Bulker", IF(AND(U105&gt;=130, U105&lt;150), "Handysize", IF(AND(U105&gt;=150, U105&lt;200), "Handymax", IF(AND(U105&gt;=200, U105&lt;230), "Panamax", IF(AND(U105&gt;=230, U105&lt;=270), "Capesize", "Autre")))))</f>
        <v/>
      </c>
      <c r="X105" s="14">
        <f>IF(E105&lt;9999,"1",IF(E105&lt;19999,"2",IF(E105&lt;29999,"3",IF(E105&lt;39999,"4",IF(E105&lt;49999,"5",IF(E105&gt;50000,"6"))))))</f>
        <v/>
      </c>
      <c r="Y105" s="75" t="inlineStr">
        <is>
          <t>1BIS/1N</t>
        </is>
      </c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S105" s="24" t="inlineStr">
        <is>
          <t>MAINTENU PAR SHORE TENSION // LOADING BY CIMENT HOLE // CHANGE DU POSTE 1BIS VERS LA RADE LE 24/02- 0650 // RE-ACC AU POSTE 1N LE 03/03- 0915</t>
        </is>
      </c>
      <c r="BT105" s="24" t="n">
        <v>2</v>
      </c>
      <c r="BU105" s="24" t="n"/>
      <c r="BV105" s="24" t="n"/>
      <c r="BW105" s="332">
        <f>AI105-AH105</f>
        <v/>
      </c>
      <c r="BX105" s="24" t="inlineStr">
        <is>
          <t>NUL</t>
        </is>
      </c>
      <c r="BY105" s="24" t="inlineStr">
        <is>
          <t>NUL</t>
        </is>
      </c>
      <c r="CB105" s="14" t="n"/>
    </row>
    <row r="106" ht="14.55" customHeight="1" s="70">
      <c r="A106" s="81" t="n">
        <v>70</v>
      </c>
      <c r="B106" s="340" t="inlineStr">
        <is>
          <t>ELEEN EVA</t>
        </is>
      </c>
      <c r="C106" s="135" t="n">
        <v>45720</v>
      </c>
      <c r="D106" s="329" t="n">
        <v>44000</v>
      </c>
      <c r="E106" s="329" t="n">
        <v>44000</v>
      </c>
      <c r="F106" s="142" t="inlineStr">
        <is>
          <t>OCP NUTRI</t>
        </is>
      </c>
      <c r="G106" s="81" t="n">
        <v>1</v>
      </c>
      <c r="H106" s="53" t="inlineStr">
        <is>
          <t>DAP</t>
        </is>
      </c>
      <c r="I106" s="306" t="inlineStr">
        <is>
          <t xml:space="preserve">DAP STANDARD </t>
        </is>
      </c>
      <c r="J106" s="50" t="inlineStr">
        <is>
          <t>FOB</t>
        </is>
      </c>
      <c r="K106" s="82" t="n">
        <v>592.5</v>
      </c>
      <c r="L106" s="336">
        <f>D106*K106</f>
        <v/>
      </c>
      <c r="M106" s="14" t="n">
        <v>9.9422</v>
      </c>
      <c r="N106" s="335">
        <f>L106*M106</f>
        <v/>
      </c>
      <c r="O106" s="16" t="inlineStr">
        <is>
          <t>252 F DU 26/02/2025</t>
        </is>
      </c>
      <c r="P106" s="16" t="inlineStr">
        <is>
          <t xml:space="preserve">BANGLADESH AGRICULTURAL DEVELOPMENT CORPORATION </t>
        </is>
      </c>
      <c r="Q106" s="89" t="inlineStr">
        <is>
          <t>ASIE</t>
        </is>
      </c>
      <c r="R106" s="50" t="inlineStr">
        <is>
          <t xml:space="preserve">BANGLADESH </t>
        </is>
      </c>
      <c r="S106" s="50" t="n"/>
      <c r="T106" s="50" t="inlineStr">
        <is>
          <t>INSPECTORATE</t>
        </is>
      </c>
      <c r="U106" s="81" t="n">
        <v>190</v>
      </c>
      <c r="V106" s="53">
        <f>IF(U106&lt;130, "Mini Bulker", IF(AND(U106&gt;=130, U106&lt;150), "Handysize", IF(AND(U106&gt;=150, U106&lt;200), "Handymax", IF(AND(U106&gt;=200, U106&lt;230), "Panamax", IF(AND(U106&gt;=230, U106&lt;=270), "Capesize", "Autre")))))</f>
        <v/>
      </c>
      <c r="X106" s="14">
        <f>IF(E106&lt;9999,"1",IF(E106&lt;19999,"2",IF(E106&lt;29999,"3",IF(E106&lt;39999,"4",IF(E106&lt;49999,"5",IF(E106&gt;50000,"6"))))))</f>
        <v/>
      </c>
      <c r="Y106" s="75" t="inlineStr">
        <is>
          <t>1BIS/1TER</t>
        </is>
      </c>
      <c r="AA106" s="17" t="n">
        <v>45693.13333333333</v>
      </c>
      <c r="AB106" s="17" t="n">
        <v>45693.375</v>
      </c>
      <c r="AC106" s="15" t="n">
        <v>45692</v>
      </c>
      <c r="AD106" s="15" t="n">
        <v>45696</v>
      </c>
      <c r="AE106" s="17" t="n">
        <v>45693.08333333334</v>
      </c>
      <c r="AF106" s="17" t="n">
        <v>45715.55902777778</v>
      </c>
      <c r="AG106" s="17" t="n">
        <v>45715.625</v>
      </c>
      <c r="AH106" s="17" t="n">
        <v>45715.66666666666</v>
      </c>
      <c r="AI106" s="17" t="n">
        <v>45715.71527777778</v>
      </c>
      <c r="AJ106" s="17" t="n">
        <v>45715.72916666666</v>
      </c>
      <c r="AK106" s="17" t="n">
        <v>45720.13541666666</v>
      </c>
      <c r="AL106" s="17" t="n">
        <v>45720.17708333334</v>
      </c>
      <c r="AM106" s="17" t="n">
        <v>45720.21875</v>
      </c>
      <c r="AN106" s="17" t="n">
        <v>45720.29166666666</v>
      </c>
      <c r="AO106" s="17" t="n">
        <v>45720.34027777778</v>
      </c>
      <c r="AP106" s="20">
        <f>(AG106-AF106)*1440</f>
        <v/>
      </c>
      <c r="AQ106" s="20">
        <f>(AG106-AE106)*1440</f>
        <v/>
      </c>
      <c r="AR106" s="20">
        <f>(AH106-AF106)*1440</f>
        <v/>
      </c>
      <c r="AS106" s="20">
        <f>(AI106-AH106)*1440</f>
        <v/>
      </c>
      <c r="AT106" s="20">
        <f>(AJ106-AH106)*1440</f>
        <v/>
      </c>
      <c r="AU106" s="20">
        <f>(AL106-AK106)*1440</f>
        <v/>
      </c>
      <c r="AV106" s="20">
        <f>(AM106-AL106)*1440</f>
        <v/>
      </c>
      <c r="AW106" s="20">
        <f>(AO106-AM106)*1440</f>
        <v/>
      </c>
      <c r="AX106" s="19">
        <f>AP106+AS106+AU106+AV106+AW106</f>
        <v/>
      </c>
      <c r="AY106" s="18">
        <f>(AG106-AA106)</f>
        <v/>
      </c>
      <c r="AZ106" s="18">
        <f>(AK106-AJ106)</f>
        <v/>
      </c>
      <c r="BA106" s="18">
        <f>AO106-AG106</f>
        <v/>
      </c>
      <c r="BB106" s="18">
        <f>(AO106-AA106)-(AP106/1440)-(AW106/1440)</f>
        <v/>
      </c>
      <c r="BC106" s="20">
        <f>E106/AZ106</f>
        <v/>
      </c>
      <c r="BD106" s="208" t="n"/>
      <c r="BE106" s="20">
        <f>IF(E106&lt;10000,3000,IF(E106&lt;15000,3600,IF(E106&lt;20000,4500,IF(E106&lt;25000,6000,IF(E106&lt;30000,7500,IF(E106&lt;40000,9000,IF(E106&gt;40000,10000)))))))</f>
        <v/>
      </c>
      <c r="BF106" s="334">
        <f>(E106/BE106)+2</f>
        <v/>
      </c>
      <c r="BG106" s="208" t="n"/>
      <c r="BH106" s="208" t="n"/>
      <c r="BI106" s="208" t="n"/>
      <c r="BJ106" s="208" t="n"/>
      <c r="BK106" s="208" t="n"/>
      <c r="BL106" s="208" t="n"/>
      <c r="BM106" s="208" t="n"/>
      <c r="BN106" s="208" t="n"/>
      <c r="BO106" s="208" t="n"/>
      <c r="BS106" s="24" t="inlineStr">
        <is>
          <t>NAVIRE EN SAISIE // CHANGE DU 
POSTE 1BIS VERS POSTE 1TER LE 02/03- 1008</t>
        </is>
      </c>
      <c r="BT106" s="24" t="n">
        <v>1</v>
      </c>
      <c r="BU106" s="24" t="n"/>
      <c r="BV106" s="24" t="n"/>
      <c r="BW106" s="332">
        <f>AI106-AH106</f>
        <v/>
      </c>
      <c r="BX106" s="24" t="n"/>
      <c r="BY106" s="24" t="n">
        <v>150</v>
      </c>
      <c r="CB106" s="14" t="n">
        <v>32714</v>
      </c>
    </row>
    <row r="107" ht="14.55" customHeight="1" s="70">
      <c r="A107" s="81" t="n">
        <v>68</v>
      </c>
      <c r="B107" s="340" t="inlineStr">
        <is>
          <t>LEONIE</t>
        </is>
      </c>
      <c r="C107" s="135" t="n">
        <v>45720</v>
      </c>
      <c r="D107" s="329" t="n">
        <v>3300</v>
      </c>
      <c r="E107" s="329" t="n">
        <v>3300</v>
      </c>
      <c r="F107" s="142" t="inlineStr">
        <is>
          <t>JFC2</t>
        </is>
      </c>
      <c r="G107" s="81" t="n">
        <v>1</v>
      </c>
      <c r="H107" s="53" t="inlineStr">
        <is>
          <t>DAP</t>
        </is>
      </c>
      <c r="I107" s="306" t="inlineStr">
        <is>
          <t xml:space="preserve">DAP Euro Low Cd </t>
        </is>
      </c>
      <c r="J107" s="50" t="inlineStr">
        <is>
          <t>FOB</t>
        </is>
      </c>
      <c r="K107" s="82" t="n">
        <v>605</v>
      </c>
      <c r="L107" s="336">
        <f>D107*K107</f>
        <v/>
      </c>
      <c r="M107" s="14" t="n">
        <v>9.9422</v>
      </c>
      <c r="N107" s="335">
        <f>L107*M107</f>
        <v/>
      </c>
      <c r="O107" s="16" t="inlineStr">
        <is>
          <t>258 M DU 26/02/2025</t>
        </is>
      </c>
      <c r="P107" s="16" t="inlineStr">
        <is>
          <t>HELM AG</t>
        </is>
      </c>
      <c r="Q107" s="89" t="inlineStr">
        <is>
          <t>EUROPE</t>
        </is>
      </c>
      <c r="R107" s="50" t="inlineStr">
        <is>
          <t>UK</t>
        </is>
      </c>
      <c r="S107" s="50" t="n"/>
      <c r="T107" s="50" t="inlineStr">
        <is>
          <t>INSPECTORATE</t>
        </is>
      </c>
      <c r="U107" s="81" t="n">
        <v>89</v>
      </c>
      <c r="V107" s="53">
        <f>IF(U107&lt;130, "Mini Bulker", IF(AND(U107&gt;=130, U107&lt;150), "Handysize", IF(AND(U107&gt;=150, U107&lt;200), "Handymax", IF(AND(U107&gt;=200, U107&lt;230), "Panamax", IF(AND(U107&gt;=230, U107&lt;=270), "Capesize", "Autre")))))</f>
        <v/>
      </c>
      <c r="X107" s="14">
        <f>IF(E107&lt;9999,"1",IF(E107&lt;19999,"2",IF(E107&lt;29999,"3",IF(E107&lt;39999,"4",IF(E107&lt;49999,"5",IF(E107&gt;50000,"6"))))))</f>
        <v/>
      </c>
      <c r="Y107" s="75" t="inlineStr">
        <is>
          <t>2TER</t>
        </is>
      </c>
      <c r="AA107" s="26" t="n">
        <v>45714.61805555555</v>
      </c>
      <c r="AB107" s="26" t="n">
        <v>45714.61805555555</v>
      </c>
      <c r="AC107" s="15" t="n">
        <v>45714</v>
      </c>
      <c r="AD107" s="15" t="n">
        <v>45716</v>
      </c>
      <c r="AE107" s="26" t="n">
        <v>45714.61805555555</v>
      </c>
      <c r="AF107" s="26" t="n">
        <v>45718.8125</v>
      </c>
      <c r="AG107" s="26" t="n">
        <v>45718.93402777778</v>
      </c>
      <c r="AH107" s="26" t="n">
        <v>45718.9375</v>
      </c>
      <c r="AI107" s="26" t="n">
        <v>45719.35416666666</v>
      </c>
      <c r="AJ107" s="26" t="n">
        <v>45719.9375</v>
      </c>
      <c r="AK107" s="26" t="n">
        <v>45720.01388888889</v>
      </c>
      <c r="AL107" s="26" t="n">
        <v>45720.05555555555</v>
      </c>
      <c r="AM107" s="26" t="n">
        <v>45720.07638888889</v>
      </c>
      <c r="AN107" s="26" t="n">
        <v>45720.09861111111</v>
      </c>
      <c r="AO107" s="26" t="n">
        <v>45720.12291666667</v>
      </c>
      <c r="AP107" s="20">
        <f>(AG107-AF107)*1440</f>
        <v/>
      </c>
      <c r="AQ107" s="20">
        <f>(AG107-AE107)*1440</f>
        <v/>
      </c>
      <c r="AR107" s="20">
        <f>(AH107-AF107)*1440</f>
        <v/>
      </c>
      <c r="AS107" s="20">
        <f>(AI107-AH107)*1440</f>
        <v/>
      </c>
      <c r="AT107" s="20">
        <f>(AJ107-AH107)*1440</f>
        <v/>
      </c>
      <c r="AU107" s="20">
        <f>(AL107-AK107)*1440</f>
        <v/>
      </c>
      <c r="AV107" s="20">
        <f>(AM107-AL107)*1440</f>
        <v/>
      </c>
      <c r="AW107" s="20">
        <f>(AO107-AM107)*1440</f>
        <v/>
      </c>
      <c r="AX107" s="19">
        <f>AP107+AS107+AU107+AV107+AW107</f>
        <v/>
      </c>
      <c r="AY107" s="18">
        <f>(AG107-AA107)</f>
        <v/>
      </c>
      <c r="AZ107" s="18">
        <f>(AK107-AJ107)</f>
        <v/>
      </c>
      <c r="BA107" s="18">
        <f>AO107-AG107</f>
        <v/>
      </c>
      <c r="BB107" s="18">
        <f>(AO107-AA107)-(AP107/1440)-(AW107/1440)</f>
        <v/>
      </c>
      <c r="BC107" s="20">
        <f>E107/AZ107</f>
        <v/>
      </c>
      <c r="BE107" s="20">
        <f>IF(E107&lt;10000,3000,IF(E107&lt;15000,3600,IF(E107&lt;20000,4500,IF(E107&lt;25000,6000,IF(E107&lt;30000,7500,IF(E107&lt;40000,9000,IF(E107&gt;40000,10000)))))))</f>
        <v/>
      </c>
      <c r="BF107" s="334">
        <f>(E107/BE107)+2</f>
        <v/>
      </c>
      <c r="BS107" s="24" t="inlineStr">
        <is>
          <t>NUL</t>
        </is>
      </c>
      <c r="BT107" s="24" t="n">
        <v>0</v>
      </c>
      <c r="BU107" s="24" t="inlineStr">
        <is>
          <t>NON CLEAN</t>
        </is>
      </c>
      <c r="BV107" s="24" t="inlineStr">
        <is>
          <t>DEBALLASTING</t>
        </is>
      </c>
      <c r="BW107" s="332">
        <f>AI107-AH107</f>
        <v/>
      </c>
      <c r="BX107" s="24" t="inlineStr">
        <is>
          <t>NUL</t>
        </is>
      </c>
      <c r="BY107" s="24" t="inlineStr">
        <is>
          <t>NUL</t>
        </is>
      </c>
      <c r="CB107" s="14" t="n">
        <v>2518</v>
      </c>
    </row>
    <row r="108" ht="14.55" customHeight="1" s="70">
      <c r="A108" s="81" t="n">
        <v>71</v>
      </c>
      <c r="B108" s="340" t="inlineStr">
        <is>
          <t>TZAREVETZ</t>
        </is>
      </c>
      <c r="C108" s="135" t="n">
        <v>45720</v>
      </c>
      <c r="D108" s="329" t="n">
        <v>16500</v>
      </c>
      <c r="E108" s="329">
        <f>D108+D109+D110</f>
        <v/>
      </c>
      <c r="F108" s="142" t="inlineStr">
        <is>
          <t>JFC1</t>
        </is>
      </c>
      <c r="G108" s="81" t="n">
        <v>2</v>
      </c>
      <c r="H108" s="75" t="inlineStr">
        <is>
          <t>MAP</t>
        </is>
      </c>
      <c r="I108" s="306" t="inlineStr">
        <is>
          <t xml:space="preserve">MAP 10 50 SPECIAL </t>
        </is>
      </c>
      <c r="J108" s="50" t="inlineStr">
        <is>
          <t>FOB</t>
        </is>
      </c>
      <c r="K108" s="82" t="n">
        <v>587</v>
      </c>
      <c r="L108" s="336">
        <f>D108*K108</f>
        <v/>
      </c>
      <c r="M108" s="14" t="n">
        <v>9.9422</v>
      </c>
      <c r="N108" s="335">
        <f>L108*M108</f>
        <v/>
      </c>
      <c r="O108" s="16" t="inlineStr">
        <is>
          <t>257 L DU 26/02/2025</t>
        </is>
      </c>
      <c r="P108" s="16" t="inlineStr">
        <is>
          <t xml:space="preserve">PTP ARGENTINA S.A </t>
        </is>
      </c>
      <c r="Q108" s="89" t="inlineStr">
        <is>
          <t>AMERIQUE LATINE</t>
        </is>
      </c>
      <c r="R108" s="50" t="inlineStr">
        <is>
          <t>ARGENTINA/ URUGUAY</t>
        </is>
      </c>
      <c r="S108" s="50" t="n"/>
      <c r="T108" s="50" t="inlineStr">
        <is>
          <t>INSPECTORATE</t>
        </is>
      </c>
      <c r="U108" s="81" t="n">
        <v>190</v>
      </c>
      <c r="V108" s="53">
        <f>IF(U108&lt;130, "Mini Bulker", IF(AND(U108&gt;=130, U108&lt;150), "Handysize", IF(AND(U108&gt;=150, U108&lt;200), "Handymax", IF(AND(U108&gt;=200, U108&lt;230), "Panamax", IF(AND(U108&gt;=230, U108&lt;=270), "Capesize", "Autre")))))</f>
        <v/>
      </c>
      <c r="X108" s="14">
        <f>IF(E108&lt;9999,"1",IF(E108&lt;19999,"2",IF(E108&lt;29999,"3",IF(E108&lt;39999,"4",IF(E108&lt;49999,"5",IF(E108&gt;50000,"6"))))))</f>
        <v/>
      </c>
      <c r="Y108" s="75" t="inlineStr">
        <is>
          <t>2N</t>
        </is>
      </c>
      <c r="AA108" s="26" t="n">
        <v>45711.75</v>
      </c>
      <c r="AB108" s="26" t="n">
        <v>45712.375</v>
      </c>
      <c r="AC108" s="15" t="n">
        <v>45710</v>
      </c>
      <c r="AD108" s="15" t="n">
        <v>45712</v>
      </c>
      <c r="AE108" s="26" t="n">
        <v>45711.66666666666</v>
      </c>
      <c r="AF108" s="26" t="n">
        <v>45712.64583333334</v>
      </c>
      <c r="AG108" s="26" t="n">
        <v>45712.76041666666</v>
      </c>
      <c r="AH108" s="26" t="n">
        <v>45712.79166666666</v>
      </c>
      <c r="AI108" s="26" t="n">
        <v>45712.86805555555</v>
      </c>
      <c r="AJ108" s="26" t="n">
        <v>45712.90625</v>
      </c>
      <c r="AK108" s="26" t="n">
        <v>45720.13888888889</v>
      </c>
      <c r="AL108" s="26" t="n">
        <v>45720.18055555555</v>
      </c>
      <c r="AM108" s="26" t="n">
        <v>45720.19027777778</v>
      </c>
      <c r="AN108" s="26" t="n">
        <v>45720.23194444444</v>
      </c>
      <c r="AO108" s="26" t="n">
        <v>45720.31805555556</v>
      </c>
      <c r="AP108" s="20">
        <f>(AG108-AF108)*1440</f>
        <v/>
      </c>
      <c r="AQ108" s="20">
        <f>(AG108-AE108)*1440</f>
        <v/>
      </c>
      <c r="AR108" s="20">
        <f>(AH108-AF108)*1440</f>
        <v/>
      </c>
      <c r="AS108" s="20">
        <f>(AI108-AH108)*1440</f>
        <v/>
      </c>
      <c r="AT108" s="20">
        <f>(AJ108-AH108)*1440</f>
        <v/>
      </c>
      <c r="AU108" s="20">
        <f>(AL108-AK108)*1440</f>
        <v/>
      </c>
      <c r="AV108" s="20">
        <f>(AM108-AL108)*1440</f>
        <v/>
      </c>
      <c r="AW108" s="20">
        <f>(AO108-AM108)*1440</f>
        <v/>
      </c>
      <c r="AX108" s="19">
        <f>AP108+AS108+AU108+AV108+AW108</f>
        <v/>
      </c>
      <c r="AY108" s="18">
        <f>(AG108-AA108)</f>
        <v/>
      </c>
      <c r="AZ108" s="18">
        <f>(AK108-AJ108)</f>
        <v/>
      </c>
      <c r="BA108" s="18">
        <f>AO108-AG108</f>
        <v/>
      </c>
      <c r="BB108" s="18">
        <f>(AO108-AA108)-(AP108/1440)-(AW108/1440)</f>
        <v/>
      </c>
      <c r="BC108" s="20">
        <f>E108/AZ108</f>
        <v/>
      </c>
      <c r="BE108" s="20">
        <f>IF(E108&lt;10000,3000,IF(E108&lt;15000,3600,IF(E108&lt;20000,4500,IF(E108&lt;25000,6000,IF(E108&lt;30000,7500,IF(E108&lt;40000,9000,IF(E108&gt;40000,10000)))))))</f>
        <v/>
      </c>
      <c r="BF108" s="334">
        <f>(E108/BE108)+2</f>
        <v/>
      </c>
      <c r="BS108" s="24" t="inlineStr">
        <is>
          <t>NUL</t>
        </is>
      </c>
      <c r="BT108" s="24" t="n">
        <v>0</v>
      </c>
      <c r="BU108" s="24" t="n"/>
      <c r="BV108" s="24" t="n"/>
      <c r="BW108" s="332">
        <f>AI108-AH108</f>
        <v/>
      </c>
      <c r="BX108" s="24" t="inlineStr">
        <is>
          <t>NUL</t>
        </is>
      </c>
      <c r="BY108" s="24" t="inlineStr">
        <is>
          <t>NUL</t>
        </is>
      </c>
      <c r="CB108" s="14" t="n">
        <v>29173</v>
      </c>
    </row>
    <row r="109" ht="14.55" customHeight="1" s="70">
      <c r="A109" s="81" t="n"/>
      <c r="B109" s="340" t="inlineStr">
        <is>
          <t>TZAREVETZ</t>
        </is>
      </c>
      <c r="C109" s="135" t="n">
        <v>45720</v>
      </c>
      <c r="D109" s="329" t="n">
        <v>21058</v>
      </c>
      <c r="E109" s="330" t="n"/>
      <c r="F109" s="142" t="inlineStr">
        <is>
          <t>OCP NUTRI</t>
        </is>
      </c>
      <c r="G109" s="81" t="n">
        <v>2</v>
      </c>
      <c r="H109" s="75" t="inlineStr">
        <is>
          <t>MAP</t>
        </is>
      </c>
      <c r="I109" s="306" t="inlineStr">
        <is>
          <t xml:space="preserve">MAP 11 52 SPECIAL </t>
        </is>
      </c>
      <c r="J109" s="50" t="inlineStr">
        <is>
          <t>FOB</t>
        </is>
      </c>
      <c r="K109" s="82" t="n">
        <v>610</v>
      </c>
      <c r="L109" s="336">
        <f>D109*K109</f>
        <v/>
      </c>
      <c r="M109" s="14" t="n">
        <v>9.9422</v>
      </c>
      <c r="N109" s="335">
        <f>L109*M109</f>
        <v/>
      </c>
      <c r="O109" s="16" t="inlineStr">
        <is>
          <t>252 F DU 26/02/2025</t>
        </is>
      </c>
      <c r="P109" s="16" t="inlineStr">
        <is>
          <t>PTP MARITIME SHIPPING SERVICES S.A.</t>
        </is>
      </c>
      <c r="Q109" s="89" t="inlineStr">
        <is>
          <t>AMERIQUE LATINE</t>
        </is>
      </c>
      <c r="R109" s="50" t="inlineStr">
        <is>
          <t>ARGENTINA/ URUGUAY</t>
        </is>
      </c>
      <c r="S109" s="50" t="n"/>
      <c r="T109" s="50" t="inlineStr">
        <is>
          <t>INSPECTORATE</t>
        </is>
      </c>
      <c r="U109" s="81" t="n">
        <v>190</v>
      </c>
      <c r="V109" s="53">
        <f>IF(U109&lt;130, "Mini Bulker", IF(AND(U109&gt;=130, U109&lt;150), "Handysize", IF(AND(U109&gt;=150, U109&lt;200), "Handymax", IF(AND(U109&gt;=200, U109&lt;230), "Panamax", IF(AND(U109&gt;=230, U109&lt;=270), "Capesize", "Autre")))))</f>
        <v/>
      </c>
      <c r="X109" s="14">
        <f>IF(E109&lt;9999,"1",IF(E109&lt;19999,"2",IF(E109&lt;29999,"3",IF(E109&lt;39999,"4",IF(E109&lt;49999,"5",IF(E109&gt;50000,"6"))))))</f>
        <v/>
      </c>
      <c r="Y109" s="75" t="inlineStr">
        <is>
          <t>2N</t>
        </is>
      </c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S109" s="24" t="inlineStr">
        <is>
          <t>NUL</t>
        </is>
      </c>
      <c r="BT109" s="24" t="n">
        <v>0</v>
      </c>
      <c r="BU109" s="24" t="n"/>
      <c r="BV109" s="24" t="n"/>
      <c r="BW109" s="332">
        <f>AI109-AH109</f>
        <v/>
      </c>
      <c r="BX109" s="24" t="inlineStr">
        <is>
          <t>NUL</t>
        </is>
      </c>
      <c r="BY109" s="24" t="inlineStr">
        <is>
          <t>NUL</t>
        </is>
      </c>
      <c r="CB109" s="14" t="n"/>
    </row>
    <row r="110" ht="15" customHeight="1" s="70">
      <c r="A110" s="81" t="n"/>
      <c r="B110" s="340" t="inlineStr">
        <is>
          <t>TZAREVETZ</t>
        </is>
      </c>
      <c r="C110" s="135" t="n">
        <v>45720</v>
      </c>
      <c r="D110" s="329" t="n">
        <v>5500</v>
      </c>
      <c r="E110" s="330" t="n"/>
      <c r="F110" s="142" t="inlineStr">
        <is>
          <t>OCP NUTRI</t>
        </is>
      </c>
      <c r="G110" s="81" t="n">
        <v>2</v>
      </c>
      <c r="H110" s="75" t="inlineStr">
        <is>
          <t>TSP</t>
        </is>
      </c>
      <c r="I110" s="306" t="inlineStr">
        <is>
          <t xml:space="preserve">TSP SPECIAL JORF </t>
        </is>
      </c>
      <c r="J110" s="50" t="inlineStr">
        <is>
          <t>FOB</t>
        </is>
      </c>
      <c r="K110" s="82" t="n">
        <v>460</v>
      </c>
      <c r="L110" s="336">
        <f>D110*K110</f>
        <v/>
      </c>
      <c r="M110" s="14" t="n">
        <v>9.9422</v>
      </c>
      <c r="N110" s="335">
        <f>L110*M110</f>
        <v/>
      </c>
      <c r="O110" s="16" t="inlineStr">
        <is>
          <t>252 F DU 26/02/2025</t>
        </is>
      </c>
      <c r="P110" s="16" t="inlineStr">
        <is>
          <t>PTP MARITIME SHIPPING SERVICES S.A.</t>
        </is>
      </c>
      <c r="Q110" s="89" t="inlineStr">
        <is>
          <t>AMERIQUE LATINE</t>
        </is>
      </c>
      <c r="R110" s="50" t="inlineStr">
        <is>
          <t>ARGENTINA/ URUGUAY</t>
        </is>
      </c>
      <c r="S110" s="50" t="n"/>
      <c r="T110" s="50" t="inlineStr">
        <is>
          <t>INSPECTORATE</t>
        </is>
      </c>
      <c r="U110" s="81" t="n">
        <v>190</v>
      </c>
      <c r="V110" s="53">
        <f>IF(U110&lt;130, "Mini Bulker", IF(AND(U110&gt;=130, U110&lt;150), "Handysize", IF(AND(U110&gt;=150, U110&lt;200), "Handymax", IF(AND(U110&gt;=200, U110&lt;230), "Panamax", IF(AND(U110&gt;=230, U110&lt;=270), "Capesize", "Autre")))))</f>
        <v/>
      </c>
      <c r="X110" s="14">
        <f>IF(E110&lt;9999,"1",IF(E110&lt;19999,"2",IF(E110&lt;29999,"3",IF(E110&lt;39999,"4",IF(E110&lt;49999,"5",IF(E110&gt;50000,"6"))))))</f>
        <v/>
      </c>
      <c r="Y110" s="75" t="inlineStr">
        <is>
          <t>2N</t>
        </is>
      </c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S110" s="24" t="inlineStr">
        <is>
          <t>NUL</t>
        </is>
      </c>
      <c r="BT110" s="24" t="n">
        <v>0</v>
      </c>
      <c r="BU110" s="24" t="n"/>
      <c r="BV110" s="24" t="n"/>
      <c r="BW110" s="332">
        <f>AI110-AH110</f>
        <v/>
      </c>
      <c r="BX110" s="24" t="inlineStr">
        <is>
          <t>NUL</t>
        </is>
      </c>
      <c r="BY110" s="24" t="inlineStr">
        <is>
          <t>NUL</t>
        </is>
      </c>
      <c r="CB110" s="14" t="n"/>
    </row>
    <row r="111" ht="14.55" customHeight="1" s="70">
      <c r="A111" s="81" t="n">
        <v>72</v>
      </c>
      <c r="B111" s="340" t="inlineStr">
        <is>
          <t>TRIPLE S</t>
        </is>
      </c>
      <c r="C111" s="135" t="n">
        <v>45721</v>
      </c>
      <c r="D111" s="329" t="n">
        <v>1100</v>
      </c>
      <c r="E111" s="333">
        <f>D112+D111</f>
        <v/>
      </c>
      <c r="F111" s="142" t="inlineStr">
        <is>
          <t>OCP NUTRI</t>
        </is>
      </c>
      <c r="G111" s="81" t="n">
        <v>2</v>
      </c>
      <c r="H111" s="75" t="inlineStr">
        <is>
          <t>MAP</t>
        </is>
      </c>
      <c r="I111" s="306" t="inlineStr">
        <is>
          <t>MAP 11 52 EU</t>
        </is>
      </c>
      <c r="J111" s="50" t="inlineStr">
        <is>
          <t>CFR</t>
        </is>
      </c>
      <c r="K111" s="82" t="n">
        <v>637</v>
      </c>
      <c r="L111" s="336">
        <f>D111*K111</f>
        <v/>
      </c>
      <c r="M111" s="14" t="n">
        <v>9.892099999999999</v>
      </c>
      <c r="N111" s="335">
        <f>L111*M111</f>
        <v/>
      </c>
      <c r="O111" s="16" t="inlineStr">
        <is>
          <t>252 F DU 26/02/2025</t>
        </is>
      </c>
      <c r="P111" s="16" t="inlineStr">
        <is>
          <t>UNIFERT France SAS</t>
        </is>
      </c>
      <c r="Q111" s="89" t="inlineStr">
        <is>
          <t>EUROPE</t>
        </is>
      </c>
      <c r="R111" s="50" t="inlineStr">
        <is>
          <t>FRANCE</t>
        </is>
      </c>
      <c r="T111" s="50" t="inlineStr">
        <is>
          <t>INTERTEK</t>
        </is>
      </c>
      <c r="U111" s="81" t="n">
        <v>90</v>
      </c>
      <c r="V111" s="53">
        <f>IF(U111&lt;130, "Mini Bulker", IF(AND(U111&gt;=130, U111&lt;150), "Handysize", IF(AND(U111&gt;=150, U111&lt;200), "Handymax", IF(AND(U111&gt;=200, U111&lt;230), "Panamax", IF(AND(U111&gt;=230, U111&lt;=270), "Capesize", "Autre")))))</f>
        <v/>
      </c>
      <c r="X111" s="14">
        <f>IF(E111&lt;9999,"1",IF(E111&lt;19999,"2",IF(E111&lt;29999,"3",IF(E111&lt;39999,"4",IF(E111&lt;49999,"5",IF(E111&gt;50000,"6"))))))</f>
        <v/>
      </c>
      <c r="Y111" s="75" t="inlineStr">
        <is>
          <t>2TER</t>
        </is>
      </c>
      <c r="AA111" s="26" t="n">
        <v>45713.6875</v>
      </c>
      <c r="AB111" s="26" t="n">
        <v>45713.6875</v>
      </c>
      <c r="AC111" s="15" t="n">
        <v>45714</v>
      </c>
      <c r="AD111" s="15" t="n">
        <v>45716</v>
      </c>
      <c r="AE111" s="26" t="n">
        <v>45713.6875</v>
      </c>
      <c r="AF111" s="26" t="n">
        <v>45720.22916666666</v>
      </c>
      <c r="AG111" s="26" t="n">
        <v>45720.25694444445</v>
      </c>
      <c r="AH111" s="26" t="n">
        <v>45720.26736111111</v>
      </c>
      <c r="AI111" s="26" t="n">
        <v>45720.51388888889</v>
      </c>
      <c r="AJ111" s="26" t="n">
        <v>45720.84722222222</v>
      </c>
      <c r="AK111" s="26" t="n">
        <v>45721.84722222222</v>
      </c>
      <c r="AL111" s="26" t="n">
        <v>45721.86805555555</v>
      </c>
      <c r="AM111" s="26" t="n">
        <v>45721.88888888889</v>
      </c>
      <c r="AN111" s="26" t="n">
        <v>45721.93402777778</v>
      </c>
      <c r="AO111" s="26" t="n">
        <v>45721.94791666666</v>
      </c>
      <c r="AP111" s="20">
        <f>(AG111-AF111)*1440</f>
        <v/>
      </c>
      <c r="AQ111" s="20">
        <f>(AG111-AE111)*1440</f>
        <v/>
      </c>
      <c r="AR111" s="20">
        <f>(AH111-AF111)*1440</f>
        <v/>
      </c>
      <c r="AS111" s="20">
        <f>(AI111-AH111)*1440</f>
        <v/>
      </c>
      <c r="AT111" s="20">
        <f>(AJ111-AH111)*1440</f>
        <v/>
      </c>
      <c r="AU111" s="20">
        <f>(AL111-AK111)*1440</f>
        <v/>
      </c>
      <c r="AV111" s="20">
        <f>(AM111-AL111)*1440</f>
        <v/>
      </c>
      <c r="AW111" s="20">
        <f>(AO111-AM111)*1440</f>
        <v/>
      </c>
      <c r="AX111" s="19">
        <f>AP111+AS111+AU111+AV111+AW111</f>
        <v/>
      </c>
      <c r="AY111" s="18">
        <f>(AG111-AA111)</f>
        <v/>
      </c>
      <c r="AZ111" s="18">
        <f>(AK111-AJ111)</f>
        <v/>
      </c>
      <c r="BA111" s="18">
        <f>AO111-AG111</f>
        <v/>
      </c>
      <c r="BB111" s="18">
        <f>(AO111-AA111)-(AP111/1440)-(AW111/1440)</f>
        <v/>
      </c>
      <c r="BC111" s="20">
        <f>E111/AZ111</f>
        <v/>
      </c>
      <c r="BE111" s="20">
        <f>IF(E111&lt;10000,3000,IF(E111&lt;15000,3600,IF(E111&lt;20000,4500,IF(E111&lt;25000,6000,IF(E111&lt;30000,7500,IF(E111&lt;40000,9000,IF(E111&gt;40000,10000)))))))</f>
        <v/>
      </c>
      <c r="BF111" s="334">
        <f>(E111/BE111)+2</f>
        <v/>
      </c>
      <c r="BS111" s="24" t="inlineStr">
        <is>
          <t>NUL</t>
        </is>
      </c>
      <c r="BT111" s="24" t="n">
        <v>0</v>
      </c>
      <c r="BU111" s="24" t="inlineStr">
        <is>
          <t>NON CLEAN</t>
        </is>
      </c>
      <c r="BV111" s="24" t="inlineStr">
        <is>
          <t>DEBALLASTING</t>
        </is>
      </c>
      <c r="BW111" s="332">
        <f>AI111-AH111</f>
        <v/>
      </c>
      <c r="BX111" s="24" t="inlineStr">
        <is>
          <t>NUL</t>
        </is>
      </c>
      <c r="BY111" s="24" t="inlineStr">
        <is>
          <t>NUL</t>
        </is>
      </c>
      <c r="CB111" s="14" t="n">
        <v>3845</v>
      </c>
    </row>
    <row r="112" ht="15" customHeight="1" s="70">
      <c r="A112" s="81" t="n"/>
      <c r="B112" s="340" t="inlineStr">
        <is>
          <t>TRIPLE S</t>
        </is>
      </c>
      <c r="C112" s="135" t="n">
        <v>45721</v>
      </c>
      <c r="D112" s="329" t="n">
        <v>2740</v>
      </c>
      <c r="E112" s="330" t="n"/>
      <c r="F112" s="142" t="inlineStr">
        <is>
          <t>JFC2</t>
        </is>
      </c>
      <c r="G112" s="81" t="n">
        <v>2</v>
      </c>
      <c r="H112" s="75" t="inlineStr">
        <is>
          <t>DAP</t>
        </is>
      </c>
      <c r="I112" s="306" t="inlineStr">
        <is>
          <t>DAP EURO</t>
        </is>
      </c>
      <c r="J112" s="50" t="inlineStr">
        <is>
          <t>CFR</t>
        </is>
      </c>
      <c r="K112" s="82" t="n">
        <v>637</v>
      </c>
      <c r="L112" s="336">
        <f>D112*K112</f>
        <v/>
      </c>
      <c r="M112" s="14" t="n">
        <v>9.892099999999999</v>
      </c>
      <c r="N112" s="335">
        <f>L112*M112</f>
        <v/>
      </c>
      <c r="O112" s="16" t="inlineStr">
        <is>
          <t>258 M DU 26/02/2025</t>
        </is>
      </c>
      <c r="P112" s="16" t="inlineStr">
        <is>
          <t>UNIFERT France SAS</t>
        </is>
      </c>
      <c r="Q112" s="89" t="inlineStr">
        <is>
          <t>EUROPE</t>
        </is>
      </c>
      <c r="R112" s="50" t="inlineStr">
        <is>
          <t>FRANCE</t>
        </is>
      </c>
      <c r="T112" s="50" t="inlineStr">
        <is>
          <t>INTERTEK</t>
        </is>
      </c>
      <c r="U112" s="81" t="n">
        <v>90</v>
      </c>
      <c r="V112" s="53">
        <f>IF(U112&lt;130, "Mini Bulker", IF(AND(U112&gt;=130, U112&lt;150), "Handysize", IF(AND(U112&gt;=150, U112&lt;200), "Handymax", IF(AND(U112&gt;=200, U112&lt;230), "Panamax", IF(AND(U112&gt;=230, U112&lt;=270), "Capesize", "Autre")))))</f>
        <v/>
      </c>
      <c r="X112" s="14">
        <f>IF(E112&lt;9999,"1",IF(E112&lt;19999,"2",IF(E112&lt;29999,"3",IF(E112&lt;39999,"4",IF(E112&lt;49999,"5",IF(E112&gt;50000,"6"))))))</f>
        <v/>
      </c>
      <c r="Y112" s="75" t="inlineStr">
        <is>
          <t>2TER</t>
        </is>
      </c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S112" s="24" t="inlineStr">
        <is>
          <t>NUL</t>
        </is>
      </c>
      <c r="BT112" s="24" t="n">
        <v>0</v>
      </c>
      <c r="BU112" s="24" t="n"/>
      <c r="BV112" s="24" t="n"/>
      <c r="BW112" s="332">
        <f>AI112-AH112</f>
        <v/>
      </c>
      <c r="BX112" s="24" t="inlineStr">
        <is>
          <t>NUL</t>
        </is>
      </c>
      <c r="BY112" s="24" t="inlineStr">
        <is>
          <t>NUL</t>
        </is>
      </c>
      <c r="CB112" s="14" t="n"/>
    </row>
    <row r="113">
      <c r="A113" s="81" t="n">
        <v>73</v>
      </c>
      <c r="B113" s="340" t="inlineStr">
        <is>
          <t>JIU FENG LING</t>
        </is>
      </c>
      <c r="C113" s="135" t="n">
        <v>45722</v>
      </c>
      <c r="D113" s="329" t="n">
        <v>30359</v>
      </c>
      <c r="E113" s="329" t="n">
        <v>30359</v>
      </c>
      <c r="F113" s="142" t="inlineStr">
        <is>
          <t>OCP NUTRI</t>
        </is>
      </c>
      <c r="G113" s="81" t="n">
        <v>1</v>
      </c>
      <c r="H113" s="75" t="inlineStr">
        <is>
          <t>MAP</t>
        </is>
      </c>
      <c r="I113" s="306" t="inlineStr">
        <is>
          <t xml:space="preserve">MAP 11 52 SPECIAL </t>
        </is>
      </c>
      <c r="J113" s="50" t="inlineStr">
        <is>
          <t>CFR</t>
        </is>
      </c>
      <c r="K113" s="82" t="n">
        <v>645</v>
      </c>
      <c r="L113" s="341">
        <f>D113*K113</f>
        <v/>
      </c>
      <c r="M113" s="14" t="n">
        <v>9.963800000000001</v>
      </c>
      <c r="N113" s="335">
        <f>L113*M113</f>
        <v/>
      </c>
      <c r="O113" s="16" t="inlineStr">
        <is>
          <t>252 F DU 26/02/2025</t>
        </is>
      </c>
      <c r="P113" s="16" t="inlineStr">
        <is>
          <t>OCP North America, Inc.</t>
        </is>
      </c>
      <c r="Q113" s="89" t="inlineStr">
        <is>
          <t>AMERIQUE</t>
        </is>
      </c>
      <c r="R113" s="50" t="inlineStr">
        <is>
          <t>AMERIQUE</t>
        </is>
      </c>
      <c r="T113" s="50" t="inlineStr">
        <is>
          <t>INTERTEK</t>
        </is>
      </c>
      <c r="U113" s="81" t="n">
        <v>177</v>
      </c>
      <c r="V113" s="53">
        <f>IF(U113&lt;130, "Mini Bulker", IF(AND(U113&gt;=130, U113&lt;150), "Handysize", IF(AND(U113&gt;=150, U113&lt;200), "Handymax", IF(AND(U113&gt;=200, U113&lt;230), "Panamax", IF(AND(U113&gt;=230, U113&lt;=270), "Capesize", "Autre")))))</f>
        <v/>
      </c>
      <c r="X113" s="14">
        <f>IF(E113&lt;9999,"1",IF(E113&lt;19999,"2",IF(E113&lt;29999,"3",IF(E113&lt;39999,"4",IF(E113&lt;49999,"5",IF(E113&gt;50000,"6"))))))</f>
        <v/>
      </c>
      <c r="Y113" s="75" t="inlineStr">
        <is>
          <t>1BIS</t>
        </is>
      </c>
      <c r="AA113" s="26" t="n">
        <v>45719.91666666666</v>
      </c>
      <c r="AB113" s="26" t="n">
        <v>45720.375</v>
      </c>
      <c r="AC113" s="15" t="n">
        <v>45689</v>
      </c>
      <c r="AD113" s="15" t="n">
        <v>45691</v>
      </c>
      <c r="AE113" s="26" t="n">
        <v>45719.8375</v>
      </c>
      <c r="AF113" s="26" t="n">
        <v>45720.42916666667</v>
      </c>
      <c r="AG113" s="26" t="n">
        <v>45720.51666666667</v>
      </c>
      <c r="AH113" s="26" t="n">
        <v>45720.53819444445</v>
      </c>
      <c r="AI113" s="26" t="n">
        <v>45720.67708333334</v>
      </c>
      <c r="AJ113" s="26" t="n">
        <v>45720.68402777778</v>
      </c>
      <c r="AK113" s="26" t="n">
        <v>45722.63194444445</v>
      </c>
      <c r="AL113" s="26" t="n">
        <v>45722.6875</v>
      </c>
      <c r="AM113" s="26" t="n">
        <v>45722.70833333334</v>
      </c>
      <c r="AN113" s="26" t="n">
        <v>45722.8125</v>
      </c>
      <c r="AO113" s="26" t="n">
        <v>45722.86458333334</v>
      </c>
      <c r="AP113" s="20">
        <f>(AG113-AF113)*1440</f>
        <v/>
      </c>
      <c r="AQ113" s="20">
        <f>(AG113-AE113)*1440</f>
        <v/>
      </c>
      <c r="AR113" s="20">
        <f>(AH113-AF113)*1440</f>
        <v/>
      </c>
      <c r="AS113" s="20">
        <f>(AI113-AH113)*1440</f>
        <v/>
      </c>
      <c r="AT113" s="20">
        <f>(AJ113-AH113)*1440</f>
        <v/>
      </c>
      <c r="AU113" s="20">
        <f>(AL113-AK113)*1440</f>
        <v/>
      </c>
      <c r="AV113" s="20">
        <f>(AM113-AL113)*1440</f>
        <v/>
      </c>
      <c r="AW113" s="20">
        <f>(AO113-AM113)*1440</f>
        <v/>
      </c>
      <c r="AX113" s="19">
        <f>AP113+AS113+AU113+AV113+AW113</f>
        <v/>
      </c>
      <c r="AY113" s="18">
        <f>(AG113-AA113)</f>
        <v/>
      </c>
      <c r="AZ113" s="18">
        <f>(AK113-AJ113)</f>
        <v/>
      </c>
      <c r="BA113" s="18">
        <f>AO113-AG113</f>
        <v/>
      </c>
      <c r="BB113" s="18">
        <f>(AO113-AA113)-(AP113/1440)-(AW113/1440)</f>
        <v/>
      </c>
      <c r="BC113" s="20">
        <f>E113/AZ113</f>
        <v/>
      </c>
      <c r="BE113" s="20">
        <f>IF(E113&lt;10000,3000,IF(E113&lt;15000,3600,IF(E113&lt;20000,4500,IF(E113&lt;25000,6000,IF(E113&lt;30000,7500,IF(E113&lt;40000,9000,IF(E113&gt;40000,10000)))))))</f>
        <v/>
      </c>
      <c r="BF113" s="334">
        <f>(E113/BE113)+2</f>
        <v/>
      </c>
      <c r="BS113" s="24" t="inlineStr">
        <is>
          <t>NUL</t>
        </is>
      </c>
      <c r="BT113" s="24" t="n">
        <v>0</v>
      </c>
      <c r="BU113" s="24" t="inlineStr">
        <is>
          <t>NON CLEAN</t>
        </is>
      </c>
      <c r="BV113" s="24" t="inlineStr">
        <is>
          <t>WATER/LAST CARGO</t>
        </is>
      </c>
      <c r="BW113" s="332">
        <f>AI113-AH113</f>
        <v/>
      </c>
      <c r="BX113" s="24" t="inlineStr">
        <is>
          <t>NUL</t>
        </is>
      </c>
      <c r="BY113" s="24" t="inlineStr">
        <is>
          <t>NUL</t>
        </is>
      </c>
      <c r="CB113" s="14" t="n">
        <v>19995</v>
      </c>
    </row>
    <row r="114">
      <c r="A114" s="81" t="n">
        <v>77</v>
      </c>
      <c r="B114" s="340" t="inlineStr">
        <is>
          <t>CRESTY</t>
        </is>
      </c>
      <c r="C114" s="135" t="n">
        <v>45723</v>
      </c>
      <c r="D114" s="329" t="n">
        <v>16100</v>
      </c>
      <c r="E114" s="333">
        <f>D115+D114</f>
        <v/>
      </c>
      <c r="F114" s="142" t="inlineStr">
        <is>
          <t>JFC1</t>
        </is>
      </c>
      <c r="G114" s="81" t="n">
        <v>2</v>
      </c>
      <c r="H114" s="75" t="inlineStr">
        <is>
          <t>MAP</t>
        </is>
      </c>
      <c r="I114" s="306" t="inlineStr">
        <is>
          <t xml:space="preserve">MAP 11 52 SPECIAL </t>
        </is>
      </c>
      <c r="J114" s="50" t="inlineStr">
        <is>
          <t>CFR</t>
        </is>
      </c>
      <c r="K114" s="82" t="n">
        <v>633.33</v>
      </c>
      <c r="L114" s="341">
        <f>D114*K114</f>
        <v/>
      </c>
      <c r="M114" s="14" t="n">
        <v>9.688499999999999</v>
      </c>
      <c r="N114" s="335">
        <f>L114*M114</f>
        <v/>
      </c>
      <c r="O114" s="16" t="inlineStr">
        <is>
          <t>257 L DU 26/02/2025</t>
        </is>
      </c>
      <c r="P114" s="16" t="inlineStr">
        <is>
          <t>OCP Fertilizantes LTDA</t>
        </is>
      </c>
      <c r="Q114" s="89" t="inlineStr">
        <is>
          <t>AMERIQUE LATINE</t>
        </is>
      </c>
      <c r="R114" s="50" t="inlineStr">
        <is>
          <t>BRESIL</t>
        </is>
      </c>
      <c r="T114" s="50" t="inlineStr">
        <is>
          <t>INTERTEK</t>
        </is>
      </c>
      <c r="U114" s="81" t="n">
        <v>180</v>
      </c>
      <c r="V114" s="53">
        <f>IF(U114&lt;130, "Mini Bulker", IF(AND(U114&gt;=130, U114&lt;150), "Handysize", IF(AND(U114&gt;=150, U114&lt;200), "Handymax", IF(AND(U114&gt;=200, U114&lt;230), "Panamax", IF(AND(U114&gt;=230, U114&lt;=270), "Capesize", "Autre")))))</f>
        <v/>
      </c>
      <c r="X114" s="14">
        <f>IF(E114&lt;9999,"1",IF(E114&lt;19999,"2",IF(E114&lt;29999,"3",IF(E114&lt;39999,"4",IF(E114&lt;49999,"5",IF(E114&gt;50000,"6"))))))</f>
        <v/>
      </c>
      <c r="Y114" s="75" t="inlineStr">
        <is>
          <t>2BIS</t>
        </is>
      </c>
      <c r="AA114" s="26" t="n">
        <v>45702.44791666666</v>
      </c>
      <c r="AB114" s="26" t="n">
        <v>45702.44791666666</v>
      </c>
      <c r="AC114" s="15" t="n">
        <v>45701</v>
      </c>
      <c r="AD114" s="15" t="n">
        <v>45703</v>
      </c>
      <c r="AE114" s="26" t="n">
        <v>45702.44791666666</v>
      </c>
      <c r="AF114" s="26" t="n">
        <v>45703.31944444445</v>
      </c>
      <c r="AG114" s="26" t="n">
        <v>45703.39583333334</v>
      </c>
      <c r="AH114" s="26" t="n">
        <v>45703.43055555555</v>
      </c>
      <c r="AI114" s="26" t="n">
        <v>45703.48958333334</v>
      </c>
      <c r="AJ114" s="26" t="n">
        <v>45703.61458333334</v>
      </c>
      <c r="AK114" s="26" t="n">
        <v>45723.28125</v>
      </c>
      <c r="AL114" s="26" t="n">
        <v>45729.5</v>
      </c>
      <c r="AM114" s="226" t="inlineStr">
        <is>
          <t>-</t>
        </is>
      </c>
      <c r="AN114" s="226" t="inlineStr">
        <is>
          <t>-</t>
        </is>
      </c>
      <c r="AO114" s="26" t="n">
        <v>45729.69097222222</v>
      </c>
      <c r="AP114" s="20">
        <f>(AG114-AF114)*1440</f>
        <v/>
      </c>
      <c r="AQ114" s="20">
        <f>(AG114-AE114)*1440</f>
        <v/>
      </c>
      <c r="AR114" s="20">
        <f>(AH114-AF114)*1440</f>
        <v/>
      </c>
      <c r="AS114" s="20">
        <f>(AI114-AH114)*1440</f>
        <v/>
      </c>
      <c r="AT114" s="20">
        <f>(AJ114-AH114)*1440</f>
        <v/>
      </c>
      <c r="AU114" s="20">
        <f>(AL114-AK114)*1440</f>
        <v/>
      </c>
      <c r="AV114" s="20">
        <f>(AM114-AL114)*1440</f>
        <v/>
      </c>
      <c r="AW114" s="20">
        <f>(AO114-AM114)*1440</f>
        <v/>
      </c>
      <c r="AX114" s="19">
        <f>AP114+AS114+AU114+AV114+AW114</f>
        <v/>
      </c>
      <c r="AY114" s="18">
        <f>(AG114-AA114)</f>
        <v/>
      </c>
      <c r="AZ114" s="18">
        <f>(AK114-AJ114)</f>
        <v/>
      </c>
      <c r="BA114" s="18">
        <f>AO114-AG114</f>
        <v/>
      </c>
      <c r="BB114" s="18">
        <f>(AO114-AA114)-(AP114/1440)-(AW114/1440)</f>
        <v/>
      </c>
      <c r="BC114" s="20">
        <f>E114/AZ114</f>
        <v/>
      </c>
      <c r="BE114" s="20">
        <f>IF(E114&lt;10000,3000,IF(E114&lt;15000,3600,IF(E114&lt;20000,4500,IF(E114&lt;25000,6000,IF(E114&lt;30000,7500,IF(E114&lt;40000,9000,IF(E114&gt;40000,10000)))))))</f>
        <v/>
      </c>
      <c r="BF114" s="334">
        <f>(E114/BE114)+2</f>
        <v/>
      </c>
      <c r="BS114" s="24" t="inlineStr">
        <is>
          <t>CHANGE DU POSTE 2BIS VERS LA RADE LE 20/02- 2050 // RE-ACCOSTAGE AU POSTE 2BIS LE 26/02- 1902 // CHANGE DU POSTE 2BIS VERS LA RADE LE 27/02- 1130 // RE-ACCOSTAGE AU POSTE 2BIS LE 06/03-1552 // CHANGE DU POSTE 2BIS VERS LA RADE LE 07/03- 0840</t>
        </is>
      </c>
      <c r="BT114" s="24" t="n">
        <v>5</v>
      </c>
      <c r="BU114" s="216" t="n"/>
      <c r="BV114" s="216" t="n"/>
      <c r="BW114" s="332">
        <f>AI114-AH114</f>
        <v/>
      </c>
      <c r="BX114" s="24" t="inlineStr">
        <is>
          <t>NUL</t>
        </is>
      </c>
      <c r="BY114" s="24" t="inlineStr">
        <is>
          <t>NUL</t>
        </is>
      </c>
      <c r="CB114" s="14" t="n">
        <v>23433</v>
      </c>
    </row>
    <row r="115" ht="14.55" customHeight="1" s="70">
      <c r="A115" s="81" t="n"/>
      <c r="B115" s="340" t="inlineStr">
        <is>
          <t>CRESTY</t>
        </is>
      </c>
      <c r="C115" s="135" t="n">
        <v>45723</v>
      </c>
      <c r="D115" s="329" t="n">
        <v>12807</v>
      </c>
      <c r="E115" s="330" t="n"/>
      <c r="F115" s="142" t="inlineStr">
        <is>
          <t>OCP NUTRI</t>
        </is>
      </c>
      <c r="G115" s="81" t="n">
        <v>2</v>
      </c>
      <c r="H115" s="75" t="inlineStr">
        <is>
          <t>TSP</t>
        </is>
      </c>
      <c r="I115" s="306" t="inlineStr">
        <is>
          <t xml:space="preserve">TSP SPECIAL JORF </t>
        </is>
      </c>
      <c r="J115" s="50" t="inlineStr">
        <is>
          <t>CFR</t>
        </is>
      </c>
      <c r="K115" s="82" t="n">
        <v>475.83</v>
      </c>
      <c r="L115" s="341">
        <f>D115*K115</f>
        <v/>
      </c>
      <c r="M115" s="14" t="n">
        <v>9.688499999999999</v>
      </c>
      <c r="N115" s="335">
        <f>L115*M115</f>
        <v/>
      </c>
      <c r="O115" s="16" t="inlineStr">
        <is>
          <t>252 F DU 26/02/2025</t>
        </is>
      </c>
      <c r="P115" s="16" t="inlineStr">
        <is>
          <t>OCP Fertilizantes LTDA</t>
        </is>
      </c>
      <c r="Q115" s="89" t="inlineStr">
        <is>
          <t>AMERIQUE LATINE</t>
        </is>
      </c>
      <c r="R115" s="50" t="inlineStr">
        <is>
          <t>BRESIL</t>
        </is>
      </c>
      <c r="T115" s="50" t="inlineStr">
        <is>
          <t>INTERTEK</t>
        </is>
      </c>
      <c r="U115" s="81" t="n">
        <v>180</v>
      </c>
      <c r="V115" s="53">
        <f>IF(U115&lt;130, "Mini Bulker", IF(AND(U115&gt;=130, U115&lt;150), "Handysize", IF(AND(U115&gt;=150, U115&lt;200), "Handymax", IF(AND(U115&gt;=200, U115&lt;230), "Panamax", IF(AND(U115&gt;=230, U115&lt;=270), "Capesize", "Autre")))))</f>
        <v/>
      </c>
      <c r="X115" s="14">
        <f>IF(E115&lt;9999,"1",IF(E115&lt;19999,"2",IF(E115&lt;29999,"3",IF(E115&lt;39999,"4",IF(E115&lt;49999,"5",IF(E115&gt;50000,"6"))))))</f>
        <v/>
      </c>
      <c r="Y115" s="75" t="inlineStr">
        <is>
          <t>2BIS</t>
        </is>
      </c>
      <c r="AA115" s="218" t="n"/>
      <c r="AB115" s="218" t="n"/>
      <c r="AC115" s="98" t="n"/>
      <c r="AD115" s="98" t="n"/>
      <c r="AE115" s="218" t="n"/>
      <c r="AF115" s="218" t="n"/>
      <c r="AG115" s="218" t="n"/>
      <c r="AH115" s="218" t="n"/>
      <c r="AI115" s="218" t="n"/>
      <c r="AJ115" s="218" t="n"/>
      <c r="AK115" s="218" t="n"/>
      <c r="AL115" s="218" t="n"/>
      <c r="AM115" s="218" t="n"/>
      <c r="AN115" s="218" t="n"/>
      <c r="AO115" s="218" t="n"/>
      <c r="AP115" s="98" t="n"/>
      <c r="AQ115" s="98" t="n"/>
      <c r="AR115" s="98" t="n"/>
      <c r="AS115" s="98" t="n"/>
      <c r="AT115" s="98" t="n"/>
      <c r="AU115" s="98" t="n"/>
      <c r="AV115" s="98" t="n"/>
      <c r="AW115" s="98" t="n"/>
      <c r="AX115" s="98" t="n"/>
      <c r="AY115" s="98" t="n"/>
      <c r="AZ115" s="98" t="n"/>
      <c r="BA115" s="98" t="n"/>
      <c r="BB115" s="98" t="n"/>
      <c r="BC115" s="98" t="n"/>
      <c r="BD115" s="220" t="n"/>
      <c r="BE115" s="98" t="n"/>
      <c r="BF115" s="98" t="n"/>
      <c r="BS115" s="24" t="inlineStr">
        <is>
          <t>CHANGE DU POSTE 2BIS VERS LA RADE LE 20/02- 2050 // RE-ACCOSTAGE AU POSTE 2BIS LE 26/02- 1902 // CHANGE DU POSTE 2BIS VERS LA RADE LE 27/02- 1130 // RE-ACCOSTAGE AU POSTE 2BIS LE 06/03-1552 // CHANGE DU POSTE 2BIS VERS LA RADE LE 07/03- 0840</t>
        </is>
      </c>
      <c r="BT115" s="24" t="n">
        <v>5</v>
      </c>
      <c r="BU115" s="216" t="n"/>
      <c r="BV115" s="216" t="n"/>
      <c r="BW115" s="332">
        <f>AI115-AH115</f>
        <v/>
      </c>
      <c r="BX115" s="24" t="inlineStr">
        <is>
          <t>NUL</t>
        </is>
      </c>
      <c r="BY115" s="24" t="inlineStr">
        <is>
          <t>NUL</t>
        </is>
      </c>
      <c r="CB115" s="14" t="n"/>
    </row>
    <row r="116" ht="15" customHeight="1" s="70">
      <c r="A116" s="81" t="n">
        <v>74</v>
      </c>
      <c r="B116" s="340" t="inlineStr">
        <is>
          <t>POLSTEAM KOPROWO</t>
        </is>
      </c>
      <c r="C116" s="135" t="n">
        <v>45723</v>
      </c>
      <c r="D116" s="329" t="n">
        <v>22000</v>
      </c>
      <c r="E116" s="329" t="n">
        <v>22000</v>
      </c>
      <c r="F116" s="142" t="inlineStr">
        <is>
          <t>JFC2</t>
        </is>
      </c>
      <c r="G116" s="81" t="n">
        <v>1</v>
      </c>
      <c r="H116" s="75" t="inlineStr">
        <is>
          <t>DAP</t>
        </is>
      </c>
      <c r="I116" s="306" t="inlineStr">
        <is>
          <t xml:space="preserve">DAP Euro Low Cd </t>
        </is>
      </c>
      <c r="J116" s="50" t="inlineStr">
        <is>
          <t>FOB</t>
        </is>
      </c>
      <c r="K116" s="82" t="n">
        <v>610</v>
      </c>
      <c r="L116" s="341">
        <f>D116*K116</f>
        <v/>
      </c>
      <c r="M116" s="14" t="n">
        <v>9.758800000000001</v>
      </c>
      <c r="N116" s="335">
        <f>L116*M116</f>
        <v/>
      </c>
      <c r="O116" s="16" t="inlineStr">
        <is>
          <t>258 M DU 26/02/2025</t>
        </is>
      </c>
      <c r="P116" s="16" t="inlineStr">
        <is>
          <t>Helm AG</t>
        </is>
      </c>
      <c r="Q116" s="89" t="inlineStr">
        <is>
          <t>EUROPE</t>
        </is>
      </c>
      <c r="R116" s="50" t="inlineStr">
        <is>
          <t>POLAND</t>
        </is>
      </c>
      <c r="T116" s="50" t="inlineStr">
        <is>
          <t>INSPECTORATE</t>
        </is>
      </c>
      <c r="U116" s="81" t="n">
        <v>200</v>
      </c>
      <c r="V116" s="53">
        <f>IF(U116&lt;130, "Mini Bulker", IF(AND(U116&gt;=130, U116&lt;150), "Handysize", IF(AND(U116&gt;=150, U116&lt;200), "Handymax", IF(AND(U116&gt;=200, U116&lt;230), "Panamax", IF(AND(U116&gt;=230, U116&lt;=270), "Capesize", "Autre")))))</f>
        <v/>
      </c>
      <c r="X116" s="14">
        <f>IF(E116&lt;9999,"1",IF(E116&lt;19999,"2",IF(E116&lt;29999,"3",IF(E116&lt;39999,"4",IF(E116&lt;49999,"5",IF(E116&gt;50000,"6"))))))</f>
        <v/>
      </c>
      <c r="Y116" s="75" t="inlineStr">
        <is>
          <t>1BIS/1TER</t>
        </is>
      </c>
      <c r="AA116" s="17" t="n">
        <v>45713.41666666666</v>
      </c>
      <c r="AB116" s="17" t="n">
        <v>45713.41666666666</v>
      </c>
      <c r="AC116" s="15" t="n">
        <v>45714</v>
      </c>
      <c r="AD116" s="15" t="n">
        <v>45716</v>
      </c>
      <c r="AE116" s="17" t="n">
        <v>45713.39583333334</v>
      </c>
      <c r="AF116" s="17" t="n">
        <v>45718.42152777778</v>
      </c>
      <c r="AG116" s="17" t="n">
        <v>45718.46875</v>
      </c>
      <c r="AH116" s="17" t="n">
        <v>45718.48263888889</v>
      </c>
      <c r="AI116" s="17" t="n">
        <v>45718.54166666666</v>
      </c>
      <c r="AJ116" s="17" t="n">
        <v>45718.57291666666</v>
      </c>
      <c r="AK116" s="17" t="n">
        <v>45723.10763888889</v>
      </c>
      <c r="AL116" s="17" t="n">
        <v>45723.13888888889</v>
      </c>
      <c r="AM116" s="17" t="n">
        <v>45723.17361111111</v>
      </c>
      <c r="AN116" s="17" t="n">
        <v>45723.25</v>
      </c>
      <c r="AO116" s="17" t="n">
        <v>45723.27777777778</v>
      </c>
      <c r="AP116" s="20">
        <f>(AG116-AF116)*1440</f>
        <v/>
      </c>
      <c r="AQ116" s="20">
        <f>(AG116-AE116)*1440</f>
        <v/>
      </c>
      <c r="AR116" s="20">
        <f>(AH116-AF116)*1440</f>
        <v/>
      </c>
      <c r="AS116" s="20">
        <f>(AI116-AH116)*1440</f>
        <v/>
      </c>
      <c r="AT116" s="20">
        <f>(AJ116-AH116)*1440</f>
        <v/>
      </c>
      <c r="AU116" s="20">
        <f>(AL116-AK116)*1440</f>
        <v/>
      </c>
      <c r="AV116" s="20">
        <f>(AM116-AL116)*1440</f>
        <v/>
      </c>
      <c r="AW116" s="20">
        <f>(AO116-AM116)*1440</f>
        <v/>
      </c>
      <c r="AX116" s="19">
        <f>AP116+AS116+AU116+AV116+AW116</f>
        <v/>
      </c>
      <c r="AY116" s="18">
        <f>(AG116-AA116)</f>
        <v/>
      </c>
      <c r="AZ116" s="18">
        <f>(AK116-AJ116)</f>
        <v/>
      </c>
      <c r="BA116" s="18">
        <f>AO116-AG116</f>
        <v/>
      </c>
      <c r="BB116" s="18">
        <f>(AO116-AA116)-(AP116/1440)-(AW116/1440)</f>
        <v/>
      </c>
      <c r="BC116" s="20">
        <f>E116/AZ116</f>
        <v/>
      </c>
      <c r="BD116" s="208" t="n"/>
      <c r="BE116" s="20">
        <f>IF(E116&lt;10000,3000,IF(E116&lt;15000,3600,IF(E116&lt;20000,4500,IF(E116&lt;25000,6000,IF(E116&lt;30000,7500,IF(E116&lt;40000,9000,IF(E116&gt;40000,10000)))))))</f>
        <v/>
      </c>
      <c r="BF116" s="334">
        <f>(E116/BE116)+2</f>
        <v/>
      </c>
      <c r="BG116" s="208" t="n"/>
      <c r="BH116" s="208" t="n"/>
      <c r="BI116" s="208" t="n"/>
      <c r="BJ116" s="208" t="n"/>
      <c r="BK116" s="208" t="n"/>
      <c r="BL116" s="208" t="n"/>
      <c r="BM116" s="208" t="n"/>
      <c r="BN116" s="208" t="n"/>
      <c r="BO116" s="208" t="n"/>
      <c r="BS116" s="24" t="inlineStr">
        <is>
          <t>CHANGE DU POSTE 1BIS VERS POSTE 1TER LE 04/03- 0915</t>
        </is>
      </c>
      <c r="BT116" s="99" t="n">
        <v>1</v>
      </c>
      <c r="BU116" s="99" t="inlineStr">
        <is>
          <t>CLEAN</t>
        </is>
      </c>
      <c r="BV116" s="99" t="inlineStr">
        <is>
          <t>-</t>
        </is>
      </c>
      <c r="BW116" s="332">
        <f>AI116-AH116</f>
        <v/>
      </c>
      <c r="BX116" s="24" t="n"/>
      <c r="BY116" s="24" t="n">
        <v>20</v>
      </c>
      <c r="CB116" s="14" t="n">
        <v>22701</v>
      </c>
    </row>
    <row r="117" ht="15" customHeight="1" s="70">
      <c r="A117" s="81" t="n">
        <v>76</v>
      </c>
      <c r="B117" s="340" t="inlineStr">
        <is>
          <t>ATLANTIC ISLAND</t>
        </is>
      </c>
      <c r="C117" s="135" t="n">
        <v>45726</v>
      </c>
      <c r="D117" s="329" t="n">
        <v>2200</v>
      </c>
      <c r="E117" s="329" t="n">
        <v>2200</v>
      </c>
      <c r="F117" s="142" t="inlineStr">
        <is>
          <t>JFC2</t>
        </is>
      </c>
      <c r="G117" s="81" t="n">
        <v>1</v>
      </c>
      <c r="H117" s="75" t="inlineStr">
        <is>
          <t>DAP</t>
        </is>
      </c>
      <c r="I117" s="306" t="inlineStr">
        <is>
          <t>DAP HUNGARY</t>
        </is>
      </c>
      <c r="J117" s="50" t="inlineStr">
        <is>
          <t>CFR</t>
        </is>
      </c>
      <c r="K117" s="82" t="n">
        <v>645</v>
      </c>
      <c r="L117" s="341">
        <f>D117*K117</f>
        <v/>
      </c>
      <c r="M117" s="14" t="n">
        <v>9.7235</v>
      </c>
      <c r="N117" s="335">
        <f>L117*M117</f>
        <v/>
      </c>
      <c r="O117" s="16" t="inlineStr">
        <is>
          <t>258 M DU 26/02/2025</t>
        </is>
      </c>
      <c r="P117" s="16" t="inlineStr">
        <is>
          <t>OCP Fertilizantes LTDA</t>
        </is>
      </c>
      <c r="Q117" s="89" t="inlineStr">
        <is>
          <t>AMERIQUE LATINE</t>
        </is>
      </c>
      <c r="R117" s="50" t="inlineStr">
        <is>
          <t>BRESIL</t>
        </is>
      </c>
      <c r="T117" s="75" t="inlineStr">
        <is>
          <t>INTERTEK</t>
        </is>
      </c>
      <c r="U117" s="81" t="n">
        <v>180</v>
      </c>
      <c r="V117" s="53">
        <f>IF(U117&lt;130, "Mini Bulker", IF(AND(U117&gt;=130, U117&lt;150), "Handysize", IF(AND(U117&gt;=150, U117&lt;200), "Handymax", IF(AND(U117&gt;=200, U117&lt;230), "Panamax", IF(AND(U117&gt;=230, U117&lt;=270), "Capesize", "Autre")))))</f>
        <v/>
      </c>
      <c r="X117" s="14">
        <f>IF(E117&lt;9999,"1",IF(E117&lt;19999,"2",IF(E117&lt;29999,"3",IF(E117&lt;39999,"4",IF(E117&lt;49999,"5",IF(E117&gt;50000,"6"))))))</f>
        <v/>
      </c>
      <c r="Y117" s="75" t="inlineStr">
        <is>
          <t>2TER/5/2TER</t>
        </is>
      </c>
      <c r="AA117" s="26" t="n">
        <v>45720.73958333334</v>
      </c>
      <c r="AB117" s="26" t="n">
        <v>45721.375</v>
      </c>
      <c r="AC117" s="15" t="n">
        <v>45713</v>
      </c>
      <c r="AD117" s="15" t="n">
        <v>45715</v>
      </c>
      <c r="AE117" s="26" t="n">
        <v>45720.73958333334</v>
      </c>
      <c r="AF117" s="26" t="n">
        <v>45721.94791666666</v>
      </c>
      <c r="AG117" s="26" t="n">
        <v>45721.98263888889</v>
      </c>
      <c r="AH117" s="26" t="n">
        <v>45721.98611111111</v>
      </c>
      <c r="AI117" s="26" t="n">
        <v>45722.29166666666</v>
      </c>
      <c r="AJ117" s="26" t="n">
        <v>45726.53125</v>
      </c>
      <c r="AK117" s="26" t="n">
        <v>45726.88541666666</v>
      </c>
      <c r="AL117" s="26" t="n">
        <v>45726.91666666666</v>
      </c>
      <c r="AM117" s="26" t="n">
        <v>45726.93055555555</v>
      </c>
      <c r="AN117" s="26" t="n">
        <v>45726.96527777778</v>
      </c>
      <c r="AO117" s="26" t="n">
        <v>45726.96875</v>
      </c>
      <c r="AP117" s="20">
        <f>(AG117-AF117)*1440</f>
        <v/>
      </c>
      <c r="AQ117" s="20">
        <f>(AG117-AE117)*1440</f>
        <v/>
      </c>
      <c r="AR117" s="20">
        <f>(AH117-AF117)*1440</f>
        <v/>
      </c>
      <c r="AS117" s="20">
        <f>(AI117-AH117)*1440</f>
        <v/>
      </c>
      <c r="AT117" s="20">
        <f>(AJ117-AH117)*1440</f>
        <v/>
      </c>
      <c r="AU117" s="20">
        <f>(AL117-AK117)*1440</f>
        <v/>
      </c>
      <c r="AV117" s="20">
        <f>(AM117-AL117)*1440</f>
        <v/>
      </c>
      <c r="AW117" s="20">
        <f>(AO117-AM117)*1440</f>
        <v/>
      </c>
      <c r="AX117" s="19">
        <f>AP117+AS117+AU117+AV117+AW117</f>
        <v/>
      </c>
      <c r="AY117" s="18">
        <f>(AG117-AA117)</f>
        <v/>
      </c>
      <c r="AZ117" s="18">
        <f>(AK117-AJ117)</f>
        <v/>
      </c>
      <c r="BA117" s="18">
        <f>AO117-AG117</f>
        <v/>
      </c>
      <c r="BB117" s="18">
        <f>(AO117-AA117)-(AP117/1440)-(AW117/1440)</f>
        <v/>
      </c>
      <c r="BC117" s="20">
        <f>E117/AZ117</f>
        <v/>
      </c>
      <c r="BE117" s="20">
        <f>IF(E117&lt;10000,3000,IF(E117&lt;15000,3600,IF(E117&lt;20000,4500,IF(E117&lt;25000,6000,IF(E117&lt;30000,7500,IF(E117&lt;40000,9000,IF(E117&gt;40000,10000)))))))</f>
        <v/>
      </c>
      <c r="BF117" s="334">
        <f>(E117/BE117)+2</f>
        <v/>
      </c>
      <c r="BS117" s="24" t="inlineStr">
        <is>
          <t>CHANGE DU POSTE 2TER VERS POSTE 5 LE 06/03- 1345 // CHANGE DU POSTE 5 VERS POSTE 2TER LE 07/03- 1115</t>
        </is>
      </c>
      <c r="BT117" s="97" t="n">
        <v>2</v>
      </c>
      <c r="BU117" s="97" t="inlineStr">
        <is>
          <t>NON CLEAN</t>
        </is>
      </c>
      <c r="BV117" s="97" t="inlineStr">
        <is>
          <t>BULK HEAD/ NPS CARGO</t>
        </is>
      </c>
      <c r="BW117" s="332">
        <f>AI117-AH117</f>
        <v/>
      </c>
      <c r="BX117" s="24" t="inlineStr">
        <is>
          <t>NUL</t>
        </is>
      </c>
      <c r="BY117" s="24" t="inlineStr">
        <is>
          <t>NUL</t>
        </is>
      </c>
      <c r="CB117" s="14" t="n">
        <v>21441</v>
      </c>
    </row>
    <row r="118" ht="14.55" customHeight="1" s="70">
      <c r="A118" s="81" t="n">
        <v>75</v>
      </c>
      <c r="B118" s="340" t="inlineStr">
        <is>
          <t>SSI PROVIDENCE</t>
        </is>
      </c>
      <c r="C118" s="135" t="n">
        <v>45726</v>
      </c>
      <c r="D118" s="329" t="n">
        <v>16500</v>
      </c>
      <c r="E118" s="333">
        <f>D119+D118</f>
        <v/>
      </c>
      <c r="F118" s="142" t="inlineStr">
        <is>
          <t>OCP NUTRI</t>
        </is>
      </c>
      <c r="G118" s="81" t="n">
        <v>2</v>
      </c>
      <c r="H118" s="75" t="inlineStr">
        <is>
          <t>MAP</t>
        </is>
      </c>
      <c r="I118" s="306" t="inlineStr">
        <is>
          <t xml:space="preserve">MAP 11 52 SPECIAL </t>
        </is>
      </c>
      <c r="J118" s="50" t="inlineStr">
        <is>
          <t>CFR</t>
        </is>
      </c>
      <c r="K118" s="82" t="n">
        <v>633.33</v>
      </c>
      <c r="L118" s="341">
        <f>D118*K118</f>
        <v/>
      </c>
      <c r="M118" s="14" t="n">
        <v>9.7235</v>
      </c>
      <c r="N118" s="335">
        <f>L118*M118</f>
        <v/>
      </c>
      <c r="O118" s="16" t="inlineStr">
        <is>
          <t>252 F DU 26/02/2025</t>
        </is>
      </c>
      <c r="P118" s="16" t="inlineStr">
        <is>
          <t>OCP Fertilizantes LTDA</t>
        </is>
      </c>
      <c r="Q118" s="89" t="inlineStr">
        <is>
          <t>AMERIQUE LATINE</t>
        </is>
      </c>
      <c r="R118" s="50" t="inlineStr">
        <is>
          <t>BRESIL</t>
        </is>
      </c>
      <c r="T118" s="75" t="inlineStr">
        <is>
          <t>INTERTEK</t>
        </is>
      </c>
      <c r="U118" s="81" t="n">
        <v>180</v>
      </c>
      <c r="V118" s="53">
        <f>IF(U118&lt;130, "Mini Bulker", IF(AND(U118&gt;=130, U118&lt;150), "Handysize", IF(AND(U118&gt;=150, U118&lt;200), "Handymax", IF(AND(U118&gt;=200, U118&lt;230), "Panamax", IF(AND(U118&gt;=230, U118&lt;=270), "Capesize", "Autre")))))</f>
        <v/>
      </c>
      <c r="X118" s="14">
        <f>IF(E118&lt;9999,"1",IF(E118&lt;19999,"2",IF(E118&lt;29999,"3",IF(E118&lt;39999,"4",IF(E118&lt;49999,"5",IF(E118&gt;50000,"6"))))))</f>
        <v/>
      </c>
      <c r="Y118" s="75" t="inlineStr">
        <is>
          <t>1BIS/1TER/2N</t>
        </is>
      </c>
      <c r="AA118" s="26" t="n">
        <v>45712.77916666667</v>
      </c>
      <c r="AB118" s="26" t="n">
        <v>45713.375</v>
      </c>
      <c r="AC118" s="15" t="n">
        <v>45710</v>
      </c>
      <c r="AD118" s="15" t="n">
        <v>45712</v>
      </c>
      <c r="AE118" s="26" t="n">
        <v>45711</v>
      </c>
      <c r="AF118" s="94" t="n">
        <v>45713.72430555556</v>
      </c>
      <c r="AG118" s="94" t="n">
        <v>45713.80416666667</v>
      </c>
      <c r="AH118" s="94" t="n">
        <v>45713.82291666666</v>
      </c>
      <c r="AI118" s="94" t="n">
        <v>45713.875</v>
      </c>
      <c r="AJ118" s="94" t="n">
        <v>45713.97222222222</v>
      </c>
      <c r="AK118" s="26" t="n">
        <v>45726.74305555555</v>
      </c>
      <c r="AL118" s="26" t="n">
        <v>45726.77986111111</v>
      </c>
      <c r="AM118" s="222" t="n">
        <v>45726.8125</v>
      </c>
      <c r="AN118" s="222" t="n">
        <v>45726.875</v>
      </c>
      <c r="AO118" s="26" t="n">
        <v>45726.89027777778</v>
      </c>
      <c r="AP118" s="20">
        <f>(AG118-AF118)*1440</f>
        <v/>
      </c>
      <c r="AQ118" s="20">
        <f>(AG118-AE118)*1440</f>
        <v/>
      </c>
      <c r="AR118" s="20">
        <f>(AH118-AF118)*1440</f>
        <v/>
      </c>
      <c r="AS118" s="20">
        <f>(AI118-AH118)*1440</f>
        <v/>
      </c>
      <c r="AT118" s="20">
        <f>(AJ118-AH118)*1440</f>
        <v/>
      </c>
      <c r="AU118" s="20">
        <f>(AL118-AK118)*1440</f>
        <v/>
      </c>
      <c r="AV118" s="20">
        <f>(AM118-AL118)*1440</f>
        <v/>
      </c>
      <c r="AW118" s="20">
        <f>(AO118-AM118)*1440</f>
        <v/>
      </c>
      <c r="AX118" s="19">
        <f>AP118+AS118+AU118+AV118+AW118</f>
        <v/>
      </c>
      <c r="AY118" s="18">
        <f>(AG118-AA118)</f>
        <v/>
      </c>
      <c r="AZ118" s="18">
        <f>(AK118-AJ118)</f>
        <v/>
      </c>
      <c r="BA118" s="18">
        <f>AO118-AG118</f>
        <v/>
      </c>
      <c r="BB118" s="18">
        <f>(AO118-AA118)-(AP118/1440)-(AW118/1440)</f>
        <v/>
      </c>
      <c r="BC118" s="20">
        <f>E118/AZ118</f>
        <v/>
      </c>
      <c r="BE118" s="20">
        <f>IF(E118&lt;10000,3000,IF(E118&lt;15000,3600,IF(E118&lt;20000,4500,IF(E118&lt;25000,6000,IF(E118&lt;30000,7500,IF(E118&lt;40000,9000,IF(E118&gt;40000,10000)))))))</f>
        <v/>
      </c>
      <c r="BF118" s="334">
        <f>(E118/BE118)+2</f>
        <v/>
      </c>
      <c r="BS118" s="24" t="inlineStr">
        <is>
          <t>CHANGE DU POSTE 1BIS VER 1TER LE 26/02- 2020 // CHANGE DU POSTE 1TER VERS LA RADE LE 02/03- 0905 // RE-ACC AU POSTE 2N LE 04/03- 1125 // MAINTENU PAR SHORE TENSION</t>
        </is>
      </c>
      <c r="BT118" s="99" t="n">
        <v>3</v>
      </c>
      <c r="BU118" s="99" t="n"/>
      <c r="BV118" s="99" t="n"/>
      <c r="BW118" s="332">
        <f>AI118-AH118</f>
        <v/>
      </c>
      <c r="BX118" s="24" t="inlineStr">
        <is>
          <t>NUL</t>
        </is>
      </c>
      <c r="BY118" s="24" t="inlineStr">
        <is>
          <t>NUL</t>
        </is>
      </c>
      <c r="CB118" s="14" t="n">
        <v>23232</v>
      </c>
    </row>
    <row r="119">
      <c r="A119" s="81" t="n"/>
      <c r="B119" s="340" t="inlineStr">
        <is>
          <t>SSI PROVIDENCE</t>
        </is>
      </c>
      <c r="C119" s="135" t="n">
        <v>45726</v>
      </c>
      <c r="D119" s="329" t="n">
        <v>15400</v>
      </c>
      <c r="E119" s="330" t="n"/>
      <c r="F119" s="142" t="inlineStr">
        <is>
          <t>OCP NUTRI</t>
        </is>
      </c>
      <c r="G119" s="81" t="n">
        <v>2</v>
      </c>
      <c r="H119" s="75" t="inlineStr">
        <is>
          <t>TSP</t>
        </is>
      </c>
      <c r="I119" s="306" t="inlineStr">
        <is>
          <t xml:space="preserve">TSP SPECIAL JORF </t>
        </is>
      </c>
      <c r="J119" s="50" t="inlineStr">
        <is>
          <t>CFR</t>
        </is>
      </c>
      <c r="K119" s="82" t="n">
        <v>475</v>
      </c>
      <c r="L119" s="341">
        <f>D119*K119</f>
        <v/>
      </c>
      <c r="M119" s="14" t="n">
        <v>9.7235</v>
      </c>
      <c r="N119" s="335">
        <f>L119*M119</f>
        <v/>
      </c>
      <c r="O119" s="16" t="inlineStr">
        <is>
          <t>252 F DU 26/02/2025</t>
        </is>
      </c>
      <c r="P119" s="16" t="inlineStr">
        <is>
          <t>OCP Fertilizantes LTDA</t>
        </is>
      </c>
      <c r="Q119" s="89" t="inlineStr">
        <is>
          <t>AMERIQUE LATINE</t>
        </is>
      </c>
      <c r="R119" s="50" t="inlineStr">
        <is>
          <t>BRESIL</t>
        </is>
      </c>
      <c r="T119" s="75" t="inlineStr">
        <is>
          <t>INTERTEK</t>
        </is>
      </c>
      <c r="U119" s="81" t="n">
        <v>180</v>
      </c>
      <c r="V119" s="53">
        <f>IF(U119&lt;130, "Mini Bulker", IF(AND(U119&gt;=130, U119&lt;150), "Handysize", IF(AND(U119&gt;=150, U119&lt;200), "Handymax", IF(AND(U119&gt;=200, U119&lt;230), "Panamax", IF(AND(U119&gt;=230, U119&lt;=270), "Capesize", "Autre")))))</f>
        <v/>
      </c>
      <c r="X119" s="14">
        <f>IF(E119&lt;9999,"1",IF(E119&lt;19999,"2",IF(E119&lt;29999,"3",IF(E119&lt;39999,"4",IF(E119&lt;49999,"5",IF(E119&gt;50000,"6"))))))</f>
        <v/>
      </c>
      <c r="Y119" s="75" t="inlineStr">
        <is>
          <t>1BIS/1TER/2N</t>
        </is>
      </c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7" t="n"/>
      <c r="BH119" s="227" t="n"/>
      <c r="BI119" s="227" t="n"/>
      <c r="BJ119" s="227" t="n"/>
      <c r="BK119" s="227" t="n"/>
      <c r="BL119" s="227" t="n"/>
      <c r="BM119" s="227" t="n"/>
      <c r="BN119" s="227" t="n"/>
      <c r="BO119" s="227" t="n"/>
      <c r="BS119" s="24" t="inlineStr">
        <is>
          <t>CHANGE DU POSTE 1BIS VER 1TER LE 26/02- 2020 // CHANGE DU POSTE 1TER VERS LA RADE LE 02/03- 0905 // RE-ACC AU POSTE 2N LE 04/03- 1125 // MAINTENU PAR SHORE TENSION</t>
        </is>
      </c>
      <c r="BT119" s="99" t="n">
        <v>3</v>
      </c>
      <c r="BW119" s="332">
        <f>AI119-AH119</f>
        <v/>
      </c>
      <c r="BX119" s="24" t="inlineStr">
        <is>
          <t>NUL</t>
        </is>
      </c>
      <c r="BY119" s="24" t="inlineStr">
        <is>
          <t>NUL</t>
        </is>
      </c>
      <c r="CB119" s="14" t="n"/>
    </row>
    <row r="120" ht="14.55" customHeight="1" s="70">
      <c r="A120" s="81" t="n">
        <v>78</v>
      </c>
      <c r="B120" s="340" t="inlineStr">
        <is>
          <t>DARYA SATI</t>
        </is>
      </c>
      <c r="C120" s="135" t="n">
        <v>45729</v>
      </c>
      <c r="D120" s="329" t="n">
        <v>36368</v>
      </c>
      <c r="E120" s="333">
        <f>D121+D120</f>
        <v/>
      </c>
      <c r="F120" s="142" t="inlineStr">
        <is>
          <t>OCP NUTRI</t>
        </is>
      </c>
      <c r="G120" s="81" t="n">
        <v>2</v>
      </c>
      <c r="H120" s="75" t="inlineStr">
        <is>
          <t>MAP</t>
        </is>
      </c>
      <c r="I120" s="306" t="inlineStr">
        <is>
          <t xml:space="preserve">MAP 11 52 SPECIAL </t>
        </is>
      </c>
      <c r="J120" s="50" t="inlineStr">
        <is>
          <t>CFR</t>
        </is>
      </c>
      <c r="K120" s="82" t="n">
        <v>635</v>
      </c>
      <c r="L120" s="341">
        <f>D120*K120</f>
        <v/>
      </c>
      <c r="M120" s="14" t="n">
        <v>9.701700000000001</v>
      </c>
      <c r="N120" s="335">
        <f>L120*M120</f>
        <v/>
      </c>
      <c r="O120" s="16" t="inlineStr">
        <is>
          <t>252 F DU 26/02/2025</t>
        </is>
      </c>
      <c r="P120" s="16" t="inlineStr">
        <is>
          <t>OCP Fertilizantes LTDA</t>
        </is>
      </c>
      <c r="Q120" s="89" t="inlineStr">
        <is>
          <t>AMERIQUE LATINE</t>
        </is>
      </c>
      <c r="R120" s="50" t="inlineStr">
        <is>
          <t>BRESIL</t>
        </is>
      </c>
      <c r="T120" s="75" t="inlineStr">
        <is>
          <t>INSPECTORATE</t>
        </is>
      </c>
      <c r="U120" s="81" t="n">
        <v>200</v>
      </c>
      <c r="V120" s="53">
        <f>IF(U120&lt;130, "Mini Bulker", IF(AND(U120&gt;=130, U120&lt;150), "Handysize", IF(AND(U120&gt;=150, U120&lt;200), "Handymax", IF(AND(U120&gt;=200, U120&lt;230), "Panamax", IF(AND(U120&gt;=230, U120&lt;=270), "Capesize", "Autre")))))</f>
        <v/>
      </c>
      <c r="X120" s="14">
        <f>IF(E120&lt;9999,"1",IF(E120&lt;19999,"2",IF(E120&lt;29999,"3",IF(E120&lt;39999,"4",IF(E120&lt;49999,"5",IF(E120&gt;50000,"6"))))))</f>
        <v/>
      </c>
      <c r="Y120" s="100" t="inlineStr">
        <is>
          <t>1BIS/1TER</t>
        </is>
      </c>
      <c r="AA120" s="26" t="n">
        <v>45722.97916666666</v>
      </c>
      <c r="AB120" s="26" t="n">
        <v>45723.375</v>
      </c>
      <c r="AC120" s="15" t="n">
        <v>45718</v>
      </c>
      <c r="AD120" s="15" t="n">
        <v>45720</v>
      </c>
      <c r="AE120" s="26" t="n">
        <v>45722.875</v>
      </c>
      <c r="AF120" s="26" t="n">
        <v>45723.14583333334</v>
      </c>
      <c r="AG120" s="26" t="n">
        <v>45723.20833333334</v>
      </c>
      <c r="AH120" s="26" t="n">
        <v>45723.25</v>
      </c>
      <c r="AI120" s="26" t="n">
        <v>45723.3125</v>
      </c>
      <c r="AJ120" s="26" t="n">
        <v>45723.36111111111</v>
      </c>
      <c r="AK120" s="26" t="n">
        <v>45729.43055555555</v>
      </c>
      <c r="AL120" s="26" t="n">
        <v>45729.45833333334</v>
      </c>
      <c r="AM120" s="237" t="inlineStr">
        <is>
          <t>-</t>
        </is>
      </c>
      <c r="AN120" s="26" t="n">
        <v>45730.95833333334</v>
      </c>
      <c r="AO120" s="26" t="n">
        <v>45730.99027777778</v>
      </c>
      <c r="AP120" s="20">
        <f>(AG120-AF120)*1440</f>
        <v/>
      </c>
      <c r="AQ120" s="20">
        <f>(AG120-AE120)*1440</f>
        <v/>
      </c>
      <c r="AR120" s="20">
        <f>(AH120-AF120)*1440</f>
        <v/>
      </c>
      <c r="AS120" s="20">
        <f>(AI120-AH120)*1440</f>
        <v/>
      </c>
      <c r="AT120" s="20">
        <f>(AJ120-AH120)*1440</f>
        <v/>
      </c>
      <c r="AU120" s="20">
        <f>(AL120-AK120)*1440</f>
        <v/>
      </c>
      <c r="AV120" s="20">
        <f>(AM120-AL120)*1440</f>
        <v/>
      </c>
      <c r="AW120" s="20">
        <f>(AO120-AM120)*1440</f>
        <v/>
      </c>
      <c r="AX120" s="19">
        <f>AP120+AS120+AU120+AV120+AW120</f>
        <v/>
      </c>
      <c r="AY120" s="18">
        <f>(AG120-AA120)</f>
        <v/>
      </c>
      <c r="AZ120" s="18">
        <f>(AK120-AJ120)</f>
        <v/>
      </c>
      <c r="BA120" s="18">
        <f>AO120-AG120</f>
        <v/>
      </c>
      <c r="BB120" s="18">
        <f>(AO120-AA120)-(AP120/1440)-(AW120/1440)</f>
        <v/>
      </c>
      <c r="BC120" s="20">
        <f>E120/AZ120</f>
        <v/>
      </c>
      <c r="BE120" s="20">
        <f>IF(E120&lt;10000,3000,IF(E120&lt;15000,3600,IF(E120&lt;20000,4500,IF(E120&lt;25000,6000,IF(E120&lt;30000,7500,IF(E120&lt;40000,9000,IF(E120&gt;40000,10000)))))))</f>
        <v/>
      </c>
      <c r="BF120" s="334">
        <f>(E120/BE120)+2</f>
        <v/>
      </c>
      <c r="BS120" s="24" t="inlineStr">
        <is>
          <t>DEHALAGE DU POSTE 1BIS VERS 1TER LE 11/03- 2310</t>
        </is>
      </c>
      <c r="BT120" s="97" t="n">
        <v>1</v>
      </c>
      <c r="BU120" s="97" t="n"/>
      <c r="BV120" s="97" t="n"/>
      <c r="BW120" s="332">
        <f>AI120-AH120</f>
        <v/>
      </c>
      <c r="BX120" s="24" t="inlineStr">
        <is>
          <t>NUL</t>
        </is>
      </c>
      <c r="BY120" s="24" t="inlineStr">
        <is>
          <t>NUL</t>
        </is>
      </c>
      <c r="CB120" s="14" t="n">
        <v>36272</v>
      </c>
      <c r="CE120" s="26" t="n">
        <v>45723.04166666666</v>
      </c>
    </row>
    <row r="121" ht="15" customHeight="1" s="70">
      <c r="A121" s="81" t="n"/>
      <c r="B121" s="340" t="inlineStr">
        <is>
          <t>DARYA SATI</t>
        </is>
      </c>
      <c r="C121" s="135" t="n">
        <v>45729</v>
      </c>
      <c r="D121" s="329" t="n">
        <v>13567</v>
      </c>
      <c r="E121" s="330" t="n"/>
      <c r="F121" s="142" t="inlineStr">
        <is>
          <t>OCP NUTRI</t>
        </is>
      </c>
      <c r="G121" s="81" t="n">
        <v>2</v>
      </c>
      <c r="H121" s="75" t="inlineStr">
        <is>
          <t>TSP</t>
        </is>
      </c>
      <c r="I121" s="306" t="inlineStr">
        <is>
          <t xml:space="preserve">TSP SPECIAL JORF </t>
        </is>
      </c>
      <c r="J121" s="50" t="inlineStr">
        <is>
          <t>CFR</t>
        </is>
      </c>
      <c r="K121" s="82" t="n">
        <v>475.83</v>
      </c>
      <c r="L121" s="341">
        <f>D121*K121</f>
        <v/>
      </c>
      <c r="M121" s="14" t="n">
        <v>9.701700000000001</v>
      </c>
      <c r="N121" s="335">
        <f>L121*M121</f>
        <v/>
      </c>
      <c r="O121" s="16" t="inlineStr">
        <is>
          <t>252 F DU 26/02/2025</t>
        </is>
      </c>
      <c r="P121" s="16" t="inlineStr">
        <is>
          <t>OCP Fertilizantes LTDA</t>
        </is>
      </c>
      <c r="Q121" s="89" t="inlineStr">
        <is>
          <t>AMERIQUE LATINE</t>
        </is>
      </c>
      <c r="R121" s="50" t="inlineStr">
        <is>
          <t>BRESIL</t>
        </is>
      </c>
      <c r="T121" s="75" t="inlineStr">
        <is>
          <t>INSPECTORATE</t>
        </is>
      </c>
      <c r="U121" s="81" t="n">
        <v>200</v>
      </c>
      <c r="V121" s="53">
        <f>IF(U121&lt;130, "Mini Bulker", IF(AND(U121&gt;=130, U121&lt;150), "Handysize", IF(AND(U121&gt;=150, U121&lt;200), "Handymax", IF(AND(U121&gt;=200, U121&lt;230), "Panamax", IF(AND(U121&gt;=230, U121&lt;=270), "Capesize", "Autre")))))</f>
        <v/>
      </c>
      <c r="X121" s="14">
        <f>IF(E121&lt;9999,"1",IF(E121&lt;19999,"2",IF(E121&lt;29999,"3",IF(E121&lt;39999,"4",IF(E121&lt;49999,"5",IF(E121&gt;50000,"6"))))))</f>
        <v/>
      </c>
      <c r="Y121" s="75" t="inlineStr">
        <is>
          <t>1BIS/1TER</t>
        </is>
      </c>
      <c r="AA121" s="98" t="n"/>
      <c r="AB121" s="98" t="n"/>
      <c r="AC121" s="98" t="n"/>
      <c r="AD121" s="98" t="n"/>
      <c r="AE121" s="98" t="n"/>
      <c r="AF121" s="98" t="n"/>
      <c r="AG121" s="98" t="n"/>
      <c r="AH121" s="98" t="n"/>
      <c r="AI121" s="98" t="n"/>
      <c r="AJ121" s="98" t="n"/>
      <c r="AK121" s="98" t="n"/>
      <c r="AL121" s="98" t="n"/>
      <c r="AM121" s="98" t="n"/>
      <c r="AN121" s="98" t="n"/>
      <c r="AO121" s="98" t="n"/>
      <c r="AP121" s="98" t="n"/>
      <c r="AQ121" s="98" t="n"/>
      <c r="AR121" s="98" t="n"/>
      <c r="AS121" s="98" t="n"/>
      <c r="AT121" s="98" t="n"/>
      <c r="AU121" s="98" t="n"/>
      <c r="AV121" s="98" t="n"/>
      <c r="AW121" s="98" t="n"/>
      <c r="AX121" s="98" t="n"/>
      <c r="AY121" s="98" t="n"/>
      <c r="AZ121" s="98" t="n"/>
      <c r="BA121" s="98" t="n"/>
      <c r="BB121" s="98" t="n"/>
      <c r="BC121" s="98" t="n"/>
      <c r="BD121" s="98" t="n"/>
      <c r="BE121" s="98" t="n"/>
      <c r="BF121" s="98" t="n"/>
      <c r="BG121" s="98" t="n"/>
      <c r="BH121" s="98" t="n"/>
      <c r="BI121" s="98" t="n"/>
      <c r="BJ121" s="98" t="n"/>
      <c r="BK121" s="98" t="n"/>
      <c r="BL121" s="98" t="n"/>
      <c r="BM121" s="98" t="n"/>
      <c r="BN121" s="98" t="n"/>
      <c r="BO121" s="98" t="n"/>
      <c r="BS121" s="24" t="inlineStr">
        <is>
          <t>DEHALAGE DU POSTE 1BIS VERS 1TER LE 11/03- 2311</t>
        </is>
      </c>
      <c r="BT121" s="97" t="n">
        <v>1</v>
      </c>
      <c r="BU121" s="97" t="n"/>
      <c r="BV121" s="97" t="n"/>
      <c r="BW121" s="332">
        <f>AI121-AH121</f>
        <v/>
      </c>
      <c r="BX121" s="24" t="inlineStr">
        <is>
          <t>NUL</t>
        </is>
      </c>
      <c r="BY121" s="24" t="inlineStr">
        <is>
          <t>NUL</t>
        </is>
      </c>
      <c r="CB121" s="14" t="n"/>
    </row>
    <row r="122">
      <c r="A122" s="81" t="n">
        <v>79</v>
      </c>
      <c r="B122" s="340" t="inlineStr">
        <is>
          <t>FEDERAL KUMANO</t>
        </is>
      </c>
      <c r="C122" s="135" t="n">
        <v>45732</v>
      </c>
      <c r="D122" s="329" t="n">
        <v>31000</v>
      </c>
      <c r="E122" s="329" t="n">
        <v>31000</v>
      </c>
      <c r="F122" s="142" t="inlineStr">
        <is>
          <t>OCP NUTRI</t>
        </is>
      </c>
      <c r="G122" s="81" t="n">
        <v>1</v>
      </c>
      <c r="H122" s="75" t="inlineStr">
        <is>
          <t>MAP</t>
        </is>
      </c>
      <c r="I122" s="306" t="inlineStr">
        <is>
          <t xml:space="preserve">MAP 11 52 SPECIAL </t>
        </is>
      </c>
      <c r="J122" s="50" t="inlineStr">
        <is>
          <t>CFR</t>
        </is>
      </c>
      <c r="K122" s="82" t="n">
        <v>603.48</v>
      </c>
      <c r="L122" s="341">
        <f>D122*K122</f>
        <v/>
      </c>
      <c r="M122" s="14" t="n">
        <v>9.701700000000001</v>
      </c>
      <c r="N122" s="335">
        <f>L122*M122</f>
        <v/>
      </c>
      <c r="O122" s="16" t="inlineStr">
        <is>
          <t>252 F DU 26/02/2025</t>
        </is>
      </c>
      <c r="P122" s="16" t="inlineStr">
        <is>
          <t xml:space="preserve">OCP North America, Inc. </t>
        </is>
      </c>
      <c r="Q122" s="75" t="inlineStr">
        <is>
          <t>AMERIQUE</t>
        </is>
      </c>
      <c r="R122" s="75" t="inlineStr">
        <is>
          <t>CANADA</t>
        </is>
      </c>
      <c r="T122" s="75" t="inlineStr">
        <is>
          <t>INTERTEK</t>
        </is>
      </c>
      <c r="U122" s="81" t="n">
        <v>200</v>
      </c>
      <c r="V122" s="53">
        <f>IF(U122&lt;130, "Mini Bulker", IF(AND(U122&gt;=130, U122&lt;150), "Handysize", IF(AND(U122&gt;=150, U122&lt;200), "Handymax", IF(AND(U122&gt;=200, U122&lt;230), "Panamax", IF(AND(U122&gt;=230, U122&lt;=270), "Capesize", "Autre")))))</f>
        <v/>
      </c>
      <c r="X122" s="14">
        <f>IF(E122&lt;9999,"1",IF(E122&lt;19999,"2",IF(E122&lt;29999,"3",IF(E122&lt;39999,"4",IF(E122&lt;49999,"5",IF(E122&gt;50000,"6"))))))</f>
        <v/>
      </c>
      <c r="Y122" s="75" t="inlineStr">
        <is>
          <t>1BIS/1TER</t>
        </is>
      </c>
      <c r="AA122" s="26" t="n">
        <v>45728.33333333334</v>
      </c>
      <c r="AB122" s="26" t="n">
        <v>45728.375</v>
      </c>
      <c r="AC122" s="15" t="n">
        <v>45724</v>
      </c>
      <c r="AD122" s="15" t="n">
        <v>45728</v>
      </c>
      <c r="AE122" s="26" t="n">
        <v>45728.15833333333</v>
      </c>
      <c r="AF122" s="26" t="n">
        <v>45728.25</v>
      </c>
      <c r="AG122" s="26" t="n">
        <v>45728.33333333334</v>
      </c>
      <c r="AH122" s="26" t="n">
        <v>45728.34722222222</v>
      </c>
      <c r="AI122" s="26" t="n">
        <v>45728.42013888889</v>
      </c>
      <c r="AJ122" s="26" t="n">
        <v>45728.47222222222</v>
      </c>
      <c r="AK122" s="26" t="n">
        <v>45732.03125</v>
      </c>
      <c r="AL122" s="26" t="n">
        <v>45732.08333333334</v>
      </c>
      <c r="AM122" s="26" t="n">
        <v>45732.11319444444</v>
      </c>
      <c r="AN122" s="26" t="n">
        <v>45732.15486111111</v>
      </c>
      <c r="AO122" s="26" t="n">
        <v>45732.27152777778</v>
      </c>
      <c r="AP122" s="20">
        <f>(AG122-AF122)*1440</f>
        <v/>
      </c>
      <c r="AQ122" s="20">
        <f>(AG122-AE122)*1440</f>
        <v/>
      </c>
      <c r="AR122" s="20">
        <f>(AH122-AF122)*1440</f>
        <v/>
      </c>
      <c r="AS122" s="20">
        <f>(AI122-AH122)*1440</f>
        <v/>
      </c>
      <c r="AT122" s="20">
        <f>(AJ122-AH122)*1440</f>
        <v/>
      </c>
      <c r="AU122" s="20">
        <f>(AL122-AK122)*1440</f>
        <v/>
      </c>
      <c r="AV122" s="20">
        <f>(AM122-AL122)*1440</f>
        <v/>
      </c>
      <c r="AW122" s="20">
        <f>(AO122-AM122)*1440</f>
        <v/>
      </c>
      <c r="AX122" s="19">
        <f>AP122+AS122+AU122+AV122+AW122</f>
        <v/>
      </c>
      <c r="AY122" s="18">
        <f>(AG122-AA122)</f>
        <v/>
      </c>
      <c r="AZ122" s="18">
        <f>(AK122-AJ122)</f>
        <v/>
      </c>
      <c r="BA122" s="18">
        <f>AO122-AG122</f>
        <v/>
      </c>
      <c r="BB122" s="18">
        <f>(AO122-AA122)-(AP122/1440)-(AW122/1440)</f>
        <v/>
      </c>
      <c r="BC122" s="20">
        <f>E122/AZ122</f>
        <v/>
      </c>
      <c r="BE122" s="20">
        <f>IF(E122&lt;10000,3000,IF(E122&lt;15000,3600,IF(E122&lt;20000,4500,IF(E122&lt;25000,6000,IF(E122&lt;30000,7500,IF(E122&lt;40000,9000,IF(E122&gt;40000,10000)))))))</f>
        <v/>
      </c>
      <c r="BF122" s="334">
        <f>(E122/BE122)+2</f>
        <v/>
      </c>
      <c r="BS122" s="24" t="inlineStr">
        <is>
          <t>MAINTENU PAR SHORE TENSION / CHANGE DU POSTE 1BIS VERS 1TER LE 15/03- 0743</t>
        </is>
      </c>
      <c r="BT122" s="97" t="n">
        <v>1</v>
      </c>
      <c r="BU122" s="97" t="n"/>
      <c r="BV122" s="97" t="n"/>
      <c r="BW122" s="332">
        <f>AI122-AH122</f>
        <v/>
      </c>
      <c r="BX122" s="24" t="inlineStr">
        <is>
          <t>NUL</t>
        </is>
      </c>
      <c r="BY122" s="24" t="inlineStr">
        <is>
          <t>NUL</t>
        </is>
      </c>
      <c r="CB122" s="14" t="n">
        <v>20661</v>
      </c>
    </row>
    <row r="123">
      <c r="A123" s="81" t="n">
        <v>82</v>
      </c>
      <c r="B123" s="340" t="inlineStr">
        <is>
          <t>FRI GDANSK</t>
        </is>
      </c>
      <c r="C123" s="135" t="n">
        <v>45732</v>
      </c>
      <c r="D123" s="329" t="n">
        <v>4400</v>
      </c>
      <c r="E123" s="329" t="n">
        <v>4400</v>
      </c>
      <c r="F123" s="142" t="inlineStr">
        <is>
          <t>OCP NUTRI</t>
        </is>
      </c>
      <c r="G123" s="81" t="n">
        <v>1</v>
      </c>
      <c r="H123" s="75" t="inlineStr">
        <is>
          <t>NPK</t>
        </is>
      </c>
      <c r="I123" s="306" t="inlineStr">
        <is>
          <t xml:space="preserve">NPK 15 15 15 EU </t>
        </is>
      </c>
      <c r="J123" s="50" t="inlineStr">
        <is>
          <t>DAT</t>
        </is>
      </c>
      <c r="K123" s="82" t="n">
        <v>445</v>
      </c>
      <c r="L123" s="341">
        <f>D123*K123</f>
        <v/>
      </c>
      <c r="M123" s="14" t="n">
        <v>9.701700000000001</v>
      </c>
      <c r="N123" s="335">
        <f>L123*M123</f>
        <v/>
      </c>
      <c r="O123" s="16" t="inlineStr">
        <is>
          <t>252 F DU 26/02/2025</t>
        </is>
      </c>
      <c r="P123" s="16" t="inlineStr">
        <is>
          <t>BERGE MARITlMA</t>
        </is>
      </c>
      <c r="Q123" s="75" t="inlineStr">
        <is>
          <t>EUROPE</t>
        </is>
      </c>
      <c r="R123" s="50" t="inlineStr">
        <is>
          <t>SPAIN</t>
        </is>
      </c>
      <c r="S123" s="50" t="n"/>
      <c r="T123" s="50" t="inlineStr">
        <is>
          <t>INTERTEK</t>
        </is>
      </c>
      <c r="U123" s="81" t="n">
        <v>90</v>
      </c>
      <c r="V123" s="53">
        <f>IF(U123&lt;130, "Mini Bulker", IF(AND(U123&gt;=130, U123&lt;150), "Handysize", IF(AND(U123&gt;=150, U123&lt;200), "Handymax", IF(AND(U123&gt;=200, U123&lt;230), "Panamax", IF(AND(U123&gt;=230, U123&lt;=270), "Capesize", "Autre")))))</f>
        <v/>
      </c>
      <c r="X123" s="14">
        <f>IF(E123&lt;9999,"1",IF(E123&lt;19999,"2",IF(E123&lt;29999,"3",IF(E123&lt;39999,"4",IF(E123&lt;49999,"5",IF(E123&gt;50000,"6"))))))</f>
        <v/>
      </c>
      <c r="Y123" s="75" t="inlineStr">
        <is>
          <t>1TER</t>
        </is>
      </c>
      <c r="AA123" s="26" t="n">
        <v>45714.82986111111</v>
      </c>
      <c r="AB123" s="26" t="n">
        <v>45715.375</v>
      </c>
      <c r="AC123" s="15" t="n">
        <v>45708</v>
      </c>
      <c r="AD123" s="15" t="n">
        <v>45710</v>
      </c>
      <c r="AE123" s="26" t="n">
        <v>45714.82986111111</v>
      </c>
      <c r="AF123" s="26" t="n">
        <v>45723.45138888889</v>
      </c>
      <c r="AG123" s="26" t="n">
        <v>45723.53472222222</v>
      </c>
      <c r="AH123" s="26" t="n">
        <v>45723.55208333334</v>
      </c>
      <c r="AI123" s="26" t="n">
        <v>45723.625</v>
      </c>
      <c r="AJ123" s="26" t="n">
        <v>45732.40972222222</v>
      </c>
      <c r="AK123" s="26" t="n">
        <v>45732.95138888889</v>
      </c>
      <c r="AL123" s="26" t="n">
        <v>45732.96875</v>
      </c>
      <c r="AM123" s="26" t="n">
        <v>45733.01388888889</v>
      </c>
      <c r="AN123" s="26" t="n">
        <v>45733.04166666666</v>
      </c>
      <c r="AO123" s="26" t="n">
        <v>45733.06111111111</v>
      </c>
      <c r="AP123" s="20">
        <f>(AG123-AF123)*1440</f>
        <v/>
      </c>
      <c r="AQ123" s="20">
        <f>(AG123-AE123)*1440</f>
        <v/>
      </c>
      <c r="AR123" s="20">
        <f>(AH123-AF123)*1440</f>
        <v/>
      </c>
      <c r="AS123" s="20">
        <f>(AI123-AH123)*1440</f>
        <v/>
      </c>
      <c r="AT123" s="20">
        <f>(AJ123-AH123)*1440</f>
        <v/>
      </c>
      <c r="AU123" s="20">
        <f>(AL123-AK123)*1440</f>
        <v/>
      </c>
      <c r="AV123" s="20">
        <f>(AM123-AL123)*1440</f>
        <v/>
      </c>
      <c r="AW123" s="20">
        <f>(AO123-AM123)*1440</f>
        <v/>
      </c>
      <c r="AX123" s="19">
        <f>AP123+AS123+AU123+AV123+AW123</f>
        <v/>
      </c>
      <c r="AY123" s="18">
        <f>(AG123-AA123)</f>
        <v/>
      </c>
      <c r="AZ123" s="18">
        <f>(AK123-AJ123)</f>
        <v/>
      </c>
      <c r="BA123" s="18">
        <f>AO123-AG123</f>
        <v/>
      </c>
      <c r="BB123" s="18">
        <f>(AO123-AA123)-(AP123/1440)-(AW123/1440)</f>
        <v/>
      </c>
      <c r="BC123" s="20">
        <f>E123/AZ123</f>
        <v/>
      </c>
      <c r="BE123" s="20">
        <f>IF(E123&lt;10000,3000,IF(E123&lt;15000,3600,IF(E123&lt;20000,4500,IF(E123&lt;25000,6000,IF(E123&lt;30000,7500,IF(E123&lt;40000,9000,IF(E123&gt;40000,10000)))))))</f>
        <v/>
      </c>
      <c r="BF123" s="334">
        <f>(E123/BE123)+2</f>
        <v/>
      </c>
      <c r="BS123" s="24" t="inlineStr">
        <is>
          <t>CHANGE DU POSTE 1TER VERS LA RADE LE 10/03- 2150 // RE-ACC AU POSTE 1T LE 16/03 - 0849</t>
        </is>
      </c>
      <c r="BT123" s="97" t="n">
        <v>2</v>
      </c>
      <c r="BU123" s="97" t="inlineStr">
        <is>
          <t>CLEAN</t>
        </is>
      </c>
      <c r="BV123" s="97" t="inlineStr">
        <is>
          <t>-</t>
        </is>
      </c>
      <c r="BW123" s="332">
        <f>AI123-AH123</f>
        <v/>
      </c>
      <c r="BX123" s="24" t="inlineStr">
        <is>
          <t>NUL</t>
        </is>
      </c>
      <c r="BY123" s="24" t="inlineStr">
        <is>
          <t>NUL</t>
        </is>
      </c>
      <c r="CB123" s="14" t="n">
        <v>2999</v>
      </c>
      <c r="CE123" s="216" t="n"/>
    </row>
    <row r="124">
      <c r="A124" s="81" t="n">
        <v>80</v>
      </c>
      <c r="B124" s="340" t="inlineStr">
        <is>
          <t xml:space="preserve">JUNO </t>
        </is>
      </c>
      <c r="C124" s="135" t="n">
        <v>45732</v>
      </c>
      <c r="D124" s="329" t="n">
        <v>19017</v>
      </c>
      <c r="E124" s="329" t="n">
        <v>19017</v>
      </c>
      <c r="F124" s="142" t="inlineStr">
        <is>
          <t xml:space="preserve">JFC 1 </t>
        </is>
      </c>
      <c r="G124" s="81" t="n">
        <v>1</v>
      </c>
      <c r="H124" s="75" t="inlineStr">
        <is>
          <t>MAP</t>
        </is>
      </c>
      <c r="I124" s="306" t="inlineStr">
        <is>
          <t xml:space="preserve">MAP 11 52 SPECIAL </t>
        </is>
      </c>
      <c r="J124" s="50" t="inlineStr">
        <is>
          <t>CFR</t>
        </is>
      </c>
      <c r="K124" s="82" t="n">
        <v>634.7</v>
      </c>
      <c r="L124" s="341">
        <f>D124*K124</f>
        <v/>
      </c>
      <c r="M124" s="14" t="n">
        <v>9.701700000000001</v>
      </c>
      <c r="N124" s="335">
        <f>L124*M124</f>
        <v/>
      </c>
      <c r="O124" s="16" t="inlineStr">
        <is>
          <t>257 L DU 26/02/2025</t>
        </is>
      </c>
      <c r="P124" s="16" t="inlineStr">
        <is>
          <t>OCP North America, Inc.</t>
        </is>
      </c>
      <c r="Q124" s="75" t="inlineStr">
        <is>
          <t>AMERIQUE</t>
        </is>
      </c>
      <c r="R124" s="50" t="inlineStr">
        <is>
          <t>CANADA</t>
        </is>
      </c>
      <c r="S124" s="50" t="n"/>
      <c r="T124" s="50" t="inlineStr">
        <is>
          <t>INTERTEK</t>
        </is>
      </c>
      <c r="U124" s="81" t="n">
        <v>189</v>
      </c>
      <c r="V124" s="53">
        <f>IF(U124&lt;130, "Mini Bulker", IF(AND(U124&gt;=130, U124&lt;150), "Handysize", IF(AND(U124&gt;=150, U124&lt;200), "Handymax", IF(AND(U124&gt;=200, U124&lt;230), "Panamax", IF(AND(U124&gt;=230, U124&lt;=270), "Capesize", "Autre")))))</f>
        <v/>
      </c>
      <c r="X124" s="14">
        <f>IF(E124&lt;9999,"1",IF(E124&lt;19999,"2",IF(E124&lt;29999,"3",IF(E124&lt;39999,"4",IF(E124&lt;49999,"5",IF(E124&gt;50000,"6"))))))</f>
        <v/>
      </c>
      <c r="Y124" s="75" t="inlineStr">
        <is>
          <t>2N</t>
        </is>
      </c>
      <c r="AA124" s="26" t="n">
        <v>45723.79166666666</v>
      </c>
      <c r="AB124" s="26" t="n">
        <v>45724.375</v>
      </c>
      <c r="AC124" s="15" t="n">
        <v>45722</v>
      </c>
      <c r="AD124" s="15" t="n">
        <v>45724</v>
      </c>
      <c r="AE124" s="26" t="n">
        <v>45723.77083333334</v>
      </c>
      <c r="AF124" s="26" t="n">
        <v>45728.2625</v>
      </c>
      <c r="AG124" s="26" t="n">
        <v>45728.45138888889</v>
      </c>
      <c r="AH124" s="26" t="n">
        <v>45728.48263888889</v>
      </c>
      <c r="AI124" s="26" t="n">
        <v>45728.58333333334</v>
      </c>
      <c r="AJ124" s="26" t="n">
        <v>45729.53125</v>
      </c>
      <c r="AK124" s="26" t="n">
        <v>45732.6875</v>
      </c>
      <c r="AL124" s="26" t="n">
        <v>45732.70972222222</v>
      </c>
      <c r="AM124" s="26" t="n">
        <v>45732.72222222222</v>
      </c>
      <c r="AN124" s="26" t="n">
        <v>45732.75277777778</v>
      </c>
      <c r="AO124" s="26" t="n">
        <v>45732.875</v>
      </c>
      <c r="AP124" s="20">
        <f>(AG124-AF124)*1440</f>
        <v/>
      </c>
      <c r="AQ124" s="20">
        <f>(AG124-AE124)*1440</f>
        <v/>
      </c>
      <c r="AR124" s="20">
        <f>(AH124-AF124)*1440</f>
        <v/>
      </c>
      <c r="AS124" s="20">
        <f>(AI124-AH124)*1440</f>
        <v/>
      </c>
      <c r="AT124" s="20">
        <f>(AJ124-AH124)*1440</f>
        <v/>
      </c>
      <c r="AU124" s="20">
        <f>(AL124-AK124)*1440</f>
        <v/>
      </c>
      <c r="AV124" s="20">
        <f>(AM124-AL124)*1440</f>
        <v/>
      </c>
      <c r="AW124" s="20">
        <f>(AO124-AM124)*1440</f>
        <v/>
      </c>
      <c r="AX124" s="19">
        <f>AP124+AS124+AU124+AV124+AW124</f>
        <v/>
      </c>
      <c r="AY124" s="18">
        <f>(AG124-AA124)</f>
        <v/>
      </c>
      <c r="AZ124" s="18">
        <f>(AK124-AJ124)</f>
        <v/>
      </c>
      <c r="BA124" s="18">
        <f>AO124-AG124</f>
        <v/>
      </c>
      <c r="BB124" s="18">
        <f>(AO124-AA124)-(AP124/1440)-(AW124/1440)</f>
        <v/>
      </c>
      <c r="BC124" s="20">
        <f>E124/AZ124</f>
        <v/>
      </c>
      <c r="BE124" s="20">
        <f>IF(E124&lt;10000,3000,IF(E124&lt;15000,3600,IF(E124&lt;20000,4500,IF(E124&lt;25000,6000,IF(E124&lt;30000,7500,IF(E124&lt;40000,9000,IF(E124&gt;40000,10000)))))))</f>
        <v/>
      </c>
      <c r="BF124" s="334">
        <f>(E124/BE124)+2</f>
        <v/>
      </c>
      <c r="BS124" s="24" t="inlineStr">
        <is>
          <t>NUL</t>
        </is>
      </c>
      <c r="BT124" s="97" t="n">
        <v>0</v>
      </c>
      <c r="BU124" s="97" t="inlineStr">
        <is>
          <t>NON CLEAN</t>
        </is>
      </c>
      <c r="BV124" s="97" t="inlineStr">
        <is>
          <t>HUMIDITY/LAST CARGO</t>
        </is>
      </c>
      <c r="BW124" s="332">
        <f>AI124-AH124</f>
        <v/>
      </c>
      <c r="BX124" s="24" t="inlineStr">
        <is>
          <t>NUL</t>
        </is>
      </c>
      <c r="BY124" s="24" t="inlineStr">
        <is>
          <t>NUL</t>
        </is>
      </c>
      <c r="CB124" s="14" t="n">
        <v>20603</v>
      </c>
      <c r="CE124" s="222" t="n">
        <v>45723.75</v>
      </c>
    </row>
    <row r="125">
      <c r="A125" s="81" t="n">
        <v>81</v>
      </c>
      <c r="B125" s="340" t="inlineStr">
        <is>
          <t>NORD AEGEAN</t>
        </is>
      </c>
      <c r="C125" s="135" t="n">
        <v>45732</v>
      </c>
      <c r="D125" s="329" t="n">
        <v>49560</v>
      </c>
      <c r="E125" s="329" t="n">
        <v>49560</v>
      </c>
      <c r="F125" s="142" t="inlineStr">
        <is>
          <t>OCP NUTRI</t>
        </is>
      </c>
      <c r="G125" s="81" t="n">
        <v>1</v>
      </c>
      <c r="H125" s="75" t="inlineStr">
        <is>
          <t>NPK</t>
        </is>
      </c>
      <c r="I125" s="306" t="inlineStr">
        <is>
          <t xml:space="preserve">NPK 13 17 17 6S 0.5B2O3 0.7ZN SPECIAL </t>
        </is>
      </c>
      <c r="J125" s="50" t="inlineStr">
        <is>
          <t>FOB</t>
        </is>
      </c>
      <c r="K125" s="82" t="n">
        <v>438</v>
      </c>
      <c r="L125" s="341">
        <f>D125*K125</f>
        <v/>
      </c>
      <c r="M125" s="14" t="n">
        <v>9.701700000000001</v>
      </c>
      <c r="N125" s="335">
        <f>L125*M125</f>
        <v/>
      </c>
      <c r="O125" s="16" t="inlineStr">
        <is>
          <t>252 F DU 26/02/2025</t>
        </is>
      </c>
      <c r="P125" s="16" t="inlineStr">
        <is>
          <t xml:space="preserve">SOCIETE POUR LE DEVELEPPMENT DU  COTON </t>
        </is>
      </c>
      <c r="Q125" s="89" t="inlineStr">
        <is>
          <t>AFRIQUE</t>
        </is>
      </c>
      <c r="R125" s="50" t="inlineStr">
        <is>
          <t>BENIN</t>
        </is>
      </c>
      <c r="S125" s="50" t="n"/>
      <c r="T125" s="50" t="inlineStr">
        <is>
          <t>INSPECTORATE</t>
        </is>
      </c>
      <c r="U125" s="81" t="n">
        <v>200</v>
      </c>
      <c r="V125" s="53">
        <f>IF(U125&lt;130, "Mini Bulker", IF(AND(U125&gt;=130, U125&lt;150), "Handysize", IF(AND(U125&gt;=150, U125&lt;200), "Handymax", IF(AND(U125&gt;=200, U125&lt;230), "Panamax", IF(AND(U125&gt;=230, U125&lt;=270), "Capesize", "Autre")))))</f>
        <v/>
      </c>
      <c r="X125" s="14">
        <f>IF(E125&lt;9999,"1",IF(E125&lt;19999,"2",IF(E125&lt;29999,"3",IF(E125&lt;39999,"4",IF(E125&lt;49999,"5",IF(E125&gt;50000,"6"))))))</f>
        <v/>
      </c>
      <c r="Y125" s="75" t="inlineStr">
        <is>
          <t>1N</t>
        </is>
      </c>
      <c r="AA125" s="26" t="n">
        <v>45703.00069444445</v>
      </c>
      <c r="AB125" s="26" t="n">
        <v>45703.375</v>
      </c>
      <c r="AC125" s="15" t="n">
        <v>45703</v>
      </c>
      <c r="AD125" s="15" t="n">
        <v>45707</v>
      </c>
      <c r="AE125" s="26" t="n">
        <v>45701.95833333334</v>
      </c>
      <c r="AF125" s="26" t="n">
        <v>45720.26180555556</v>
      </c>
      <c r="AG125" s="26" t="n">
        <v>45720.43333333333</v>
      </c>
      <c r="AH125" s="26" t="n">
        <v>45720.45486111111</v>
      </c>
      <c r="AI125" s="26" t="n">
        <v>45720.52777777778</v>
      </c>
      <c r="AJ125" s="26" t="n">
        <v>45720.54166666666</v>
      </c>
      <c r="AK125" s="26" t="n">
        <v>45732.89930555555</v>
      </c>
      <c r="AL125" s="26" t="n">
        <v>45732.93055555555</v>
      </c>
      <c r="AM125" s="26" t="n">
        <v>45732.93958333333</v>
      </c>
      <c r="AN125" s="26" t="n">
        <v>45732.98125</v>
      </c>
      <c r="AO125" s="26" t="n">
        <v>45732.99652777778</v>
      </c>
      <c r="AP125" s="20">
        <f>(AG125-AF125)*1440</f>
        <v/>
      </c>
      <c r="AQ125" s="20">
        <f>(AG125-AE125)*1440</f>
        <v/>
      </c>
      <c r="AR125" s="20">
        <f>(AH125-AF125)*1440</f>
        <v/>
      </c>
      <c r="AS125" s="20">
        <f>(AI125-AH125)*1440</f>
        <v/>
      </c>
      <c r="AT125" s="20">
        <f>(AJ125-AH125)*1440</f>
        <v/>
      </c>
      <c r="AU125" s="20">
        <f>(AL125-AK125)*1440</f>
        <v/>
      </c>
      <c r="AV125" s="20">
        <f>(AM125-AL125)*1440</f>
        <v/>
      </c>
      <c r="AW125" s="20">
        <f>(AO125-AM125)*1440</f>
        <v/>
      </c>
      <c r="AX125" s="19">
        <f>AP125+AS125+AU125+AV125+AW125</f>
        <v/>
      </c>
      <c r="AY125" s="18">
        <f>(AG125-AA125)</f>
        <v/>
      </c>
      <c r="AZ125" s="18">
        <f>(AK125-AJ125)</f>
        <v/>
      </c>
      <c r="BA125" s="18">
        <f>AO125-AG125</f>
        <v/>
      </c>
      <c r="BB125" s="18">
        <f>(AO125-AA125)-(AP125/1440)-(AW125/1440)</f>
        <v/>
      </c>
      <c r="BC125" s="20">
        <f>E125/AZ125</f>
        <v/>
      </c>
      <c r="BE125" s="20">
        <f>IF(E125&lt;10000,3000,IF(E125&lt;15000,3600,IF(E125&lt;20000,4500,IF(E125&lt;25000,6000,IF(E125&lt;30000,7500,IF(E125&lt;40000,9000,IF(E125&gt;40000,10000)))))))</f>
        <v/>
      </c>
      <c r="BF125" s="334">
        <f>(E125/BE125)+2</f>
        <v/>
      </c>
      <c r="BS125" s="24" t="inlineStr">
        <is>
          <t>DEHALAGE 20m VERS L'USINE LE 06/03- 1300</t>
        </is>
      </c>
      <c r="BT125" s="97" t="n">
        <v>1</v>
      </c>
      <c r="BU125" s="97" t="n"/>
      <c r="BV125" s="24" t="n"/>
      <c r="BW125" s="332">
        <f>AI125-AH125</f>
        <v/>
      </c>
      <c r="BX125" s="24" t="n"/>
      <c r="BY125" s="24" t="n">
        <v>200</v>
      </c>
      <c r="CB125" s="14" t="n">
        <v>36177</v>
      </c>
    </row>
    <row r="126">
      <c r="A126" s="81" t="n">
        <v>83</v>
      </c>
      <c r="B126" s="340" t="inlineStr">
        <is>
          <t>ELFRIEDE</t>
        </is>
      </c>
      <c r="C126" s="135" t="n">
        <v>45733</v>
      </c>
      <c r="D126" s="329" t="n">
        <v>7700</v>
      </c>
      <c r="E126" s="329" t="n">
        <v>7700</v>
      </c>
      <c r="F126" s="142" t="inlineStr">
        <is>
          <t>OCP NUTRI</t>
        </is>
      </c>
      <c r="G126" s="81" t="n">
        <v>1</v>
      </c>
      <c r="H126" s="75" t="inlineStr">
        <is>
          <t>MAP</t>
        </is>
      </c>
      <c r="I126" s="306" t="inlineStr">
        <is>
          <t xml:space="preserve">MAP 11 52 Special 
Low Cd </t>
        </is>
      </c>
      <c r="J126" s="50" t="inlineStr">
        <is>
          <t>FOB</t>
        </is>
      </c>
      <c r="K126" s="82" t="n">
        <v>625</v>
      </c>
      <c r="L126" s="341">
        <f>D126*K126</f>
        <v/>
      </c>
      <c r="M126" s="14" t="n">
        <v>9.701700000000001</v>
      </c>
      <c r="N126" s="335">
        <f>L126*M126</f>
        <v/>
      </c>
      <c r="O126" s="16" t="inlineStr">
        <is>
          <t>252 F DU 26/02/2025</t>
        </is>
      </c>
      <c r="P126" s="16" t="inlineStr">
        <is>
          <t>Gubre Fabrikalari T.A.S</t>
        </is>
      </c>
      <c r="Q126" s="89" t="inlineStr">
        <is>
          <t>EUROPE</t>
        </is>
      </c>
      <c r="R126" s="50" t="inlineStr">
        <is>
          <t>TURQUIE</t>
        </is>
      </c>
      <c r="S126" s="50" t="n"/>
      <c r="T126" s="50" t="inlineStr">
        <is>
          <t>INTERTEK</t>
        </is>
      </c>
      <c r="U126" s="81" t="n">
        <v>100</v>
      </c>
      <c r="V126" s="53">
        <f>IF(U126&lt;130, "Mini Bulker", IF(AND(U126&gt;=130, U126&lt;150), "Handysize", IF(AND(U126&gt;=150, U126&lt;200), "Handymax", IF(AND(U126&gt;=200, U126&lt;230), "Panamax", IF(AND(U126&gt;=230, U126&lt;=270), "Capesize", "Autre")))))</f>
        <v/>
      </c>
      <c r="X126" s="14">
        <f>IF(E126&lt;9999,"1",IF(E126&lt;19999,"2",IF(E126&lt;29999,"3",IF(E126&lt;39999,"4",IF(E126&lt;49999,"5",IF(E126&gt;50000,"6"))))))</f>
        <v/>
      </c>
      <c r="Y126" s="75" t="inlineStr">
        <is>
          <t>2BIS/2TER</t>
        </is>
      </c>
      <c r="AA126" s="26" t="n">
        <v>45724.9375</v>
      </c>
      <c r="AB126" s="26" t="n">
        <v>45726.375</v>
      </c>
      <c r="AC126" s="15" t="n">
        <v>45725</v>
      </c>
      <c r="AD126" s="15" t="n">
        <v>45727</v>
      </c>
      <c r="AE126" s="26" t="n">
        <v>45724.9375</v>
      </c>
      <c r="AF126" s="26" t="n">
        <v>45726.51111111111</v>
      </c>
      <c r="AG126" s="26" t="n">
        <v>45726.56944444445</v>
      </c>
      <c r="AH126" s="26" t="n">
        <v>45726.58680555555</v>
      </c>
      <c r="AI126" s="26" t="n">
        <v>45726.72916666666</v>
      </c>
      <c r="AJ126" s="26" t="n">
        <v>45726.82291666666</v>
      </c>
      <c r="AK126" s="26" t="n">
        <v>45733.17708333334</v>
      </c>
      <c r="AL126" s="26" t="n">
        <v>45733.21875</v>
      </c>
      <c r="AM126" s="26" t="n">
        <v>45733.26041666666</v>
      </c>
      <c r="AN126" s="26" t="n">
        <v>45733.34375</v>
      </c>
      <c r="AO126" s="26" t="n">
        <v>45733.36458333334</v>
      </c>
      <c r="AP126" s="20">
        <f>(AG126-AF126)*1440</f>
        <v/>
      </c>
      <c r="AQ126" s="20">
        <f>(AG126-AE126)*1440</f>
        <v/>
      </c>
      <c r="AR126" s="20">
        <f>(AH126-AF126)*1440</f>
        <v/>
      </c>
      <c r="AS126" s="20">
        <f>(AI126-AH126)*1440</f>
        <v/>
      </c>
      <c r="AT126" s="20">
        <f>(AJ126-AH126)*1440</f>
        <v/>
      </c>
      <c r="AU126" s="20">
        <f>(AL126-AK126)*1440</f>
        <v/>
      </c>
      <c r="AV126" s="20">
        <f>(AM126-AL126)*1440</f>
        <v/>
      </c>
      <c r="AW126" s="20">
        <f>(AO126-AM126)*1440</f>
        <v/>
      </c>
      <c r="AX126" s="19">
        <f>AP126+AS126+AU126+AV126+AW126</f>
        <v/>
      </c>
      <c r="AY126" s="18">
        <f>(AG126-AA126)</f>
        <v/>
      </c>
      <c r="AZ126" s="18">
        <f>(AK126-AJ126)</f>
        <v/>
      </c>
      <c r="BA126" s="18">
        <f>AO126-AG126</f>
        <v/>
      </c>
      <c r="BB126" s="18">
        <f>(AO126-AA126)-(AP126/1440)-(AW126/1440)</f>
        <v/>
      </c>
      <c r="BC126" s="20">
        <f>E126/AZ126</f>
        <v/>
      </c>
      <c r="BE126" s="20">
        <f>IF(E126&lt;10000,3000,IF(E126&lt;15000,3600,IF(E126&lt;20000,4500,IF(E126&lt;25000,6000,IF(E126&lt;30000,7500,IF(E126&lt;40000,9000,IF(E126&gt;40000,10000)))))))</f>
        <v/>
      </c>
      <c r="BF126" s="334">
        <f>(E126/BE126)+2</f>
        <v/>
      </c>
      <c r="BS126" s="24" t="inlineStr">
        <is>
          <t>CHANGE DU POSTE 2BIS VERS 
POSTE 2TER LE 10/03- 2355</t>
        </is>
      </c>
      <c r="BT126" s="97" t="n">
        <v>1</v>
      </c>
      <c r="BU126" s="97" t="n"/>
      <c r="BV126" s="97" t="n"/>
      <c r="BW126" s="332">
        <f>AI126-AH126</f>
        <v/>
      </c>
      <c r="BX126" s="24" t="n"/>
      <c r="BY126" s="24" t="n">
        <v>60</v>
      </c>
      <c r="CB126" s="14" t="n">
        <v>6395</v>
      </c>
    </row>
    <row r="127">
      <c r="A127" s="81" t="n">
        <v>84</v>
      </c>
      <c r="B127" s="340" t="inlineStr">
        <is>
          <t>ARTEAGA NM</t>
        </is>
      </c>
      <c r="C127" s="135" t="n">
        <v>45734</v>
      </c>
      <c r="D127" s="329" t="n">
        <v>4950</v>
      </c>
      <c r="E127" s="329" t="n">
        <v>4950</v>
      </c>
      <c r="F127" s="142" t="inlineStr">
        <is>
          <t>OCP NUTRI</t>
        </is>
      </c>
      <c r="G127" s="81" t="n">
        <v>1</v>
      </c>
      <c r="H127" s="75" t="inlineStr">
        <is>
          <t>DAP</t>
        </is>
      </c>
      <c r="I127" s="306" t="inlineStr">
        <is>
          <t xml:space="preserve">DAP Euro Low Cd </t>
        </is>
      </c>
      <c r="J127" s="50" t="inlineStr">
        <is>
          <t>CFR</t>
        </is>
      </c>
      <c r="K127" s="82" t="n">
        <v>667</v>
      </c>
      <c r="L127" s="341">
        <f>D127*K127</f>
        <v/>
      </c>
      <c r="M127" s="14" t="n">
        <v>9.669</v>
      </c>
      <c r="N127" s="335">
        <f>L127*M127</f>
        <v/>
      </c>
      <c r="O127" s="16" t="inlineStr">
        <is>
          <t>252 F DU 26/02/2025</t>
        </is>
      </c>
      <c r="P127" s="16" t="inlineStr">
        <is>
          <t xml:space="preserve">Agency Victoria Wharf /VertomCory - Agency Cardiff </t>
        </is>
      </c>
      <c r="Q127" s="89" t="inlineStr">
        <is>
          <t>EUROPE</t>
        </is>
      </c>
      <c r="R127" s="50" t="inlineStr">
        <is>
          <t>Royaume-Uni</t>
        </is>
      </c>
      <c r="S127" s="50" t="n"/>
      <c r="T127" s="50" t="inlineStr">
        <is>
          <t>INSPECTORATE</t>
        </is>
      </c>
      <c r="U127" s="81" t="n">
        <v>103</v>
      </c>
      <c r="V127" s="53">
        <f>IF(U127&lt;130, "Mini Bulker", IF(AND(U127&gt;=130, U127&lt;150), "Handysize", IF(AND(U127&gt;=150, U127&lt;200), "Handymax", IF(AND(U127&gt;=200, U127&lt;230), "Panamax", IF(AND(U127&gt;=230, U127&lt;=270), "Capesize", "Autre")))))</f>
        <v/>
      </c>
      <c r="X127" s="14">
        <f>IF(E127&lt;9999,"1",IF(E127&lt;19999,"2",IF(E127&lt;29999,"3",IF(E127&lt;39999,"4",IF(E127&lt;49999,"5",IF(E127&gt;50000,"6"))))))</f>
        <v/>
      </c>
      <c r="Y127" s="75" t="inlineStr">
        <is>
          <t>1TER</t>
        </is>
      </c>
      <c r="AA127" s="26" t="n">
        <v>45731.35416666666</v>
      </c>
      <c r="AB127" s="26" t="n">
        <v>45731.375</v>
      </c>
      <c r="AC127" s="15" t="n">
        <v>45726</v>
      </c>
      <c r="AD127" s="15" t="n">
        <v>45730</v>
      </c>
      <c r="AE127" s="26" t="n">
        <v>45731.3125</v>
      </c>
      <c r="AF127" s="26" t="n">
        <v>45733.06111111111</v>
      </c>
      <c r="AG127" s="26" t="n">
        <v>45733.10416666666</v>
      </c>
      <c r="AH127" s="26" t="n">
        <v>45733.125</v>
      </c>
      <c r="AI127" s="26" t="n">
        <v>45733.19444444445</v>
      </c>
      <c r="AJ127" s="26" t="n">
        <v>45733.44791666666</v>
      </c>
      <c r="AK127" s="26" t="n">
        <v>45734.35416666666</v>
      </c>
      <c r="AL127" s="26" t="n">
        <v>45734.39583333334</v>
      </c>
      <c r="AM127" s="26" t="n">
        <v>45734.44444444445</v>
      </c>
      <c r="AN127" s="26" t="n">
        <v>45734.48611111111</v>
      </c>
      <c r="AO127" s="26" t="n">
        <v>45734.50694444445</v>
      </c>
      <c r="AP127" s="20">
        <f>(AG127-AF127)*1440</f>
        <v/>
      </c>
      <c r="AQ127" s="20">
        <f>(AG127-AE127)*1440</f>
        <v/>
      </c>
      <c r="AR127" s="20">
        <f>(AH127-AF127)*1440</f>
        <v/>
      </c>
      <c r="AS127" s="20">
        <f>(AI127-AH127)*1440</f>
        <v/>
      </c>
      <c r="AT127" s="20">
        <f>(AJ127-AH127)*1440</f>
        <v/>
      </c>
      <c r="AU127" s="20">
        <f>(AL127-AK127)*1440</f>
        <v/>
      </c>
      <c r="AV127" s="20">
        <f>(AM127-AL127)*1440</f>
        <v/>
      </c>
      <c r="AW127" s="20">
        <f>(AO127-AM127)*1440</f>
        <v/>
      </c>
      <c r="AX127" s="19">
        <f>AP127+AS127+AU127+AV127+AW127</f>
        <v/>
      </c>
      <c r="AY127" s="18">
        <f>(AG127-AA127)</f>
        <v/>
      </c>
      <c r="AZ127" s="18">
        <f>(AK127-AJ127)</f>
        <v/>
      </c>
      <c r="BA127" s="18">
        <f>AO127-AG127</f>
        <v/>
      </c>
      <c r="BB127" s="18">
        <f>(AO127-AA127)-(AP127/1440)-(AW127/1440)</f>
        <v/>
      </c>
      <c r="BC127" s="20">
        <f>E127/AZ127</f>
        <v/>
      </c>
      <c r="BE127" s="20">
        <f>IF(E127&lt;10000,3000,IF(E127&lt;15000,3600,IF(E127&lt;20000,4500,IF(E127&lt;25000,6000,IF(E127&lt;30000,7500,IF(E127&lt;40000,9000,IF(E127&gt;40000,10000)))))))</f>
        <v/>
      </c>
      <c r="BF127" s="334">
        <f>(E127/BE127)+2</f>
        <v/>
      </c>
      <c r="BS127" s="24" t="inlineStr">
        <is>
          <t>NUL</t>
        </is>
      </c>
      <c r="BT127" s="97" t="n">
        <v>0</v>
      </c>
      <c r="BU127" s="97" t="inlineStr">
        <is>
          <t>CLEAN</t>
        </is>
      </c>
      <c r="BV127" s="24" t="inlineStr">
        <is>
          <t>-</t>
        </is>
      </c>
      <c r="BW127" s="332">
        <f>AI127-AH127</f>
        <v/>
      </c>
      <c r="BX127" s="24" t="inlineStr">
        <is>
          <t>NUL</t>
        </is>
      </c>
      <c r="BY127" s="24" t="inlineStr">
        <is>
          <t>NUL</t>
        </is>
      </c>
      <c r="CB127" s="14" t="n">
        <v>4137</v>
      </c>
    </row>
    <row r="128">
      <c r="A128" s="81" t="n">
        <v>85</v>
      </c>
      <c r="B128" s="340" t="inlineStr">
        <is>
          <t>BIRGIT</t>
        </is>
      </c>
      <c r="C128" s="135" t="n">
        <v>45734</v>
      </c>
      <c r="D128" s="329" t="n">
        <v>6586</v>
      </c>
      <c r="E128" s="329" t="n">
        <v>6586</v>
      </c>
      <c r="F128" s="142" t="inlineStr">
        <is>
          <t>OCP NUTRI</t>
        </is>
      </c>
      <c r="G128" s="81" t="n">
        <v>1</v>
      </c>
      <c r="H128" s="75" t="inlineStr">
        <is>
          <t>DAP</t>
        </is>
      </c>
      <c r="I128" s="306" t="inlineStr">
        <is>
          <t xml:space="preserve">DAP Euro Low Cd </t>
        </is>
      </c>
      <c r="J128" s="50" t="inlineStr">
        <is>
          <t>DAT</t>
        </is>
      </c>
      <c r="K128" s="82" t="n">
        <v>660</v>
      </c>
      <c r="L128" s="341">
        <f>D128*K128</f>
        <v/>
      </c>
      <c r="M128" s="14" t="n">
        <v>9.669</v>
      </c>
      <c r="N128" s="335">
        <f>L128*M128</f>
        <v/>
      </c>
      <c r="O128" s="16" t="inlineStr">
        <is>
          <t>252 F DU 26/02/2025</t>
        </is>
      </c>
      <c r="P128" s="16" t="inlineStr">
        <is>
          <t>SEA INVEST SHIPPING AGENCY</t>
        </is>
      </c>
      <c r="Q128" s="89" t="inlineStr">
        <is>
          <t>EUROPE</t>
        </is>
      </c>
      <c r="R128" s="50" t="inlineStr">
        <is>
          <t>FRANCE</t>
        </is>
      </c>
      <c r="S128" s="50" t="n"/>
      <c r="T128" s="50" t="inlineStr">
        <is>
          <t>INTERTEK</t>
        </is>
      </c>
      <c r="U128" s="81" t="n">
        <v>116</v>
      </c>
      <c r="V128" s="53">
        <f>IF(U128&lt;130, "Mini Bulker", IF(AND(U128&gt;=130, U128&lt;150), "Handysize", IF(AND(U128&gt;=150, U128&lt;200), "Handymax", IF(AND(U128&gt;=200, U128&lt;230), "Panamax", IF(AND(U128&gt;=230, U128&lt;=270), "Capesize", "Autre")))))</f>
        <v/>
      </c>
      <c r="X128" s="14">
        <f>IF(E128&lt;9999,"1",IF(E128&lt;19999,"2",IF(E128&lt;29999,"3",IF(E128&lt;39999,"4",IF(E128&lt;49999,"5",IF(E128&gt;50000,"6"))))))</f>
        <v/>
      </c>
      <c r="Y128" s="75" t="inlineStr">
        <is>
          <t>4BIS/1N</t>
        </is>
      </c>
      <c r="AA128" s="26" t="n">
        <v>45720.77083333334</v>
      </c>
      <c r="AB128" s="26" t="n">
        <v>45721.375</v>
      </c>
      <c r="AC128" s="15" t="n">
        <v>45720</v>
      </c>
      <c r="AD128" s="15" t="n">
        <v>45722</v>
      </c>
      <c r="AE128" s="26" t="n">
        <v>45720.77083333334</v>
      </c>
      <c r="AF128" s="26" t="n">
        <v>45732.54027777778</v>
      </c>
      <c r="AG128" s="26" t="n">
        <v>45732.61458333334</v>
      </c>
      <c r="AH128" s="26" t="n">
        <v>45732.61805555555</v>
      </c>
      <c r="AI128" s="26" t="n">
        <v>45733.04861111111</v>
      </c>
      <c r="AJ128" s="26" t="n">
        <v>45733.07291666666</v>
      </c>
      <c r="AK128" s="26" t="n">
        <v>45734.40277777778</v>
      </c>
      <c r="AL128" s="26" t="n">
        <v>45734.45833333334</v>
      </c>
      <c r="AM128" s="26" t="n">
        <v>45734.47916666666</v>
      </c>
      <c r="AN128" s="26" t="n">
        <v>45734.52777777778</v>
      </c>
      <c r="AO128" s="26" t="n">
        <v>45734.55347222222</v>
      </c>
      <c r="AP128" s="20">
        <f>(AG128-AF128)*1440</f>
        <v/>
      </c>
      <c r="AQ128" s="20">
        <f>(AG128-AE128)*1440</f>
        <v/>
      </c>
      <c r="AR128" s="20">
        <f>(AH128-AF128)*1440</f>
        <v/>
      </c>
      <c r="AS128" s="20">
        <f>(AI128-AH128)*1440</f>
        <v/>
      </c>
      <c r="AT128" s="20">
        <f>(AJ128-AH128)*1440</f>
        <v/>
      </c>
      <c r="AU128" s="20">
        <f>(AL128-AK128)*1440</f>
        <v/>
      </c>
      <c r="AV128" s="20">
        <f>(AM128-AL128)*1440</f>
        <v/>
      </c>
      <c r="AW128" s="20">
        <f>(AO128-AM128)*1440</f>
        <v/>
      </c>
      <c r="AX128" s="19">
        <f>AP128+AS128+AU128+AV128+AW128</f>
        <v/>
      </c>
      <c r="AY128" s="18">
        <f>(AG128-AA128)</f>
        <v/>
      </c>
      <c r="AZ128" s="18">
        <f>(AK128-AJ128)</f>
        <v/>
      </c>
      <c r="BA128" s="18">
        <f>AO128-AG128</f>
        <v/>
      </c>
      <c r="BB128" s="18">
        <f>(AO128-AA128)-(AP128/1440)-(AW128/1440)</f>
        <v/>
      </c>
      <c r="BC128" s="20">
        <f>E128/AZ128</f>
        <v/>
      </c>
      <c r="BE128" s="20">
        <f>IF(E128&lt;10000,3000,IF(E128&lt;15000,3600,IF(E128&lt;20000,4500,IF(E128&lt;25000,6000,IF(E128&lt;30000,7500,IF(E128&lt;40000,9000,IF(E128&gt;40000,10000)))))))</f>
        <v/>
      </c>
      <c r="BF128" s="334">
        <f>(E128/BE128)+2</f>
        <v/>
      </c>
      <c r="BS128" s="24" t="inlineStr">
        <is>
          <t>CHANGE DU POSTE 4BIS VERS POSTE 1N LE 17/03- 0045</t>
        </is>
      </c>
      <c r="BT128" s="99" t="n">
        <v>1</v>
      </c>
      <c r="BW128" s="332">
        <f>AI128-AH128</f>
        <v/>
      </c>
      <c r="BX128" s="24" t="n"/>
      <c r="BY128" s="24" t="n">
        <v>15</v>
      </c>
      <c r="CB128" s="14" t="n">
        <v>4723</v>
      </c>
    </row>
    <row r="129" ht="14.55" customHeight="1" s="70">
      <c r="A129" s="81" t="n">
        <v>86</v>
      </c>
      <c r="B129" s="340" t="inlineStr">
        <is>
          <t>VICTORIAN TRADER</t>
        </is>
      </c>
      <c r="C129" s="135" t="n">
        <v>45734</v>
      </c>
      <c r="D129" s="329" t="n">
        <v>25566</v>
      </c>
      <c r="E129" s="333">
        <f>D130+D129</f>
        <v/>
      </c>
      <c r="F129" s="142" t="inlineStr">
        <is>
          <t>KOFERT</t>
        </is>
      </c>
      <c r="G129" s="81" t="n">
        <v>2</v>
      </c>
      <c r="H129" s="75" t="inlineStr">
        <is>
          <t>DAP</t>
        </is>
      </c>
      <c r="I129" s="306" t="inlineStr">
        <is>
          <t xml:space="preserve">DAP SPECIAL DARK </t>
        </is>
      </c>
      <c r="J129" s="50" t="inlineStr">
        <is>
          <t>FOB</t>
        </is>
      </c>
      <c r="K129" s="82" t="n">
        <v>606</v>
      </c>
      <c r="L129" s="341">
        <f>D129*K129</f>
        <v/>
      </c>
      <c r="M129" s="14" t="n">
        <v>9.669</v>
      </c>
      <c r="N129" s="335">
        <f>L129*M129</f>
        <v/>
      </c>
      <c r="O129" s="16" t="inlineStr">
        <is>
          <t>259 26/02/2025</t>
        </is>
      </c>
      <c r="P129" s="16" t="inlineStr">
        <is>
          <t>AMS Ameropa Marketing and Sales AG</t>
        </is>
      </c>
      <c r="Q129" s="89" t="inlineStr">
        <is>
          <t>AMERIQUE</t>
        </is>
      </c>
      <c r="R129" s="50" t="inlineStr">
        <is>
          <t>PERU</t>
        </is>
      </c>
      <c r="T129" s="50" t="inlineStr">
        <is>
          <t>INSPECTORATE</t>
        </is>
      </c>
      <c r="U129" s="81" t="n">
        <v>179</v>
      </c>
      <c r="V129" s="53">
        <f>IF(U129&lt;130, "Mini Bulker", IF(AND(U129&gt;=130, U129&lt;150), "Handysize", IF(AND(U129&gt;=150, U129&lt;200), "Handymax", IF(AND(U129&gt;=200, U129&lt;230), "Panamax", IF(AND(U129&gt;=230, U129&lt;=270), "Capesize", "Autre")))))</f>
        <v/>
      </c>
      <c r="X129" s="14">
        <f>IF(E129&lt;9999,"1",IF(E129&lt;19999,"2",IF(E129&lt;29999,"3",IF(E129&lt;39999,"4",IF(E129&lt;49999,"5",IF(E129&gt;50000,"6"))))))</f>
        <v/>
      </c>
      <c r="Y129" s="75" t="inlineStr">
        <is>
          <t>1BIS</t>
        </is>
      </c>
      <c r="AA129" s="26" t="n">
        <v>45730.9375</v>
      </c>
      <c r="AB129" s="26" t="n">
        <v>45731.375</v>
      </c>
      <c r="AC129" s="15" t="n">
        <v>45726</v>
      </c>
      <c r="AD129" s="15" t="n">
        <v>45729</v>
      </c>
      <c r="AE129" s="26" t="n">
        <v>45730.85416666666</v>
      </c>
      <c r="AF129" s="26" t="n">
        <v>45731.425</v>
      </c>
      <c r="AG129" s="26" t="n">
        <v>45731.48333333333</v>
      </c>
      <c r="AH129" s="26" t="n">
        <v>45731.5</v>
      </c>
      <c r="AI129" s="26" t="n">
        <v>45731.55555555555</v>
      </c>
      <c r="AJ129" s="26" t="n">
        <v>45731.63888888889</v>
      </c>
      <c r="AK129" s="26" t="n">
        <v>45734.25347222222</v>
      </c>
      <c r="AL129" s="26" t="n">
        <v>45734.69722222222</v>
      </c>
      <c r="AN129" s="26" t="n">
        <v>45734.69861111111</v>
      </c>
      <c r="AO129" s="26" t="n">
        <v>45734.75833333333</v>
      </c>
      <c r="AP129" s="20">
        <f>(AG129-AF129)*1440</f>
        <v/>
      </c>
      <c r="AQ129" s="20">
        <f>(AG129-AE129)*1440</f>
        <v/>
      </c>
      <c r="AR129" s="20">
        <f>(AH129-AF129)*1440</f>
        <v/>
      </c>
      <c r="AS129" s="20">
        <f>(AI129-AH129)*1440</f>
        <v/>
      </c>
      <c r="AT129" s="20">
        <f>(AJ129-AH129)*1440</f>
        <v/>
      </c>
      <c r="AU129" s="20">
        <f>(AL129-AK129)*1440</f>
        <v/>
      </c>
      <c r="AV129" s="20" t="n"/>
      <c r="AW129" s="20" t="n"/>
      <c r="AX129" s="19">
        <f>AP129+AS129+AU129+AV129+AW129</f>
        <v/>
      </c>
      <c r="AY129" s="18">
        <f>(AG129-AA129)</f>
        <v/>
      </c>
      <c r="AZ129" s="18">
        <f>(AK129-AJ129)</f>
        <v/>
      </c>
      <c r="BA129" s="18">
        <f>AO129-AG129</f>
        <v/>
      </c>
      <c r="BB129" s="18">
        <f>(AO129-AA129)-(AP129/1440)-(AW129/1440)</f>
        <v/>
      </c>
      <c r="BC129" s="20">
        <f>E129/AZ129</f>
        <v/>
      </c>
      <c r="BE129" s="20">
        <f>IF(E129&lt;10000,3000,IF(E129&lt;15000,3600,IF(E129&lt;20000,4500,IF(E129&lt;25000,6000,IF(E129&lt;30000,7500,IF(E129&lt;40000,9000,IF(E129&gt;40000,10000)))))))</f>
        <v/>
      </c>
      <c r="BF129" s="334">
        <f>(E129/BE129)+2</f>
        <v/>
      </c>
      <c r="BS129" s="24" t="inlineStr">
        <is>
          <t>MAINTENU PAR SHORE TENSION</t>
        </is>
      </c>
      <c r="BT129" s="99" t="n">
        <v>0</v>
      </c>
      <c r="BW129" s="332">
        <f>AI129-AH129</f>
        <v/>
      </c>
      <c r="BX129" s="24" t="inlineStr">
        <is>
          <t>NUL</t>
        </is>
      </c>
      <c r="BY129" s="24" t="inlineStr">
        <is>
          <t>NUL</t>
        </is>
      </c>
      <c r="CB129" s="14" t="n">
        <v>25163</v>
      </c>
    </row>
    <row r="130" ht="14.55" customHeight="1" s="70">
      <c r="B130" s="340" t="inlineStr">
        <is>
          <t>VICTORIAN TRADER</t>
        </is>
      </c>
      <c r="C130" s="135" t="n">
        <v>45734</v>
      </c>
      <c r="D130" s="329" t="n">
        <v>7604</v>
      </c>
      <c r="E130" s="330" t="n"/>
      <c r="F130" s="142" t="inlineStr">
        <is>
          <t>JFC5</t>
        </is>
      </c>
      <c r="G130" s="81" t="n">
        <v>2</v>
      </c>
      <c r="H130" s="75" t="inlineStr">
        <is>
          <t>TSP</t>
        </is>
      </c>
      <c r="I130" s="306" t="inlineStr">
        <is>
          <t xml:space="preserve">TSP SPECIAL JORF </t>
        </is>
      </c>
      <c r="J130" s="50" t="inlineStr">
        <is>
          <t>FOB</t>
        </is>
      </c>
      <c r="K130" s="82" t="n">
        <v>452.5</v>
      </c>
      <c r="L130" s="341">
        <f>D130*K130</f>
        <v/>
      </c>
      <c r="M130" s="14" t="n">
        <v>9.669</v>
      </c>
      <c r="N130" s="335">
        <f>L130*M130</f>
        <v/>
      </c>
      <c r="O130" s="16" t="inlineStr">
        <is>
          <t>261 26/02/2025</t>
        </is>
      </c>
      <c r="P130" s="16" t="inlineStr">
        <is>
          <t>AMS Ameropa Marketing and Sales AG</t>
        </is>
      </c>
      <c r="Q130" s="89" t="inlineStr">
        <is>
          <t>AMERIQUE</t>
        </is>
      </c>
      <c r="R130" s="50" t="inlineStr">
        <is>
          <t>PERU</t>
        </is>
      </c>
      <c r="T130" s="50" t="inlineStr">
        <is>
          <t>INSPECTORATE</t>
        </is>
      </c>
      <c r="U130" s="81" t="n">
        <v>179</v>
      </c>
      <c r="V130" s="53">
        <f>IF(U130&lt;130, "Mini Bulker", IF(AND(U130&gt;=130, U130&lt;150), "Handysize", IF(AND(U130&gt;=150, U130&lt;200), "Handymax", IF(AND(U130&gt;=200, U130&lt;230), "Panamax", IF(AND(U130&gt;=230, U130&lt;=270), "Capesize", "Autre")))))</f>
        <v/>
      </c>
      <c r="X130" s="14">
        <f>IF(E130&lt;9999,"1",IF(E130&lt;19999,"2",IF(E130&lt;29999,"3",IF(E130&lt;39999,"4",IF(E130&lt;49999,"5",IF(E130&gt;50000,"6"))))))</f>
        <v/>
      </c>
      <c r="Y130" s="75" t="inlineStr">
        <is>
          <t>1BIS</t>
        </is>
      </c>
      <c r="AA130" s="98" t="n"/>
      <c r="AB130" s="98" t="n"/>
      <c r="AC130" s="98" t="n"/>
      <c r="AD130" s="98" t="n"/>
      <c r="AE130" s="98" t="n"/>
      <c r="AF130" s="98" t="n"/>
      <c r="AG130" s="98" t="n"/>
      <c r="AH130" s="98" t="n"/>
      <c r="AI130" s="98" t="n"/>
      <c r="AJ130" s="98" t="n"/>
      <c r="AK130" s="98" t="n"/>
      <c r="AL130" s="98" t="n"/>
      <c r="AM130" s="98" t="n"/>
      <c r="AN130" s="98" t="n"/>
      <c r="AO130" s="98" t="n"/>
      <c r="AP130" s="98" t="n"/>
      <c r="AQ130" s="98" t="n"/>
      <c r="AR130" s="98" t="n"/>
      <c r="AS130" s="98" t="n"/>
      <c r="AT130" s="98" t="n"/>
      <c r="AU130" s="98" t="n"/>
      <c r="AV130" s="98" t="n"/>
      <c r="AW130" s="98" t="n"/>
      <c r="AX130" s="98" t="n"/>
      <c r="AY130" s="98" t="n"/>
      <c r="AZ130" s="98" t="n"/>
      <c r="BA130" s="98" t="n"/>
      <c r="BB130" s="98" t="n"/>
      <c r="BC130" s="98" t="n"/>
      <c r="BD130" s="98" t="n"/>
      <c r="BE130" s="98" t="n"/>
      <c r="BF130" s="98" t="n"/>
      <c r="BS130" s="24" t="inlineStr">
        <is>
          <t>MAINTENU PAR SHORE TENSION</t>
        </is>
      </c>
      <c r="BT130" s="99" t="n">
        <v>0</v>
      </c>
      <c r="BW130" s="332">
        <f>AI130-AH130</f>
        <v/>
      </c>
      <c r="BX130" s="24" t="inlineStr">
        <is>
          <t>NUL</t>
        </is>
      </c>
      <c r="BY130" s="24" t="inlineStr">
        <is>
          <t>NUL</t>
        </is>
      </c>
      <c r="CB130" s="14" t="n"/>
    </row>
    <row r="131" ht="14.55" customHeight="1" s="70">
      <c r="A131" s="81" t="n">
        <v>88</v>
      </c>
      <c r="B131" s="340" t="inlineStr">
        <is>
          <t xml:space="preserve">EFFY N </t>
        </is>
      </c>
      <c r="C131" s="135" t="n">
        <v>45735</v>
      </c>
      <c r="D131" s="329" t="n">
        <v>31917</v>
      </c>
      <c r="E131" s="333">
        <f>D132+D131</f>
        <v/>
      </c>
      <c r="F131" s="142" t="inlineStr">
        <is>
          <t>OCP NUTRI</t>
        </is>
      </c>
      <c r="G131" s="81" t="n">
        <v>2</v>
      </c>
      <c r="H131" s="75" t="inlineStr">
        <is>
          <t>TSP</t>
        </is>
      </c>
      <c r="I131" s="306" t="inlineStr">
        <is>
          <t>TSP SPECIAL JORF</t>
        </is>
      </c>
      <c r="J131" s="50" t="inlineStr">
        <is>
          <t>CFR</t>
        </is>
      </c>
      <c r="K131" s="82" t="n">
        <v>483.33</v>
      </c>
      <c r="L131" s="341">
        <f>D131*K131</f>
        <v/>
      </c>
      <c r="M131" s="14" t="n">
        <v>9.643800000000001</v>
      </c>
      <c r="N131" s="335">
        <f>L131*M131</f>
        <v/>
      </c>
      <c r="O131" s="16" t="inlineStr">
        <is>
          <t>252 F DU 26/02/2025</t>
        </is>
      </c>
      <c r="P131" s="16" t="inlineStr">
        <is>
          <t>OCP Fertilizantes LTDA</t>
        </is>
      </c>
      <c r="Q131" s="89" t="inlineStr">
        <is>
          <t>AMERIQUE</t>
        </is>
      </c>
      <c r="R131" s="50" t="inlineStr">
        <is>
          <t>BRESIL</t>
        </is>
      </c>
      <c r="T131" s="50" t="inlineStr">
        <is>
          <t>INSPECTORATE</t>
        </is>
      </c>
      <c r="U131" s="81" t="n">
        <v>190</v>
      </c>
      <c r="V131" s="53">
        <f>IF(U131&lt;130, "Mini Bulker", IF(AND(U131&gt;=130, U131&lt;150), "Handysize", IF(AND(U131&gt;=150, U131&lt;200), "Handymax", IF(AND(U131&gt;=200, U131&lt;230), "Panamax", IF(AND(U131&gt;=230, U131&lt;=270), "Capesize", "Autre")))))</f>
        <v/>
      </c>
      <c r="X131" s="14">
        <f>IF(E131&lt;9999,"1",IF(E131&lt;19999,"2",IF(E131&lt;29999,"3",IF(E131&lt;39999,"4",IF(E131&lt;49999,"5",IF(E131&gt;50000,"6"))))))</f>
        <v/>
      </c>
      <c r="Y131" s="75" t="inlineStr">
        <is>
          <t>2BIS</t>
        </is>
      </c>
      <c r="AA131" s="26" t="n">
        <v>45724.70833333334</v>
      </c>
      <c r="AB131" s="26" t="n">
        <v>45726.375</v>
      </c>
      <c r="AC131" s="15" t="n">
        <v>45723</v>
      </c>
      <c r="AD131" s="15" t="n">
        <v>45725</v>
      </c>
      <c r="AE131" s="26" t="n">
        <v>45724.70833333334</v>
      </c>
      <c r="AF131" s="26" t="n">
        <v>45728.32847222222</v>
      </c>
      <c r="AG131" s="26" t="n">
        <v>45728.40416666667</v>
      </c>
      <c r="AH131" s="26" t="n">
        <v>45728.41319444445</v>
      </c>
      <c r="AI131" s="26" t="n">
        <v>45728.48263888889</v>
      </c>
      <c r="AJ131" s="26" t="n">
        <v>45728.59027777778</v>
      </c>
      <c r="AK131" s="26" t="n">
        <v>45735.03472222222</v>
      </c>
      <c r="AL131" s="26" t="n">
        <v>45735.10763888889</v>
      </c>
      <c r="AM131" s="26" t="n">
        <v>45735.125</v>
      </c>
      <c r="AN131" s="26" t="n">
        <v>45735.19722222222</v>
      </c>
      <c r="AO131" s="26" t="n">
        <v>45735.35416666666</v>
      </c>
      <c r="AP131" s="20">
        <f>(AG131-AF131)*1440</f>
        <v/>
      </c>
      <c r="AQ131" s="20">
        <f>(AG131-AE131)*1440</f>
        <v/>
      </c>
      <c r="AR131" s="20">
        <f>(AH131-AF131)*1440</f>
        <v/>
      </c>
      <c r="AS131" s="20">
        <f>(AI131-AH131)*1440</f>
        <v/>
      </c>
      <c r="AT131" s="20">
        <f>(AJ131-AH131)*1440</f>
        <v/>
      </c>
      <c r="AU131" s="20">
        <f>(AL131-AK131)*1440</f>
        <v/>
      </c>
      <c r="AV131" s="20">
        <f>(AM131-AL131)*1440</f>
        <v/>
      </c>
      <c r="AW131" s="20">
        <f>(AO131-AM131)*1440</f>
        <v/>
      </c>
      <c r="AX131" s="19">
        <f>AP131+AS131+AU131+AV131+AW131</f>
        <v/>
      </c>
      <c r="AY131" s="18">
        <f>(AG131-AA131)</f>
        <v/>
      </c>
      <c r="AZ131" s="18">
        <f>(AK131-AJ131)</f>
        <v/>
      </c>
      <c r="BA131" s="18">
        <f>AO131-AG131</f>
        <v/>
      </c>
      <c r="BB131" s="18">
        <f>(AO131-AA131)-(AP131/1440)-(AW131/1440)</f>
        <v/>
      </c>
      <c r="BC131" s="20">
        <f>E131/AZ131</f>
        <v/>
      </c>
      <c r="BE131" s="20">
        <f>IF(E131&lt;10000,3000,IF(E131&lt;15000,3600,IF(E131&lt;20000,4500,IF(E131&lt;25000,6000,IF(E131&lt;30000,7500,IF(E131&lt;40000,9000,IF(E131&gt;40000,10000)))))))</f>
        <v/>
      </c>
      <c r="BF131" s="334">
        <f>(E131/BE131)+2</f>
        <v/>
      </c>
      <c r="BS131" s="24" t="inlineStr">
        <is>
          <t>NUL</t>
        </is>
      </c>
      <c r="BT131" s="99" t="n">
        <v>0</v>
      </c>
      <c r="BW131" s="332">
        <f>AI131-AH131</f>
        <v/>
      </c>
      <c r="BX131" s="24" t="inlineStr">
        <is>
          <t>NUL</t>
        </is>
      </c>
      <c r="BY131" s="24" t="inlineStr">
        <is>
          <t>NUL</t>
        </is>
      </c>
      <c r="CB131" s="14" t="n">
        <v>31532</v>
      </c>
      <c r="CE131" s="103" t="inlineStr">
        <is>
          <t>07/03/2025 PM</t>
        </is>
      </c>
    </row>
    <row r="132" ht="15" customHeight="1" s="70">
      <c r="B132" s="340" t="inlineStr">
        <is>
          <t xml:space="preserve">EFFY N </t>
        </is>
      </c>
      <c r="C132" s="135" t="n">
        <v>45735</v>
      </c>
      <c r="D132" s="329" t="n">
        <v>12100</v>
      </c>
      <c r="E132" s="330" t="n"/>
      <c r="F132" s="142" t="inlineStr">
        <is>
          <t>JFC1</t>
        </is>
      </c>
      <c r="G132" s="81" t="n">
        <v>2</v>
      </c>
      <c r="H132" s="75" t="inlineStr">
        <is>
          <t>MAP</t>
        </is>
      </c>
      <c r="I132" s="306" t="inlineStr">
        <is>
          <t>MAP 11 52 SPECIAL</t>
        </is>
      </c>
      <c r="J132" s="50" t="inlineStr">
        <is>
          <t>CFR</t>
        </is>
      </c>
      <c r="K132" s="82" t="n">
        <v>633.75</v>
      </c>
      <c r="L132" s="341">
        <f>D132*K132</f>
        <v/>
      </c>
      <c r="M132" s="14" t="n">
        <v>9.643800000000001</v>
      </c>
      <c r="N132" s="335">
        <f>L132*M132</f>
        <v/>
      </c>
      <c r="O132" s="16" t="inlineStr">
        <is>
          <t>257 L DU 26/02/2025</t>
        </is>
      </c>
      <c r="P132" s="16" t="inlineStr">
        <is>
          <t>OCP Fertilizantes LTDA</t>
        </is>
      </c>
      <c r="Q132" s="89" t="inlineStr">
        <is>
          <t>AMERIQUE</t>
        </is>
      </c>
      <c r="R132" s="50" t="inlineStr">
        <is>
          <t>BRESIL</t>
        </is>
      </c>
      <c r="T132" s="50" t="inlineStr">
        <is>
          <t>INSPECTORATE</t>
        </is>
      </c>
      <c r="U132" s="81" t="n">
        <v>190</v>
      </c>
      <c r="V132" s="53">
        <f>IF(U132&lt;130, "Mini Bulker", IF(AND(U132&gt;=130, U132&lt;150), "Handysize", IF(AND(U132&gt;=150, U132&lt;200), "Handymax", IF(AND(U132&gt;=200, U132&lt;230), "Panamax", IF(AND(U132&gt;=230, U132&lt;=270), "Capesize", "Autre")))))</f>
        <v/>
      </c>
      <c r="X132" s="14">
        <f>IF(E132&lt;9999,"1",IF(E132&lt;19999,"2",IF(E132&lt;29999,"3",IF(E132&lt;39999,"4",IF(E132&lt;49999,"5",IF(E132&gt;50000,"6"))))))</f>
        <v/>
      </c>
      <c r="Y132" s="75" t="inlineStr">
        <is>
          <t>2BIS</t>
        </is>
      </c>
      <c r="AA132" s="98" t="n"/>
      <c r="AB132" s="98" t="n"/>
      <c r="AC132" s="98" t="n"/>
      <c r="AD132" s="98" t="n"/>
      <c r="AE132" s="98" t="n"/>
      <c r="AF132" s="98" t="n"/>
      <c r="AG132" s="98" t="n"/>
      <c r="AH132" s="98" t="n"/>
      <c r="AI132" s="98" t="n"/>
      <c r="AJ132" s="98" t="n"/>
      <c r="AK132" s="98" t="n"/>
      <c r="AL132" s="98" t="n"/>
      <c r="AM132" s="98" t="n"/>
      <c r="AN132" s="98" t="n"/>
      <c r="AO132" s="98" t="n"/>
      <c r="AP132" s="98" t="n"/>
      <c r="AQ132" s="98" t="n"/>
      <c r="AR132" s="98" t="n"/>
      <c r="AS132" s="98" t="n"/>
      <c r="AT132" s="98" t="n"/>
      <c r="AU132" s="98" t="n"/>
      <c r="AV132" s="98" t="n"/>
      <c r="AW132" s="98" t="n"/>
      <c r="AX132" s="98" t="n"/>
      <c r="AY132" s="98" t="n"/>
      <c r="AZ132" s="98" t="n"/>
      <c r="BA132" s="98" t="n"/>
      <c r="BB132" s="98" t="n"/>
      <c r="BC132" s="98" t="n"/>
      <c r="BD132" s="98" t="n"/>
      <c r="BE132" s="98" t="n"/>
      <c r="BF132" s="98" t="n"/>
      <c r="BS132" s="99" t="inlineStr">
        <is>
          <t>NUL</t>
        </is>
      </c>
      <c r="BT132" s="99" t="n">
        <v>0</v>
      </c>
      <c r="BW132" s="332">
        <f>AI132-AH132</f>
        <v/>
      </c>
      <c r="BX132" s="24" t="inlineStr">
        <is>
          <t>NUL</t>
        </is>
      </c>
      <c r="BY132" s="24" t="inlineStr">
        <is>
          <t>NUL</t>
        </is>
      </c>
      <c r="CB132" s="14" t="n"/>
    </row>
    <row r="133">
      <c r="A133" s="81" t="n">
        <v>90</v>
      </c>
      <c r="B133" s="340" t="inlineStr">
        <is>
          <t>GERNIKA NM</t>
        </is>
      </c>
      <c r="C133" s="135" t="n">
        <v>45735</v>
      </c>
      <c r="D133" s="329" t="n">
        <v>4950</v>
      </c>
      <c r="E133" s="329" t="n">
        <v>4950</v>
      </c>
      <c r="F133" s="142" t="inlineStr">
        <is>
          <t>OCP NUTRI</t>
        </is>
      </c>
      <c r="G133" s="81" t="n">
        <v>1</v>
      </c>
      <c r="H133" s="75" t="inlineStr">
        <is>
          <t>DAP</t>
        </is>
      </c>
      <c r="I133" s="306" t="inlineStr">
        <is>
          <t xml:space="preserve">DAP Euro Low Cd Low Moisture </t>
        </is>
      </c>
      <c r="J133" s="50" t="inlineStr">
        <is>
          <t>CFR</t>
        </is>
      </c>
      <c r="K133" s="82" t="n">
        <v>658</v>
      </c>
      <c r="L133" s="341">
        <f>D133*K133</f>
        <v/>
      </c>
      <c r="M133" s="14" t="n">
        <v>9.643800000000001</v>
      </c>
      <c r="N133" s="335">
        <f>L133*M133</f>
        <v/>
      </c>
      <c r="O133" s="16" t="inlineStr">
        <is>
          <t>252 F DU 26/02/2025</t>
        </is>
      </c>
      <c r="P133" s="16" t="inlineStr">
        <is>
          <t xml:space="preserve">Stokestown Port Services./Doyles Shipping Group </t>
        </is>
      </c>
      <c r="Q133" s="89" t="inlineStr">
        <is>
          <t>EUROPE</t>
        </is>
      </c>
      <c r="R133" s="50" t="inlineStr">
        <is>
          <t>IRELAND</t>
        </is>
      </c>
      <c r="T133" s="50" t="inlineStr">
        <is>
          <t>INTERTEK</t>
        </is>
      </c>
      <c r="U133" s="81" t="n">
        <v>102</v>
      </c>
      <c r="V133" s="53">
        <f>IF(U133&lt;130, "Mini Bulker", IF(AND(U133&gt;=130, U133&lt;150), "Handysize", IF(AND(U133&gt;=150, U133&lt;200), "Handymax", IF(AND(U133&gt;=200, U133&lt;230), "Panamax", IF(AND(U133&gt;=230, U133&lt;=270), "Capesize", "Autre")))))</f>
        <v/>
      </c>
      <c r="X133" s="14">
        <f>IF(E133&lt;9999,"1",IF(E133&lt;19999,"2",IF(E133&lt;29999,"3",IF(E133&lt;39999,"4",IF(E133&lt;49999,"5",IF(E133&gt;50000,"6"))))))</f>
        <v/>
      </c>
      <c r="Y133" s="75" t="inlineStr">
        <is>
          <t>2TER</t>
        </is>
      </c>
      <c r="AA133" s="26" t="n">
        <v>45731.375</v>
      </c>
      <c r="AB133" s="26" t="n">
        <v>45731.375</v>
      </c>
      <c r="AC133" s="15" t="n">
        <v>45721</v>
      </c>
      <c r="AD133" s="15" t="n">
        <v>45723</v>
      </c>
      <c r="AE133" s="26" t="n">
        <v>45731.3125</v>
      </c>
      <c r="AF133" s="26" t="n">
        <v>45734.63541666666</v>
      </c>
      <c r="AG133" s="26" t="n">
        <v>45734.70416666667</v>
      </c>
      <c r="AH133" s="26" t="n">
        <v>45734.72222222222</v>
      </c>
      <c r="AI133" s="26" t="n">
        <v>45734.77777777778</v>
      </c>
      <c r="AJ133" s="26" t="n">
        <v>45735.11805555555</v>
      </c>
      <c r="AK133" s="26" t="n">
        <v>45735.65277777778</v>
      </c>
      <c r="AL133" s="26" t="n">
        <v>45735.69444444445</v>
      </c>
      <c r="AM133" s="26" t="n">
        <v>45735.72916666666</v>
      </c>
      <c r="AN133" s="26" t="n">
        <v>45735.85416666666</v>
      </c>
      <c r="AO133" s="26" t="n">
        <v>45735.88125</v>
      </c>
      <c r="AP133" s="20">
        <f>(AG133-AF133)*1440</f>
        <v/>
      </c>
      <c r="AQ133" s="20">
        <f>(AG133-AE133)*1440</f>
        <v/>
      </c>
      <c r="AR133" s="20">
        <f>(AH133-AF133)*1440</f>
        <v/>
      </c>
      <c r="AS133" s="20">
        <f>(AI133-AH133)*1440</f>
        <v/>
      </c>
      <c r="AT133" s="20">
        <f>(AJ133-AH133)*1440</f>
        <v/>
      </c>
      <c r="AU133" s="20">
        <f>(AL133-AK133)*1440</f>
        <v/>
      </c>
      <c r="AV133" s="20">
        <f>(AM133-AL133)*1440</f>
        <v/>
      </c>
      <c r="AW133" s="20">
        <f>(AO133-AM133)*1440</f>
        <v/>
      </c>
      <c r="AX133" s="19">
        <f>AP133+AS133+AU133+AV133+AW133</f>
        <v/>
      </c>
      <c r="AY133" s="18">
        <f>(AG133-AA133)</f>
        <v/>
      </c>
      <c r="AZ133" s="18">
        <f>(AK133-AJ133)</f>
        <v/>
      </c>
      <c r="BA133" s="18">
        <f>AO133-AG133</f>
        <v/>
      </c>
      <c r="BB133" s="18">
        <f>(AO133-AA133)-(AP133/1440)-(AW133/1440)</f>
        <v/>
      </c>
      <c r="BC133" s="20">
        <f>E133/AZ133</f>
        <v/>
      </c>
      <c r="BE133" s="20">
        <f>IF(E133&lt;10000,3000,IF(E133&lt;15000,3600,IF(E133&lt;20000,4500,IF(E133&lt;25000,6000,IF(E133&lt;30000,7500,IF(E133&lt;40000,9000,IF(E133&gt;40000,10000)))))))</f>
        <v/>
      </c>
      <c r="BF133" s="334">
        <f>(E133/BE133)+2</f>
        <v/>
      </c>
      <c r="BS133" s="24" t="inlineStr">
        <is>
          <t>ARRIVEE LE 05/03- 2354 // QUITTE LA RADE VERS CEUTA (ABRI CONTRE LA TEMPETE) LE 07/03- 1320</t>
        </is>
      </c>
      <c r="BT133" s="99" t="n">
        <v>0</v>
      </c>
      <c r="BW133" s="332">
        <f>AI133-AH133</f>
        <v/>
      </c>
      <c r="BX133" s="24" t="inlineStr">
        <is>
          <t>NUL</t>
        </is>
      </c>
      <c r="BY133" s="24" t="inlineStr">
        <is>
          <t>NUL</t>
        </is>
      </c>
      <c r="CB133" s="14" t="n">
        <v>4137</v>
      </c>
    </row>
    <row r="134">
      <c r="A134" s="81" t="n">
        <v>89</v>
      </c>
      <c r="B134" s="340" t="inlineStr">
        <is>
          <t>SPANACO RELIABILITY</t>
        </is>
      </c>
      <c r="C134" s="135" t="n">
        <v>45735</v>
      </c>
      <c r="D134" s="329" t="n">
        <v>3850</v>
      </c>
      <c r="E134" s="329" t="n">
        <v>3850</v>
      </c>
      <c r="F134" s="142" t="inlineStr">
        <is>
          <t>OCP NUTRI</t>
        </is>
      </c>
      <c r="G134" s="81" t="n">
        <v>1</v>
      </c>
      <c r="H134" s="75" t="inlineStr">
        <is>
          <t>DAP</t>
        </is>
      </c>
      <c r="I134" s="306" t="inlineStr">
        <is>
          <t xml:space="preserve">DAP Euro Low Cd Low Moisture </t>
        </is>
      </c>
      <c r="J134" s="50" t="inlineStr">
        <is>
          <t>CFR</t>
        </is>
      </c>
      <c r="K134" s="82" t="n">
        <v>651</v>
      </c>
      <c r="L134" s="341">
        <f>D134*K134</f>
        <v/>
      </c>
      <c r="M134" s="14" t="n">
        <v>9.643800000000001</v>
      </c>
      <c r="N134" s="335">
        <f>L134*M134</f>
        <v/>
      </c>
      <c r="O134" s="16" t="inlineStr">
        <is>
          <t>252 F DU 26/02/2025</t>
        </is>
      </c>
      <c r="P134" s="16" t="inlineStr">
        <is>
          <t>Goulding Soil Nutrition Ltd</t>
        </is>
      </c>
      <c r="Q134" s="89" t="inlineStr">
        <is>
          <t>EUROPE</t>
        </is>
      </c>
      <c r="R134" s="50" t="inlineStr">
        <is>
          <t>IRELAND</t>
        </is>
      </c>
      <c r="T134" s="50" t="inlineStr">
        <is>
          <t>INSPECTORATE</t>
        </is>
      </c>
      <c r="U134" s="81" t="n">
        <v>90</v>
      </c>
      <c r="V134" s="53">
        <f>IF(U134&lt;130, "Mini Bulker", IF(AND(U134&gt;=130, U134&lt;150), "Handysize", IF(AND(U134&gt;=150, U134&lt;200), "Handymax", IF(AND(U134&gt;=200, U134&lt;230), "Panamax", IF(AND(U134&gt;=230, U134&lt;=270), "Capesize", "Autre")))))</f>
        <v/>
      </c>
      <c r="X134" s="14">
        <f>IF(E134&lt;9999,"1",IF(E134&lt;19999,"2",IF(E134&lt;29999,"3",IF(E134&lt;39999,"4",IF(E134&lt;49999,"5",IF(E134&gt;50000,"6"))))))</f>
        <v/>
      </c>
      <c r="Y134" s="75" t="inlineStr">
        <is>
          <t>13/16S</t>
        </is>
      </c>
      <c r="AA134" s="26" t="n">
        <v>45718.3125</v>
      </c>
      <c r="AB134" s="26" t="n">
        <v>45719.375</v>
      </c>
      <c r="AC134" s="15" t="n">
        <v>45718</v>
      </c>
      <c r="AD134" s="15" t="n">
        <v>45720</v>
      </c>
      <c r="AE134" s="26" t="n">
        <v>45718.3125</v>
      </c>
      <c r="AF134" s="26" t="n">
        <v>45731.82083333333</v>
      </c>
      <c r="AG134" s="26" t="n">
        <v>45731.93055555555</v>
      </c>
      <c r="AH134" s="26" t="n">
        <v>45731.93402777778</v>
      </c>
      <c r="AI134" s="26" t="n">
        <v>45731.97569444445</v>
      </c>
      <c r="AJ134" s="26" t="n">
        <v>45733.49652777778</v>
      </c>
      <c r="AK134" s="26" t="n">
        <v>45735.625</v>
      </c>
      <c r="AL134" s="26" t="n">
        <v>45735.66666666666</v>
      </c>
      <c r="AM134" s="26" t="n">
        <v>45735.70833333334</v>
      </c>
      <c r="AN134" s="26" t="n">
        <v>45735.74583333333</v>
      </c>
      <c r="AO134" s="26" t="n">
        <v>45735.74861111111</v>
      </c>
      <c r="AP134" s="20">
        <f>(AG134-AF134)*1440</f>
        <v/>
      </c>
      <c r="AQ134" s="20">
        <f>(AG134-AE134)*1440</f>
        <v/>
      </c>
      <c r="AR134" s="20">
        <f>(AH134-AF134)*1440</f>
        <v/>
      </c>
      <c r="AS134" s="20">
        <f>(AI134-AH134)*1440</f>
        <v/>
      </c>
      <c r="AT134" s="20">
        <f>(AJ134-AH134)*1440</f>
        <v/>
      </c>
      <c r="AU134" s="20">
        <f>(AL134-AK134)*1440</f>
        <v/>
      </c>
      <c r="AV134" s="20">
        <f>(AM134-AL134)*1440</f>
        <v/>
      </c>
      <c r="AW134" s="20">
        <f>(AO134-AM134)*1440</f>
        <v/>
      </c>
      <c r="AX134" s="19">
        <f>AP134+AS134+AU134+AV134+AW134</f>
        <v/>
      </c>
      <c r="AY134" s="18">
        <f>(AG134-AA134)</f>
        <v/>
      </c>
      <c r="AZ134" s="18">
        <f>(AK134-AJ134)</f>
        <v/>
      </c>
      <c r="BA134" s="18">
        <f>AO134-AG134</f>
        <v/>
      </c>
      <c r="BB134" s="18">
        <f>(AO134-AA134)-(AP134/1440)-(AW134/1440)</f>
        <v/>
      </c>
      <c r="BC134" s="20">
        <f>E134/AZ134</f>
        <v/>
      </c>
      <c r="BE134" s="20">
        <f>IF(E134&lt;10000,3000,IF(E134&lt;15000,3600,IF(E134&lt;20000,4500,IF(E134&lt;25000,6000,IF(E134&lt;30000,7500,IF(E134&lt;40000,9000,IF(E134&gt;40000,10000)))))))</f>
        <v/>
      </c>
      <c r="BF134" s="334">
        <f>(E134/BE134)+2</f>
        <v/>
      </c>
      <c r="BS134" s="24" t="inlineStr">
        <is>
          <t>CHANGE DU POSTE 13 VERS POSTE 16S LE 16/03- 2200</t>
        </is>
      </c>
      <c r="BT134" s="99" t="n">
        <v>1</v>
      </c>
      <c r="BW134" s="332">
        <f>AI134-AH134</f>
        <v/>
      </c>
      <c r="BX134" s="24" t="inlineStr">
        <is>
          <t>TBC</t>
        </is>
      </c>
      <c r="BY134" s="24" t="n">
        <v>30</v>
      </c>
      <c r="CB134" s="14" t="n">
        <v>2990</v>
      </c>
    </row>
    <row r="135">
      <c r="A135" s="81" t="n">
        <v>92</v>
      </c>
      <c r="B135" s="340" t="inlineStr">
        <is>
          <t>GERMAN SKY</t>
        </is>
      </c>
      <c r="C135" s="135" t="n">
        <v>45737</v>
      </c>
      <c r="D135" s="329" t="n">
        <v>4203</v>
      </c>
      <c r="E135" s="329" t="n">
        <v>4203</v>
      </c>
      <c r="F135" s="142" t="inlineStr">
        <is>
          <t>JFC2</t>
        </is>
      </c>
      <c r="G135" s="81" t="n">
        <v>1</v>
      </c>
      <c r="H135" s="75" t="inlineStr">
        <is>
          <t>DAP</t>
        </is>
      </c>
      <c r="I135" s="306" t="inlineStr">
        <is>
          <t xml:space="preserve">DAP HUNGARY </t>
        </is>
      </c>
      <c r="J135" s="50" t="inlineStr">
        <is>
          <t>CFR</t>
        </is>
      </c>
      <c r="K135" s="82" t="n">
        <v>654</v>
      </c>
      <c r="L135" s="341">
        <f>D135*K135</f>
        <v/>
      </c>
      <c r="M135" s="14" t="n">
        <v>9.664</v>
      </c>
      <c r="N135" s="335">
        <f>L135*M135</f>
        <v/>
      </c>
      <c r="O135" s="16" t="inlineStr">
        <is>
          <t>258 M DU 26/02/2025</t>
        </is>
      </c>
      <c r="P135" s="16" t="inlineStr">
        <is>
          <t>Origin UK Operations Limited</t>
        </is>
      </c>
      <c r="Q135" s="89" t="inlineStr">
        <is>
          <t>EUROPE</t>
        </is>
      </c>
      <c r="R135" s="50" t="inlineStr">
        <is>
          <t>Royaume-Uni</t>
        </is>
      </c>
      <c r="T135" s="50" t="inlineStr">
        <is>
          <t>INSPECTORATE</t>
        </is>
      </c>
      <c r="U135" s="81" t="n">
        <v>100</v>
      </c>
      <c r="V135" s="53">
        <f>IF(U135&lt;130, "Mini Bulker", IF(AND(U135&gt;=130, U135&lt;150), "Handysize", IF(AND(U135&gt;=150, U135&lt;200), "Handymax", IF(AND(U135&gt;=200, U135&lt;230), "Panamax", IF(AND(U135&gt;=230, U135&lt;=270), "Capesize", "Autre")))))</f>
        <v/>
      </c>
      <c r="X135" s="14">
        <f>IF(E135&lt;9999,"1",IF(E135&lt;19999,"2",IF(E135&lt;29999,"3",IF(E135&lt;39999,"4",IF(E135&lt;49999,"5",IF(E135&gt;50000,"6"))))))</f>
        <v/>
      </c>
      <c r="Y135" s="75" t="inlineStr">
        <is>
          <t>1N/5/16S</t>
        </is>
      </c>
      <c r="AA135" s="26" t="n">
        <v>45732.58333333334</v>
      </c>
      <c r="AB135" s="26" t="n">
        <v>45733.375</v>
      </c>
      <c r="AC135" s="15" t="n">
        <v>45724</v>
      </c>
      <c r="AD135" s="15" t="n">
        <v>45728</v>
      </c>
      <c r="AE135" s="26" t="n">
        <v>45732.54166666666</v>
      </c>
      <c r="AF135" s="26" t="n">
        <v>45734.64930555555</v>
      </c>
      <c r="AG135" s="26" t="n">
        <v>45734.74305555555</v>
      </c>
      <c r="AH135" s="26" t="n">
        <v>45734.77083333334</v>
      </c>
      <c r="AI135" s="26" t="n">
        <v>45734.82638888889</v>
      </c>
      <c r="AJ135" s="26" t="n">
        <v>45734.875</v>
      </c>
      <c r="AK135" s="26" t="n">
        <v>45737.54166666666</v>
      </c>
      <c r="AL135" s="26" t="n">
        <v>45737.57291666666</v>
      </c>
      <c r="AM135" s="26" t="n">
        <v>45737.61458333334</v>
      </c>
      <c r="AN135" s="26" t="n">
        <v>45737.69444444445</v>
      </c>
      <c r="AO135" s="26" t="n">
        <v>45737.70763888889</v>
      </c>
      <c r="AP135" s="20">
        <f>(AG135-AF135)*1440</f>
        <v/>
      </c>
      <c r="AQ135" s="20">
        <f>(AG135-AE135)*1440</f>
        <v/>
      </c>
      <c r="AR135" s="20">
        <f>(AH135-AF135)*1440</f>
        <v/>
      </c>
      <c r="AS135" s="20">
        <f>(AI135-AH135)*1440</f>
        <v/>
      </c>
      <c r="AT135" s="20">
        <f>(AJ135-AH135)*1440</f>
        <v/>
      </c>
      <c r="AU135" s="20">
        <f>(AL135-AK135)*1440</f>
        <v/>
      </c>
      <c r="AV135" s="20">
        <f>(AM135-AL135)*1440</f>
        <v/>
      </c>
      <c r="AW135" s="20">
        <f>(AO135-AM135)*1440</f>
        <v/>
      </c>
      <c r="AX135" s="19">
        <f>AP135+AS135+AU135+AV135+AW135</f>
        <v/>
      </c>
      <c r="AY135" s="18">
        <f>(AG135-AA135)</f>
        <v/>
      </c>
      <c r="AZ135" s="18">
        <f>(AK135-AJ135)</f>
        <v/>
      </c>
      <c r="BA135" s="18">
        <f>AO135-AG135</f>
        <v/>
      </c>
      <c r="BB135" s="18">
        <f>(AO135-AA135)-(AP135/1440)-(AW135/1440)</f>
        <v/>
      </c>
      <c r="BC135" s="20">
        <f>E135/AZ135</f>
        <v/>
      </c>
      <c r="BE135" s="20">
        <f>IF(E135&lt;10000,3000,IF(E135&lt;15000,3600,IF(E135&lt;20000,4500,IF(E135&lt;25000,6000,IF(E135&lt;30000,7500,IF(E135&lt;40000,9000,IF(E135&gt;40000,10000)))))))</f>
        <v/>
      </c>
      <c r="BF135" s="334">
        <f>(E135/BE135)+2</f>
        <v/>
      </c>
      <c r="BS135" s="24" t="inlineStr">
        <is>
          <t>CHANGE DU POSTE 1N VERS POSTE 5 LE 19/03- 1115 / CHANGE DU POSTE 5 VERS POSTE 16S LE 19/03- 2040</t>
        </is>
      </c>
      <c r="BT135" s="99" t="n">
        <v>2</v>
      </c>
      <c r="BW135" s="332">
        <f>AI135-AH135</f>
        <v/>
      </c>
      <c r="BX135" s="24" t="n"/>
      <c r="BY135" s="24" t="n">
        <v>30</v>
      </c>
      <c r="CB135" s="14" t="n">
        <v>2997</v>
      </c>
    </row>
    <row r="136">
      <c r="A136" s="81" t="n">
        <v>91</v>
      </c>
      <c r="B136" s="340" t="inlineStr">
        <is>
          <t>POLSTEAM DABIE</t>
        </is>
      </c>
      <c r="C136" s="135" t="n">
        <v>45737</v>
      </c>
      <c r="D136" s="329" t="n">
        <v>29259</v>
      </c>
      <c r="E136" s="329" t="n">
        <v>29259</v>
      </c>
      <c r="F136" s="142" t="inlineStr">
        <is>
          <t>OCP NUTRI</t>
        </is>
      </c>
      <c r="G136" s="81" t="n">
        <v>1</v>
      </c>
      <c r="H136" s="75" t="inlineStr">
        <is>
          <t>MAP</t>
        </is>
      </c>
      <c r="I136" s="306" t="inlineStr">
        <is>
          <t xml:space="preserve">MAP 11 52 SPECIAL </t>
        </is>
      </c>
      <c r="J136" s="50" t="inlineStr">
        <is>
          <t>CFR</t>
        </is>
      </c>
      <c r="K136" s="82" t="n">
        <v>603.48</v>
      </c>
      <c r="L136" s="341">
        <f>D136*K136</f>
        <v/>
      </c>
      <c r="M136" s="14" t="n">
        <v>9.631</v>
      </c>
      <c r="N136" s="335">
        <f>L136*M136</f>
        <v/>
      </c>
      <c r="O136" s="16" t="inlineStr">
        <is>
          <t>252 F DU 26/02/2025</t>
        </is>
      </c>
      <c r="P136" s="16" t="inlineStr">
        <is>
          <t>OCP North America, Inc.</t>
        </is>
      </c>
      <c r="Q136" s="89" t="inlineStr">
        <is>
          <t>AMERIQUE</t>
        </is>
      </c>
      <c r="R136" s="50" t="inlineStr">
        <is>
          <t>CANADA</t>
        </is>
      </c>
      <c r="T136" s="50" t="inlineStr">
        <is>
          <t>INTERTEK</t>
        </is>
      </c>
      <c r="U136" s="81" t="n">
        <v>200</v>
      </c>
      <c r="V136" s="53">
        <f>IF(U136&lt;130, "Mini Bulker", IF(AND(U136&gt;=130, U136&lt;150), "Handysize", IF(AND(U136&gt;=150, U136&lt;200), "Handymax", IF(AND(U136&gt;=200, U136&lt;230), "Panamax", IF(AND(U136&gt;=230, U136&lt;=270), "Capesize", "Autre")))))</f>
        <v/>
      </c>
      <c r="X136" s="14">
        <f>IF(E136&lt;9999,"1",IF(E136&lt;19999,"2",IF(E136&lt;29999,"3",IF(E136&lt;39999,"4",IF(E136&lt;49999,"5",IF(E136&gt;50000,"6"))))))</f>
        <v/>
      </c>
      <c r="Y136" s="75" t="inlineStr">
        <is>
          <t>1BIS</t>
        </is>
      </c>
      <c r="AA136" s="26" t="n">
        <v>45728.33333333334</v>
      </c>
      <c r="AB136" s="26" t="n">
        <v>45728.375</v>
      </c>
      <c r="AC136" s="15" t="n">
        <v>45728</v>
      </c>
      <c r="AD136" s="15" t="n">
        <v>45733</v>
      </c>
      <c r="AE136" s="26" t="n">
        <v>45727.64583333334</v>
      </c>
      <c r="AF136" s="26" t="n">
        <v>45735.08333333334</v>
      </c>
      <c r="AG136" s="26" t="n">
        <v>45735.16666666666</v>
      </c>
      <c r="AH136" s="26" t="n">
        <v>45735.18055555555</v>
      </c>
      <c r="AI136" s="26" t="n">
        <v>45735.25</v>
      </c>
      <c r="AJ136" s="26" t="n">
        <v>45735.26736111111</v>
      </c>
      <c r="AK136" s="26" t="n">
        <v>45737.22916666666</v>
      </c>
      <c r="AL136" s="26" t="n">
        <v>45737.29166666666</v>
      </c>
      <c r="AM136" s="26" t="n">
        <v>45737.375</v>
      </c>
      <c r="AN136" s="26" t="n">
        <v>45737.53680555556</v>
      </c>
      <c r="AO136" s="26" t="n">
        <v>45737.55208333334</v>
      </c>
      <c r="AP136" s="20">
        <f>(AG136-AF136)*1440</f>
        <v/>
      </c>
      <c r="AQ136" s="20">
        <f>(AG136-AE136)*1440</f>
        <v/>
      </c>
      <c r="AR136" s="20">
        <f>(AH136-AF136)*1440</f>
        <v/>
      </c>
      <c r="AS136" s="20">
        <f>(AI136-AH136)*1440</f>
        <v/>
      </c>
      <c r="AT136" s="20">
        <f>(AJ136-AH136)*1440</f>
        <v/>
      </c>
      <c r="AU136" s="20">
        <f>(AL136-AK136)*1440</f>
        <v/>
      </c>
      <c r="AV136" s="20">
        <f>(AM136-AL136)*1440</f>
        <v/>
      </c>
      <c r="AW136" s="20">
        <f>(AO136-AM136)*1440</f>
        <v/>
      </c>
      <c r="AX136" s="19">
        <f>AP136+AS136+AU136+AV136+AW136</f>
        <v/>
      </c>
      <c r="AY136" s="18">
        <f>(AG136-AA136)</f>
        <v/>
      </c>
      <c r="AZ136" s="18">
        <f>(AK136-AJ136)</f>
        <v/>
      </c>
      <c r="BA136" s="18">
        <f>AO136-AG136</f>
        <v/>
      </c>
      <c r="BB136" s="18">
        <f>(AO136-AA136)-(AP136/1440)-(AW136/1440)</f>
        <v/>
      </c>
      <c r="BC136" s="20">
        <f>E136/AZ136</f>
        <v/>
      </c>
      <c r="BE136" s="20">
        <f>IF(E136&lt;10000,3000,IF(E136&lt;15000,3600,IF(E136&lt;20000,4500,IF(E136&lt;25000,6000,IF(E136&lt;30000,7500,IF(E136&lt;40000,9000,IF(E136&gt;40000,10000)))))))</f>
        <v/>
      </c>
      <c r="BF136" s="334">
        <f>(E136/BE136)+2</f>
        <v/>
      </c>
      <c r="BS136" s="24" t="inlineStr">
        <is>
          <t>NUL</t>
        </is>
      </c>
      <c r="BT136" s="99" t="n">
        <v>0</v>
      </c>
      <c r="BW136" s="332">
        <f>AI136-AH136</f>
        <v/>
      </c>
      <c r="BX136" s="24" t="inlineStr">
        <is>
          <t>TBC</t>
        </is>
      </c>
      <c r="BY136" s="24" t="inlineStr">
        <is>
          <t>TBC</t>
        </is>
      </c>
      <c r="CB136" s="14" t="n">
        <v>22701</v>
      </c>
    </row>
    <row r="137" ht="14.55" customHeight="1" s="70">
      <c r="A137" s="81" t="n">
        <v>93</v>
      </c>
      <c r="B137" s="340" t="inlineStr">
        <is>
          <t>KEN BREEZE</t>
        </is>
      </c>
      <c r="C137" s="135" t="n">
        <v>45738</v>
      </c>
      <c r="D137" s="329" t="n">
        <v>19763</v>
      </c>
      <c r="E137" s="333">
        <f>D138+D137</f>
        <v/>
      </c>
      <c r="F137" s="142" t="inlineStr">
        <is>
          <t>OCP NUTRI</t>
        </is>
      </c>
      <c r="G137" s="81" t="n">
        <v>2</v>
      </c>
      <c r="H137" s="75" t="inlineStr">
        <is>
          <t>TSP</t>
        </is>
      </c>
      <c r="I137" s="306" t="inlineStr">
        <is>
          <t xml:space="preserve">TSP SPECIAL JORF </t>
        </is>
      </c>
      <c r="J137" s="50" t="inlineStr">
        <is>
          <t>FOB</t>
        </is>
      </c>
      <c r="K137" s="82" t="n">
        <v>440</v>
      </c>
      <c r="L137" s="341">
        <f>D137*K137</f>
        <v/>
      </c>
      <c r="M137" s="14" t="n">
        <v>9.631</v>
      </c>
      <c r="N137" s="335">
        <f>L137*M137</f>
        <v/>
      </c>
      <c r="O137" s="16" t="inlineStr">
        <is>
          <t>252 F DU 26/02/2025</t>
        </is>
      </c>
      <c r="P137" s="16" t="inlineStr">
        <is>
          <t>AMS Ameropa Marketing and Sales AG</t>
        </is>
      </c>
      <c r="Q137" s="89" t="inlineStr">
        <is>
          <t>AMERIQUE</t>
        </is>
      </c>
      <c r="R137" s="50" t="inlineStr">
        <is>
          <t>CHILE</t>
        </is>
      </c>
      <c r="T137" s="50" t="inlineStr">
        <is>
          <t>INSPECTORATE</t>
        </is>
      </c>
      <c r="U137" s="81" t="n">
        <v>178</v>
      </c>
      <c r="V137" s="53">
        <f>IF(U137&lt;130, "Mini Bulker", IF(AND(U137&gt;=130, U137&lt;150), "Handysize", IF(AND(U137&gt;=150, U137&lt;200), "Handymax", IF(AND(U137&gt;=200, U137&lt;230), "Panamax", IF(AND(U137&gt;=230, U137&lt;=270), "Capesize", "Autre")))))</f>
        <v/>
      </c>
      <c r="X137" s="14">
        <f>IF(E137&lt;9999,"1",IF(E137&lt;19999,"2",IF(E137&lt;29999,"3",IF(E137&lt;39999,"4",IF(E137&lt;49999,"5",IF(E137&gt;50000,"6"))))))</f>
        <v/>
      </c>
      <c r="Y137" s="75" t="inlineStr">
        <is>
          <t>2N</t>
        </is>
      </c>
      <c r="AA137" s="26" t="n">
        <v>45730.47916666666</v>
      </c>
      <c r="AB137" s="26" t="n">
        <v>45730.47916666666</v>
      </c>
      <c r="AC137" s="15" t="n">
        <v>45728</v>
      </c>
      <c r="AD137" s="15" t="n">
        <v>45731</v>
      </c>
      <c r="AE137" s="26" t="n">
        <v>45730.47916666666</v>
      </c>
      <c r="AF137" s="26" t="n">
        <v>45732.875</v>
      </c>
      <c r="AG137" s="26" t="n">
        <v>45732.9375</v>
      </c>
      <c r="AH137" s="26" t="n">
        <v>45732.95833333334</v>
      </c>
      <c r="AI137" s="26" t="n">
        <v>45733.01041666666</v>
      </c>
      <c r="AJ137" s="26" t="n">
        <v>45733.53472222222</v>
      </c>
      <c r="AK137" s="26" t="n">
        <v>45738.1875</v>
      </c>
      <c r="AL137" s="26" t="n">
        <v>45738.22916666666</v>
      </c>
      <c r="AM137" s="26" t="n">
        <v>45738.25</v>
      </c>
      <c r="AN137" s="26" t="n">
        <v>45738.26805555556</v>
      </c>
      <c r="AO137" s="26" t="n">
        <v>45738.31597222222</v>
      </c>
      <c r="AP137" s="20">
        <f>(AG137-AF137)*1440</f>
        <v/>
      </c>
      <c r="AQ137" s="20">
        <f>(AG137-AE137)*1440</f>
        <v/>
      </c>
      <c r="AR137" s="20">
        <f>(AH137-AF137)*1440</f>
        <v/>
      </c>
      <c r="AS137" s="20">
        <f>(AI137-AH137)*1440</f>
        <v/>
      </c>
      <c r="AT137" s="20">
        <f>(AJ137-AH137)*1440</f>
        <v/>
      </c>
      <c r="AU137" s="20">
        <f>(AL137-AK137)*1440</f>
        <v/>
      </c>
      <c r="AV137" s="20">
        <f>(AM137-AL137)*1440</f>
        <v/>
      </c>
      <c r="AW137" s="20">
        <f>(AO137-AM137)*1440</f>
        <v/>
      </c>
      <c r="AX137" s="19">
        <f>AP137+AS137+AU137+AV137+AW137</f>
        <v/>
      </c>
      <c r="AY137" s="18">
        <f>(AG137-AA137)</f>
        <v/>
      </c>
      <c r="AZ137" s="18">
        <f>(AK137-AJ137)</f>
        <v/>
      </c>
      <c r="BA137" s="18">
        <f>AO137-AG137</f>
        <v/>
      </c>
      <c r="BB137" s="18">
        <f>(AO137-AA137)-(AP137/1440)-(AW137/1440)</f>
        <v/>
      </c>
      <c r="BC137" s="20">
        <f>E137/AZ137</f>
        <v/>
      </c>
      <c r="BE137" s="20">
        <f>IF(E137&lt;10000,3000,IF(E137&lt;15000,3600,IF(E137&lt;20000,4500,IF(E137&lt;25000,6000,IF(E137&lt;30000,7500,IF(E137&lt;40000,9000,IF(E137&gt;40000,10000)))))))</f>
        <v/>
      </c>
      <c r="BF137" s="334">
        <f>(E137/BE137)+2</f>
        <v/>
      </c>
      <c r="BS137" s="24" t="inlineStr">
        <is>
          <t xml:space="preserve">LEVER SURSEOIR RECU LE 11/03- 1000 </t>
        </is>
      </c>
      <c r="BT137" s="99" t="n">
        <v>0</v>
      </c>
      <c r="BW137" s="332">
        <f>AI137-AH137</f>
        <v/>
      </c>
      <c r="BX137" s="24" t="inlineStr">
        <is>
          <t>NUL</t>
        </is>
      </c>
      <c r="BY137" s="24" t="inlineStr">
        <is>
          <t>NUL</t>
        </is>
      </c>
      <c r="CB137" s="14" t="n">
        <v>22921</v>
      </c>
      <c r="CE137" s="103" t="n">
        <v>45728</v>
      </c>
    </row>
    <row r="138" ht="15" customHeight="1" s="70">
      <c r="B138" s="340" t="inlineStr">
        <is>
          <t>KEN BREEZE</t>
        </is>
      </c>
      <c r="C138" s="135" t="n">
        <v>45738</v>
      </c>
      <c r="D138" s="329" t="n">
        <v>12945</v>
      </c>
      <c r="E138" s="330" t="n"/>
      <c r="F138" s="142" t="inlineStr">
        <is>
          <t>JFC1</t>
        </is>
      </c>
      <c r="G138" s="81" t="n">
        <v>2</v>
      </c>
      <c r="H138" s="75" t="inlineStr">
        <is>
          <t>MAP</t>
        </is>
      </c>
      <c r="I138" s="306" t="inlineStr">
        <is>
          <t xml:space="preserve">MAP 11 52 SPECIAL </t>
        </is>
      </c>
      <c r="J138" s="50" t="inlineStr">
        <is>
          <t>FOB</t>
        </is>
      </c>
      <c r="K138" s="82" t="n">
        <v>600</v>
      </c>
      <c r="L138" s="341">
        <f>D138*K138</f>
        <v/>
      </c>
      <c r="M138" s="14" t="n">
        <v>9.631</v>
      </c>
      <c r="N138" s="335">
        <f>L138*M138</f>
        <v/>
      </c>
      <c r="O138" s="16" t="inlineStr">
        <is>
          <t>257 L DU 26/02/2025</t>
        </is>
      </c>
      <c r="P138" s="16" t="inlineStr">
        <is>
          <t>AMS Ameropa Marketing and Sales AG</t>
        </is>
      </c>
      <c r="Q138" s="89" t="inlineStr">
        <is>
          <t>AMERIQUE</t>
        </is>
      </c>
      <c r="R138" s="50" t="inlineStr">
        <is>
          <t>CHILE</t>
        </is>
      </c>
      <c r="T138" s="50" t="inlineStr">
        <is>
          <t>INSPECTORATE</t>
        </is>
      </c>
      <c r="U138" s="81" t="n">
        <v>178</v>
      </c>
      <c r="V138" s="53">
        <f>IF(U138&lt;130, "Mini Bulker", IF(AND(U138&gt;=130, U138&lt;150), "Handysize", IF(AND(U138&gt;=150, U138&lt;200), "Handymax", IF(AND(U138&gt;=200, U138&lt;230), "Panamax", IF(AND(U138&gt;=230, U138&lt;=270), "Capesize", "Autre")))))</f>
        <v/>
      </c>
      <c r="X138" s="14">
        <f>IF(E138&lt;9999,"1",IF(E138&lt;19999,"2",IF(E138&lt;29999,"3",IF(E138&lt;39999,"4",IF(E138&lt;49999,"5",IF(E138&gt;50000,"6"))))))</f>
        <v/>
      </c>
      <c r="Y138" s="75" t="inlineStr">
        <is>
          <t>2N</t>
        </is>
      </c>
      <c r="AA138" s="98" t="n"/>
      <c r="AB138" s="98" t="n"/>
      <c r="AC138" s="98" t="n"/>
      <c r="AD138" s="98" t="n"/>
      <c r="AE138" s="98" t="n"/>
      <c r="AF138" s="98" t="n"/>
      <c r="AG138" s="98" t="n"/>
      <c r="AH138" s="98" t="n"/>
      <c r="AI138" s="98" t="n"/>
      <c r="AJ138" s="98" t="n"/>
      <c r="AK138" s="98" t="n"/>
      <c r="AL138" s="98" t="n"/>
      <c r="AM138" s="98" t="n"/>
      <c r="AN138" s="98" t="n"/>
      <c r="AO138" s="98" t="n"/>
      <c r="AP138" s="98" t="n"/>
      <c r="AQ138" s="98" t="n"/>
      <c r="AR138" s="98" t="n"/>
      <c r="AS138" s="98" t="n"/>
      <c r="AT138" s="98" t="n"/>
      <c r="AU138" s="98" t="n"/>
      <c r="AV138" s="98" t="n"/>
      <c r="AW138" s="98" t="n"/>
      <c r="AX138" s="98" t="n"/>
      <c r="AY138" s="98" t="n"/>
      <c r="AZ138" s="98" t="n"/>
      <c r="BA138" s="98" t="n"/>
      <c r="BB138" s="98" t="n"/>
      <c r="BC138" s="98" t="n"/>
      <c r="BD138" s="98" t="n"/>
      <c r="BE138" s="98" t="n"/>
      <c r="BF138" s="98" t="n"/>
      <c r="BS138" s="24" t="inlineStr">
        <is>
          <t xml:space="preserve">LEVER SURSEOIR RECU LE 11/03- 1000 </t>
        </is>
      </c>
      <c r="BT138" s="99" t="n">
        <v>0</v>
      </c>
      <c r="BU138" s="97" t="n"/>
      <c r="BV138" s="97" t="n"/>
      <c r="BW138" s="332">
        <f>AI138-AH138</f>
        <v/>
      </c>
      <c r="BX138" s="24" t="inlineStr">
        <is>
          <t>NUL</t>
        </is>
      </c>
      <c r="BY138" s="24" t="inlineStr">
        <is>
          <t>NUL</t>
        </is>
      </c>
      <c r="CB138" s="14" t="n"/>
    </row>
    <row r="139">
      <c r="A139" s="81" t="n">
        <v>94</v>
      </c>
      <c r="B139" s="340" t="inlineStr">
        <is>
          <t>SOLINA</t>
        </is>
      </c>
      <c r="C139" s="135" t="n">
        <v>45738</v>
      </c>
      <c r="D139" s="329" t="n">
        <v>21635</v>
      </c>
      <c r="E139" s="329" t="n">
        <v>21635</v>
      </c>
      <c r="F139" s="142" t="inlineStr">
        <is>
          <t>JFC2</t>
        </is>
      </c>
      <c r="G139" s="81" t="n">
        <v>1</v>
      </c>
      <c r="H139" s="75" t="inlineStr">
        <is>
          <t>DAP</t>
        </is>
      </c>
      <c r="I139" s="306" t="inlineStr">
        <is>
          <t xml:space="preserve">DAP Euro Low Cd </t>
        </is>
      </c>
      <c r="J139" s="50" t="inlineStr">
        <is>
          <t>FOB</t>
        </is>
      </c>
      <c r="K139" s="82" t="n">
        <v>611.67</v>
      </c>
      <c r="L139" s="341">
        <f>D139*K139</f>
        <v/>
      </c>
      <c r="M139" s="14" t="n">
        <v>9.631</v>
      </c>
      <c r="N139" s="335">
        <f>L139*M139</f>
        <v/>
      </c>
      <c r="O139" s="16" t="inlineStr">
        <is>
          <t>258 M DU 26/02/2025</t>
        </is>
      </c>
      <c r="P139" s="16" t="inlineStr">
        <is>
          <t>PETERSON POLSKA SP.Z O.O.</t>
        </is>
      </c>
      <c r="Q139" s="89" t="inlineStr">
        <is>
          <t>EUROPE</t>
        </is>
      </c>
      <c r="R139" s="50" t="inlineStr">
        <is>
          <t>POLOGNE</t>
        </is>
      </c>
      <c r="T139" s="50" t="inlineStr">
        <is>
          <t>OCP</t>
        </is>
      </c>
      <c r="U139" s="81" t="n">
        <v>189</v>
      </c>
      <c r="V139" s="53">
        <f>IF(U139&lt;130, "Mini Bulker", IF(AND(U139&gt;=130, U139&lt;150), "Handysize", IF(AND(U139&gt;=150, U139&lt;200), "Handymax", IF(AND(U139&gt;=200, U139&lt;230), "Panamax", IF(AND(U139&gt;=230, U139&lt;=270), "Capesize", "Autre")))))</f>
        <v/>
      </c>
      <c r="X139" s="14">
        <f>IF(E139&lt;9999,"1",IF(E139&lt;19999,"2",IF(E139&lt;29999,"3",IF(E139&lt;39999,"4",IF(E139&lt;49999,"5",IF(E139&gt;50000,"6"))))))</f>
        <v/>
      </c>
      <c r="Y139" s="75" t="inlineStr">
        <is>
          <t>2BIS</t>
        </is>
      </c>
      <c r="AA139" s="26" t="n">
        <v>45730.60763888889</v>
      </c>
      <c r="AB139" s="26" t="n">
        <v>45730.60763888889</v>
      </c>
      <c r="AC139" s="15" t="n">
        <v>45728</v>
      </c>
      <c r="AD139" s="15" t="n">
        <v>45730</v>
      </c>
      <c r="AE139" s="26" t="n">
        <v>45730.59375</v>
      </c>
      <c r="AF139" s="26" t="n">
        <v>45735.35416666666</v>
      </c>
      <c r="AG139" s="26" t="n">
        <v>45735.41458333333</v>
      </c>
      <c r="AH139" s="26" t="n">
        <v>45735.43055555555</v>
      </c>
      <c r="AI139" s="26" t="n">
        <v>45735.52777777778</v>
      </c>
      <c r="AJ139" s="26" t="n">
        <v>45735.6875</v>
      </c>
      <c r="AK139" s="26" t="n">
        <v>45738.15972222222</v>
      </c>
      <c r="AL139" s="26" t="n">
        <v>45738.21875</v>
      </c>
      <c r="AM139" s="26" t="n">
        <v>45738.23958333334</v>
      </c>
      <c r="AN139" s="26" t="n">
        <v>45738.29166666666</v>
      </c>
      <c r="AO139" s="26" t="n">
        <v>45738.33333333334</v>
      </c>
      <c r="AP139" s="20">
        <f>(AG139-AF139)*1440</f>
        <v/>
      </c>
      <c r="AQ139" s="20">
        <f>(AG139-AE139)*1440</f>
        <v/>
      </c>
      <c r="AR139" s="20">
        <f>(AH139-AF139)*1440</f>
        <v/>
      </c>
      <c r="AS139" s="20">
        <f>(AI139-AH139)*1440</f>
        <v/>
      </c>
      <c r="AT139" s="20">
        <f>(AJ139-AH139)*1440</f>
        <v/>
      </c>
      <c r="AU139" s="20">
        <f>(AL139-AK139)*1440</f>
        <v/>
      </c>
      <c r="AV139" s="20">
        <f>(AM139-AL139)*1440</f>
        <v/>
      </c>
      <c r="AW139" s="20">
        <f>(AO139-AM139)*1440</f>
        <v/>
      </c>
      <c r="AX139" s="19">
        <f>AP139+AS139+AU139+AV139+AW139</f>
        <v/>
      </c>
      <c r="AY139" s="18">
        <f>(AG139-AA139)</f>
        <v/>
      </c>
      <c r="AZ139" s="18">
        <f>(AK139-AJ139)</f>
        <v/>
      </c>
      <c r="BA139" s="18">
        <f>AO139-AG139</f>
        <v/>
      </c>
      <c r="BB139" s="18">
        <f>(AO139-AA139)-(AP139/1440)-(AW139/1440)</f>
        <v/>
      </c>
      <c r="BC139" s="20">
        <f>E139/AZ139</f>
        <v/>
      </c>
      <c r="BE139" s="20">
        <f>IF(E139&lt;10000,3000,IF(E139&lt;15000,3600,IF(E139&lt;20000,4500,IF(E139&lt;25000,6000,IF(E139&lt;30000,7500,IF(E139&lt;40000,9000,IF(E139&gt;40000,10000)))))))</f>
        <v/>
      </c>
      <c r="BF139" s="334">
        <f>(E139/BE139)+2</f>
        <v/>
      </c>
      <c r="BS139" s="24" t="inlineStr">
        <is>
          <t>NUL</t>
        </is>
      </c>
      <c r="BT139" s="99" t="n">
        <v>0</v>
      </c>
      <c r="BU139" s="97" t="inlineStr">
        <is>
          <t>NON CLEAN</t>
        </is>
      </c>
      <c r="BV139" s="97" t="n"/>
      <c r="BW139" s="332">
        <f>AI139-AH139</f>
        <v/>
      </c>
      <c r="BX139" s="24" t="inlineStr">
        <is>
          <t>NUL</t>
        </is>
      </c>
      <c r="BY139" s="24" t="inlineStr">
        <is>
          <t>NUL</t>
        </is>
      </c>
      <c r="CB139" s="14" t="n">
        <v>20603</v>
      </c>
    </row>
    <row r="140">
      <c r="A140" s="81" t="n">
        <v>95</v>
      </c>
      <c r="B140" s="340" t="inlineStr">
        <is>
          <t>SUPRA</t>
        </is>
      </c>
      <c r="C140" s="135" t="n">
        <v>45739</v>
      </c>
      <c r="D140" s="329" t="n">
        <v>16118</v>
      </c>
      <c r="E140" s="329" t="n">
        <v>16118</v>
      </c>
      <c r="F140" s="142" t="inlineStr">
        <is>
          <t>OCP NUTRI</t>
        </is>
      </c>
      <c r="G140" s="81" t="n">
        <v>1</v>
      </c>
      <c r="H140" s="75" t="inlineStr">
        <is>
          <t>DAP</t>
        </is>
      </c>
      <c r="I140" s="306" t="inlineStr">
        <is>
          <t xml:space="preserve">DAP Euro Low Cd </t>
        </is>
      </c>
      <c r="J140" s="50" t="inlineStr">
        <is>
          <t>FOB</t>
        </is>
      </c>
      <c r="K140" s="82" t="n">
        <v>618.5</v>
      </c>
      <c r="L140" s="341">
        <f>D140*K140</f>
        <v/>
      </c>
      <c r="M140" s="14" t="n">
        <v>9.631</v>
      </c>
      <c r="N140" s="335">
        <f>L140*M140</f>
        <v/>
      </c>
      <c r="O140" s="16" t="inlineStr">
        <is>
          <t>253 F DU 26/02/2025</t>
        </is>
      </c>
      <c r="P140" s="16" t="inlineStr">
        <is>
          <t>Helm AG</t>
        </is>
      </c>
      <c r="Q140" s="89" t="inlineStr">
        <is>
          <t>EUROPE</t>
        </is>
      </c>
      <c r="R140" s="50" t="inlineStr">
        <is>
          <t>Allemagne</t>
        </is>
      </c>
      <c r="T140" s="50" t="inlineStr">
        <is>
          <t>INSPECTORATE</t>
        </is>
      </c>
      <c r="U140" s="81" t="n">
        <v>151</v>
      </c>
      <c r="V140" s="53">
        <f>IF(U140&lt;130, "Mini Bulker", IF(AND(U140&gt;=130, U140&lt;150), "Handysize", IF(AND(U140&gt;=150, U140&lt;200), "Handymax", IF(AND(U140&gt;=200, U140&lt;230), "Panamax", IF(AND(U140&gt;=230, U140&lt;=270), "Capesize", "Autre")))))</f>
        <v/>
      </c>
      <c r="X140" s="14">
        <f>IF(E140&lt;9999,"1",IF(E140&lt;19999,"2",IF(E140&lt;29999,"3",IF(E140&lt;39999,"4",IF(E140&lt;49999,"5",IF(E140&gt;50000,"6"))))))</f>
        <v/>
      </c>
      <c r="Y140" s="75" t="inlineStr">
        <is>
          <t>1BIS</t>
        </is>
      </c>
      <c r="AA140" s="26" t="n">
        <v>45734.77083333334</v>
      </c>
      <c r="AB140" s="26" t="n">
        <v>45735.375</v>
      </c>
      <c r="AC140" s="15" t="n">
        <v>45737</v>
      </c>
      <c r="AD140" s="15" t="n">
        <v>45739</v>
      </c>
      <c r="AE140" s="26" t="n">
        <v>45734.625</v>
      </c>
      <c r="AF140" s="26" t="n">
        <v>45737.69861111111</v>
      </c>
      <c r="AG140" s="26" t="n">
        <v>45737.75</v>
      </c>
      <c r="AH140" s="26" t="n">
        <v>45737.76736111111</v>
      </c>
      <c r="AI140" s="26" t="n">
        <v>45737.84722222222</v>
      </c>
      <c r="AJ140" s="26" t="n">
        <v>45737.91666666666</v>
      </c>
      <c r="AK140" s="26" t="n">
        <v>45739.73263888889</v>
      </c>
      <c r="AL140" s="26" t="n">
        <v>45739.76666666667</v>
      </c>
      <c r="AM140" s="26" t="n">
        <v>45739.78125</v>
      </c>
      <c r="AN140" s="26" t="n">
        <v>45739.83333333334</v>
      </c>
      <c r="AO140" s="26" t="n">
        <v>45739.87847222222</v>
      </c>
      <c r="AP140" s="20">
        <f>(AG140-AF140)*1440</f>
        <v/>
      </c>
      <c r="AQ140" s="20">
        <f>(AG140-AE140)*1440</f>
        <v/>
      </c>
      <c r="AR140" s="20">
        <f>(AH140-AF140)*1440</f>
        <v/>
      </c>
      <c r="AS140" s="20">
        <f>(AI140-AH140)*1440</f>
        <v/>
      </c>
      <c r="AT140" s="20">
        <f>(AJ140-AH140)*1440</f>
        <v/>
      </c>
      <c r="AU140" s="20">
        <f>(AL140-AK140)*1440</f>
        <v/>
      </c>
      <c r="AV140" s="20">
        <f>(AM140-AL140)*1440</f>
        <v/>
      </c>
      <c r="AW140" s="20">
        <f>(AO140-AM140)*1440</f>
        <v/>
      </c>
      <c r="AX140" s="19">
        <f>AP140+AS140+AU140+AV140+AW140</f>
        <v/>
      </c>
      <c r="AY140" s="18">
        <f>(AG140-AA140)</f>
        <v/>
      </c>
      <c r="AZ140" s="18">
        <f>(AK140-AJ140)</f>
        <v/>
      </c>
      <c r="BA140" s="18">
        <f>AO140-AG140</f>
        <v/>
      </c>
      <c r="BB140" s="18">
        <f>(AO140-AA140)-(AP140/1440)-(AW140/1440)</f>
        <v/>
      </c>
      <c r="BC140" s="20">
        <f>E140/AZ140</f>
        <v/>
      </c>
      <c r="BE140" s="20">
        <f>IF(E140&lt;10000,3000,IF(E140&lt;15000,3600,IF(E140&lt;20000,4500,IF(E140&lt;25000,6000,IF(E140&lt;30000,7500,IF(E140&lt;40000,9000,IF(E140&gt;40000,10000)))))))</f>
        <v/>
      </c>
      <c r="BF140" s="334">
        <f>(E140/BE140)+2</f>
        <v/>
      </c>
      <c r="BS140" s="97" t="inlineStr">
        <is>
          <t>NUL</t>
        </is>
      </c>
      <c r="BT140" s="99" t="n">
        <v>0</v>
      </c>
      <c r="BU140" s="97" t="n"/>
      <c r="BV140" s="97" t="n"/>
      <c r="BW140" s="332">
        <f>AI140-AH140</f>
        <v/>
      </c>
      <c r="BX140" s="24" t="inlineStr">
        <is>
          <t>NUL</t>
        </is>
      </c>
      <c r="BY140" s="24" t="inlineStr">
        <is>
          <t>NUL</t>
        </is>
      </c>
      <c r="CB140" s="14" t="n">
        <v>10299</v>
      </c>
    </row>
    <row r="141" ht="14.55" customHeight="1" s="70">
      <c r="A141" s="81" t="n">
        <v>96</v>
      </c>
      <c r="B141" s="340" t="inlineStr">
        <is>
          <t xml:space="preserve">POAVOSA WISDOM VII </t>
        </is>
      </c>
      <c r="C141" s="135" t="n">
        <v>45740</v>
      </c>
      <c r="D141" s="329" t="n">
        <v>11428</v>
      </c>
      <c r="E141" s="329">
        <f>D141+D142+D143</f>
        <v/>
      </c>
      <c r="F141" s="142" t="inlineStr">
        <is>
          <t>OCP NUTRI</t>
        </is>
      </c>
      <c r="G141" s="81" t="n">
        <v>3</v>
      </c>
      <c r="H141" s="75" t="inlineStr">
        <is>
          <t>NPK</t>
        </is>
      </c>
      <c r="I141" s="306" t="inlineStr">
        <is>
          <t xml:space="preserve">NPK 15 15 15 6S 1B2O3 </t>
        </is>
      </c>
      <c r="J141" s="50" t="inlineStr">
        <is>
          <t>CFR</t>
        </is>
      </c>
      <c r="K141" s="82" t="n">
        <v>442</v>
      </c>
      <c r="L141" s="341">
        <f>D141*K141</f>
        <v/>
      </c>
      <c r="M141" s="14" t="n">
        <v>9.631</v>
      </c>
      <c r="N141" s="335">
        <f>L141*M141</f>
        <v/>
      </c>
      <c r="O141" s="16" t="inlineStr">
        <is>
          <t>252 F DU 26/02/2025</t>
        </is>
      </c>
      <c r="P141" s="16" t="inlineStr">
        <is>
          <t>COTONTCHAD SN,</t>
        </is>
      </c>
      <c r="Q141" s="89" t="inlineStr">
        <is>
          <t>AFRIQUE</t>
        </is>
      </c>
      <c r="R141" s="50" t="inlineStr">
        <is>
          <t>Cameroun</t>
        </is>
      </c>
      <c r="T141" s="50" t="inlineStr">
        <is>
          <t>INTERTEK</t>
        </is>
      </c>
      <c r="U141" s="81" t="n">
        <v>169</v>
      </c>
      <c r="V141" s="53">
        <f>IF(U141&lt;130, "Mini Bulker", IF(AND(U141&gt;=130, U141&lt;150), "Handysize", IF(AND(U141&gt;=150, U141&lt;200), "Handymax", IF(AND(U141&gt;=200, U141&lt;230), "Panamax", IF(AND(U141&gt;=230, U141&lt;=270), "Capesize", "Autre")))))</f>
        <v/>
      </c>
      <c r="X141" s="14">
        <f>IF(E141&lt;9999,"1",IF(E141&lt;19999,"2",IF(E141&lt;29999,"3",IF(E141&lt;39999,"4",IF(E141&lt;49999,"5",IF(E141&gt;50000,"6"))))))</f>
        <v/>
      </c>
      <c r="Y141" s="75" t="inlineStr">
        <is>
          <t>1TER</t>
        </is>
      </c>
      <c r="AA141" s="26" t="n">
        <v>45735.13333333333</v>
      </c>
      <c r="AB141" s="26" t="n">
        <v>45735.375</v>
      </c>
      <c r="AC141" s="15" t="n">
        <v>45734</v>
      </c>
      <c r="AD141" s="15" t="n">
        <v>45737</v>
      </c>
      <c r="AE141" s="26" t="n">
        <v>45735.05</v>
      </c>
      <c r="AF141" s="26" t="n">
        <v>45737.62013888889</v>
      </c>
      <c r="AG141" s="26" t="n">
        <v>45737.67916666667</v>
      </c>
      <c r="AH141" s="26" t="n">
        <v>45737.70138888889</v>
      </c>
      <c r="AI141" s="26" t="n">
        <v>45737.77083333334</v>
      </c>
      <c r="AJ141" s="26" t="n">
        <v>45737.77430555555</v>
      </c>
      <c r="AK141" s="26" t="n">
        <v>45740.75</v>
      </c>
      <c r="AL141" s="26" t="n">
        <v>45740.79166666666</v>
      </c>
      <c r="AM141" s="26" t="n">
        <v>45740.79930555556</v>
      </c>
      <c r="AN141" s="26" t="n">
        <v>45740.84097222222</v>
      </c>
      <c r="AO141" s="26" t="n">
        <v>45740.91319444445</v>
      </c>
      <c r="AP141" s="20">
        <f>(AG141-AF141)*1440</f>
        <v/>
      </c>
      <c r="AQ141" s="20">
        <f>(AG141-AE141)*1440</f>
        <v/>
      </c>
      <c r="AR141" s="20">
        <f>(AH141-AF141)*1440</f>
        <v/>
      </c>
      <c r="AS141" s="20">
        <f>(AI141-AH141)*1440</f>
        <v/>
      </c>
      <c r="AT141" s="20">
        <f>(AJ141-AH141)*1440</f>
        <v/>
      </c>
      <c r="AU141" s="20">
        <f>(AL141-AK141)*1440</f>
        <v/>
      </c>
      <c r="AV141" s="20">
        <f>(AM141-AL141)*1440</f>
        <v/>
      </c>
      <c r="AW141" s="20">
        <f>(AO141-AM141)*1440</f>
        <v/>
      </c>
      <c r="AX141" s="19">
        <f>AP141+AS141+AU141+AV141+AW141</f>
        <v/>
      </c>
      <c r="AY141" s="18">
        <f>(AG141-AA141)</f>
        <v/>
      </c>
      <c r="AZ141" s="18">
        <f>(AK141-AJ141)</f>
        <v/>
      </c>
      <c r="BA141" s="18">
        <f>AO141-AG141</f>
        <v/>
      </c>
      <c r="BB141" s="18">
        <f>(AO141-AA141)-(AP141/1440)-(AW141/1440)</f>
        <v/>
      </c>
      <c r="BC141" s="20">
        <f>E141/AZ141</f>
        <v/>
      </c>
      <c r="BE141" s="20">
        <f>IF(E141&lt;10000,3000,IF(E141&lt;15000,3600,IF(E141&lt;20000,4500,IF(E141&lt;25000,6000,IF(E141&lt;30000,7500,IF(E141&lt;40000,9000,IF(E141&gt;40000,10000)))))))</f>
        <v/>
      </c>
      <c r="BF141" s="334">
        <f>(E141/BE141)+2</f>
        <v/>
      </c>
      <c r="BS141" s="97" t="inlineStr">
        <is>
          <t>NUL</t>
        </is>
      </c>
      <c r="BT141" s="99" t="n">
        <v>0</v>
      </c>
      <c r="BU141" s="97" t="n"/>
      <c r="BV141" s="97" t="n"/>
      <c r="BW141" s="332">
        <f>AI141-AH141</f>
        <v/>
      </c>
      <c r="BX141" s="24" t="inlineStr">
        <is>
          <t>NUL</t>
        </is>
      </c>
      <c r="BY141" s="24" t="inlineStr">
        <is>
          <t>NUL</t>
        </is>
      </c>
      <c r="CB141" s="14" t="n">
        <v>17027</v>
      </c>
    </row>
    <row r="142" ht="14.55" customHeight="1" s="70">
      <c r="B142" s="340" t="inlineStr">
        <is>
          <t xml:space="preserve">POAVOSA WISDOM VII </t>
        </is>
      </c>
      <c r="C142" s="135" t="n">
        <v>45740</v>
      </c>
      <c r="D142" s="329" t="n">
        <v>7822</v>
      </c>
      <c r="E142" s="330" t="n"/>
      <c r="F142" s="142" t="inlineStr">
        <is>
          <t>KOFERT</t>
        </is>
      </c>
      <c r="G142" s="81" t="n">
        <v>3</v>
      </c>
      <c r="H142" s="75" t="inlineStr">
        <is>
          <t>DAP</t>
        </is>
      </c>
      <c r="I142" s="306" t="inlineStr">
        <is>
          <t xml:space="preserve">DAP STANDARD </t>
        </is>
      </c>
      <c r="J142" s="50" t="inlineStr">
        <is>
          <t>CFR</t>
        </is>
      </c>
      <c r="K142" s="82" t="n">
        <v>614.5</v>
      </c>
      <c r="L142" s="341">
        <f>D142*K142</f>
        <v/>
      </c>
      <c r="M142" s="14" t="n">
        <v>10.033</v>
      </c>
      <c r="N142" s="335">
        <f>L142*M142</f>
        <v/>
      </c>
      <c r="O142" s="16" t="inlineStr">
        <is>
          <t>259 26/02/2025</t>
        </is>
      </c>
      <c r="P142" s="16" t="inlineStr">
        <is>
          <t>SOLEVO CAMEROUN SA /OCP CAMEROUN SA</t>
        </is>
      </c>
      <c r="Q142" s="89" t="inlineStr">
        <is>
          <t>AFRIQUE</t>
        </is>
      </c>
      <c r="R142" s="50" t="inlineStr">
        <is>
          <t>Cameroun</t>
        </is>
      </c>
      <c r="T142" s="50" t="inlineStr">
        <is>
          <t>INTERTEK</t>
        </is>
      </c>
      <c r="U142" s="81" t="n">
        <v>169</v>
      </c>
      <c r="V142" s="53">
        <f>IF(U142&lt;130, "Mini Bulker", IF(AND(U142&gt;=130, U142&lt;150), "Handysize", IF(AND(U142&gt;=150, U142&lt;200), "Handymax", IF(AND(U142&gt;=200, U142&lt;230), "Panamax", IF(AND(U142&gt;=230, U142&lt;=270), "Capesize", "Autre")))))</f>
        <v/>
      </c>
      <c r="X142" s="14">
        <f>IF(E142&lt;9999,"1",IF(E142&lt;19999,"2",IF(E142&lt;29999,"3",IF(E142&lt;39999,"4",IF(E142&lt;49999,"5",IF(E142&gt;50000,"6"))))))</f>
        <v/>
      </c>
      <c r="Y142" s="75" t="inlineStr">
        <is>
          <t>1TER</t>
        </is>
      </c>
      <c r="AA142" s="98" t="n"/>
      <c r="AB142" s="98" t="n"/>
      <c r="AC142" s="98" t="n"/>
      <c r="AD142" s="98" t="n"/>
      <c r="AE142" s="98" t="n"/>
      <c r="AF142" s="98" t="n"/>
      <c r="AG142" s="98" t="n"/>
      <c r="AH142" s="98" t="n"/>
      <c r="AI142" s="98" t="n"/>
      <c r="AJ142" s="98" t="n"/>
      <c r="AK142" s="98" t="n"/>
      <c r="AL142" s="98" t="n"/>
      <c r="AM142" s="98" t="n"/>
      <c r="AN142" s="98" t="n"/>
      <c r="AO142" s="98" t="n"/>
      <c r="AP142" s="98" t="n"/>
      <c r="AQ142" s="98" t="n"/>
      <c r="AR142" s="98" t="n"/>
      <c r="AS142" s="98" t="n"/>
      <c r="AT142" s="98" t="n"/>
      <c r="AU142" s="98" t="n"/>
      <c r="AV142" s="98" t="n"/>
      <c r="AW142" s="98" t="n"/>
      <c r="AX142" s="98" t="n"/>
      <c r="AY142" s="98" t="n"/>
      <c r="AZ142" s="98" t="n"/>
      <c r="BA142" s="98" t="n"/>
      <c r="BB142" s="98" t="n"/>
      <c r="BC142" s="98" t="n"/>
      <c r="BD142" s="98" t="n"/>
      <c r="BE142" s="98" t="n"/>
      <c r="BF142" s="98" t="n"/>
      <c r="BS142" s="97" t="inlineStr">
        <is>
          <t>NUL</t>
        </is>
      </c>
      <c r="BT142" s="99" t="n">
        <v>0</v>
      </c>
      <c r="BU142" s="97" t="n"/>
      <c r="BV142" s="97" t="n"/>
      <c r="BW142" s="332">
        <f>AI142-AH142</f>
        <v/>
      </c>
      <c r="BX142" s="24" t="inlineStr">
        <is>
          <t>NUL</t>
        </is>
      </c>
      <c r="BY142" s="24" t="inlineStr">
        <is>
          <t>NUL</t>
        </is>
      </c>
      <c r="CB142" s="14" t="n"/>
    </row>
    <row r="143" ht="15" customHeight="1" s="70">
      <c r="B143" s="340" t="inlineStr">
        <is>
          <t xml:space="preserve">POAVOSA WISDOM VII </t>
        </is>
      </c>
      <c r="C143" s="135" t="n">
        <v>45740</v>
      </c>
      <c r="D143" s="329" t="n">
        <v>2000</v>
      </c>
      <c r="E143" s="330" t="n"/>
      <c r="F143" s="142" t="inlineStr">
        <is>
          <t>OCP NUTRI</t>
        </is>
      </c>
      <c r="G143" s="81" t="n">
        <v>3</v>
      </c>
      <c r="H143" s="75" t="inlineStr">
        <is>
          <t>TSP</t>
        </is>
      </c>
      <c r="I143" s="306" t="inlineStr">
        <is>
          <t xml:space="preserve">TSP-JORF </t>
        </is>
      </c>
      <c r="J143" s="50" t="inlineStr">
        <is>
          <t>CFR</t>
        </is>
      </c>
      <c r="K143" s="82" t="n">
        <v>457</v>
      </c>
      <c r="L143" s="341">
        <f>D143*K143</f>
        <v/>
      </c>
      <c r="M143" s="14" t="n">
        <v>10.4355</v>
      </c>
      <c r="N143" s="335">
        <f>L143*M143</f>
        <v/>
      </c>
      <c r="O143" s="16" t="inlineStr">
        <is>
          <t>252 F DU 26/02/2025</t>
        </is>
      </c>
      <c r="P143" s="16" t="inlineStr">
        <is>
          <t>OCP CAMEROUN SA</t>
        </is>
      </c>
      <c r="Q143" s="89" t="inlineStr">
        <is>
          <t>AFRIQUE</t>
        </is>
      </c>
      <c r="R143" s="50" t="inlineStr">
        <is>
          <t>Cameroun</t>
        </is>
      </c>
      <c r="T143" s="50" t="inlineStr">
        <is>
          <t>INTERTEK</t>
        </is>
      </c>
      <c r="U143" s="81" t="n">
        <v>169</v>
      </c>
      <c r="V143" s="53">
        <f>IF(U143&lt;130, "Mini Bulker", IF(AND(U143&gt;=130, U143&lt;150), "Handysize", IF(AND(U143&gt;=150, U143&lt;200), "Handymax", IF(AND(U143&gt;=200, U143&lt;230), "Panamax", IF(AND(U143&gt;=230, U143&lt;=270), "Capesize", "Autre")))))</f>
        <v/>
      </c>
      <c r="X143" s="14">
        <f>IF(E143&lt;9999,"1",IF(E143&lt;19999,"2",IF(E143&lt;29999,"3",IF(E143&lt;39999,"4",IF(E143&lt;49999,"5",IF(E143&gt;50000,"6"))))))</f>
        <v/>
      </c>
      <c r="Y143" s="75" t="inlineStr">
        <is>
          <t>1TER</t>
        </is>
      </c>
      <c r="AA143" s="98" t="n"/>
      <c r="AB143" s="98" t="n"/>
      <c r="AC143" s="98" t="n"/>
      <c r="AD143" s="98" t="n"/>
      <c r="AE143" s="98" t="n"/>
      <c r="AF143" s="98" t="n"/>
      <c r="AG143" s="98" t="n"/>
      <c r="AH143" s="98" t="n"/>
      <c r="AI143" s="98" t="n"/>
      <c r="AJ143" s="98" t="n"/>
      <c r="AK143" s="98" t="n"/>
      <c r="AL143" s="98" t="n"/>
      <c r="AM143" s="98" t="n"/>
      <c r="AN143" s="98" t="n"/>
      <c r="AO143" s="98" t="n"/>
      <c r="AP143" s="98" t="n"/>
      <c r="AQ143" s="98" t="n"/>
      <c r="AR143" s="98" t="n"/>
      <c r="AS143" s="98" t="n"/>
      <c r="AT143" s="98" t="n"/>
      <c r="AU143" s="98" t="n"/>
      <c r="AV143" s="98" t="n"/>
      <c r="AW143" s="98" t="n"/>
      <c r="AX143" s="98" t="n"/>
      <c r="AY143" s="98" t="n"/>
      <c r="AZ143" s="98" t="n"/>
      <c r="BA143" s="98" t="n"/>
      <c r="BB143" s="98" t="n"/>
      <c r="BC143" s="98" t="n"/>
      <c r="BD143" s="98" t="n"/>
      <c r="BE143" s="98" t="n"/>
      <c r="BF143" s="98" t="n"/>
      <c r="BS143" s="97" t="inlineStr">
        <is>
          <t>NUL</t>
        </is>
      </c>
      <c r="BT143" s="99" t="n">
        <v>0</v>
      </c>
      <c r="BW143" s="332">
        <f>AI143-AH143</f>
        <v/>
      </c>
      <c r="BX143" s="24" t="inlineStr">
        <is>
          <t>NUL</t>
        </is>
      </c>
      <c r="BY143" s="24" t="inlineStr">
        <is>
          <t>NUL</t>
        </is>
      </c>
      <c r="CB143" s="14" t="n"/>
    </row>
    <row r="144" ht="14.55" customHeight="1" s="70">
      <c r="A144" s="81" t="n">
        <v>97</v>
      </c>
      <c r="B144" s="340" t="inlineStr">
        <is>
          <t>HAKKI AYKIN</t>
        </is>
      </c>
      <c r="C144" s="135" t="n">
        <v>45741</v>
      </c>
      <c r="D144" s="329" t="n">
        <v>1994</v>
      </c>
      <c r="E144" s="333">
        <f>D145+D144</f>
        <v/>
      </c>
      <c r="G144" s="81" t="n">
        <v>2</v>
      </c>
      <c r="H144" s="75" t="inlineStr">
        <is>
          <t>MAP</t>
        </is>
      </c>
      <c r="I144" s="306" t="inlineStr">
        <is>
          <t xml:space="preserve">MAP 11 52 Special Low Cd </t>
        </is>
      </c>
      <c r="J144" s="50" t="inlineStr">
        <is>
          <t>CFR</t>
        </is>
      </c>
      <c r="K144" s="82" t="n">
        <v>644</v>
      </c>
      <c r="L144" s="341">
        <f>D144*K144</f>
        <v/>
      </c>
      <c r="M144" s="14" t="n"/>
      <c r="N144" s="335">
        <f>L144*M144</f>
        <v/>
      </c>
      <c r="O144" s="16" t="n"/>
      <c r="P144" s="16" t="n"/>
      <c r="Q144" s="89" t="inlineStr">
        <is>
          <t>EUROPE</t>
        </is>
      </c>
      <c r="R144" s="50" t="inlineStr">
        <is>
          <t>France</t>
        </is>
      </c>
      <c r="S144" s="50" t="n"/>
      <c r="T144" s="50" t="inlineStr">
        <is>
          <t>INTERTEK</t>
        </is>
      </c>
      <c r="U144" s="75" t="n">
        <v>101</v>
      </c>
      <c r="V144" s="53">
        <f>IF(U144&lt;130, "Mini Bulker", IF(AND(U144&gt;=130, U144&lt;150), "Handysize", IF(AND(U144&gt;=150, U144&lt;200), "Handymax", IF(AND(U144&gt;=200, U144&lt;230), "Panamax", IF(AND(U144&gt;=230, U144&lt;=270), "Capesize", "Autre")))))</f>
        <v/>
      </c>
      <c r="X144" s="14">
        <f>IF(E144&lt;9999,"1",IF(E144&lt;19999,"2",IF(E144&lt;29999,"3",IF(E144&lt;39999,"4",IF(E144&lt;49999,"5",IF(E144&gt;50000,"6"))))))</f>
        <v/>
      </c>
      <c r="Y144" s="75" t="inlineStr">
        <is>
          <t>4BIS/2TER</t>
        </is>
      </c>
      <c r="AA144" s="26" t="n">
        <v>45735.38541666666</v>
      </c>
      <c r="AB144" s="26" t="n">
        <v>45735.38541666666</v>
      </c>
      <c r="AC144" s="15" t="n">
        <v>45726</v>
      </c>
      <c r="AD144" s="15" t="n">
        <v>45728</v>
      </c>
      <c r="AE144" s="26" t="n">
        <v>45735.38541666666</v>
      </c>
      <c r="AF144" s="26" t="n">
        <v>45734.70347222222</v>
      </c>
      <c r="AG144" s="26" t="n">
        <v>45734.72916666666</v>
      </c>
      <c r="AH144" s="26" t="n">
        <v>45734.74305555555</v>
      </c>
      <c r="AI144" s="26" t="n">
        <v>45735.94444444445</v>
      </c>
      <c r="AJ144" s="26" t="n">
        <v>45738.24305555555</v>
      </c>
      <c r="AK144" s="26" t="n">
        <v>45741.90972222222</v>
      </c>
      <c r="AL144" s="26" t="n">
        <v>45741.99305555555</v>
      </c>
      <c r="AM144" s="26" t="n">
        <v>45742.02777777778</v>
      </c>
      <c r="AN144" s="26" t="n">
        <v>45742.07847222222</v>
      </c>
      <c r="AO144" s="26" t="n">
        <v>45742.10416666666</v>
      </c>
      <c r="AP144" s="20">
        <f>(AG144-AF144)*1440</f>
        <v/>
      </c>
      <c r="AQ144" s="20">
        <f>(AG144-AE144)*1440</f>
        <v/>
      </c>
      <c r="AR144" s="20">
        <f>(AH144-AF144)*1440</f>
        <v/>
      </c>
      <c r="AS144" s="20">
        <f>(AI144-AH144)*1440</f>
        <v/>
      </c>
      <c r="AT144" s="20">
        <f>(AJ144-AH144)*1440</f>
        <v/>
      </c>
      <c r="AU144" s="20">
        <f>(AL144-AK144)*1440</f>
        <v/>
      </c>
      <c r="AV144" s="20">
        <f>(AM144-AL144)*1440</f>
        <v/>
      </c>
      <c r="AW144" s="20">
        <f>(AO144-AM144)*1440</f>
        <v/>
      </c>
      <c r="AX144" s="19">
        <f>AP144+AS144+AU144+AV144+AW144</f>
        <v/>
      </c>
      <c r="AY144" s="18">
        <f>(AG144-AA144)</f>
        <v/>
      </c>
      <c r="AZ144" s="18">
        <f>(AK144-AJ144)</f>
        <v/>
      </c>
      <c r="BA144" s="18">
        <f>AO144-AG144</f>
        <v/>
      </c>
      <c r="BB144" s="18">
        <f>(AO144-AA144)-(AP144/1440)-(AW144/1440)</f>
        <v/>
      </c>
      <c r="BC144" s="20">
        <f>E144/AZ144</f>
        <v/>
      </c>
      <c r="BE144" s="20">
        <f>IF(E144&lt;10000,3000,IF(E144&lt;15000,3600,IF(E144&lt;20000,4500,IF(E144&lt;25000,6000,IF(E144&lt;30000,7500,IF(E144&lt;40000,9000,IF(E144&gt;40000,10000)))))))</f>
        <v/>
      </c>
      <c r="BF144" s="334">
        <f>(E144/BE144)+2</f>
        <v/>
      </c>
      <c r="BS144" s="97" t="inlineStr">
        <is>
          <t>ARRIVEE LE 09/03 - 1750 // 
QUITTE LA RADE VERS CEUTA (SOUTAGE) LE 10/03- 14H00 // CHANGE DU POSTE 4BIS VERS 2TER LE 19/03- 2210</t>
        </is>
      </c>
      <c r="BT144" s="99" t="n">
        <v>2</v>
      </c>
      <c r="BW144" s="332">
        <f>AI144-AH144</f>
        <v/>
      </c>
      <c r="BX144" s="24" t="inlineStr">
        <is>
          <t>NUL</t>
        </is>
      </c>
      <c r="BY144" s="24" t="inlineStr">
        <is>
          <t>NUL</t>
        </is>
      </c>
      <c r="CB144" s="14" t="n">
        <v>4189</v>
      </c>
    </row>
    <row r="145" ht="14.55" customHeight="1" s="70">
      <c r="B145" s="340" t="inlineStr">
        <is>
          <t>HAKKI AYKIN</t>
        </is>
      </c>
      <c r="C145" s="135" t="n">
        <v>45741</v>
      </c>
      <c r="D145" s="329" t="n">
        <v>2400</v>
      </c>
      <c r="E145" s="330" t="n"/>
      <c r="G145" s="81" t="n">
        <v>2</v>
      </c>
      <c r="H145" s="75" t="inlineStr">
        <is>
          <t>DAP</t>
        </is>
      </c>
      <c r="I145" s="306" t="inlineStr">
        <is>
          <t xml:space="preserve">DAP Euro Low Cd </t>
        </is>
      </c>
      <c r="J145" s="50" t="inlineStr">
        <is>
          <t>CFR</t>
        </is>
      </c>
      <c r="K145" s="82" t="n">
        <v>644</v>
      </c>
      <c r="L145" s="341">
        <f>D145*K145</f>
        <v/>
      </c>
      <c r="M145" s="14" t="n"/>
      <c r="N145" s="335">
        <f>L145*M145</f>
        <v/>
      </c>
      <c r="O145" s="16" t="n"/>
      <c r="P145" s="16" t="n"/>
      <c r="Q145" s="89" t="inlineStr">
        <is>
          <t>EUROPE</t>
        </is>
      </c>
      <c r="R145" s="50" t="inlineStr">
        <is>
          <t>France</t>
        </is>
      </c>
      <c r="S145" s="50" t="n"/>
      <c r="T145" s="50" t="inlineStr">
        <is>
          <t>INTERTEK</t>
        </is>
      </c>
      <c r="U145" s="81" t="n">
        <v>101</v>
      </c>
      <c r="V145" s="53">
        <f>IF(U145&lt;130, "Mini Bulker", IF(AND(U145&gt;=130, U145&lt;150), "Handysize", IF(AND(U145&gt;=150, U145&lt;200), "Handymax", IF(AND(U145&gt;=200, U145&lt;230), "Panamax", IF(AND(U145&gt;=230, U145&lt;=270), "Capesize", "Autre")))))</f>
        <v/>
      </c>
      <c r="X145" s="14">
        <f>IF(E145&lt;9999,"1",IF(E145&lt;19999,"2",IF(E145&lt;29999,"3",IF(E145&lt;39999,"4",IF(E145&lt;49999,"5",IF(E145&gt;50000,"6"))))))</f>
        <v/>
      </c>
      <c r="Y145" s="75" t="inlineStr">
        <is>
          <t>4BIS/2TER</t>
        </is>
      </c>
      <c r="AA145" s="98" t="n"/>
      <c r="AB145" s="98" t="n"/>
      <c r="AC145" s="98" t="n"/>
      <c r="AD145" s="98" t="n"/>
      <c r="AE145" s="98" t="n"/>
      <c r="AF145" s="98" t="n"/>
      <c r="AG145" s="98" t="n"/>
      <c r="AH145" s="98" t="n"/>
      <c r="AI145" s="98" t="n"/>
      <c r="AJ145" s="98" t="n"/>
      <c r="AK145" s="98" t="n"/>
      <c r="AL145" s="98" t="n"/>
      <c r="AM145" s="98" t="n"/>
      <c r="AN145" s="98" t="n"/>
      <c r="AO145" s="98" t="n"/>
      <c r="AP145" s="98" t="n"/>
      <c r="AQ145" s="98" t="n"/>
      <c r="AR145" s="98" t="n"/>
      <c r="AS145" s="98" t="n"/>
      <c r="AT145" s="98" t="n"/>
      <c r="AU145" s="98" t="n"/>
      <c r="AV145" s="98" t="n"/>
      <c r="AW145" s="98" t="n"/>
      <c r="AX145" s="98" t="n"/>
      <c r="AY145" s="98" t="n"/>
      <c r="AZ145" s="98" t="n"/>
      <c r="BA145" s="98" t="n"/>
      <c r="BB145" s="98" t="n"/>
      <c r="BC145" s="98" t="n"/>
      <c r="BD145" s="98" t="n"/>
      <c r="BE145" s="98" t="n"/>
      <c r="BF145" s="98" t="n"/>
      <c r="BG145" s="98" t="n"/>
      <c r="BH145" s="98" t="n"/>
      <c r="BI145" s="98" t="n"/>
      <c r="BJ145" s="98" t="n"/>
      <c r="BK145" s="98" t="n"/>
      <c r="BL145" s="98" t="n"/>
      <c r="BM145" s="98" t="n"/>
      <c r="BN145" s="98" t="n"/>
      <c r="BO145" s="98" t="n"/>
      <c r="BS145" s="97" t="inlineStr">
        <is>
          <t>ARRIVEE LE 09/03 - 1750 // 
QUITTE LA RADE VERS CEUTA (SOUTAGE) LE 10/03- 14H00 // CHANGE DU POSTE 4BIS VERS 2TER LE 19/03- 2210</t>
        </is>
      </c>
      <c r="BT145" s="99" t="n">
        <v>2</v>
      </c>
      <c r="BW145" s="332">
        <f>AI145-AH145</f>
        <v/>
      </c>
      <c r="BX145" s="24" t="inlineStr">
        <is>
          <t>NUL</t>
        </is>
      </c>
      <c r="BY145" s="24" t="inlineStr">
        <is>
          <t>NUL</t>
        </is>
      </c>
      <c r="CB145" s="14" t="n"/>
    </row>
    <row r="146" ht="14.55" customHeight="1" s="70">
      <c r="A146" s="81" t="n">
        <v>98</v>
      </c>
      <c r="B146" s="340" t="inlineStr">
        <is>
          <t>ADAVEGA</t>
        </is>
      </c>
      <c r="C146" s="135" t="n">
        <v>45742</v>
      </c>
      <c r="D146" s="329" t="n">
        <v>7500</v>
      </c>
      <c r="E146" s="333">
        <f>D147+D146</f>
        <v/>
      </c>
      <c r="F146" s="142" t="inlineStr">
        <is>
          <t>JFC2</t>
        </is>
      </c>
      <c r="G146" s="81" t="n">
        <v>2</v>
      </c>
      <c r="H146" s="75" t="inlineStr">
        <is>
          <t>DAP</t>
        </is>
      </c>
      <c r="I146" s="306" t="inlineStr">
        <is>
          <t xml:space="preserve">DAP Euro Low Cd </t>
        </is>
      </c>
      <c r="J146" s="53" t="inlineStr">
        <is>
          <t>FOB</t>
        </is>
      </c>
      <c r="K146" s="82" t="n">
        <v>625</v>
      </c>
      <c r="L146" s="341">
        <f>D146*K146</f>
        <v/>
      </c>
      <c r="M146" s="14" t="n">
        <v>9.5746</v>
      </c>
      <c r="N146" s="335">
        <f>L146*M146</f>
        <v/>
      </c>
      <c r="O146" s="16" t="inlineStr">
        <is>
          <t>383 Y DU 26/03/2025</t>
        </is>
      </c>
      <c r="P146" s="16" t="inlineStr">
        <is>
          <t>Helm AG</t>
        </is>
      </c>
      <c r="Q146" s="89" t="inlineStr">
        <is>
          <t>EUROPE</t>
        </is>
      </c>
      <c r="R146" s="50" t="inlineStr">
        <is>
          <t>Lithuania</t>
        </is>
      </c>
      <c r="S146" s="50" t="n"/>
      <c r="T146" s="50" t="inlineStr">
        <is>
          <t>INSPECTORATE</t>
        </is>
      </c>
      <c r="U146" s="81" t="n">
        <v>116</v>
      </c>
      <c r="V146" s="53">
        <f>IF(U146&lt;130, "Mini Bulker", IF(AND(U146&gt;=130, U146&lt;150), "Handysize", IF(AND(U146&gt;=150, U146&lt;200), "Handymax", IF(AND(U146&gt;=200, U146&lt;230), "Panamax", IF(AND(U146&gt;=230, U146&lt;=270), "Capesize", "Autre")))))</f>
        <v/>
      </c>
      <c r="X146" s="14">
        <f>IF(E146&lt;9999,"1",IF(E146&lt;19999,"2",IF(E146&lt;29999,"3",IF(E146&lt;39999,"4",IF(E146&lt;49999,"5",IF(E146&gt;50000,"6"))))))</f>
        <v/>
      </c>
      <c r="Y146" s="75" t="inlineStr">
        <is>
          <t>4BIS/1TER</t>
        </is>
      </c>
      <c r="AA146" s="26" t="n">
        <v>45735.33333333334</v>
      </c>
      <c r="AB146" s="26" t="n">
        <v>45735.375</v>
      </c>
      <c r="AC146" s="15" t="n">
        <v>45734</v>
      </c>
      <c r="AD146" s="15" t="n">
        <v>45736</v>
      </c>
      <c r="AE146" s="26" t="n">
        <v>45735.09375</v>
      </c>
      <c r="AF146" s="26" t="n">
        <v>45737.44652777778</v>
      </c>
      <c r="AG146" s="26" t="n">
        <v>45737.54166666666</v>
      </c>
      <c r="AH146" s="26" t="n">
        <v>45737.57291666666</v>
      </c>
      <c r="AI146" s="26" t="n">
        <v>45738.97916666666</v>
      </c>
      <c r="AJ146" s="26" t="n">
        <v>45739.02083333334</v>
      </c>
      <c r="AK146" s="26" t="n">
        <v>45742.33333333334</v>
      </c>
      <c r="AL146" s="26" t="n">
        <v>45742.375</v>
      </c>
      <c r="AM146" s="26" t="n">
        <v>45742.4375</v>
      </c>
      <c r="AN146" s="26" t="n">
        <v>45742.51041666666</v>
      </c>
      <c r="AO146" s="26" t="n">
        <v>45742.53611111111</v>
      </c>
      <c r="AP146" s="20">
        <f>(AG146-AF146)*1440</f>
        <v/>
      </c>
      <c r="AQ146" s="20">
        <f>(AG146-AE146)*1440</f>
        <v/>
      </c>
      <c r="AR146" s="20">
        <f>(AH146-AF146)*1440</f>
        <v/>
      </c>
      <c r="AS146" s="20">
        <f>(AI146-AH146)*1440</f>
        <v/>
      </c>
      <c r="AT146" s="20">
        <f>(AJ146-AH146)*1440</f>
        <v/>
      </c>
      <c r="AU146" s="20">
        <f>(AL146-AK146)*1440</f>
        <v/>
      </c>
      <c r="AV146" s="20">
        <f>(AM146-AL146)*1440</f>
        <v/>
      </c>
      <c r="AW146" s="20">
        <f>(AO146-AM146)*1440</f>
        <v/>
      </c>
      <c r="AX146" s="19">
        <f>AP146+AS146+AU146+AV146+AW146</f>
        <v/>
      </c>
      <c r="AY146" s="18">
        <f>(AG146-AA146)</f>
        <v/>
      </c>
      <c r="AZ146" s="18">
        <f>(AK146-AJ146)</f>
        <v/>
      </c>
      <c r="BA146" s="18">
        <f>AO146-AG146</f>
        <v/>
      </c>
      <c r="BB146" s="18">
        <f>(AO146-AA146)-(AP146/1440)-(AW146/1440)</f>
        <v/>
      </c>
      <c r="BC146" s="20">
        <f>E146/AZ146</f>
        <v/>
      </c>
      <c r="BE146" s="20">
        <f>IF(E146&lt;10000,3000,IF(E146&lt;15000,3600,IF(E146&lt;20000,4500,IF(E146&lt;25000,6000,IF(E146&lt;30000,7500,IF(E146&lt;40000,9000,IF(E146&gt;40000,10000)))))))</f>
        <v/>
      </c>
      <c r="BF146" s="334">
        <f>(E146/BE146)+2</f>
        <v/>
      </c>
      <c r="BS146" s="97" t="inlineStr">
        <is>
          <t>CHANGE DU POSTE 4BIS VERS POSTE 1TER LE 24/03- 2310</t>
        </is>
      </c>
      <c r="BT146" s="99" t="n">
        <v>1</v>
      </c>
      <c r="BW146" s="332">
        <f>AI146-AH146</f>
        <v/>
      </c>
      <c r="BX146" s="24" t="inlineStr">
        <is>
          <t>NUL</t>
        </is>
      </c>
      <c r="BY146" s="24" t="inlineStr">
        <is>
          <t>NUL</t>
        </is>
      </c>
      <c r="CB146" s="14" t="n">
        <v>7404</v>
      </c>
    </row>
    <row r="147" ht="14.55" customHeight="1" s="70">
      <c r="A147" s="81" t="n"/>
      <c r="B147" s="340" t="inlineStr">
        <is>
          <t>ADAVEGA</t>
        </is>
      </c>
      <c r="C147" s="135" t="n">
        <v>45742</v>
      </c>
      <c r="D147" s="329" t="n">
        <v>3500</v>
      </c>
      <c r="E147" s="330" t="n"/>
      <c r="F147" s="142" t="inlineStr">
        <is>
          <t>JFC2</t>
        </is>
      </c>
      <c r="G147" s="81" t="n">
        <v>2</v>
      </c>
      <c r="H147" s="75" t="inlineStr">
        <is>
          <t>DAP</t>
        </is>
      </c>
      <c r="I147" s="306" t="inlineStr">
        <is>
          <t xml:space="preserve">DAP HUNGARY </t>
        </is>
      </c>
      <c r="J147" s="53" t="inlineStr">
        <is>
          <t>FOB</t>
        </is>
      </c>
      <c r="K147" s="82" t="n">
        <v>625</v>
      </c>
      <c r="L147" s="341">
        <f>D147*K147</f>
        <v/>
      </c>
      <c r="M147" s="14" t="n">
        <v>9.5746</v>
      </c>
      <c r="N147" s="335">
        <f>L147*M147</f>
        <v/>
      </c>
      <c r="O147" s="16" t="inlineStr">
        <is>
          <t>383 Y DU 26/03/2025</t>
        </is>
      </c>
      <c r="P147" s="16" t="inlineStr">
        <is>
          <t>Helm AG</t>
        </is>
      </c>
      <c r="Q147" s="89" t="inlineStr">
        <is>
          <t>EUROPE</t>
        </is>
      </c>
      <c r="R147" s="50" t="inlineStr">
        <is>
          <t>Germany</t>
        </is>
      </c>
      <c r="S147" s="50" t="n"/>
      <c r="T147" s="50" t="inlineStr">
        <is>
          <t>INSPECTORATE</t>
        </is>
      </c>
      <c r="U147" s="81" t="n">
        <v>116</v>
      </c>
      <c r="V147" s="53">
        <f>IF(U147&lt;130, "Mini Bulker", IF(AND(U147&gt;=130, U147&lt;150), "Handysize", IF(AND(U147&gt;=150, U147&lt;200), "Handymax", IF(AND(U147&gt;=200, U147&lt;230), "Panamax", IF(AND(U147&gt;=230, U147&lt;=270), "Capesize", "Autre")))))</f>
        <v/>
      </c>
      <c r="X147" s="14">
        <f>IF(E147&lt;9999,"1",IF(E147&lt;19999,"2",IF(E147&lt;29999,"3",IF(E147&lt;39999,"4",IF(E147&lt;49999,"5",IF(E147&gt;50000,"6"))))))</f>
        <v/>
      </c>
      <c r="Y147" s="75" t="inlineStr">
        <is>
          <t>4BIS/1TER</t>
        </is>
      </c>
      <c r="AA147" s="98" t="n"/>
      <c r="AB147" s="98" t="n"/>
      <c r="AC147" s="98" t="n"/>
      <c r="AD147" s="98" t="n"/>
      <c r="AE147" s="98" t="n"/>
      <c r="AF147" s="98" t="n"/>
      <c r="AG147" s="98" t="n"/>
      <c r="AH147" s="98" t="n"/>
      <c r="AI147" s="98" t="n"/>
      <c r="AJ147" s="98" t="n"/>
      <c r="AK147" s="98" t="n"/>
      <c r="AL147" s="98" t="n"/>
      <c r="AM147" s="98" t="n"/>
      <c r="AN147" s="98" t="n"/>
      <c r="AO147" s="98" t="n"/>
      <c r="AP147" s="98" t="n"/>
      <c r="AQ147" s="98" t="n"/>
      <c r="AR147" s="98" t="n"/>
      <c r="AS147" s="98" t="n"/>
      <c r="AT147" s="98" t="n"/>
      <c r="AU147" s="98" t="n"/>
      <c r="AV147" s="98" t="n"/>
      <c r="AW147" s="98" t="n"/>
      <c r="AX147" s="98" t="n"/>
      <c r="AY147" s="98" t="n"/>
      <c r="AZ147" s="98" t="n"/>
      <c r="BA147" s="98" t="n"/>
      <c r="BB147" s="98" t="n"/>
      <c r="BC147" s="98" t="n"/>
      <c r="BD147" s="98" t="n"/>
      <c r="BE147" s="98" t="n"/>
      <c r="BF147" s="98" t="n"/>
      <c r="BG147" s="98" t="n"/>
      <c r="BH147" s="98" t="n"/>
      <c r="BI147" s="98" t="n"/>
      <c r="BJ147" s="98" t="n"/>
      <c r="BK147" s="98" t="n"/>
      <c r="BL147" s="98" t="n"/>
      <c r="BM147" s="98" t="n"/>
      <c r="BN147" s="98" t="n"/>
      <c r="BO147" s="98" t="n"/>
      <c r="BS147" s="97" t="inlineStr">
        <is>
          <t>CHANGE DU POSTE 4BIS VERS POSTE 1TER LE 24/03- 2310</t>
        </is>
      </c>
      <c r="BT147" s="99" t="n">
        <v>1</v>
      </c>
      <c r="BW147" s="332">
        <f>AI147-AH147</f>
        <v/>
      </c>
      <c r="BX147" s="24" t="inlineStr">
        <is>
          <t>NUL</t>
        </is>
      </c>
      <c r="BY147" s="24" t="inlineStr">
        <is>
          <t>NUL</t>
        </is>
      </c>
      <c r="CB147" s="14" t="n"/>
    </row>
    <row r="148">
      <c r="A148" s="81" t="n">
        <v>99</v>
      </c>
      <c r="B148" s="340" t="inlineStr">
        <is>
          <t>GLOBAL UNITY</t>
        </is>
      </c>
      <c r="C148" s="135" t="n">
        <v>45742</v>
      </c>
      <c r="D148" s="329" t="n">
        <v>45376</v>
      </c>
      <c r="E148" s="329" t="n">
        <v>45376</v>
      </c>
      <c r="F148" s="142" t="inlineStr">
        <is>
          <t>OCP NUTRI</t>
        </is>
      </c>
      <c r="G148" s="81" t="n">
        <v>1</v>
      </c>
      <c r="H148" s="75" t="inlineStr">
        <is>
          <t>NPK</t>
        </is>
      </c>
      <c r="I148" s="306" t="inlineStr">
        <is>
          <t xml:space="preserve">NPK 14 18 18 6S 1B2O3 AFRIQUE </t>
        </is>
      </c>
      <c r="J148" s="53" t="inlineStr">
        <is>
          <t>FOB</t>
        </is>
      </c>
      <c r="K148" s="82" t="n">
        <v>420</v>
      </c>
      <c r="L148" s="341">
        <f>D148*K148</f>
        <v/>
      </c>
      <c r="M148" s="14" t="n">
        <v>9.5746</v>
      </c>
      <c r="N148" s="335">
        <f>L148*M148</f>
        <v/>
      </c>
      <c r="O148" s="16" t="inlineStr">
        <is>
          <t>377 S 26/03/2025</t>
        </is>
      </c>
      <c r="P148" s="16" t="inlineStr">
        <is>
          <t xml:space="preserve">SOCIETE POUR LE DEVELOPPEMENT DU COTON </t>
        </is>
      </c>
      <c r="Q148" s="89" t="inlineStr">
        <is>
          <t>AFRIQUE</t>
        </is>
      </c>
      <c r="R148" s="50" t="inlineStr">
        <is>
          <t>BENIN</t>
        </is>
      </c>
      <c r="S148" s="50" t="n"/>
      <c r="T148" s="50" t="inlineStr">
        <is>
          <t>INTERTEK</t>
        </is>
      </c>
      <c r="U148" s="81" t="n">
        <v>194</v>
      </c>
      <c r="V148" s="53">
        <f>IF(U148&lt;130, "Mini Bulker", IF(AND(U148&gt;=130, U148&lt;150), "Handysize", IF(AND(U148&gt;=150, U148&lt;200), "Handymax", IF(AND(U148&gt;=200, U148&lt;230), "Panamax", IF(AND(U148&gt;=230, U148&lt;=270), "Capesize", "Autre")))))</f>
        <v/>
      </c>
      <c r="X148" s="14">
        <f>IF(E148&lt;9999,"1",IF(E148&lt;19999,"2",IF(E148&lt;29999,"3",IF(E148&lt;39999,"4",IF(E148&lt;49999,"5",IF(E148&gt;50000,"6"))))))</f>
        <v/>
      </c>
      <c r="Y148" s="75" t="inlineStr">
        <is>
          <t>1N</t>
        </is>
      </c>
      <c r="AA148" s="26" t="n">
        <v>45729.00069444445</v>
      </c>
      <c r="AB148" s="26" t="n">
        <v>45729.375</v>
      </c>
      <c r="AC148" s="15" t="n">
        <v>45730</v>
      </c>
      <c r="AD148" s="15" t="n">
        <v>45734</v>
      </c>
      <c r="AE148" s="26" t="n">
        <v>45729.00069444445</v>
      </c>
      <c r="AF148" s="26" t="n">
        <v>45737.83333333334</v>
      </c>
      <c r="AG148" s="26" t="n">
        <v>45737.94583333333</v>
      </c>
      <c r="AH148" s="26" t="n">
        <v>45737.96527777778</v>
      </c>
      <c r="AI148" s="26" t="n">
        <v>45738.03472222222</v>
      </c>
      <c r="AJ148" s="26" t="n">
        <v>45738.04166666666</v>
      </c>
      <c r="AK148" s="26" t="n">
        <v>45742.5</v>
      </c>
      <c r="AL148" s="26" t="n">
        <v>45742.54513888889</v>
      </c>
      <c r="AM148" s="26" t="n">
        <v>45742.61180555556</v>
      </c>
      <c r="AN148" s="26" t="n">
        <v>45742.65347222222</v>
      </c>
      <c r="AO148" s="26" t="n">
        <v>45742.67638888889</v>
      </c>
      <c r="AP148" s="20">
        <f>(AG148-AF148)*1440</f>
        <v/>
      </c>
      <c r="AQ148" s="20">
        <f>(AG148-AE148)*1440</f>
        <v/>
      </c>
      <c r="AR148" s="20">
        <f>(AH148-AF148)*1440</f>
        <v/>
      </c>
      <c r="AS148" s="20">
        <f>(AI148-AH148)*1440</f>
        <v/>
      </c>
      <c r="AT148" s="20">
        <f>(AJ148-AH148)*1440</f>
        <v/>
      </c>
      <c r="AU148" s="20">
        <f>(AL148-AK148)*1440</f>
        <v/>
      </c>
      <c r="AV148" s="20">
        <f>(AM148-AL148)*1440</f>
        <v/>
      </c>
      <c r="AW148" s="20">
        <f>(AO148-AM148)*1440</f>
        <v/>
      </c>
      <c r="AX148" s="19">
        <f>AP148+AS148+AU148+AV148+AW148</f>
        <v/>
      </c>
      <c r="AY148" s="18">
        <f>(AG148-AA148)</f>
        <v/>
      </c>
      <c r="AZ148" s="18">
        <f>(AK148-AJ148)</f>
        <v/>
      </c>
      <c r="BA148" s="18">
        <f>AO148-AG148</f>
        <v/>
      </c>
      <c r="BB148" s="18">
        <f>(AO148-AA148)-(AP148/1440)-(AW148/1440)</f>
        <v/>
      </c>
      <c r="BC148" s="20">
        <f>E148/AZ148</f>
        <v/>
      </c>
      <c r="BE148" s="20">
        <f>IF(E148&lt;10000,3000,IF(E148&lt;15000,3600,IF(E148&lt;20000,4500,IF(E148&lt;25000,6000,IF(E148&lt;30000,7500,IF(E148&lt;40000,9000,IF(E148&gt;40000,10000)))))))</f>
        <v/>
      </c>
      <c r="BF148" s="334">
        <f>(E148/BE148)+2</f>
        <v/>
      </c>
      <c r="BS148" s="97" t="inlineStr">
        <is>
          <t>NUL</t>
        </is>
      </c>
      <c r="BT148" s="99" t="n">
        <v>0</v>
      </c>
      <c r="BW148" s="332">
        <f>AI148-AH148</f>
        <v/>
      </c>
      <c r="BX148" s="24" t="n"/>
      <c r="BY148" s="24" t="n">
        <v>100</v>
      </c>
      <c r="CB148" s="14" t="n">
        <v>35812</v>
      </c>
    </row>
    <row r="149" ht="14.55" customHeight="1" s="70">
      <c r="A149" s="81" t="n">
        <v>100</v>
      </c>
      <c r="B149" s="340" t="inlineStr">
        <is>
          <t>WAGON ALFA</t>
        </is>
      </c>
      <c r="C149" s="135" t="n">
        <v>45742</v>
      </c>
      <c r="D149" s="329" t="n">
        <v>2158</v>
      </c>
      <c r="E149" s="333">
        <f>D150+D149</f>
        <v/>
      </c>
      <c r="F149" s="142" t="n"/>
      <c r="G149" s="81" t="n">
        <v>2</v>
      </c>
      <c r="H149" s="75" t="inlineStr">
        <is>
          <t>MAP</t>
        </is>
      </c>
      <c r="I149" s="306" t="inlineStr">
        <is>
          <t xml:space="preserve">MAP 11 52 Special Low Cd </t>
        </is>
      </c>
      <c r="J149" s="53" t="inlineStr">
        <is>
          <t>CFR</t>
        </is>
      </c>
      <c r="K149" s="82" t="n"/>
      <c r="L149" s="341">
        <f>D149*K149</f>
        <v/>
      </c>
      <c r="M149" s="14" t="n"/>
      <c r="N149" s="335">
        <f>L149*M149</f>
        <v/>
      </c>
      <c r="O149" s="16" t="n"/>
      <c r="P149" s="16" t="n"/>
      <c r="Q149" s="89" t="inlineStr">
        <is>
          <t>EUROPE</t>
        </is>
      </c>
      <c r="R149" s="50" t="inlineStr">
        <is>
          <t>Espagne</t>
        </is>
      </c>
      <c r="S149" s="50" t="n"/>
      <c r="T149" s="50" t="inlineStr">
        <is>
          <t>INTERTEK</t>
        </is>
      </c>
      <c r="U149" s="81" t="n">
        <v>118</v>
      </c>
      <c r="V149" s="53">
        <f>IF(U149&lt;130, "Mini Bulker", IF(AND(U149&gt;=130, U149&lt;150), "Handysize", IF(AND(U149&gt;=150, U149&lt;200), "Handymax", IF(AND(U149&gt;=200, U149&lt;230), "Panamax", IF(AND(U149&gt;=230, U149&lt;=270), "Capesize", "Autre")))))</f>
        <v/>
      </c>
      <c r="X149" s="14">
        <f>IF(E149&lt;9999,"1",IF(E149&lt;19999,"2",IF(E149&lt;29999,"3",IF(E149&lt;39999,"4",IF(E149&lt;49999,"5",IF(E149&gt;50000,"6"))))))</f>
        <v/>
      </c>
      <c r="Y149" s="75" t="inlineStr">
        <is>
          <t>4BIS/1N/2TER/1TER/5/16S/2TER</t>
        </is>
      </c>
      <c r="AA149" s="26" t="n">
        <v>45724.99652777778</v>
      </c>
      <c r="AB149" s="26" t="n">
        <v>45726.375</v>
      </c>
      <c r="AC149" s="15" t="n">
        <v>45723</v>
      </c>
      <c r="AD149" s="15" t="n">
        <v>45725</v>
      </c>
      <c r="AE149" s="26" t="n">
        <v>45724.99652777778</v>
      </c>
      <c r="AF149" s="26" t="n">
        <v>45732.96180555555</v>
      </c>
      <c r="AG149" s="26" t="n">
        <v>45733.05902777778</v>
      </c>
      <c r="AH149" s="26" t="n">
        <v>45733.08333333334</v>
      </c>
      <c r="AI149" s="26" t="n">
        <v>45733.41666666666</v>
      </c>
      <c r="AJ149" s="26" t="n">
        <v>45734.22222222222</v>
      </c>
      <c r="AK149" s="26" t="n">
        <v>45742.89583333334</v>
      </c>
      <c r="AL149" s="26" t="n">
        <v>45742.94444444445</v>
      </c>
      <c r="AM149" s="26" t="n">
        <v>45742.96875</v>
      </c>
      <c r="AN149" s="26" t="n">
        <v>45743.04027777778</v>
      </c>
      <c r="AO149" s="26" t="n">
        <v>45743.0625</v>
      </c>
      <c r="AP149" s="20">
        <f>(AG149-AF149)*1440</f>
        <v/>
      </c>
      <c r="AQ149" s="20">
        <f>(AG149-AE149)*1440</f>
        <v/>
      </c>
      <c r="AR149" s="20">
        <f>(AH149-AF149)*1440</f>
        <v/>
      </c>
      <c r="AS149" s="20">
        <f>(AI149-AH149)*1440</f>
        <v/>
      </c>
      <c r="AT149" s="20">
        <f>(AJ149-AH149)*1440</f>
        <v/>
      </c>
      <c r="AU149" s="20">
        <f>(AL149-AK149)*1440</f>
        <v/>
      </c>
      <c r="AV149" s="20">
        <f>(AM149-AL149)*1440</f>
        <v/>
      </c>
      <c r="AW149" s="20">
        <f>(AO149-AM149)*1440</f>
        <v/>
      </c>
      <c r="AX149" s="19">
        <f>AP149+AS149+AU149+AV149+AW149</f>
        <v/>
      </c>
      <c r="AY149" s="18">
        <f>(AG149-AA149)</f>
        <v/>
      </c>
      <c r="AZ149" s="18">
        <f>(AK149-AJ149)</f>
        <v/>
      </c>
      <c r="BA149" s="18">
        <f>AO149-AG149</f>
        <v/>
      </c>
      <c r="BB149" s="18">
        <f>(AO149-AA149)-(AP149/1440)-(AW149/1440)</f>
        <v/>
      </c>
      <c r="BC149" s="20">
        <f>E149/AZ149</f>
        <v/>
      </c>
      <c r="BS149" s="97" t="inlineStr">
        <is>
          <t>CHANGE DU POSTE 4BIS VERS POSTE 1N LE 17/03- 0950 // CHANGE DU POSTE 2TER VERS POSTE 1TER LE 18/03- 1515// CHANGE DU POSTE 1TER VERS POSTE 5 LE 21/03 - 1215// CHANGE DU POSTE 5 VERS POSTE 16S LE 22/03- 0625 // CHANGE DU POSTE 16S VERS LA RADE LE 23/03- 2035 // RE-ACC AU POSTE 2TER LE 26/03- 0440</t>
        </is>
      </c>
      <c r="BT149" s="99" t="n">
        <v>6</v>
      </c>
      <c r="BW149" s="332">
        <f>AI149-AH149</f>
        <v/>
      </c>
      <c r="BX149" s="24" t="n"/>
      <c r="BY149" s="24" t="n">
        <v>20</v>
      </c>
      <c r="CB149" s="14" t="n">
        <v>4803</v>
      </c>
    </row>
    <row r="150" ht="14.55" customHeight="1" s="70">
      <c r="A150" s="81" t="n"/>
      <c r="B150" s="340" t="inlineStr">
        <is>
          <t>WAGON ALFA</t>
        </is>
      </c>
      <c r="C150" s="135" t="n">
        <v>45742</v>
      </c>
      <c r="D150" s="329" t="n">
        <v>5681</v>
      </c>
      <c r="E150" s="330" t="n"/>
      <c r="F150" s="142" t="n"/>
      <c r="G150" s="81" t="n">
        <v>2</v>
      </c>
      <c r="H150" s="75" t="inlineStr">
        <is>
          <t>DAP</t>
        </is>
      </c>
      <c r="I150" s="306" t="inlineStr">
        <is>
          <t xml:space="preserve">DAP Euro Low Cd </t>
        </is>
      </c>
      <c r="J150" s="53" t="inlineStr">
        <is>
          <t>CFR</t>
        </is>
      </c>
      <c r="K150" s="82" t="n"/>
      <c r="L150" s="341">
        <f>D150*K150</f>
        <v/>
      </c>
      <c r="M150" s="14" t="n"/>
      <c r="N150" s="335">
        <f>L150*M150</f>
        <v/>
      </c>
      <c r="O150" s="16" t="n"/>
      <c r="P150" s="16" t="n"/>
      <c r="Q150" s="89" t="inlineStr">
        <is>
          <t>EUROPE</t>
        </is>
      </c>
      <c r="R150" s="50" t="inlineStr">
        <is>
          <t>Espagne</t>
        </is>
      </c>
      <c r="S150" s="50" t="n"/>
      <c r="T150" s="50" t="inlineStr">
        <is>
          <t>INTERTEK</t>
        </is>
      </c>
      <c r="U150" s="81" t="n">
        <v>118</v>
      </c>
      <c r="V150" s="53">
        <f>IF(U150&lt;130, "Mini Bulker", IF(AND(U150&gt;=130, U150&lt;150), "Handysize", IF(AND(U150&gt;=150, U150&lt;200), "Handymax", IF(AND(U150&gt;=200, U150&lt;230), "Panamax", IF(AND(U150&gt;=230, U150&lt;=270), "Capesize", "Autre")))))</f>
        <v/>
      </c>
      <c r="X150" s="14">
        <f>IF(E150&lt;9999,"1",IF(E150&lt;19999,"2",IF(E150&lt;29999,"3",IF(E150&lt;39999,"4",IF(E150&lt;49999,"5",IF(E150&gt;50000,"6"))))))</f>
        <v/>
      </c>
      <c r="Y150" s="75" t="inlineStr">
        <is>
          <t>4BIS/1N/2TER/1TER/5/16S/2TER</t>
        </is>
      </c>
      <c r="AA150" s="98" t="n"/>
      <c r="AB150" s="98" t="n"/>
      <c r="AC150" s="98" t="n"/>
      <c r="AD150" s="98" t="n"/>
      <c r="AE150" s="98" t="n"/>
      <c r="AF150" s="98" t="n"/>
      <c r="AG150" s="98" t="n"/>
      <c r="AH150" s="98" t="n"/>
      <c r="AI150" s="98" t="n"/>
      <c r="AJ150" s="98" t="n"/>
      <c r="AK150" s="98" t="n"/>
      <c r="AL150" s="98" t="n"/>
      <c r="AM150" s="98" t="n"/>
      <c r="AN150" s="98" t="n"/>
      <c r="AO150" s="98" t="n"/>
      <c r="AP150" s="98" t="n"/>
      <c r="AQ150" s="98" t="n"/>
      <c r="AR150" s="98" t="n"/>
      <c r="AS150" s="98" t="n"/>
      <c r="AT150" s="98" t="n"/>
      <c r="AU150" s="98" t="n"/>
      <c r="AV150" s="98" t="n"/>
      <c r="AW150" s="98" t="n"/>
      <c r="AX150" s="98" t="n"/>
      <c r="AY150" s="98" t="n"/>
      <c r="AZ150" s="98" t="n"/>
      <c r="BA150" s="98" t="n"/>
      <c r="BB150" s="98" t="n"/>
      <c r="BC150" s="98" t="n"/>
      <c r="BD150" s="98" t="n"/>
      <c r="BE150" s="98" t="n"/>
      <c r="BF150" s="98" t="n"/>
      <c r="BG150" s="98" t="n"/>
      <c r="BH150" s="98" t="n"/>
      <c r="BI150" s="98" t="n"/>
      <c r="BJ150" s="98" t="n"/>
      <c r="BK150" s="98" t="n"/>
      <c r="BL150" s="98" t="n"/>
      <c r="BM150" s="98" t="n"/>
      <c r="BN150" s="98" t="n"/>
      <c r="BO150" s="98" t="n"/>
      <c r="BS150" s="97" t="inlineStr">
        <is>
          <t>CHANGE DU POSTE 4BIS VERS POSTE 1N LE 17/03- 0950 // CHANGE DU POSTE 2TER VERS POSTE 1TER LE 18/03- 1515// CHANGE DU POSTE 1TER VERS POSTE 5 LE 21/03 - 1215// CHANGE DU POSTE 5 VERS POSTE 16S LE 22/03- 0625 // CHANGE DU POSTE 16S VERS LA RADE LE 23/03- 2035 // RE-ACC AU POSTE 2TER LE 26/03- 0440</t>
        </is>
      </c>
      <c r="BT150" s="99" t="n">
        <v>6</v>
      </c>
      <c r="BW150" s="332">
        <f>AI150-AH150</f>
        <v/>
      </c>
      <c r="BX150" s="24" t="n"/>
      <c r="BY150" s="24" t="n">
        <v>20</v>
      </c>
      <c r="CB150" s="14" t="n"/>
    </row>
    <row r="151" ht="14.55" customHeight="1" s="70">
      <c r="A151" s="81" t="n">
        <v>101</v>
      </c>
      <c r="B151" s="340" t="inlineStr">
        <is>
          <t>ELONG ELONG</t>
        </is>
      </c>
      <c r="C151" s="135" t="n">
        <v>45743</v>
      </c>
      <c r="D151" s="329" t="n">
        <v>17330</v>
      </c>
      <c r="E151" s="333">
        <f>D152+D151</f>
        <v/>
      </c>
      <c r="F151" s="142" t="inlineStr">
        <is>
          <t>JFC5</t>
        </is>
      </c>
      <c r="G151" s="81" t="n">
        <v>2</v>
      </c>
      <c r="H151" s="75" t="inlineStr">
        <is>
          <t>TSP</t>
        </is>
      </c>
      <c r="I151" s="306" t="inlineStr">
        <is>
          <t>TSP CIV</t>
        </is>
      </c>
      <c r="J151" s="53" t="inlineStr">
        <is>
          <t>FOB</t>
        </is>
      </c>
      <c r="K151" s="82" t="n">
        <v>447</v>
      </c>
      <c r="L151" s="341">
        <f>D151*K151</f>
        <v/>
      </c>
      <c r="M151" s="14" t="n">
        <v>9.603899999999999</v>
      </c>
      <c r="N151" s="335">
        <f>L151*M151</f>
        <v/>
      </c>
      <c r="O151" s="16" t="inlineStr">
        <is>
          <t>386 B DU 26/03/2025</t>
        </is>
      </c>
      <c r="P151" s="16" t="inlineStr">
        <is>
          <t>SOLEVO COTE D'IVOIRE SA</t>
        </is>
      </c>
      <c r="Q151" s="89" t="inlineStr">
        <is>
          <t>AFRIQUE</t>
        </is>
      </c>
      <c r="R151" s="50" t="inlineStr">
        <is>
          <t>COTE D'IVOIRE</t>
        </is>
      </c>
      <c r="S151" s="50" t="n"/>
      <c r="T151" s="50" t="inlineStr">
        <is>
          <t>INSPECTORATE</t>
        </is>
      </c>
      <c r="U151" s="81" t="n">
        <v>168</v>
      </c>
      <c r="V151" s="53">
        <f>IF(U151&lt;130, "Mini Bulker", IF(AND(U151&gt;=130, U151&lt;150), "Handysize", IF(AND(U151&gt;=150, U151&lt;200), "Handymax", IF(AND(U151&gt;=200, U151&lt;230), "Panamax", IF(AND(U151&gt;=230, U151&lt;=270), "Capesize", "Autre")))))</f>
        <v/>
      </c>
      <c r="X151" s="14">
        <f>IF(E151&lt;9999,"1",IF(E151&lt;19999,"2",IF(E151&lt;29999,"3",IF(E151&lt;39999,"4",IF(E151&lt;49999,"5",IF(E151&gt;50000,"6"))))))</f>
        <v/>
      </c>
      <c r="Y151" s="75" t="inlineStr">
        <is>
          <t>2N</t>
        </is>
      </c>
      <c r="AA151" s="26" t="n">
        <v>45728.50694444445</v>
      </c>
      <c r="AB151" s="26" t="n">
        <v>45728.50694444445</v>
      </c>
      <c r="AC151" s="15" t="n">
        <v>45728</v>
      </c>
      <c r="AD151" s="15" t="n">
        <v>45732</v>
      </c>
      <c r="AE151" s="26" t="n">
        <v>45728.50694444445</v>
      </c>
      <c r="AF151" s="26" t="n">
        <v>45738.31597222222</v>
      </c>
      <c r="AG151" s="26" t="n">
        <v>45738.45833333334</v>
      </c>
      <c r="AH151" s="26" t="n">
        <v>45738.47916666666</v>
      </c>
      <c r="AI151" s="26" t="n">
        <v>45738.52083333334</v>
      </c>
      <c r="AJ151" s="26" t="n">
        <v>45738.53125</v>
      </c>
      <c r="AK151" s="26" t="n">
        <v>45743.04166666666</v>
      </c>
      <c r="AL151" s="26" t="n">
        <v>45743.07847222222</v>
      </c>
      <c r="AM151" s="26" t="n">
        <v>45743.10555555556</v>
      </c>
      <c r="AN151" s="26" t="n">
        <v>45743.14722222222</v>
      </c>
      <c r="AO151" s="26" t="n">
        <v>45743.19791666666</v>
      </c>
      <c r="AP151" s="20">
        <f>(AG151-AF151)*1440</f>
        <v/>
      </c>
      <c r="AQ151" s="20">
        <f>(AG151-AE151)*1440</f>
        <v/>
      </c>
      <c r="AR151" s="20">
        <f>(AH151-AF151)*1440</f>
        <v/>
      </c>
      <c r="AS151" s="20">
        <f>(AI151-AH151)*1440</f>
        <v/>
      </c>
      <c r="AT151" s="20">
        <f>(AJ151-AH151)*1440</f>
        <v/>
      </c>
      <c r="AU151" s="20">
        <f>(AL151-AK151)*1440</f>
        <v/>
      </c>
      <c r="AV151" s="20">
        <f>(AM151-AL151)*1440</f>
        <v/>
      </c>
      <c r="AW151" s="20">
        <f>(AO151-AM151)*1440</f>
        <v/>
      </c>
      <c r="AX151" s="19">
        <f>AP151+AS151+AU151+AV151+AW151</f>
        <v/>
      </c>
      <c r="AY151" s="18">
        <f>(AG151-AA151)</f>
        <v/>
      </c>
      <c r="AZ151" s="18">
        <f>(AK151-AJ151)</f>
        <v/>
      </c>
      <c r="BA151" s="18">
        <f>AO151-AG151</f>
        <v/>
      </c>
      <c r="BB151" s="18">
        <f>(AO151-AA151)-(AP151/1440)-(AW151/1440)</f>
        <v/>
      </c>
      <c r="BC151" s="20">
        <f>E151/AZ151</f>
        <v/>
      </c>
      <c r="BE151" s="20">
        <f>IF(E151&lt;10000,3000,IF(E151&lt;15000,3600,IF(E151&lt;20000,4500,IF(E151&lt;25000,6000,IF(E151&lt;30000,7500,IF(E151&lt;40000,9000,IF(E151&gt;40000,10000)))))))</f>
        <v/>
      </c>
      <c r="BF151" s="334">
        <f>(E151/BE151)+2</f>
        <v/>
      </c>
      <c r="BS151" s="97" t="inlineStr">
        <is>
          <t>NUL</t>
        </is>
      </c>
      <c r="BT151" s="99" t="n">
        <v>0</v>
      </c>
      <c r="BW151" s="332">
        <f>AI151-AH151</f>
        <v/>
      </c>
      <c r="BX151" s="24" t="inlineStr">
        <is>
          <t>NUL</t>
        </is>
      </c>
      <c r="BY151" s="24" t="inlineStr">
        <is>
          <t>NUL</t>
        </is>
      </c>
      <c r="CB151" s="14" t="n">
        <v>13691</v>
      </c>
    </row>
    <row r="152" ht="15" customHeight="1" s="70">
      <c r="A152" s="81" t="n"/>
      <c r="B152" s="340" t="inlineStr">
        <is>
          <t>ELONG ELONG</t>
        </is>
      </c>
      <c r="C152" s="135" t="n">
        <v>45743</v>
      </c>
      <c r="D152" s="329" t="n">
        <v>2970</v>
      </c>
      <c r="E152" s="330" t="n"/>
      <c r="F152" s="142" t="inlineStr">
        <is>
          <t>JFC5/OCP NUTRI</t>
        </is>
      </c>
      <c r="G152" s="81" t="n">
        <v>2</v>
      </c>
      <c r="H152" s="75" t="inlineStr">
        <is>
          <t>DAP</t>
        </is>
      </c>
      <c r="I152" s="306" t="inlineStr">
        <is>
          <t xml:space="preserve">DAP STANDARD </t>
        </is>
      </c>
      <c r="J152" s="53" t="inlineStr">
        <is>
          <t>FOB</t>
        </is>
      </c>
      <c r="K152" s="82" t="n">
        <v>525</v>
      </c>
      <c r="L152" s="341">
        <f>D152*K152</f>
        <v/>
      </c>
      <c r="M152" s="14" t="n">
        <v>9.603899999999999</v>
      </c>
      <c r="N152" s="335">
        <f>L152*M152</f>
        <v/>
      </c>
      <c r="O152" s="16" t="inlineStr">
        <is>
          <t>386 B DU 26/03/2025 //  377 S DU 26/03/2025</t>
        </is>
      </c>
      <c r="P152" s="16" t="inlineStr">
        <is>
          <t>SOLEVO COTE D'IVOIRE SA</t>
        </is>
      </c>
      <c r="Q152" s="89" t="inlineStr">
        <is>
          <t>AFRIQUE</t>
        </is>
      </c>
      <c r="R152" s="50" t="inlineStr">
        <is>
          <t>COTE D'IVOIRE</t>
        </is>
      </c>
      <c r="T152" s="50" t="inlineStr">
        <is>
          <t>INSPECTORATE</t>
        </is>
      </c>
      <c r="U152" s="81" t="n">
        <v>168</v>
      </c>
      <c r="V152" s="53">
        <f>IF(U152&lt;130, "Mini Bulker", IF(AND(U152&gt;=130, U152&lt;150), "Handysize", IF(AND(U152&gt;=150, U152&lt;200), "Handymax", IF(AND(U152&gt;=200, U152&lt;230), "Panamax", IF(AND(U152&gt;=230, U152&lt;=270), "Capesize", "Autre")))))</f>
        <v/>
      </c>
      <c r="X152" s="14">
        <f>IF(E152&lt;9999,"1",IF(E152&lt;19999,"2",IF(E152&lt;29999,"3",IF(E152&lt;39999,"4",IF(E152&lt;49999,"5",IF(E152&gt;50000,"6"))))))</f>
        <v/>
      </c>
      <c r="Y152" s="75" t="inlineStr">
        <is>
          <t>2N</t>
        </is>
      </c>
      <c r="AA152" s="98" t="n"/>
      <c r="AB152" s="98" t="n"/>
      <c r="AC152" s="98" t="n"/>
      <c r="AD152" s="98" t="n"/>
      <c r="AE152" s="98" t="n"/>
      <c r="AF152" s="98" t="n"/>
      <c r="AG152" s="98" t="n"/>
      <c r="AH152" s="98" t="n"/>
      <c r="AI152" s="98" t="n"/>
      <c r="AJ152" s="98" t="n"/>
      <c r="AK152" s="98" t="n"/>
      <c r="AL152" s="98" t="n"/>
      <c r="AM152" s="98" t="n"/>
      <c r="AN152" s="98" t="n"/>
      <c r="AO152" s="98" t="n"/>
      <c r="AP152" s="98" t="n"/>
      <c r="AQ152" s="98" t="n"/>
      <c r="AR152" s="98" t="n"/>
      <c r="AS152" s="98" t="n"/>
      <c r="AT152" s="98" t="n"/>
      <c r="AU152" s="98" t="n"/>
      <c r="AV152" s="98" t="n"/>
      <c r="AW152" s="98" t="n"/>
      <c r="AX152" s="98" t="n"/>
      <c r="AY152" s="98" t="n"/>
      <c r="AZ152" s="98" t="n"/>
      <c r="BA152" s="98" t="n"/>
      <c r="BB152" s="98" t="n"/>
      <c r="BC152" s="98" t="n"/>
      <c r="BD152" s="98" t="n"/>
      <c r="BE152" s="98" t="n"/>
      <c r="BF152" s="98" t="n"/>
      <c r="BG152" s="98" t="n"/>
      <c r="BH152" s="98" t="n"/>
      <c r="BI152" s="98" t="n"/>
      <c r="BJ152" s="98" t="n"/>
      <c r="BK152" s="98" t="n"/>
      <c r="BL152" s="98" t="n"/>
      <c r="BM152" s="98" t="n"/>
      <c r="BN152" s="98" t="n"/>
      <c r="BO152" s="98" t="n"/>
      <c r="BS152" s="97" t="inlineStr">
        <is>
          <t>NUL</t>
        </is>
      </c>
      <c r="BT152" s="99" t="n">
        <v>0</v>
      </c>
      <c r="BW152" s="332">
        <f>AI152-AH152</f>
        <v/>
      </c>
      <c r="BX152" s="24" t="inlineStr">
        <is>
          <t>NUL</t>
        </is>
      </c>
      <c r="BY152" s="24" t="inlineStr">
        <is>
          <t>NUL</t>
        </is>
      </c>
      <c r="CB152" s="14" t="n"/>
    </row>
    <row r="153" ht="14.55" customHeight="1" s="70">
      <c r="A153" s="81" t="n">
        <v>102</v>
      </c>
      <c r="B153" s="340" t="inlineStr">
        <is>
          <t>MUROVDAG</t>
        </is>
      </c>
      <c r="C153" s="135" t="n">
        <v>45744</v>
      </c>
      <c r="D153" s="329" t="n">
        <v>12000</v>
      </c>
      <c r="E153" s="333">
        <f>D154+D153</f>
        <v/>
      </c>
      <c r="F153" s="142" t="inlineStr">
        <is>
          <t>OCP NUTRI</t>
        </is>
      </c>
      <c r="G153" s="81" t="n">
        <v>2</v>
      </c>
      <c r="H153" s="75" t="inlineStr">
        <is>
          <t>MAP</t>
        </is>
      </c>
      <c r="I153" s="306" t="inlineStr">
        <is>
          <t xml:space="preserve">MAP 11 52 SPECIAL </t>
        </is>
      </c>
      <c r="J153" s="53" t="inlineStr">
        <is>
          <t>CFR</t>
        </is>
      </c>
      <c r="K153" s="82" t="n">
        <v>483.96</v>
      </c>
      <c r="L153" s="341">
        <f>D153*K153</f>
        <v/>
      </c>
      <c r="M153" s="14" t="n">
        <v>9.6607</v>
      </c>
      <c r="N153" s="335">
        <f>L153*M153</f>
        <v/>
      </c>
      <c r="O153" s="16" t="inlineStr">
        <is>
          <t>377 S 26/03/2025</t>
        </is>
      </c>
      <c r="P153" s="16" t="inlineStr">
        <is>
          <t>OCP Fertilizantes LTDA</t>
        </is>
      </c>
      <c r="Q153" s="89" t="inlineStr">
        <is>
          <t>AMERIQUE LATINE</t>
        </is>
      </c>
      <c r="R153" s="50" t="inlineStr">
        <is>
          <t>BRESIL</t>
        </is>
      </c>
      <c r="T153" s="50" t="inlineStr">
        <is>
          <t>INSPECTORATE</t>
        </is>
      </c>
      <c r="U153" s="81" t="n">
        <v>180</v>
      </c>
      <c r="V153" s="53">
        <f>IF(U153&lt;130, "Mini Bulker", IF(AND(U153&gt;=130, U153&lt;150), "Handysize", IF(AND(U153&gt;=150, U153&lt;200), "Handymax", IF(AND(U153&gt;=200, U153&lt;230), "Panamax", IF(AND(U153&gt;=230, U153&lt;=270), "Capesize", "Autre")))))</f>
        <v/>
      </c>
      <c r="X153" s="14">
        <f>IF(E153&lt;9999,"1",IF(E153&lt;19999,"2",IF(E153&lt;29999,"3",IF(E153&lt;39999,"4",IF(E153&lt;49999,"5",IF(E153&gt;50000,"6"))))))</f>
        <v/>
      </c>
      <c r="Y153" s="75" t="inlineStr">
        <is>
          <t>2BIS/1BIS</t>
        </is>
      </c>
      <c r="AA153" s="26" t="n">
        <v>45735.93402777778</v>
      </c>
      <c r="AB153" s="26" t="n">
        <v>45736.375</v>
      </c>
      <c r="AC153" s="15" t="n">
        <v>45734</v>
      </c>
      <c r="AD153" s="15" t="n">
        <v>45736</v>
      </c>
      <c r="AE153" s="26" t="n">
        <v>45735.92916666667</v>
      </c>
      <c r="AF153" s="26" t="n">
        <v>45738.31875</v>
      </c>
      <c r="AG153" s="26" t="n">
        <v>45738.40972222222</v>
      </c>
      <c r="AH153" s="26" t="n">
        <v>45738.43402777778</v>
      </c>
      <c r="AI153" s="26" t="n">
        <v>45738.50347222222</v>
      </c>
      <c r="AJ153" s="26" t="n">
        <v>45738.5625</v>
      </c>
      <c r="AK153" s="26" t="n">
        <v>45744.97222222222</v>
      </c>
      <c r="AL153" s="26" t="n">
        <v>45745.00694444445</v>
      </c>
      <c r="AM153" s="26" t="n">
        <v>45745.03472222222</v>
      </c>
      <c r="AN153" s="26" t="n">
        <v>45745.09097222222</v>
      </c>
      <c r="AO153" s="26" t="n">
        <v>45745.14444444444</v>
      </c>
      <c r="AP153" s="20">
        <f>(AG153-AF153)*1440</f>
        <v/>
      </c>
      <c r="AQ153" s="20">
        <f>(AG153-AE153)*1440</f>
        <v/>
      </c>
      <c r="AR153" s="20">
        <f>(AH153-AF153)*1440</f>
        <v/>
      </c>
      <c r="AS153" s="20">
        <f>(AI153-AH153)*1440</f>
        <v/>
      </c>
      <c r="AT153" s="20">
        <f>(AJ153-AH153)*1440</f>
        <v/>
      </c>
      <c r="AU153" s="20">
        <f>(AL153-AK153)*1440</f>
        <v/>
      </c>
      <c r="AV153" s="20">
        <f>(AM153-AL153)*1440</f>
        <v/>
      </c>
      <c r="AW153" s="20">
        <f>(AO153-AM153)*1440</f>
        <v/>
      </c>
      <c r="AX153" s="19">
        <f>AP153+AS153+AU153+AV153+AW153</f>
        <v/>
      </c>
      <c r="AY153" s="18">
        <f>(AG153-AA153)</f>
        <v/>
      </c>
      <c r="AZ153" s="18">
        <f>(AK153-AJ153)</f>
        <v/>
      </c>
      <c r="BA153" s="18">
        <f>AO153-AG153</f>
        <v/>
      </c>
      <c r="BB153" s="18">
        <f>(AO153-AA153)-(AP153/1440)-(AW153/1440)</f>
        <v/>
      </c>
      <c r="BC153" s="20">
        <f>E153/AZ153</f>
        <v/>
      </c>
      <c r="BE153" s="20">
        <f>IF(E153&lt;10000,3000,IF(E153&lt;15000,3600,IF(E153&lt;20000,4500,IF(E153&lt;25000,6000,IF(E153&lt;30000,7500,IF(E153&lt;40000,9000,IF(E153&gt;40000,10000)))))))</f>
        <v/>
      </c>
      <c r="BF153" s="334">
        <f>(E153/BE153)+2</f>
        <v/>
      </c>
      <c r="BS153" s="97" t="inlineStr">
        <is>
          <t>CHANGE DU POSTE 2BIS VERS POSTE 1BIS LE 23/03- 2250</t>
        </is>
      </c>
      <c r="BT153" s="97" t="n">
        <v>1</v>
      </c>
      <c r="BU153" s="97" t="inlineStr">
        <is>
          <t>CLEAN</t>
        </is>
      </c>
      <c r="BV153" s="97" t="inlineStr">
        <is>
          <t>-</t>
        </is>
      </c>
      <c r="BW153" s="332">
        <f>AI153-AH153</f>
        <v/>
      </c>
      <c r="BX153" s="24" t="inlineStr">
        <is>
          <t>NUL</t>
        </is>
      </c>
      <c r="BY153" s="24" t="inlineStr">
        <is>
          <t>NUL</t>
        </is>
      </c>
      <c r="CB153" s="14" t="n">
        <v>23770</v>
      </c>
    </row>
    <row r="154" ht="14.55" customHeight="1" s="70">
      <c r="B154" s="340" t="inlineStr">
        <is>
          <t>MUROVDAG</t>
        </is>
      </c>
      <c r="C154" s="135" t="n">
        <v>45744</v>
      </c>
      <c r="D154" s="329" t="n">
        <v>23500</v>
      </c>
      <c r="E154" s="330" t="n"/>
      <c r="F154" s="142" t="inlineStr">
        <is>
          <t>JFC5</t>
        </is>
      </c>
      <c r="G154" s="81" t="n">
        <v>2</v>
      </c>
      <c r="H154" s="75" t="inlineStr">
        <is>
          <t>TSP</t>
        </is>
      </c>
      <c r="I154" s="306" t="inlineStr">
        <is>
          <t xml:space="preserve">TSP SPECIAL JORF </t>
        </is>
      </c>
      <c r="J154" s="53" t="inlineStr">
        <is>
          <t>CFR</t>
        </is>
      </c>
      <c r="K154" s="82" t="n">
        <v>636.76</v>
      </c>
      <c r="L154" s="341">
        <f>D154*K154</f>
        <v/>
      </c>
      <c r="M154" s="14" t="n">
        <v>9.6607</v>
      </c>
      <c r="N154" s="335">
        <f>L154*M154</f>
        <v/>
      </c>
      <c r="O154" s="16" t="inlineStr">
        <is>
          <t>386 B DU 26/03/2025</t>
        </is>
      </c>
      <c r="P154" s="16" t="inlineStr">
        <is>
          <t>OCP Fertilizantes LTDA</t>
        </is>
      </c>
      <c r="Q154" s="89" t="inlineStr">
        <is>
          <t>AMERIQUE LATINE</t>
        </is>
      </c>
      <c r="R154" s="50" t="inlineStr">
        <is>
          <t>BRESIL</t>
        </is>
      </c>
      <c r="T154" s="50" t="inlineStr">
        <is>
          <t>INSPECTORATE</t>
        </is>
      </c>
      <c r="U154" s="81" t="n">
        <v>180</v>
      </c>
      <c r="V154" s="53">
        <f>IF(U154&lt;130, "Mini Bulker", IF(AND(U154&gt;=130, U154&lt;150), "Handysize", IF(AND(U154&gt;=150, U154&lt;200), "Handymax", IF(AND(U154&gt;=200, U154&lt;230), "Panamax", IF(AND(U154&gt;=230, U154&lt;=270), "Capesize", "Autre")))))</f>
        <v/>
      </c>
      <c r="X154" s="14">
        <f>IF(E154&lt;9999,"1",IF(E154&lt;19999,"2",IF(E154&lt;29999,"3",IF(E154&lt;39999,"4",IF(E154&lt;49999,"5",IF(E154&gt;50000,"6"))))))</f>
        <v/>
      </c>
      <c r="Y154" s="75" t="inlineStr">
        <is>
          <t>2BIS/1BIS</t>
        </is>
      </c>
      <c r="AA154" s="98" t="n"/>
      <c r="AB154" s="98" t="n"/>
      <c r="AC154" s="98" t="n"/>
      <c r="AD154" s="98" t="n"/>
      <c r="AE154" s="98" t="n"/>
      <c r="AF154" s="98" t="n"/>
      <c r="AG154" s="98" t="n"/>
      <c r="AH154" s="98" t="n"/>
      <c r="AI154" s="98" t="n"/>
      <c r="AJ154" s="98" t="n"/>
      <c r="AK154" s="98" t="n"/>
      <c r="AL154" s="98" t="n"/>
      <c r="AM154" s="98" t="n"/>
      <c r="AN154" s="98" t="n"/>
      <c r="AO154" s="98" t="n"/>
      <c r="AP154" s="98" t="n"/>
      <c r="AQ154" s="98" t="n"/>
      <c r="AR154" s="98" t="n"/>
      <c r="AS154" s="98" t="n"/>
      <c r="AT154" s="98" t="n"/>
      <c r="AU154" s="98" t="n"/>
      <c r="AV154" s="98" t="n"/>
      <c r="AW154" s="98" t="n"/>
      <c r="AX154" s="98" t="n"/>
      <c r="AY154" s="98" t="n"/>
      <c r="AZ154" s="98" t="n"/>
      <c r="BA154" s="98" t="n"/>
      <c r="BB154" s="98" t="n"/>
      <c r="BC154" s="98" t="n"/>
      <c r="BD154" s="98" t="n"/>
      <c r="BE154" s="98" t="n"/>
      <c r="BF154" s="98" t="n"/>
      <c r="BS154" s="97" t="inlineStr">
        <is>
          <t>CHANGE DU POSTE 2BIS VERS POSTE 1BIS LE 23/03- 2250</t>
        </is>
      </c>
      <c r="BT154" s="97" t="n">
        <v>1</v>
      </c>
      <c r="BU154" s="97" t="n"/>
      <c r="BV154" s="97" t="n"/>
      <c r="BW154" s="332">
        <f>AI154-AH154</f>
        <v/>
      </c>
      <c r="BX154" s="24" t="inlineStr">
        <is>
          <t>NUL</t>
        </is>
      </c>
      <c r="BY154" s="24" t="inlineStr">
        <is>
          <t>NUL</t>
        </is>
      </c>
      <c r="CB154" s="14" t="n"/>
    </row>
    <row r="155">
      <c r="A155" s="81" t="n">
        <v>103</v>
      </c>
      <c r="B155" s="340" t="inlineStr">
        <is>
          <t>EVONA</t>
        </is>
      </c>
      <c r="C155" s="135" t="n">
        <v>45745</v>
      </c>
      <c r="D155" s="329" t="n">
        <v>42076</v>
      </c>
      <c r="E155" s="329" t="n">
        <v>42076</v>
      </c>
      <c r="F155" s="142" t="n"/>
      <c r="G155" s="81" t="n">
        <v>1</v>
      </c>
      <c r="H155" s="75" t="inlineStr">
        <is>
          <t>TSP</t>
        </is>
      </c>
      <c r="I155" s="306" t="inlineStr">
        <is>
          <t xml:space="preserve">TSP SPECIAL JORF </t>
        </is>
      </c>
      <c r="J155" s="53" t="inlineStr">
        <is>
          <t>CFR</t>
        </is>
      </c>
      <c r="K155" s="82" t="n">
        <v>483.34</v>
      </c>
      <c r="L155" s="341">
        <f>D155*K155</f>
        <v/>
      </c>
      <c r="M155" s="14" t="n">
        <v>9.6607</v>
      </c>
      <c r="N155" s="335">
        <f>L155*M155</f>
        <v/>
      </c>
      <c r="O155" s="16" t="inlineStr">
        <is>
          <t>377 S 26/03/2025</t>
        </is>
      </c>
      <c r="P155" s="16" t="inlineStr">
        <is>
          <t>OCP FERTILIZANTES LTDA</t>
        </is>
      </c>
      <c r="Q155" s="89" t="inlineStr">
        <is>
          <t>AMERIQUE LATINE</t>
        </is>
      </c>
      <c r="R155" s="50" t="inlineStr">
        <is>
          <t>BRESIL</t>
        </is>
      </c>
      <c r="T155" s="50" t="inlineStr">
        <is>
          <t>INSPECTORATE</t>
        </is>
      </c>
      <c r="U155" s="81" t="n">
        <v>197</v>
      </c>
      <c r="V155" s="53">
        <f>IF(U155&lt;130, "Mini Bulker", IF(AND(U155&gt;=130, U155&lt;150), "Handysize", IF(AND(U155&gt;=150, U155&lt;200), "Handymax", IF(AND(U155&gt;=200, U155&lt;230), "Panamax", IF(AND(U155&gt;=230, U155&lt;=270), "Capesize", "Autre")))))</f>
        <v/>
      </c>
      <c r="X155" s="14">
        <f>IF(E155&lt;9999,"1",IF(E155&lt;19999,"2",IF(E155&lt;29999,"3",IF(E155&lt;39999,"4",IF(E155&lt;49999,"5",IF(E155&gt;50000,"6"))))))</f>
        <v/>
      </c>
      <c r="Y155" s="75" t="inlineStr">
        <is>
          <t>2BIS/2TER</t>
        </is>
      </c>
      <c r="AA155" s="26" t="n">
        <v>45735.20416666667</v>
      </c>
      <c r="AB155" s="26" t="n">
        <v>45735.375</v>
      </c>
      <c r="AC155" s="15" t="n">
        <v>45731</v>
      </c>
      <c r="AD155" s="15" t="n">
        <v>45734</v>
      </c>
      <c r="AE155" s="26" t="n">
        <v>45735.20416666667</v>
      </c>
      <c r="AF155" s="26" t="n">
        <v>45740.67916666667</v>
      </c>
      <c r="AG155" s="26" t="n">
        <v>45740.75</v>
      </c>
      <c r="AH155" s="26" t="n">
        <v>45740.77083333334</v>
      </c>
      <c r="AI155" s="26" t="n">
        <v>45740.83333333334</v>
      </c>
      <c r="AJ155" s="26" t="n">
        <v>45740.86805555555</v>
      </c>
      <c r="AK155" s="26" t="n">
        <v>45745.625</v>
      </c>
      <c r="AL155" s="26" t="n">
        <v>45745.66319444445</v>
      </c>
      <c r="AM155" s="26" t="n">
        <v>45745.70833333334</v>
      </c>
      <c r="AN155" s="26" t="n">
        <v>45745.75486111111</v>
      </c>
      <c r="AO155" s="26" t="n">
        <v>45745.86458333334</v>
      </c>
      <c r="AP155" s="20">
        <f>(AG155-AF155)*1440</f>
        <v/>
      </c>
      <c r="AQ155" s="20">
        <f>(AG155-AE155)*1440</f>
        <v/>
      </c>
      <c r="AR155" s="20">
        <f>(AH155-AF155)*1440</f>
        <v/>
      </c>
      <c r="AS155" s="20">
        <f>(AI155-AH155)*1440</f>
        <v/>
      </c>
      <c r="AT155" s="20">
        <f>(AJ155-AH155)*1440</f>
        <v/>
      </c>
      <c r="AU155" s="20">
        <f>(AL155-AK155)*1440</f>
        <v/>
      </c>
      <c r="AV155" s="20">
        <f>(AM155-AL155)*1440</f>
        <v/>
      </c>
      <c r="AW155" s="20">
        <f>(AO155-AM155)*1440</f>
        <v/>
      </c>
      <c r="AX155" s="19">
        <f>AP155+AS155+AU155+AV155+AW155</f>
        <v/>
      </c>
      <c r="AY155" s="18">
        <f>(AG155-AA155)</f>
        <v/>
      </c>
      <c r="AZ155" s="18">
        <f>(AK155-AJ155)</f>
        <v/>
      </c>
      <c r="BA155" s="18">
        <f>AO155-AG155</f>
        <v/>
      </c>
      <c r="BB155" s="18">
        <f>(AO155-AA155)-(AP155/1440)-(AW155/1440)</f>
        <v/>
      </c>
      <c r="BC155" s="20">
        <f>E155/AZ155</f>
        <v/>
      </c>
      <c r="BE155" s="20">
        <f>IF(E155&lt;10000,3000,IF(E155&lt;15000,3600,IF(E155&lt;20000,4500,IF(E155&lt;25000,6000,IF(E155&lt;30000,7500,IF(E155&lt;40000,9000,IF(E155&gt;40000,10000)))))))</f>
        <v/>
      </c>
      <c r="BF155" s="334">
        <f>(E155/BE155)+2</f>
        <v/>
      </c>
      <c r="BS155" s="97" t="inlineStr">
        <is>
          <t>CHANGE DU POSTE 2BIS VERS POSTE 
2TER LE 27/03- 0310</t>
        </is>
      </c>
      <c r="BT155" s="97" t="n">
        <v>1</v>
      </c>
      <c r="BU155" s="97" t="n"/>
      <c r="BV155" s="97" t="n"/>
      <c r="BW155" s="332">
        <f>AI155-AH155</f>
        <v/>
      </c>
      <c r="BX155" s="24" t="inlineStr">
        <is>
          <t>TBC</t>
        </is>
      </c>
      <c r="BY155" s="24" t="inlineStr">
        <is>
          <t>TBC</t>
        </is>
      </c>
      <c r="CB155" s="14" t="n">
        <v>33090</v>
      </c>
    </row>
    <row r="156" ht="14.55" customHeight="1" s="70">
      <c r="A156" s="81" t="n">
        <v>106</v>
      </c>
      <c r="B156" s="340" t="inlineStr">
        <is>
          <t>ARKLOW RAMBLER</t>
        </is>
      </c>
      <c r="C156" s="135" t="n">
        <v>45746</v>
      </c>
      <c r="D156" s="329" t="n">
        <v>6500</v>
      </c>
      <c r="E156" s="329" t="n">
        <v>6500</v>
      </c>
      <c r="F156" s="142" t="inlineStr">
        <is>
          <t>OCP NUTRI</t>
        </is>
      </c>
      <c r="G156" s="81" t="n">
        <v>1</v>
      </c>
      <c r="H156" s="75" t="inlineStr">
        <is>
          <t>MAP</t>
        </is>
      </c>
      <c r="I156" s="306" t="inlineStr">
        <is>
          <t>MAP 11 52 Special Low Cd</t>
        </is>
      </c>
      <c r="J156" s="53" t="inlineStr">
        <is>
          <t>FOB</t>
        </is>
      </c>
      <c r="K156" s="82" t="n">
        <v>637.5</v>
      </c>
      <c r="L156" s="341">
        <f>D156*K156</f>
        <v/>
      </c>
      <c r="M156" s="14" t="n">
        <v>9.6607</v>
      </c>
      <c r="N156" s="335">
        <f>L156*M156</f>
        <v/>
      </c>
      <c r="O156" s="16" t="inlineStr">
        <is>
          <t>377 S 26/03/2025</t>
        </is>
      </c>
      <c r="P156" s="16" t="inlineStr">
        <is>
          <t>Yara Italia spa</t>
        </is>
      </c>
      <c r="Q156" s="89" t="inlineStr">
        <is>
          <t>EUROPE</t>
        </is>
      </c>
      <c r="R156" s="50" t="inlineStr">
        <is>
          <t>ITALIE</t>
        </is>
      </c>
      <c r="T156" s="50" t="inlineStr">
        <is>
          <t>INSPECTORATE</t>
        </is>
      </c>
      <c r="U156" s="81" t="n">
        <v>105</v>
      </c>
      <c r="V156" s="53">
        <f>IF(U156&lt;130, "Mini Bulker", IF(AND(U156&gt;=130, U156&lt;150), "Handysize", IF(AND(U156&gt;=150, U156&lt;200), "Handymax", IF(AND(U156&gt;=200, U156&lt;230), "Panamax", IF(AND(U156&gt;=230, U156&lt;=270), "Capesize", "Autre")))))</f>
        <v/>
      </c>
      <c r="X156" s="14">
        <f>IF(E156&lt;9999,"1",IF(E156&lt;19999,"2",IF(E156&lt;29999,"3",IF(E156&lt;39999,"4",IF(E156&lt;49999,"5",IF(E156&gt;50000,"6"))))))</f>
        <v/>
      </c>
      <c r="Y156" s="75" t="inlineStr">
        <is>
          <t>2TER</t>
        </is>
      </c>
      <c r="AA156" s="26" t="n">
        <v>45741</v>
      </c>
      <c r="AB156" s="26" t="n">
        <v>45741.375</v>
      </c>
      <c r="AC156" s="15" t="n">
        <v>45743</v>
      </c>
      <c r="AD156" s="15" t="n">
        <v>45745</v>
      </c>
      <c r="AE156" s="26" t="n">
        <v>45740.97569444445</v>
      </c>
      <c r="AF156" s="26" t="n">
        <v>45745.86458333334</v>
      </c>
      <c r="AG156" s="26" t="n">
        <v>45745.94791666666</v>
      </c>
      <c r="AH156" s="26" t="n">
        <v>45745.96527777778</v>
      </c>
      <c r="AI156" s="26" t="n">
        <v>45746.01736111111</v>
      </c>
      <c r="AJ156" s="26" t="n">
        <v>45746.04861111111</v>
      </c>
      <c r="AK156" s="26" t="n">
        <v>45746.58333333334</v>
      </c>
      <c r="AL156" s="26" t="n">
        <v>45746.61527777778</v>
      </c>
      <c r="AM156" s="26" t="n">
        <v>45746.63541666666</v>
      </c>
      <c r="AN156" s="26" t="n">
        <v>45746.69027777778</v>
      </c>
      <c r="AO156" s="26" t="n">
        <v>45746.70138888889</v>
      </c>
      <c r="AP156" s="20">
        <f>(AG156-AF156)*1440</f>
        <v/>
      </c>
      <c r="AQ156" s="20">
        <f>(AG156-AE156)*1440</f>
        <v/>
      </c>
      <c r="AR156" s="20">
        <f>(AH156-AF156)*1440</f>
        <v/>
      </c>
      <c r="AS156" s="20">
        <f>(AI156-AH156)*1440</f>
        <v/>
      </c>
      <c r="AT156" s="20">
        <f>(AJ156-AH156)*1440</f>
        <v/>
      </c>
      <c r="AU156" s="20">
        <f>(AL156-AK156)*1440</f>
        <v/>
      </c>
      <c r="AV156" s="20">
        <f>(AM156-AL156)*1440</f>
        <v/>
      </c>
      <c r="AW156" s="20">
        <f>(AO156-AM156)*1440</f>
        <v/>
      </c>
      <c r="AX156" s="19">
        <f>AP156+AS156+AU156+AV156+AW156</f>
        <v/>
      </c>
      <c r="AY156" s="18">
        <f>(AG156-AA156)</f>
        <v/>
      </c>
      <c r="AZ156" s="18">
        <f>(AK156-AJ156)</f>
        <v/>
      </c>
      <c r="BA156" s="18">
        <f>AO156-AG156</f>
        <v/>
      </c>
      <c r="BB156" s="18">
        <f>(AO156-AA156)-(AP156/1440)-(AW156/1440)</f>
        <v/>
      </c>
      <c r="BC156" s="20">
        <f>E156/AZ156</f>
        <v/>
      </c>
      <c r="BE156" s="20">
        <f>IF(E156&lt;10000,3000,IF(E156&lt;15000,3600,IF(E156&lt;20000,4500,IF(E156&lt;25000,6000,IF(E156&lt;30000,7500,IF(E156&lt;40000,9000,IF(E156&gt;40000,10000)))))))</f>
        <v/>
      </c>
      <c r="BF156" s="334">
        <f>(E156/BE156)+2</f>
        <v/>
      </c>
      <c r="BS156" s="97" t="inlineStr">
        <is>
          <t>NUL</t>
        </is>
      </c>
      <c r="BT156" s="97" t="n">
        <v>0</v>
      </c>
      <c r="BU156" s="97" t="n"/>
      <c r="BV156" s="97" t="n"/>
      <c r="BW156" s="332">
        <f>AI156-AH156</f>
        <v/>
      </c>
      <c r="BX156" s="24" t="inlineStr">
        <is>
          <t>NUL</t>
        </is>
      </c>
      <c r="BY156" s="24" t="inlineStr">
        <is>
          <t>NUL</t>
        </is>
      </c>
      <c r="CB156" s="14" t="n">
        <v>4145</v>
      </c>
    </row>
    <row r="157" ht="15" customHeight="1" s="70">
      <c r="A157" s="81" t="n">
        <v>105</v>
      </c>
      <c r="B157" s="340" t="inlineStr">
        <is>
          <t>BARBARA-B</t>
        </is>
      </c>
      <c r="C157" s="135" t="n">
        <v>45746</v>
      </c>
      <c r="D157" s="329" t="n">
        <v>4400</v>
      </c>
      <c r="E157" s="329" t="n">
        <v>4400</v>
      </c>
      <c r="F157" s="142" t="inlineStr">
        <is>
          <t>OCP NUTRI</t>
        </is>
      </c>
      <c r="G157" s="81" t="n">
        <v>1</v>
      </c>
      <c r="H157" s="75" t="inlineStr">
        <is>
          <t>DAP</t>
        </is>
      </c>
      <c r="I157" s="306" t="inlineStr">
        <is>
          <t>DAP EURO low cd</t>
        </is>
      </c>
      <c r="J157" s="53" t="inlineStr">
        <is>
          <t>FOB</t>
        </is>
      </c>
      <c r="K157" s="82" t="n">
        <v>638.5</v>
      </c>
      <c r="L157" s="341">
        <f>D157*K157</f>
        <v/>
      </c>
      <c r="M157" s="14" t="n">
        <v>9.6607</v>
      </c>
      <c r="N157" s="335">
        <f>L157*M157</f>
        <v/>
      </c>
      <c r="O157" s="16" t="inlineStr">
        <is>
          <t>377 S 26/03/2025</t>
        </is>
      </c>
      <c r="P157" s="16" t="inlineStr">
        <is>
          <t>Helm AG</t>
        </is>
      </c>
      <c r="Q157" s="89" t="inlineStr">
        <is>
          <t>EUROPE</t>
        </is>
      </c>
      <c r="R157" s="50" t="inlineStr">
        <is>
          <t>UK</t>
        </is>
      </c>
      <c r="T157" s="50" t="inlineStr">
        <is>
          <t>INSPECTORATE</t>
        </is>
      </c>
      <c r="U157" s="81" t="n">
        <v>101</v>
      </c>
      <c r="V157" s="53">
        <f>IF(U157&lt;130, "Mini Bulker", IF(AND(U157&gt;=130, U157&lt;150), "Handysize", IF(AND(U157&gt;=150, U157&lt;200), "Handymax", IF(AND(U157&gt;=200, U157&lt;230), "Panamax", IF(AND(U157&gt;=230, U157&lt;=270), "Capesize", "Autre")))))</f>
        <v/>
      </c>
      <c r="X157" s="14">
        <f>IF(E157&lt;9999,"1",IF(E157&lt;19999,"2",IF(E157&lt;29999,"3",IF(E157&lt;39999,"4",IF(E157&lt;49999,"5",IF(E157&gt;50000,"6"))))))</f>
        <v/>
      </c>
      <c r="Y157" s="75" t="inlineStr">
        <is>
          <t>13/16S</t>
        </is>
      </c>
      <c r="AA157" s="26" t="n">
        <v>45740.17361111111</v>
      </c>
      <c r="AB157" s="26" t="n">
        <v>45740.375</v>
      </c>
      <c r="AC157" s="15" t="n">
        <v>45740</v>
      </c>
      <c r="AD157" s="15" t="n">
        <v>45743</v>
      </c>
      <c r="AE157" s="26" t="n">
        <v>45740.16319444445</v>
      </c>
      <c r="AF157" s="26" t="n">
        <v>45744.56597222222</v>
      </c>
      <c r="AG157" s="26" t="n">
        <v>45744.67013888889</v>
      </c>
      <c r="AH157" s="26" t="n">
        <v>45744.67708333334</v>
      </c>
      <c r="AI157" s="102" t="n">
        <v>45744.72916666666</v>
      </c>
      <c r="AJ157" s="26" t="n">
        <v>45745.89583333334</v>
      </c>
      <c r="AK157" s="26" t="n">
        <v>45746.30208333334</v>
      </c>
      <c r="AL157" s="26" t="n">
        <v>45746.35416666666</v>
      </c>
      <c r="AM157" s="26" t="n">
        <v>45746.38194444445</v>
      </c>
      <c r="AN157" s="26" t="n">
        <v>45746.42847222222</v>
      </c>
      <c r="AO157" s="26" t="n">
        <v>45746.44097222222</v>
      </c>
      <c r="AP157" s="20">
        <f>(AG157-AF157)*1440</f>
        <v/>
      </c>
      <c r="AQ157" s="20">
        <f>(AG157-AE157)*1440</f>
        <v/>
      </c>
      <c r="AR157" s="20">
        <f>(AH157-AF157)*1440</f>
        <v/>
      </c>
      <c r="AS157" s="20">
        <f>(AI157-AH157)*1440</f>
        <v/>
      </c>
      <c r="AT157" s="20">
        <f>(AJ157-AH157)*1440</f>
        <v/>
      </c>
      <c r="AU157" s="20">
        <f>(AL157-AK157)*1440</f>
        <v/>
      </c>
      <c r="AV157" s="20">
        <f>(AM157-AL157)*1440</f>
        <v/>
      </c>
      <c r="AW157" s="20">
        <f>(AO157-AM157)*1440</f>
        <v/>
      </c>
      <c r="AX157" s="19">
        <f>AP157+AS157+AU157+AV157+AW157</f>
        <v/>
      </c>
      <c r="AY157" s="18">
        <f>(AG157-AA157)</f>
        <v/>
      </c>
      <c r="AZ157" s="18">
        <f>(AK157-AJ157)</f>
        <v/>
      </c>
      <c r="BA157" s="18">
        <f>AO157-AG157</f>
        <v/>
      </c>
      <c r="BB157" s="18">
        <f>(AO157-AA157)-(AP157/1440)-(AW157/1440)</f>
        <v/>
      </c>
      <c r="BC157" s="20">
        <f>E157/AZ157</f>
        <v/>
      </c>
      <c r="BE157" s="20">
        <f>IF(E157&lt;10000,3000,IF(E157&lt;15000,3600,IF(E157&lt;20000,4500,IF(E157&lt;25000,6000,IF(E157&lt;30000,7500,IF(E157&lt;40000,9000,IF(E157&gt;40000,10000)))))))</f>
        <v/>
      </c>
      <c r="BF157" s="334">
        <f>(E157/BE157)+2</f>
        <v/>
      </c>
      <c r="BS157" s="97" t="inlineStr">
        <is>
          <t>CHANGE DU POSTE 13 AU POSTE 16S LE 29/03- 1802</t>
        </is>
      </c>
      <c r="BT157" s="97" t="n">
        <v>1</v>
      </c>
      <c r="BU157" s="97" t="n"/>
      <c r="BV157" s="97" t="n"/>
      <c r="BW157" s="332">
        <f>AI157-AH157</f>
        <v/>
      </c>
      <c r="BX157" s="24" t="inlineStr">
        <is>
          <t>NUL</t>
        </is>
      </c>
      <c r="BY157" s="24" t="inlineStr">
        <is>
          <t>NUL</t>
        </is>
      </c>
      <c r="CB157" s="14" t="n">
        <v>3796</v>
      </c>
    </row>
    <row r="158" ht="14.55" customHeight="1" s="70">
      <c r="A158" s="81" t="n">
        <v>107</v>
      </c>
      <c r="B158" s="340" t="inlineStr">
        <is>
          <t>FLORA K</t>
        </is>
      </c>
      <c r="C158" s="135" t="n">
        <v>45746</v>
      </c>
      <c r="D158" s="329" t="n">
        <v>11605</v>
      </c>
      <c r="E158" s="333">
        <f>D159+D158</f>
        <v/>
      </c>
      <c r="F158" s="142" t="inlineStr">
        <is>
          <t>JFC1</t>
        </is>
      </c>
      <c r="G158" s="81" t="n">
        <v>2</v>
      </c>
      <c r="H158" s="75" t="inlineStr">
        <is>
          <t>DAP</t>
        </is>
      </c>
      <c r="I158" s="306" t="inlineStr">
        <is>
          <t xml:space="preserve">DAP SPECIAL </t>
        </is>
      </c>
      <c r="J158" s="53" t="inlineStr">
        <is>
          <t>CFR</t>
        </is>
      </c>
      <c r="K158" s="82" t="n">
        <v>638.34</v>
      </c>
      <c r="L158" s="341">
        <f>D158*K158</f>
        <v/>
      </c>
      <c r="M158" s="14" t="n">
        <v>9.6607</v>
      </c>
      <c r="N158" s="335">
        <f>L158*M158</f>
        <v/>
      </c>
      <c r="O158" s="16" t="inlineStr">
        <is>
          <t>382 X DU 26/03/2025</t>
        </is>
      </c>
      <c r="P158" s="16" t="inlineStr">
        <is>
          <t xml:space="preserve">OCP Fertilizantes LTDA </t>
        </is>
      </c>
      <c r="Q158" s="89" t="inlineStr">
        <is>
          <t>AMERIQUE LATINE</t>
        </is>
      </c>
      <c r="R158" s="50" t="inlineStr">
        <is>
          <t>BRESIL</t>
        </is>
      </c>
      <c r="T158" s="50" t="inlineStr">
        <is>
          <t>INSPECTORATE</t>
        </is>
      </c>
      <c r="U158" s="81" t="n">
        <v>107</v>
      </c>
      <c r="V158" s="53">
        <f>IF(U158&lt;130, "Mini Bulker", IF(AND(U158&gt;=130, U158&lt;150), "Handysize", IF(AND(U158&gt;=150, U158&lt;200), "Handymax", IF(AND(U158&gt;=200, U158&lt;230), "Panamax", IF(AND(U158&gt;=230, U158&lt;=270), "Capesize", "Autre")))))</f>
        <v/>
      </c>
      <c r="X158" s="14">
        <f>IF(E158&lt;9999,"1",IF(E158&lt;19999,"2",IF(E158&lt;29999,"3",IF(E158&lt;39999,"4",IF(E158&lt;49999,"5",IF(E158&gt;50000,"6"))))))</f>
        <v/>
      </c>
      <c r="Y158" s="75" t="inlineStr">
        <is>
          <t>1TER</t>
        </is>
      </c>
      <c r="AA158" s="26" t="n">
        <v>45742.975</v>
      </c>
      <c r="AB158" s="26" t="n">
        <v>45743.375</v>
      </c>
      <c r="AC158" s="15" t="n">
        <v>45739</v>
      </c>
      <c r="AD158" s="15" t="n">
        <v>45742</v>
      </c>
      <c r="AE158" s="26" t="n">
        <v>45742.91666666666</v>
      </c>
      <c r="AF158" s="26" t="n">
        <v>45744.64861111111</v>
      </c>
      <c r="AG158" s="26" t="n">
        <v>45744.7375</v>
      </c>
      <c r="AH158" s="26" t="n">
        <v>45744.75</v>
      </c>
      <c r="AI158" s="26" t="n">
        <v>45744.83333333334</v>
      </c>
      <c r="AJ158" s="26" t="n">
        <v>45744.84375</v>
      </c>
      <c r="AK158" s="26" t="n">
        <v>45746.87847222222</v>
      </c>
      <c r="AL158" s="26" t="n">
        <v>45746.98611111111</v>
      </c>
      <c r="AM158" s="26" t="n">
        <v>45747.03333333333</v>
      </c>
      <c r="AN158" s="26" t="n">
        <v>45747.03333333333</v>
      </c>
      <c r="AO158" s="26" t="n">
        <v>45747.10416666666</v>
      </c>
      <c r="AP158" s="20">
        <f>(AG158-AF158)*1440</f>
        <v/>
      </c>
      <c r="AQ158" s="20">
        <f>(AG158-AE158)*1440</f>
        <v/>
      </c>
      <c r="AR158" s="20">
        <f>(AH158-AF158)*1440</f>
        <v/>
      </c>
      <c r="AS158" s="20">
        <f>(AI158-AH158)*1440</f>
        <v/>
      </c>
      <c r="AT158" s="20">
        <f>(AJ158-AH158)*1440</f>
        <v/>
      </c>
      <c r="AU158" s="20">
        <f>(AL158-AK158)*1440</f>
        <v/>
      </c>
      <c r="AV158" s="20">
        <f>(AM158-AL158)*1440</f>
        <v/>
      </c>
      <c r="AW158" s="20">
        <f>(AO158-AM158)*1440</f>
        <v/>
      </c>
      <c r="AX158" s="19">
        <f>AP158+AS158+AU158+AV158+AW158</f>
        <v/>
      </c>
      <c r="AY158" s="18">
        <f>(AG158-AA158)</f>
        <v/>
      </c>
      <c r="AZ158" s="18">
        <f>(AK158-AJ158)</f>
        <v/>
      </c>
      <c r="BA158" s="18">
        <f>AO158-AG158</f>
        <v/>
      </c>
      <c r="BB158" s="18">
        <f>(AO158-AA158)-(AP158/1440)-(AW158/1440)</f>
        <v/>
      </c>
      <c r="BC158" s="20">
        <f>E158/AZ158</f>
        <v/>
      </c>
      <c r="BE158" s="20">
        <f>IF(E158&lt;10000,3000,IF(E158&lt;15000,3600,IF(E158&lt;20000,4500,IF(E158&lt;25000,6000,IF(E158&lt;30000,7500,IF(E158&lt;40000,9000,IF(E158&gt;40000,10000)))))))</f>
        <v/>
      </c>
      <c r="BF158" s="334">
        <f>(E158/BE158)+2</f>
        <v/>
      </c>
      <c r="BS158" s="97" t="inlineStr">
        <is>
          <t>NUL</t>
        </is>
      </c>
      <c r="BT158" s="97" t="n">
        <v>0</v>
      </c>
      <c r="BU158" s="97" t="n"/>
      <c r="BV158" s="97" t="n"/>
      <c r="BW158" s="332">
        <f>AI158-AH158</f>
        <v/>
      </c>
      <c r="BX158" s="24" t="inlineStr">
        <is>
          <t>NUL</t>
        </is>
      </c>
      <c r="BY158" s="24" t="inlineStr">
        <is>
          <t>NUL</t>
        </is>
      </c>
      <c r="CB158" s="14" t="n">
        <v>22285</v>
      </c>
    </row>
    <row r="159" ht="15" customHeight="1" s="70">
      <c r="A159" s="81" t="n"/>
      <c r="B159" s="340" t="inlineStr">
        <is>
          <t>FLORA K</t>
        </is>
      </c>
      <c r="C159" s="135" t="n">
        <v>45746</v>
      </c>
      <c r="D159" s="329" t="n">
        <v>18956</v>
      </c>
      <c r="E159" s="330" t="n"/>
      <c r="F159" s="142" t="inlineStr">
        <is>
          <t>OCP NUTRI</t>
        </is>
      </c>
      <c r="G159" s="81" t="n">
        <v>2</v>
      </c>
      <c r="H159" s="75" t="inlineStr">
        <is>
          <t>MAP</t>
        </is>
      </c>
      <c r="I159" s="306" t="inlineStr">
        <is>
          <t xml:space="preserve">MAP 11 52 SPECIAL </t>
        </is>
      </c>
      <c r="J159" s="53" t="inlineStr">
        <is>
          <t>CFR</t>
        </is>
      </c>
      <c r="K159" s="82" t="n">
        <v>642.22</v>
      </c>
      <c r="L159" s="341">
        <f>D159*K159</f>
        <v/>
      </c>
      <c r="M159" s="14" t="n">
        <v>9.6607</v>
      </c>
      <c r="N159" s="335">
        <f>L159*M159</f>
        <v/>
      </c>
      <c r="O159" s="16" t="inlineStr">
        <is>
          <t>377 S 26/03/2025</t>
        </is>
      </c>
      <c r="P159" s="16" t="inlineStr">
        <is>
          <t xml:space="preserve">OCP Fertilizantes LTDA </t>
        </is>
      </c>
      <c r="Q159" s="89" t="inlineStr">
        <is>
          <t>AMERIQUE LATINE</t>
        </is>
      </c>
      <c r="R159" s="50" t="inlineStr">
        <is>
          <t>BRESIL</t>
        </is>
      </c>
      <c r="T159" s="50" t="inlineStr">
        <is>
          <t>INSPECTORATE</t>
        </is>
      </c>
      <c r="U159" s="81" t="n">
        <v>107</v>
      </c>
      <c r="V159" s="53">
        <f>IF(U159&lt;130, "Mini Bulker", IF(AND(U159&gt;=130, U159&lt;150), "Handysize", IF(AND(U159&gt;=150, U159&lt;200), "Handymax", IF(AND(U159&gt;=200, U159&lt;230), "Panamax", IF(AND(U159&gt;=230, U159&lt;=270), "Capesize", "Autre")))))</f>
        <v/>
      </c>
      <c r="X159" s="14">
        <f>IF(E159&lt;9999,"1",IF(E159&lt;19999,"2",IF(E159&lt;29999,"3",IF(E159&lt;39999,"4",IF(E159&lt;49999,"5",IF(E159&gt;50000,"6"))))))</f>
        <v/>
      </c>
      <c r="Y159" s="75" t="inlineStr">
        <is>
          <t>1TER</t>
        </is>
      </c>
      <c r="AA159" s="98" t="n"/>
      <c r="AB159" s="98" t="n"/>
      <c r="AC159" s="98" t="n"/>
      <c r="AD159" s="98" t="n"/>
      <c r="AE159" s="98" t="n"/>
      <c r="AF159" s="98" t="n"/>
      <c r="AG159" s="98" t="n"/>
      <c r="AH159" s="98" t="n"/>
      <c r="AI159" s="98" t="n"/>
      <c r="AJ159" s="98" t="n"/>
      <c r="AK159" s="98" t="n"/>
      <c r="AL159" s="98" t="n"/>
      <c r="AM159" s="98" t="n"/>
      <c r="AN159" s="98" t="n"/>
      <c r="AO159" s="98" t="n"/>
      <c r="AP159" s="98" t="n"/>
      <c r="AQ159" s="98" t="n"/>
      <c r="AR159" s="98" t="n"/>
      <c r="AS159" s="98" t="n"/>
      <c r="AT159" s="98" t="n"/>
      <c r="AU159" s="98" t="n"/>
      <c r="AV159" s="98" t="n"/>
      <c r="AW159" s="98" t="n"/>
      <c r="AX159" s="98" t="n"/>
      <c r="AY159" s="98" t="n"/>
      <c r="AZ159" s="98" t="n"/>
      <c r="BA159" s="98" t="n"/>
      <c r="BB159" s="98" t="n"/>
      <c r="BC159" s="98" t="n"/>
      <c r="BD159" s="98" t="n"/>
      <c r="BE159" s="98" t="n"/>
      <c r="BF159" s="98" t="n"/>
      <c r="BS159" s="97" t="inlineStr">
        <is>
          <t>NUL</t>
        </is>
      </c>
      <c r="BT159" s="97" t="n">
        <v>0</v>
      </c>
      <c r="BU159" s="97" t="n"/>
      <c r="BV159" s="97" t="n"/>
      <c r="BW159" s="332">
        <f>AI159-AH159</f>
        <v/>
      </c>
      <c r="BX159" s="24" t="inlineStr">
        <is>
          <t>NUL</t>
        </is>
      </c>
      <c r="BY159" s="24" t="inlineStr">
        <is>
          <t>NUL</t>
        </is>
      </c>
      <c r="CB159" s="14" t="n"/>
    </row>
    <row r="160">
      <c r="A160" s="81" t="n">
        <v>109</v>
      </c>
      <c r="B160" s="340" t="inlineStr">
        <is>
          <t>FEDERAL SABLE</t>
        </is>
      </c>
      <c r="C160" s="135" t="n">
        <v>45747</v>
      </c>
      <c r="D160" s="329" t="n">
        <v>5490</v>
      </c>
      <c r="E160" s="333">
        <f>D161+D160</f>
        <v/>
      </c>
      <c r="F160" s="142" t="n"/>
      <c r="G160" s="81" t="n">
        <v>2</v>
      </c>
      <c r="H160" s="75" t="inlineStr">
        <is>
          <t>TSP</t>
        </is>
      </c>
      <c r="I160" s="306" t="inlineStr">
        <is>
          <t>TSP-Jorf</t>
        </is>
      </c>
      <c r="J160" s="53" t="inlineStr">
        <is>
          <t>DAT</t>
        </is>
      </c>
      <c r="K160" s="82" t="n"/>
      <c r="L160" s="341">
        <f>D160*K160</f>
        <v/>
      </c>
      <c r="M160" s="14" t="n"/>
      <c r="N160" s="335">
        <f>L160*M160</f>
        <v/>
      </c>
      <c r="P160" s="16" t="n"/>
      <c r="Q160" s="89" t="inlineStr">
        <is>
          <t>AFRIQUE</t>
        </is>
      </c>
      <c r="R160" s="50" t="inlineStr">
        <is>
          <t>MOZAMBIQUE</t>
        </is>
      </c>
      <c r="T160" s="50" t="inlineStr">
        <is>
          <t>INTERTEK</t>
        </is>
      </c>
      <c r="U160" s="81" t="n">
        <v>190</v>
      </c>
      <c r="V160" s="53">
        <f>IF(U160&lt;130, "Mini Bulker", IF(AND(U160&gt;=130, U160&lt;150), "Handysize", IF(AND(U160&gt;=150, U160&lt;200), "Handymax", IF(AND(U160&gt;=200, U160&lt;230), "Panamax", IF(AND(U160&gt;=230, U160&lt;=270), "Capesize", "Autre")))))</f>
        <v/>
      </c>
      <c r="X160" s="14">
        <f>IF(E160&lt;9999,"1",IF(E160&lt;19999,"2",IF(E160&lt;29999,"3",IF(E160&lt;39999,"4",IF(E160&lt;49999,"5",IF(E160&gt;50000,"6"))))))</f>
        <v/>
      </c>
      <c r="Y160" s="75" t="inlineStr">
        <is>
          <t>2BIS/2TER/1N</t>
        </is>
      </c>
      <c r="AA160" s="26" t="n">
        <v>45710.40625</v>
      </c>
      <c r="AB160" s="26" t="n">
        <v>45710.40625</v>
      </c>
      <c r="AC160" s="15" t="n">
        <v>45710</v>
      </c>
      <c r="AD160" s="15" t="n">
        <v>45712</v>
      </c>
      <c r="AE160" s="26" t="n">
        <v>45710.33333333334</v>
      </c>
      <c r="AF160" s="26" t="n">
        <v>45717.88333333333</v>
      </c>
      <c r="AG160" s="26" t="n">
        <v>45717.97569444445</v>
      </c>
      <c r="AH160" s="26" t="n">
        <v>45718</v>
      </c>
      <c r="AI160" s="26" t="n">
        <v>45718.45833333334</v>
      </c>
      <c r="AJ160" s="26" t="n">
        <v>45718.65277777778</v>
      </c>
      <c r="AK160" s="26" t="n">
        <v>45747.76388888889</v>
      </c>
      <c r="AL160" s="26" t="n">
        <v>45747.81458333333</v>
      </c>
      <c r="AM160" s="26" t="n">
        <v>45747.85416666666</v>
      </c>
      <c r="AN160" s="26" t="n">
        <v>45747.88402777778</v>
      </c>
      <c r="AO160" s="26" t="n">
        <v>45747.94097222222</v>
      </c>
      <c r="AP160" s="20">
        <f>(AG160-AF160)*1440</f>
        <v/>
      </c>
      <c r="AQ160" s="20">
        <f>(AG160-AE160)*1440</f>
        <v/>
      </c>
      <c r="AR160" s="20">
        <f>(AH160-AF160)*1440</f>
        <v/>
      </c>
      <c r="AS160" s="20">
        <f>(AI160-AH160)*1440</f>
        <v/>
      </c>
      <c r="AT160" s="20">
        <f>(AJ160-AH160)*1440</f>
        <v/>
      </c>
      <c r="AU160" s="20">
        <f>(AL160-AK160)*1440</f>
        <v/>
      </c>
      <c r="AV160" s="20">
        <f>(AM160-AL160)*1440</f>
        <v/>
      </c>
      <c r="AW160" s="20">
        <f>(AO160-AM160)*1440</f>
        <v/>
      </c>
      <c r="AX160" s="19">
        <f>AP160+AS160+AU160+AV160+AW160</f>
        <v/>
      </c>
      <c r="AY160" s="18">
        <f>(AG160-AA160)</f>
        <v/>
      </c>
      <c r="AZ160" s="18">
        <f>(AK160-AJ160)</f>
        <v/>
      </c>
      <c r="BA160" s="18">
        <f>AO160-AG160</f>
        <v/>
      </c>
      <c r="BB160" s="18">
        <f>(AO160-AA160)-(AP160/1440)-(AW160/1440)</f>
        <v/>
      </c>
      <c r="BC160" s="20">
        <f>E160/AZ160</f>
        <v/>
      </c>
      <c r="BE160" s="20">
        <f>IF(E160&lt;10000,3000,IF(E160&lt;15000,3600,IF(E160&lt;20000,4500,IF(E160&lt;25000,6000,IF(E160&lt;30000,7500,IF(E160&lt;40000,9000,IF(E160&gt;40000,10000)))))))</f>
        <v/>
      </c>
      <c r="BF160" s="334">
        <f>(E160/BE160)+2</f>
        <v/>
      </c>
      <c r="BS160" s="97" t="inlineStr">
        <is>
          <t>CHANGE DU POSTE 2BIS VERS POSTE 2TER LE 06/03- 1443 // CHANGE DU POSTE 2TER VERS LA RADE LE 07/03- 0720 // RE-ACCOSTAGE AU POSTE 1N LE 31/03- 0415</t>
        </is>
      </c>
      <c r="BT160" s="97" t="n">
        <v>3</v>
      </c>
      <c r="BU160" s="97" t="n"/>
      <c r="BV160" s="97" t="n"/>
      <c r="BW160" s="332">
        <f>AI160-AH160</f>
        <v/>
      </c>
      <c r="BX160" s="24" t="inlineStr">
        <is>
          <t>NUL</t>
        </is>
      </c>
      <c r="BY160" s="24" t="inlineStr">
        <is>
          <t>NUL</t>
        </is>
      </c>
      <c r="CB160" s="14" t="n">
        <v>24240</v>
      </c>
      <c r="CE160" s="216" t="n"/>
    </row>
    <row r="161" ht="14.55" customHeight="1" s="70">
      <c r="B161" s="340" t="inlineStr">
        <is>
          <t>FEDERAL SABLE</t>
        </is>
      </c>
      <c r="C161" s="135" t="n">
        <v>45747</v>
      </c>
      <c r="D161" s="329" t="n">
        <v>22000</v>
      </c>
      <c r="E161" s="330" t="n"/>
      <c r="F161" s="142" t="n"/>
      <c r="G161" s="81" t="n">
        <v>2</v>
      </c>
      <c r="H161" s="75" t="inlineStr">
        <is>
          <t>MAP</t>
        </is>
      </c>
      <c r="I161" s="306" t="inlineStr">
        <is>
          <t>MAP 12 52 ZAMBIA</t>
        </is>
      </c>
      <c r="J161" s="53" t="inlineStr">
        <is>
          <t>DAT</t>
        </is>
      </c>
      <c r="K161" s="82" t="n"/>
      <c r="L161" s="341">
        <f>D161*K161</f>
        <v/>
      </c>
      <c r="M161" s="14" t="n"/>
      <c r="N161" s="335">
        <f>L161*M161</f>
        <v/>
      </c>
      <c r="O161" s="195" t="n"/>
      <c r="P161" s="16" t="n"/>
      <c r="Q161" s="89" t="inlineStr">
        <is>
          <t>AFRIQUE</t>
        </is>
      </c>
      <c r="R161" s="50" t="inlineStr">
        <is>
          <t>MOZAMBIQUE</t>
        </is>
      </c>
      <c r="T161" s="50" t="inlineStr">
        <is>
          <t>INTERTEK</t>
        </is>
      </c>
      <c r="U161" s="81" t="n">
        <v>190</v>
      </c>
      <c r="V161" s="53">
        <f>IF(U161&lt;130, "Mini Bulker", IF(AND(U161&gt;=130, U161&lt;150), "Handysize", IF(AND(U161&gt;=150, U161&lt;200), "Handymax", IF(AND(U161&gt;=200, U161&lt;230), "Panamax", IF(AND(U161&gt;=230, U161&lt;=270), "Capesize", "Autre")))))</f>
        <v/>
      </c>
      <c r="X161" s="14">
        <f>IF(E161&lt;9999,"1",IF(E161&lt;19999,"2",IF(E161&lt;29999,"3",IF(E161&lt;39999,"4",IF(E161&lt;49999,"5",IF(E161&gt;50000,"6"))))))</f>
        <v/>
      </c>
      <c r="Y161" s="75" t="inlineStr">
        <is>
          <t>2BIS/2TER/1N</t>
        </is>
      </c>
      <c r="AA161" s="218" t="n"/>
      <c r="AB161" s="218" t="n"/>
      <c r="AC161" s="98" t="n"/>
      <c r="AD161" s="98" t="n"/>
      <c r="AE161" s="218" t="n"/>
      <c r="AF161" s="218" t="n"/>
      <c r="AG161" s="218" t="n"/>
      <c r="AH161" s="218" t="n"/>
      <c r="AI161" s="218" t="n"/>
      <c r="AJ161" s="218" t="n"/>
      <c r="AK161" s="218" t="n"/>
      <c r="AL161" s="218" t="n"/>
      <c r="AM161" s="218" t="n"/>
      <c r="AN161" s="218" t="n"/>
      <c r="AO161" s="218" t="n"/>
      <c r="AP161" s="98" t="n"/>
      <c r="AQ161" s="98" t="n"/>
      <c r="AR161" s="98" t="n"/>
      <c r="AS161" s="98" t="n"/>
      <c r="AT161" s="98" t="n"/>
      <c r="AU161" s="98" t="n"/>
      <c r="AV161" s="98" t="n"/>
      <c r="AW161" s="98" t="n"/>
      <c r="AX161" s="98" t="n"/>
      <c r="AY161" s="98" t="n"/>
      <c r="AZ161" s="98" t="n"/>
      <c r="BA161" s="98" t="n"/>
      <c r="BB161" s="98" t="n"/>
      <c r="BC161" s="98" t="n"/>
      <c r="BD161" s="220" t="n"/>
      <c r="BE161" s="98" t="n"/>
      <c r="BF161" s="98" t="n"/>
      <c r="BS161" s="97" t="inlineStr">
        <is>
          <t>NUL</t>
        </is>
      </c>
      <c r="BT161" s="97" t="n">
        <v>0</v>
      </c>
      <c r="BU161" s="97" t="n"/>
      <c r="BV161" s="97" t="n"/>
      <c r="BW161" s="332">
        <f>AI161-AH161</f>
        <v/>
      </c>
      <c r="BX161" s="24" t="inlineStr">
        <is>
          <t>NUL</t>
        </is>
      </c>
      <c r="BY161" s="24" t="inlineStr">
        <is>
          <t>NUL</t>
        </is>
      </c>
      <c r="CB161" s="14" t="n"/>
    </row>
    <row r="162" ht="14.55" customHeight="1" s="70">
      <c r="A162" s="112" t="n">
        <v>111</v>
      </c>
      <c r="B162" s="317" t="inlineStr">
        <is>
          <t>OCCITAN PAUILLAC</t>
        </is>
      </c>
      <c r="C162" s="108" t="n">
        <v>45747</v>
      </c>
      <c r="D162" s="318" t="n">
        <v>24700</v>
      </c>
      <c r="E162" s="318" t="n">
        <v>24700</v>
      </c>
      <c r="F162" s="141" t="n"/>
      <c r="G162" s="112" t="n">
        <v>1</v>
      </c>
      <c r="H162" s="115" t="inlineStr">
        <is>
          <t>NPK</t>
        </is>
      </c>
      <c r="I162" s="114" t="inlineStr">
        <is>
          <t>NPK 15 15 15 6S 1B2O3</t>
        </is>
      </c>
      <c r="J162" s="129" t="inlineStr">
        <is>
          <t>CFR</t>
        </is>
      </c>
      <c r="K162" s="82" t="n"/>
      <c r="L162" s="341">
        <f>D162*K162</f>
        <v/>
      </c>
      <c r="M162" s="14" t="n"/>
      <c r="N162" s="335">
        <f>L162*M162</f>
        <v/>
      </c>
      <c r="O162" s="16" t="n"/>
      <c r="P162" s="16" t="n"/>
      <c r="Q162" s="131" t="inlineStr">
        <is>
          <t>AFRIQUE</t>
        </is>
      </c>
      <c r="R162" s="113" t="inlineStr">
        <is>
          <t>Cote d'Ivoire</t>
        </is>
      </c>
      <c r="S162" s="233" t="n"/>
      <c r="T162" s="113" t="inlineStr">
        <is>
          <t>INSPECTORATE</t>
        </is>
      </c>
      <c r="U162" s="112" t="n">
        <v>170</v>
      </c>
      <c r="V162" s="129">
        <f>IF(U162&lt;130, "Mini Bulker", IF(AND(U162&gt;=130, U162&lt;150), "Handysize", IF(AND(U162&gt;=150, U162&lt;200), "Handymax", IF(AND(U162&gt;=200, U162&lt;230), "Panamax", IF(AND(U162&gt;=230, U162&lt;=270), "Capesize", "Autre")))))</f>
        <v/>
      </c>
      <c r="X162" s="111">
        <f>IF(E162&lt;9999,"1",IF(E162&lt;19999,"2",IF(E162&lt;29999,"3",IF(E162&lt;39999,"4",IF(E162&lt;49999,"5",IF(E162&gt;50000,"6"))))))</f>
        <v/>
      </c>
      <c r="Y162" s="115" t="inlineStr">
        <is>
          <t>1N</t>
        </is>
      </c>
      <c r="AA162" s="121" t="n">
        <v>45741.00069444445</v>
      </c>
      <c r="AB162" s="121" t="n">
        <v>45741.375</v>
      </c>
      <c r="AC162" s="108" t="n">
        <v>45741</v>
      </c>
      <c r="AD162" s="108" t="n">
        <v>45743</v>
      </c>
      <c r="AE162" s="121" t="n">
        <v>45736.58333333334</v>
      </c>
      <c r="AF162" s="121" t="n">
        <v>45742.67638888889</v>
      </c>
      <c r="AG162" s="121" t="n">
        <v>45742.73333333333</v>
      </c>
      <c r="AH162" s="121" t="n">
        <v>45742.75694444445</v>
      </c>
      <c r="AI162" s="121" t="n">
        <v>45742.84027777778</v>
      </c>
      <c r="AJ162" s="121" t="n">
        <v>45742.87152777778</v>
      </c>
      <c r="AK162" s="121" t="n">
        <v>45747.98263888889</v>
      </c>
      <c r="AL162" s="121" t="n">
        <v>45748.01736111111</v>
      </c>
      <c r="AM162" s="121" t="n">
        <v>45748.04513888889</v>
      </c>
      <c r="AN162" s="121" t="n">
        <v>45748.09375</v>
      </c>
      <c r="AO162" s="121" t="n">
        <v>45748.13541666666</v>
      </c>
      <c r="AP162" s="117">
        <f>(AG162-AF162)*1440</f>
        <v/>
      </c>
      <c r="AQ162" s="117">
        <f>(AG162-AE162)*1440</f>
        <v/>
      </c>
      <c r="AR162" s="117">
        <f>(AH162-AF162)*1440</f>
        <v/>
      </c>
      <c r="AS162" s="117">
        <f>(AI162-AH162)*1440</f>
        <v/>
      </c>
      <c r="AT162" s="117">
        <f>(AJ162-AH162)*1440</f>
        <v/>
      </c>
      <c r="AU162" s="117">
        <f>(AL162-AK162)*1440</f>
        <v/>
      </c>
      <c r="AV162" s="117">
        <f>(AM162-AL162)*1440</f>
        <v/>
      </c>
      <c r="AW162" s="117">
        <f>(AO162-AM162)*1440</f>
        <v/>
      </c>
      <c r="AX162" s="118">
        <f>AP162+AS162+AU162+AV162+AW162</f>
        <v/>
      </c>
      <c r="AY162" s="119">
        <f>(AG162-AA162)</f>
        <v/>
      </c>
      <c r="AZ162" s="119">
        <f>(AK162-AJ162)</f>
        <v/>
      </c>
      <c r="BA162" s="119">
        <f>AO162-AG162</f>
        <v/>
      </c>
      <c r="BB162" s="119">
        <f>(AO162-AA162)-(AP162/1440)-(AW162/1440)</f>
        <v/>
      </c>
      <c r="BC162" s="117">
        <f>E162/AZ162</f>
        <v/>
      </c>
      <c r="BD162" s="225" t="n"/>
      <c r="BE162" s="117">
        <f>IF(E162&lt;10000,3000,IF(E162&lt;15000,3600,IF(E162&lt;20000,4500,IF(E162&lt;25000,6000,IF(E162&lt;30000,7500,IF(E162&lt;40000,9000,IF(E162&gt;40000,10000)))))))</f>
        <v/>
      </c>
      <c r="BF162" s="322">
        <f>(E162/BE162)+2</f>
        <v/>
      </c>
      <c r="BS162" s="127" t="inlineStr">
        <is>
          <t>CHANGE DU POSTE 1N VERS LA RADE 28/03- 1215 // RE-ACCOSTAGE AU POSTE 1N LE 30/03- 2220</t>
        </is>
      </c>
      <c r="BT162" s="127" t="n">
        <v>2</v>
      </c>
      <c r="BU162" s="127" t="n"/>
      <c r="BV162" s="127" t="n"/>
      <c r="BW162" s="323">
        <f>AI162-AH162</f>
        <v/>
      </c>
      <c r="BX162" s="120" t="inlineStr">
        <is>
          <t>NUL</t>
        </is>
      </c>
      <c r="BY162" s="120" t="inlineStr">
        <is>
          <t>NUL</t>
        </is>
      </c>
      <c r="BZ162" s="230" t="n"/>
      <c r="CA162" s="230" t="n"/>
      <c r="CB162" s="111" t="n">
        <v>18493</v>
      </c>
      <c r="CC162" s="230" t="n"/>
      <c r="CD162" s="230" t="n"/>
      <c r="CE162" s="230" t="n"/>
      <c r="CF162" s="230" t="n"/>
      <c r="CG162" s="230" t="n"/>
      <c r="CH162" s="230" t="n"/>
      <c r="CI162" s="230" t="n"/>
      <c r="CJ162" s="230" t="n"/>
      <c r="CK162" s="230" t="n"/>
      <c r="CL162" s="230" t="n"/>
      <c r="CM162" s="230" t="n"/>
      <c r="CN162" s="230" t="n"/>
      <c r="CO162" s="230" t="n"/>
      <c r="CP162" s="230" t="n"/>
      <c r="CQ162" s="230" t="n"/>
    </row>
    <row r="163" customFormat="1" s="230">
      <c r="A163" s="112" t="inlineStr">
        <is>
          <t xml:space="preserve">                                                             </t>
        </is>
      </c>
      <c r="B163" s="317" t="inlineStr">
        <is>
          <t xml:space="preserve">OSPREY S </t>
        </is>
      </c>
      <c r="C163" s="108" t="n">
        <v>45747</v>
      </c>
      <c r="D163" s="318" t="n">
        <v>27500</v>
      </c>
      <c r="E163" s="318" t="n">
        <v>27500</v>
      </c>
      <c r="F163" s="141" t="n"/>
      <c r="G163" s="112" t="n">
        <v>1</v>
      </c>
      <c r="H163" s="115" t="inlineStr">
        <is>
          <t>DAP</t>
        </is>
      </c>
      <c r="I163" s="114" t="inlineStr">
        <is>
          <t>DAP EU</t>
        </is>
      </c>
      <c r="J163" s="129" t="inlineStr">
        <is>
          <t>FOB</t>
        </is>
      </c>
      <c r="K163" s="82" t="n"/>
      <c r="L163" s="341">
        <f>D163*K163</f>
        <v/>
      </c>
      <c r="M163" s="14" t="n"/>
      <c r="N163" s="335">
        <f>L163*M163</f>
        <v/>
      </c>
      <c r="O163" s="16" t="n"/>
      <c r="P163" s="16" t="n"/>
      <c r="Q163" s="131" t="inlineStr">
        <is>
          <t>EUROPE</t>
        </is>
      </c>
      <c r="R163" s="113" t="inlineStr">
        <is>
          <t>TURQUIE</t>
        </is>
      </c>
      <c r="S163" s="233" t="n"/>
      <c r="T163" s="113" t="inlineStr">
        <is>
          <t>INTERTEK</t>
        </is>
      </c>
      <c r="U163" s="112" t="n">
        <v>179</v>
      </c>
      <c r="V163" s="129">
        <f>IF(U163&lt;130, "Mini Bulker", IF(AND(U163&gt;=130, U163&lt;150), "Handysize", IF(AND(U163&gt;=150, U163&lt;200), "Handymax", IF(AND(U163&gt;=200, U163&lt;230), "Panamax", IF(AND(U163&gt;=230, U163&lt;=270), "Capesize", "Autre")))))</f>
        <v/>
      </c>
      <c r="X163" s="111">
        <f>IF(E163&lt;9999,"1",IF(E163&lt;19999,"2",IF(E163&lt;29999,"3",IF(E163&lt;39999,"4",IF(E163&lt;49999,"5",IF(E163&gt;50000,"6"))))))</f>
        <v/>
      </c>
      <c r="Y163" s="115" t="inlineStr">
        <is>
          <t>1BIS</t>
        </is>
      </c>
      <c r="AA163" s="96" t="n">
        <v>45744.70138888889</v>
      </c>
      <c r="AB163" s="96" t="n">
        <v>45744.70138888889</v>
      </c>
      <c r="AC163" s="108" t="n">
        <v>45741</v>
      </c>
      <c r="AD163" s="108" t="n">
        <v>45744</v>
      </c>
      <c r="AE163" s="96" t="n">
        <v>45744.58333333334</v>
      </c>
      <c r="AF163" s="96" t="n">
        <v>45745.20833333334</v>
      </c>
      <c r="AG163" s="96" t="n">
        <v>45745.27083333334</v>
      </c>
      <c r="AH163" s="96" t="n">
        <v>45745.30208333334</v>
      </c>
      <c r="AI163" s="96" t="n">
        <v>45745.43402777778</v>
      </c>
      <c r="AJ163" s="96" t="n">
        <v>45745.57638888889</v>
      </c>
      <c r="AK163" s="96" t="n">
        <v>45747.90277777778</v>
      </c>
      <c r="AL163" s="96" t="n">
        <v>45747.9375</v>
      </c>
      <c r="AM163" s="96" t="n">
        <v>45747.96527777778</v>
      </c>
      <c r="AN163" s="96" t="n">
        <v>45748.01666666667</v>
      </c>
      <c r="AO163" s="96" t="n">
        <v>45748.0625</v>
      </c>
      <c r="AP163" s="117">
        <f>(AG163-AF163)*1440</f>
        <v/>
      </c>
      <c r="AQ163" s="117">
        <f>(AG163-AE163)*1440</f>
        <v/>
      </c>
      <c r="AR163" s="117">
        <f>(AH163-AF163)*1440</f>
        <v/>
      </c>
      <c r="AS163" s="117">
        <f>(AI163-AH163)*1440</f>
        <v/>
      </c>
      <c r="AT163" s="117">
        <f>(AJ163-AH163)*1440</f>
        <v/>
      </c>
      <c r="AU163" s="117">
        <f>(AL163-AK163)*1440</f>
        <v/>
      </c>
      <c r="AV163" s="117">
        <f>(AM163-AL163)*1440</f>
        <v/>
      </c>
      <c r="AW163" s="117">
        <f>(AO163-AM163)*1440</f>
        <v/>
      </c>
      <c r="AX163" s="118">
        <f>AP163+AS163+AU163+AV163+AW163</f>
        <v/>
      </c>
      <c r="AY163" s="119">
        <f>(AG163-AA163)</f>
        <v/>
      </c>
      <c r="AZ163" s="119">
        <f>(AK163-AJ163)</f>
        <v/>
      </c>
      <c r="BA163" s="119">
        <f>AO163-AG163</f>
        <v/>
      </c>
      <c r="BB163" s="119">
        <f>(AO163-AA163)-(AP163/1440)-(AW163/1440)</f>
        <v/>
      </c>
      <c r="BC163" s="117">
        <f>E163/AZ163</f>
        <v/>
      </c>
      <c r="BE163" s="117">
        <f>IF(E163&lt;10000,3000,IF(E163&lt;15000,3600,IF(E163&lt;20000,4500,IF(E163&lt;25000,6000,IF(E163&lt;30000,7500,IF(E163&lt;40000,9000,IF(E163&gt;40000,10000)))))))</f>
        <v/>
      </c>
      <c r="BF163" s="322">
        <f>(E163/BE163)+2</f>
        <v/>
      </c>
      <c r="BS163" s="127" t="inlineStr">
        <is>
          <t>NUL</t>
        </is>
      </c>
      <c r="BT163" s="127" t="n">
        <v>0</v>
      </c>
      <c r="BU163" s="127" t="inlineStr">
        <is>
          <t>NON CLEAN</t>
        </is>
      </c>
      <c r="BV163" s="127" t="inlineStr">
        <is>
          <t>WATER</t>
        </is>
      </c>
      <c r="BW163" s="323">
        <f>AI163-AH163</f>
        <v/>
      </c>
      <c r="BX163" s="120" t="inlineStr">
        <is>
          <t>NUL</t>
        </is>
      </c>
      <c r="BY163" s="120" t="inlineStr">
        <is>
          <t>NUL</t>
        </is>
      </c>
      <c r="CB163" s="111" t="n">
        <v>19971</v>
      </c>
      <c r="CE163" s="153" t="n">
        <v>45744</v>
      </c>
    </row>
    <row r="164" customFormat="1" s="230">
      <c r="A164" s="81" t="n">
        <v>108</v>
      </c>
      <c r="B164" s="340" t="inlineStr">
        <is>
          <t>XIN HAI TONG 18</t>
        </is>
      </c>
      <c r="C164" s="135" t="n">
        <v>45747</v>
      </c>
      <c r="D164" s="329" t="n">
        <v>54700</v>
      </c>
      <c r="E164" s="329" t="n">
        <v>54700</v>
      </c>
      <c r="F164" s="142" t="n"/>
      <c r="G164" s="81" t="n">
        <v>1</v>
      </c>
      <c r="H164" s="75" t="inlineStr">
        <is>
          <t>DAP</t>
        </is>
      </c>
      <c r="I164" s="306" t="inlineStr">
        <is>
          <t xml:space="preserve">DAP STANDARD </t>
        </is>
      </c>
      <c r="J164" s="53" t="inlineStr">
        <is>
          <t>FOB</t>
        </is>
      </c>
      <c r="K164" s="82" t="n"/>
      <c r="L164" s="341">
        <f>D164*K164</f>
        <v/>
      </c>
      <c r="M164" s="14" t="n"/>
      <c r="N164" s="335">
        <f>L164*M164</f>
        <v/>
      </c>
      <c r="O164" s="208" t="n"/>
      <c r="P164" s="16" t="n"/>
      <c r="Q164" s="89" t="inlineStr">
        <is>
          <t>ASIE</t>
        </is>
      </c>
      <c r="R164" s="50" t="inlineStr">
        <is>
          <t xml:space="preserve">INDIA </t>
        </is>
      </c>
      <c r="S164" s="234" t="n"/>
      <c r="T164" s="50" t="inlineStr">
        <is>
          <t>INTERTEK</t>
        </is>
      </c>
      <c r="U164" s="81" t="n">
        <v>190</v>
      </c>
      <c r="V164" s="53">
        <f>IF(U164&lt;130, "Mini Bulker", IF(AND(U164&gt;=130, U164&lt;150), "Handysize", IF(AND(U164&gt;=150, U164&lt;200), "Handymax", IF(AND(U164&gt;=200, U164&lt;230), "Panamax", IF(AND(U164&gt;=230, U164&lt;=270), "Capesize", "Autre")))))</f>
        <v/>
      </c>
      <c r="X164" s="14">
        <f>IF(E164&lt;9999,"1",IF(E164&lt;19999,"2",IF(E164&lt;29999,"3",IF(E164&lt;39999,"4",IF(E164&lt;49999,"5",IF(E164&gt;50000,"6"))))))</f>
        <v/>
      </c>
      <c r="Y164" s="75" t="inlineStr">
        <is>
          <t>2BIS/2TER</t>
        </is>
      </c>
      <c r="AA164" s="26" t="n">
        <v>45742.95</v>
      </c>
      <c r="AB164" s="26" t="n">
        <v>45743.375</v>
      </c>
      <c r="AC164" s="15" t="n">
        <v>45738</v>
      </c>
      <c r="AD164" s="15" t="n">
        <v>45742</v>
      </c>
      <c r="AE164" s="26" t="n">
        <v>45742.83333333334</v>
      </c>
      <c r="AF164" s="26" t="n">
        <v>45743.09027777778</v>
      </c>
      <c r="AG164" s="26" t="n">
        <v>45743.19583333333</v>
      </c>
      <c r="AH164" s="26" t="n">
        <v>45743.21527777778</v>
      </c>
      <c r="AI164" s="26" t="n">
        <v>45743.27430555555</v>
      </c>
      <c r="AJ164" s="26" t="n">
        <v>45743.28125</v>
      </c>
      <c r="AK164" s="26" t="n">
        <v>45747.41319444445</v>
      </c>
      <c r="AL164" s="26" t="n">
        <v>45747.46180555555</v>
      </c>
      <c r="AM164" s="26" t="n">
        <v>45747.47916666666</v>
      </c>
      <c r="AN164" s="26" t="n">
        <v>45747.52083333334</v>
      </c>
      <c r="AO164" s="26" t="n">
        <v>45747.52777777778</v>
      </c>
      <c r="AP164" s="20">
        <f>(AG164-AF164)*1440</f>
        <v/>
      </c>
      <c r="AQ164" s="20">
        <f>(AG164-AE164)*1440</f>
        <v/>
      </c>
      <c r="AR164" s="20">
        <f>(AH164-AF164)*1440</f>
        <v/>
      </c>
      <c r="AS164" s="20">
        <f>(AI164-AH164)*1440</f>
        <v/>
      </c>
      <c r="AT164" s="20">
        <f>(AJ164-AH164)*1440</f>
        <v/>
      </c>
      <c r="AU164" s="20">
        <f>(AL164-AK164)*1440</f>
        <v/>
      </c>
      <c r="AV164" s="20">
        <f>(AM164-AL164)*1440</f>
        <v/>
      </c>
      <c r="AW164" s="20">
        <f>(AO164-AM164)*1440</f>
        <v/>
      </c>
      <c r="AX164" s="19">
        <f>AP164+AS164+AU164+AV164+AW164</f>
        <v/>
      </c>
      <c r="AY164" s="18">
        <f>(AG164-AA164)</f>
        <v/>
      </c>
      <c r="AZ164" s="18">
        <f>(AK164-AJ164)</f>
        <v/>
      </c>
      <c r="BA164" s="18">
        <f>AO164-AG164</f>
        <v/>
      </c>
      <c r="BB164" s="18">
        <f>(AO164-AA164)-(AP164/1440)-(AW164/1440)</f>
        <v/>
      </c>
      <c r="BC164" s="20">
        <f>E164/AZ164</f>
        <v/>
      </c>
      <c r="BE164" s="20">
        <f>IF(E164&lt;10000,3000,IF(E164&lt;15000,3600,IF(E164&lt;20000,4500,IF(E164&lt;25000,6000,IF(E164&lt;30000,7500,IF(E164&lt;40000,9000,IF(E164&gt;40000,10000)))))))</f>
        <v/>
      </c>
      <c r="BF164" s="334">
        <f>(E164/BE164)+2</f>
        <v/>
      </c>
      <c r="BS164" s="97" t="inlineStr">
        <is>
          <t>CHANGE DU POSTE 2BIS VERS POSTE 2TER LE 30/03- 1745</t>
        </is>
      </c>
      <c r="BT164" s="97" t="n">
        <v>1</v>
      </c>
      <c r="BU164" s="97" t="inlineStr">
        <is>
          <t>CLEAN</t>
        </is>
      </c>
      <c r="BV164" s="97" t="inlineStr">
        <is>
          <t>-</t>
        </is>
      </c>
      <c r="BW164" s="332">
        <f>AI164-AH164</f>
        <v/>
      </c>
      <c r="BX164" s="24" t="inlineStr">
        <is>
          <t>NUL</t>
        </is>
      </c>
      <c r="BY164" s="24" t="inlineStr">
        <is>
          <t>NUL</t>
        </is>
      </c>
      <c r="CB164" s="14" t="n">
        <v>32945</v>
      </c>
      <c r="CE164" s="229" t="n">
        <v>45742</v>
      </c>
    </row>
    <row r="165" customFormat="1" s="230">
      <c r="A165" s="112" t="n">
        <v>112</v>
      </c>
      <c r="B165" s="317" t="inlineStr">
        <is>
          <t>ALBIZ</t>
        </is>
      </c>
      <c r="C165" s="108" t="n">
        <v>45749</v>
      </c>
      <c r="D165" s="318" t="n">
        <v>4400</v>
      </c>
      <c r="E165" s="318" t="n">
        <v>4400</v>
      </c>
      <c r="F165" s="141" t="n"/>
      <c r="G165" s="112" t="n">
        <v>1</v>
      </c>
      <c r="H165" s="115" t="inlineStr">
        <is>
          <t>DAP</t>
        </is>
      </c>
      <c r="I165" s="114" t="inlineStr">
        <is>
          <t xml:space="preserve">DAP Euro Low Cd Low </t>
        </is>
      </c>
      <c r="J165" s="129" t="inlineStr">
        <is>
          <t>CFR</t>
        </is>
      </c>
      <c r="K165" s="82" t="n">
        <v>662</v>
      </c>
      <c r="L165" s="341">
        <f>D165*K165</f>
        <v/>
      </c>
      <c r="M165" s="14" t="n"/>
      <c r="N165" s="335">
        <f>L165*M165</f>
        <v/>
      </c>
      <c r="O165" s="16" t="n"/>
      <c r="P165" s="16" t="n"/>
      <c r="Q165" s="131" t="inlineStr">
        <is>
          <t>EUROPE</t>
        </is>
      </c>
      <c r="R165" s="113" t="inlineStr">
        <is>
          <t>PORTUGAL</t>
        </is>
      </c>
      <c r="S165" s="233" t="n"/>
      <c r="T165" s="113" t="n"/>
      <c r="U165" s="112" t="n">
        <v>100</v>
      </c>
      <c r="V165" s="129" t="n"/>
      <c r="X165" s="111" t="n"/>
      <c r="Y165" s="115" t="inlineStr">
        <is>
          <t>2TER</t>
        </is>
      </c>
      <c r="AA165" s="96" t="n"/>
      <c r="AB165" s="96" t="n"/>
      <c r="AC165" s="108" t="n">
        <v>45744</v>
      </c>
      <c r="AD165" s="108" t="n">
        <v>45746</v>
      </c>
      <c r="AE165" s="96" t="n"/>
      <c r="AF165" s="96" t="n">
        <v>45748.14097222222</v>
      </c>
      <c r="AG165" s="96" t="n">
        <v>45748.20833333334</v>
      </c>
      <c r="AH165" s="96" t="n"/>
      <c r="AI165" s="96" t="n">
        <v>45748.53125</v>
      </c>
      <c r="AJ165" s="96" t="n"/>
      <c r="AK165" s="96" t="n">
        <v>45748.99652777778</v>
      </c>
      <c r="AL165" s="96" t="n">
        <v>45749.01736111111</v>
      </c>
      <c r="AM165" s="96" t="n">
        <v>45749.03125</v>
      </c>
      <c r="AN165" s="96" t="n">
        <v>45749.03472222222</v>
      </c>
      <c r="AO165" s="96" t="n">
        <v>45749.07638888889</v>
      </c>
      <c r="AP165" s="117" t="n"/>
      <c r="AQ165" s="117" t="n"/>
      <c r="AR165" s="117" t="n"/>
      <c r="AS165" s="117" t="n"/>
      <c r="AT165" s="117" t="n"/>
      <c r="AU165" s="117" t="n"/>
      <c r="AV165" s="117" t="n"/>
      <c r="AW165" s="117" t="n"/>
      <c r="AX165" s="118" t="n"/>
      <c r="AY165" s="119" t="n"/>
      <c r="AZ165" s="119" t="n"/>
      <c r="BA165" s="119" t="n"/>
      <c r="BB165" s="119" t="n"/>
      <c r="BC165" s="117" t="n"/>
      <c r="BE165" s="117">
        <f>IF(E165&lt;10000,3000,IF(E165&lt;15000,3600,IF(E165&lt;20000,4500,IF(E165&lt;25000,6000,IF(E165&lt;30000,7500,IF(E165&lt;40000,9000,IF(E165&gt;40000,10000)))))))</f>
        <v/>
      </c>
      <c r="BF165" s="322">
        <f>(E165/BE165)+2</f>
        <v/>
      </c>
      <c r="BS165" s="127" t="inlineStr">
        <is>
          <t>NUL</t>
        </is>
      </c>
      <c r="BT165" s="127" t="n">
        <v>0</v>
      </c>
      <c r="BU165" s="127" t="inlineStr">
        <is>
          <t>NON CLEAN</t>
        </is>
      </c>
      <c r="BV165" s="127" t="inlineStr">
        <is>
          <t>HUMIDITY</t>
        </is>
      </c>
      <c r="BW165" s="323">
        <f>AI165-AH165</f>
        <v/>
      </c>
      <c r="BX165" s="120" t="inlineStr">
        <is>
          <t>NUL</t>
        </is>
      </c>
      <c r="BY165" s="120" t="inlineStr">
        <is>
          <t>NUL</t>
        </is>
      </c>
      <c r="CB165" s="241" t="n">
        <v>3995</v>
      </c>
    </row>
    <row r="166" ht="15" customFormat="1" customHeight="1" s="230">
      <c r="A166" s="112" t="n">
        <v>114</v>
      </c>
      <c r="B166" s="317" t="inlineStr">
        <is>
          <t>ANZORAS</t>
        </is>
      </c>
      <c r="C166" s="108" t="n">
        <v>45749</v>
      </c>
      <c r="D166" s="318" t="n">
        <v>5000</v>
      </c>
      <c r="E166" s="318" t="n">
        <v>5000</v>
      </c>
      <c r="F166" s="141" t="inlineStr">
        <is>
          <t>OCP NUTRI</t>
        </is>
      </c>
      <c r="G166" s="112" t="n">
        <v>1</v>
      </c>
      <c r="H166" s="115" t="inlineStr">
        <is>
          <t>DAP</t>
        </is>
      </c>
      <c r="I166" s="114" t="inlineStr">
        <is>
          <t xml:space="preserve">DAP Euro Low Cd Low Moisture </t>
        </is>
      </c>
      <c r="J166" s="129" t="inlineStr">
        <is>
          <t>CFR</t>
        </is>
      </c>
      <c r="K166" s="82" t="n">
        <v>650</v>
      </c>
      <c r="L166" s="341">
        <f>D166*K166</f>
        <v/>
      </c>
      <c r="M166" s="14" t="n">
        <v>9.619</v>
      </c>
      <c r="N166" s="335">
        <f>L166*M166</f>
        <v/>
      </c>
      <c r="O166" s="16" t="inlineStr">
        <is>
          <t>377 S DU 26/03/2025</t>
        </is>
      </c>
      <c r="P166" s="16" t="inlineStr">
        <is>
          <t>TARGET FERTILISERS LIMITED</t>
        </is>
      </c>
      <c r="Q166" s="113" t="inlineStr">
        <is>
          <t>EUROPE</t>
        </is>
      </c>
      <c r="R166" s="113" t="inlineStr">
        <is>
          <t>IRLANDE</t>
        </is>
      </c>
      <c r="S166" s="233" t="n"/>
      <c r="T166" s="113" t="inlineStr">
        <is>
          <t>INSPECTORATE</t>
        </is>
      </c>
      <c r="U166" s="112" t="n">
        <v>100</v>
      </c>
      <c r="V166" s="129">
        <f>IF(U166&lt;130, "Mini Bulker", IF(AND(U166&gt;=130, U166&lt;150), "Handysize", IF(AND(U166&gt;=150, U166&lt;200), "Handymax", IF(AND(U166&gt;=200, U166&lt;230), "Panamax", IF(AND(U166&gt;=230, U166&lt;=270), "Capesize", "Autre")))))</f>
        <v/>
      </c>
      <c r="X166" s="111">
        <f>IF(E166&lt;9999,"1",IF(E166&lt;19999,"2",IF(E166&lt;29999,"3",IF(E166&lt;39999,"4",IF(E166&lt;49999,"5",IF(E166&gt;50000,"6"))))))</f>
        <v/>
      </c>
      <c r="Y166" s="115" t="inlineStr">
        <is>
          <t>2TER/1N</t>
        </is>
      </c>
      <c r="AA166" s="96" t="n">
        <v>45747.27083333334</v>
      </c>
      <c r="AB166" s="96" t="n">
        <v>45747.375</v>
      </c>
      <c r="AC166" s="108" t="n">
        <v>45743</v>
      </c>
      <c r="AD166" s="108" t="n">
        <v>45745</v>
      </c>
      <c r="AE166" s="96" t="n">
        <v>45747.27083333334</v>
      </c>
      <c r="AF166" s="96" t="n">
        <v>45747.52777777778</v>
      </c>
      <c r="AG166" s="96" t="n">
        <v>45747.58680555555</v>
      </c>
      <c r="AH166" s="96" t="n">
        <v>45747.59027777778</v>
      </c>
      <c r="AI166" s="96" t="n">
        <v>45747.65277777778</v>
      </c>
      <c r="AJ166" s="96" t="n">
        <v>45748.59722222222</v>
      </c>
      <c r="AK166" s="96" t="n">
        <v>45749.97569444445</v>
      </c>
      <c r="AL166" s="96" t="n">
        <v>45750.00347222222</v>
      </c>
      <c r="AM166" s="96" t="n">
        <v>45750.00694444445</v>
      </c>
      <c r="AN166" s="96" t="n">
        <v>45750.05138888889</v>
      </c>
      <c r="AO166" s="96" t="n">
        <v>45750.10416666666</v>
      </c>
      <c r="AP166" s="117">
        <f>(AG166-AF166)*1440</f>
        <v/>
      </c>
      <c r="AQ166" s="117">
        <f>(AG166-AE166)*1440</f>
        <v/>
      </c>
      <c r="AR166" s="117">
        <f>(AH166-AF166)*1440</f>
        <v/>
      </c>
      <c r="AS166" s="117">
        <f>(AI166-AH166)*1440</f>
        <v/>
      </c>
      <c r="AT166" s="117">
        <f>(AJ166-AH166)*1440</f>
        <v/>
      </c>
      <c r="AU166" s="117">
        <f>(AL166-AK166)*1440</f>
        <v/>
      </c>
      <c r="AV166" s="117">
        <f>(AM166-AL166)*1440</f>
        <v/>
      </c>
      <c r="AW166" s="117">
        <f>(AO166-AM166)*1440</f>
        <v/>
      </c>
      <c r="AX166" s="118">
        <f>AP166+AS166+AU166+AV166+AW166</f>
        <v/>
      </c>
      <c r="AY166" s="119">
        <f>(AG166-AA166)</f>
        <v/>
      </c>
      <c r="AZ166" s="119">
        <f>(AK166-AJ166)</f>
        <v/>
      </c>
      <c r="BA166" s="119">
        <f>AO166-AG166</f>
        <v/>
      </c>
      <c r="BB166" s="119">
        <f>(AO166-AA166)-(AP166/1440)-(AW166/1440)</f>
        <v/>
      </c>
      <c r="BC166" s="117">
        <f>E166/AZ166</f>
        <v/>
      </c>
      <c r="BE166" s="117">
        <f>IF(E166&lt;10000,3000,IF(E166&lt;15000,3600,IF(E166&lt;20000,4500,IF(E166&lt;25000,6000,IF(E166&lt;30000,7500,IF(E166&lt;40000,9000,IF(E166&gt;40000,10000)))))))</f>
        <v/>
      </c>
      <c r="BF166" s="322">
        <f>(E166/BE166)+2</f>
        <v/>
      </c>
      <c r="BS166" s="127" t="inlineStr">
        <is>
          <t>CHANGE DU POSTE 2TER VERS POSTE 1N LE 01/04- 0410 // CHANGE DU POSTE 1N VERS 2TER LE 02/04- 0230</t>
        </is>
      </c>
      <c r="BT166" s="127" t="n">
        <v>2</v>
      </c>
      <c r="BU166" s="127" t="n"/>
      <c r="BV166" s="127" t="n"/>
      <c r="BW166" s="323">
        <f>AI166-AH166</f>
        <v/>
      </c>
      <c r="BX166" s="120" t="inlineStr">
        <is>
          <t>NUL</t>
        </is>
      </c>
      <c r="BY166" s="120" t="inlineStr">
        <is>
          <t>NUL</t>
        </is>
      </c>
      <c r="CB166" s="111" t="n">
        <v>3995</v>
      </c>
    </row>
    <row r="167" ht="15" customFormat="1" customHeight="1" s="230">
      <c r="A167" s="112" t="n">
        <v>113</v>
      </c>
      <c r="B167" s="317" t="inlineStr">
        <is>
          <t>MARK D</t>
        </is>
      </c>
      <c r="C167" s="108" t="n">
        <v>45749</v>
      </c>
      <c r="D167" s="318" t="n">
        <v>3273</v>
      </c>
      <c r="E167" s="318" t="n">
        <v>3273</v>
      </c>
      <c r="F167" s="141" t="inlineStr">
        <is>
          <t>OCP NUTRI</t>
        </is>
      </c>
      <c r="G167" s="112" t="n">
        <v>1</v>
      </c>
      <c r="H167" s="115" t="inlineStr">
        <is>
          <t>DAP</t>
        </is>
      </c>
      <c r="I167" s="114" t="inlineStr">
        <is>
          <t xml:space="preserve">DAP Euro  </t>
        </is>
      </c>
      <c r="J167" s="129" t="inlineStr">
        <is>
          <t>CFR</t>
        </is>
      </c>
      <c r="K167" s="82" t="n">
        <v>669</v>
      </c>
      <c r="L167" s="341">
        <f>D167*K167</f>
        <v/>
      </c>
      <c r="M167" s="14" t="n">
        <v>9.6607</v>
      </c>
      <c r="N167" s="335">
        <f>L167*M167</f>
        <v/>
      </c>
      <c r="O167" s="16" t="inlineStr">
        <is>
          <t>377 S DU 26/03/2025</t>
        </is>
      </c>
      <c r="P167" s="16" t="inlineStr">
        <is>
          <t>Origin UK Operations Limited</t>
        </is>
      </c>
      <c r="Q167" s="113" t="inlineStr">
        <is>
          <t>EUROPE</t>
        </is>
      </c>
      <c r="R167" s="113" t="inlineStr">
        <is>
          <t>UK</t>
        </is>
      </c>
      <c r="S167" s="233" t="n"/>
      <c r="T167" s="113" t="inlineStr">
        <is>
          <t>INTERTEK</t>
        </is>
      </c>
      <c r="U167" s="112" t="n">
        <v>88</v>
      </c>
      <c r="V167" s="129">
        <f>IF(U167&lt;130, "Mini Bulker", IF(AND(U167&gt;=130, U167&lt;150), "Handysize", IF(AND(U167&gt;=150, U167&lt;200), "Handymax", IF(AND(U167&gt;=200, U167&lt;230), "Panamax", IF(AND(U167&gt;=230, U167&lt;=270), "Capesize", "Autre")))))</f>
        <v/>
      </c>
      <c r="X167" s="111">
        <f>IF(E167&lt;9999,"1",IF(E167&lt;19999,"2",IF(E167&lt;29999,"3",IF(E167&lt;39999,"4",IF(E167&lt;49999,"5",IF(E167&gt;50000,"6"))))))</f>
        <v/>
      </c>
      <c r="Y167" s="115" t="inlineStr">
        <is>
          <t>1SUD</t>
        </is>
      </c>
      <c r="AA167" s="96" t="n">
        <v>45745.48958333334</v>
      </c>
      <c r="AB167" s="96" t="n">
        <v>45745.48958333334</v>
      </c>
      <c r="AC167" s="108" t="n">
        <v>45743</v>
      </c>
      <c r="AD167" s="108" t="n">
        <v>45744</v>
      </c>
      <c r="AE167" s="96" t="n">
        <v>45745.45833333334</v>
      </c>
      <c r="AF167" s="96" t="n">
        <v>45746.83333333334</v>
      </c>
      <c r="AG167" s="96" t="n">
        <v>45746.95486111111</v>
      </c>
      <c r="AH167" s="96" t="n">
        <v>45746.97222222222</v>
      </c>
      <c r="AI167" s="96" t="n">
        <v>45747.03472222222</v>
      </c>
      <c r="AJ167" s="96" t="n">
        <v>45748.10416666666</v>
      </c>
      <c r="AK167" s="96" t="n">
        <v>45749.76388888889</v>
      </c>
      <c r="AL167" s="96" t="n">
        <v>45749.79166666666</v>
      </c>
      <c r="AM167" s="96" t="n">
        <v>45749.82291666666</v>
      </c>
      <c r="AN167" s="96" t="n">
        <v>45749.875</v>
      </c>
      <c r="AO167" s="96" t="n">
        <v>45749.88194444445</v>
      </c>
      <c r="AP167" s="117">
        <f>(AG167-AF167)*1440</f>
        <v/>
      </c>
      <c r="AQ167" s="117">
        <f>(AG167-AE167)*1440</f>
        <v/>
      </c>
      <c r="AR167" s="117">
        <f>(AH167-AF167)*1440</f>
        <v/>
      </c>
      <c r="AS167" s="117">
        <f>(AI167-AH167)*1440</f>
        <v/>
      </c>
      <c r="AT167" s="117">
        <f>(AJ167-AH167)*1440</f>
        <v/>
      </c>
      <c r="AU167" s="117">
        <f>(AL167-AK167)*1440</f>
        <v/>
      </c>
      <c r="AV167" s="117">
        <f>(AM167-AL167)*1440</f>
        <v/>
      </c>
      <c r="AW167" s="117">
        <f>(AO167-AM167)*1440</f>
        <v/>
      </c>
      <c r="AX167" s="118">
        <f>AP167+AS167+AU167+AV167+AW167</f>
        <v/>
      </c>
      <c r="AY167" s="119">
        <f>(AG167-AA167)</f>
        <v/>
      </c>
      <c r="AZ167" s="119">
        <f>(AK167-AJ167)</f>
        <v/>
      </c>
      <c r="BA167" s="119">
        <f>AO167-AG167</f>
        <v/>
      </c>
      <c r="BB167" s="119">
        <f>(AO167-AA167)-(AP167/1440)-(AW167/1440)</f>
        <v/>
      </c>
      <c r="BC167" s="117">
        <f>E167/AZ167</f>
        <v/>
      </c>
      <c r="BE167" s="117">
        <f>IF(E167&lt;10000,3000,IF(E167&lt;15000,3600,IF(E167&lt;20000,4500,IF(E167&lt;25000,6000,IF(E167&lt;30000,7500,IF(E167&lt;40000,9000,IF(E167&gt;40000,10000)))))))</f>
        <v/>
      </c>
      <c r="BF167" s="322">
        <f>(E167/BE167)+2</f>
        <v/>
      </c>
      <c r="BS167" s="127" t="inlineStr">
        <is>
          <t>DEHALAGE 15M VERS LA DIGUE LE 01/04- 0355</t>
        </is>
      </c>
      <c r="BT167" s="127" t="n">
        <v>1</v>
      </c>
      <c r="BU167" s="127" t="n"/>
      <c r="BV167" s="127" t="n"/>
      <c r="BW167" s="323">
        <f>AI167-AH167</f>
        <v/>
      </c>
      <c r="BX167" s="120" t="n"/>
      <c r="BY167" s="120" t="n">
        <v>30</v>
      </c>
      <c r="CB167" s="111" t="n">
        <v>2593</v>
      </c>
    </row>
    <row r="168" customFormat="1" s="230">
      <c r="A168" s="112" t="n">
        <v>116</v>
      </c>
      <c r="B168" s="317" t="inlineStr">
        <is>
          <t xml:space="preserve">ICDAS </t>
        </is>
      </c>
      <c r="C168" s="108" t="n">
        <v>45750</v>
      </c>
      <c r="D168" s="318" t="n">
        <v>14900</v>
      </c>
      <c r="E168" s="318" t="n">
        <v>14900</v>
      </c>
      <c r="F168" s="141" t="n"/>
      <c r="G168" s="112" t="n">
        <v>1</v>
      </c>
      <c r="H168" s="115" t="inlineStr">
        <is>
          <t>DAP</t>
        </is>
      </c>
      <c r="I168" s="114" t="inlineStr">
        <is>
          <t>DAP EURO</t>
        </is>
      </c>
      <c r="J168" s="129" t="inlineStr">
        <is>
          <t>FOB</t>
        </is>
      </c>
      <c r="K168" s="82" t="n">
        <v>625</v>
      </c>
      <c r="L168" s="341">
        <f>D168*K168</f>
        <v/>
      </c>
      <c r="M168" s="14" t="n"/>
      <c r="N168" s="335">
        <f>L168*M168</f>
        <v/>
      </c>
      <c r="O168" s="16" t="n"/>
      <c r="P168" s="16" t="n"/>
      <c r="Q168" s="113" t="inlineStr">
        <is>
          <t>EUROPE</t>
        </is>
      </c>
      <c r="R168" s="113" t="inlineStr">
        <is>
          <t>TURQUIE</t>
        </is>
      </c>
      <c r="S168" s="233" t="n"/>
      <c r="T168" s="113" t="inlineStr">
        <is>
          <t>INTERTEK</t>
        </is>
      </c>
      <c r="U168" s="112" t="n">
        <v>148</v>
      </c>
      <c r="V168" s="129">
        <f>IF(U168&lt;130, "Mini Bulker", IF(AND(U168&gt;=130, U168&lt;150), "Handysize", IF(AND(U168&gt;=150, U168&lt;200), "Handymax", IF(AND(U168&gt;=200, U168&lt;230), "Panamax", IF(AND(U168&gt;=230, U168&lt;=270), "Capesize", "Autre")))))</f>
        <v/>
      </c>
      <c r="X168" s="111">
        <f>IF(E168&lt;9999,"1",IF(E168&lt;19999,"2",IF(E168&lt;29999,"3",IF(E168&lt;39999,"4",IF(E168&lt;49999,"5",IF(E168&gt;50000,"6"))))))</f>
        <v/>
      </c>
      <c r="Y168" s="115" t="inlineStr">
        <is>
          <t>7/1TER</t>
        </is>
      </c>
      <c r="AA168" s="96" t="n">
        <v>45747.57291666666</v>
      </c>
      <c r="AB168" s="96" t="n">
        <v>45749.375</v>
      </c>
      <c r="AC168" s="108" t="n">
        <v>45747</v>
      </c>
      <c r="AD168" s="108" t="n">
        <v>45752</v>
      </c>
      <c r="AE168" s="96" t="n">
        <v>45747.57291666666</v>
      </c>
      <c r="AF168" s="96" t="n">
        <v>45747.55416666667</v>
      </c>
      <c r="AG168" s="96" t="n">
        <v>45747.61458333334</v>
      </c>
      <c r="AH168" s="96" t="n">
        <v>45747.64583333334</v>
      </c>
      <c r="AI168" s="96" t="n">
        <v>45748.00694444445</v>
      </c>
      <c r="AJ168" s="96" t="n">
        <v>45748.02777777778</v>
      </c>
      <c r="AK168" s="96" t="n">
        <v>45750.32986111111</v>
      </c>
      <c r="AL168" s="96" t="n">
        <v>45750.35763888889</v>
      </c>
      <c r="AM168" s="96" t="n">
        <v>45750.39236111111</v>
      </c>
      <c r="AN168" s="96" t="n">
        <v>45750.44166666667</v>
      </c>
      <c r="AO168" s="96" t="n">
        <v>45750.48055555556</v>
      </c>
      <c r="AP168" s="117">
        <f>(AG168-AF168)*1440</f>
        <v/>
      </c>
      <c r="AQ168" s="117">
        <f>(AG168-AE168)*1440</f>
        <v/>
      </c>
      <c r="AR168" s="117">
        <f>(AH168-AF168)*1440</f>
        <v/>
      </c>
      <c r="AS168" s="117">
        <f>(AI168-AH168)*1440</f>
        <v/>
      </c>
      <c r="AT168" s="117">
        <f>(AJ168-AH168)*1440</f>
        <v/>
      </c>
      <c r="AU168" s="117">
        <f>(AL168-AK168)*1440</f>
        <v/>
      </c>
      <c r="AV168" s="117">
        <f>(AM168-AL168)*1440</f>
        <v/>
      </c>
      <c r="AW168" s="117">
        <f>(AO168-AM168)*1440</f>
        <v/>
      </c>
      <c r="AX168" s="118">
        <f>AP168+AS168+AU168+AV168+AW168</f>
        <v/>
      </c>
      <c r="AY168" s="119">
        <f>(AG168-AA168)</f>
        <v/>
      </c>
      <c r="AZ168" s="119">
        <f>(AK168-AJ168)</f>
        <v/>
      </c>
      <c r="BA168" s="119">
        <f>AO168-AG168</f>
        <v/>
      </c>
      <c r="BB168" s="119">
        <f>(AO168-AA168)-(AP168/1440)-(AW168/1440)</f>
        <v/>
      </c>
      <c r="BC168" s="117">
        <f>E168/AZ168</f>
        <v/>
      </c>
      <c r="BE168" s="117">
        <f>IF(E168&lt;10000,3000,IF(E168&lt;15000,3600,IF(E168&lt;20000,4500,IF(E168&lt;25000,6000,IF(E168&lt;30000,7500,IF(E168&lt;40000,9000,IF(E168&gt;40000,10000)))))))</f>
        <v/>
      </c>
      <c r="BF168" s="322">
        <f>(E168/BE168)+2</f>
        <v/>
      </c>
      <c r="BS168" s="127" t="inlineStr">
        <is>
          <t>CHANGE DU POSTE 7 VERS POSTE 1TER LE 31/03- 2350</t>
        </is>
      </c>
      <c r="BT168" s="127" t="n">
        <v>1</v>
      </c>
      <c r="BU168" s="127" t="n"/>
      <c r="BV168" s="127" t="n"/>
      <c r="BW168" s="323">
        <f>AI168-AH168</f>
        <v/>
      </c>
      <c r="BX168" s="120" t="inlineStr">
        <is>
          <t>TBC</t>
        </is>
      </c>
      <c r="BY168" s="120" t="n">
        <v>20</v>
      </c>
      <c r="CB168" s="111" t="n">
        <v>11379</v>
      </c>
    </row>
    <row r="169" ht="15" customFormat="1" customHeight="1" s="230">
      <c r="A169" s="112" t="n">
        <v>117</v>
      </c>
      <c r="B169" s="317" t="inlineStr">
        <is>
          <t>JADELAND</t>
        </is>
      </c>
      <c r="C169" s="108" t="n">
        <v>45750</v>
      </c>
      <c r="D169" s="318" t="n">
        <v>4400</v>
      </c>
      <c r="E169" s="318" t="n">
        <v>4400</v>
      </c>
      <c r="F169" s="141" t="inlineStr">
        <is>
          <t>JFC2</t>
        </is>
      </c>
      <c r="G169" s="112" t="n">
        <v>1</v>
      </c>
      <c r="H169" s="115" t="inlineStr">
        <is>
          <t>DAP</t>
        </is>
      </c>
      <c r="I169" s="114" t="inlineStr">
        <is>
          <t>DAP Euro Low Cd</t>
        </is>
      </c>
      <c r="J169" s="129" t="inlineStr">
        <is>
          <t>DAT</t>
        </is>
      </c>
      <c r="K169" s="82" t="n">
        <v>677.5</v>
      </c>
      <c r="L169" s="341">
        <f>D169*K169</f>
        <v/>
      </c>
      <c r="M169" s="14" t="n">
        <v>9.619</v>
      </c>
      <c r="N169" s="335">
        <f>L169*M169</f>
        <v/>
      </c>
      <c r="O169" s="16" t="inlineStr">
        <is>
          <t>383 Y DU 26/03/2025</t>
        </is>
      </c>
      <c r="P169" s="16" t="inlineStr">
        <is>
          <t>SEVITRADE MARITIMA S.L</t>
        </is>
      </c>
      <c r="Q169" s="113" t="inlineStr">
        <is>
          <t>EUROPE</t>
        </is>
      </c>
      <c r="R169" s="113" t="inlineStr">
        <is>
          <t>Espagne</t>
        </is>
      </c>
      <c r="S169" s="233" t="n"/>
      <c r="T169" s="113" t="inlineStr">
        <is>
          <t>INSPECTORATE</t>
        </is>
      </c>
      <c r="U169" s="112" t="n">
        <v>106</v>
      </c>
      <c r="V169" s="129">
        <f>IF(U169&lt;130, "Mini Bulker", IF(AND(U169&gt;=130, U169&lt;150), "Handysize", IF(AND(U169&gt;=150, U169&lt;200), "Handymax", IF(AND(U169&gt;=200, U169&lt;230), "Panamax", IF(AND(U169&gt;=230, U169&lt;=270), "Capesize", "Autre")))))</f>
        <v/>
      </c>
      <c r="X169" s="111">
        <f>IF(E169&lt;9999,"1",IF(E169&lt;19999,"2",IF(E169&lt;29999,"3",IF(E169&lt;39999,"4",IF(E169&lt;49999,"5",IF(E169&gt;50000,"6"))))))</f>
        <v/>
      </c>
      <c r="Y169" s="115" t="inlineStr">
        <is>
          <t>7/4BIS/2TER</t>
        </is>
      </c>
      <c r="AA169" s="96" t="n">
        <v>45747.41666666666</v>
      </c>
      <c r="AB169" s="96" t="n">
        <v>45749.375</v>
      </c>
      <c r="AC169" s="108" t="n">
        <v>45742</v>
      </c>
      <c r="AD169" s="108" t="n">
        <v>45744</v>
      </c>
      <c r="AE169" s="96" t="n">
        <v>45747.41666666666</v>
      </c>
      <c r="AF169" s="96" t="n">
        <v>45748.87638888889</v>
      </c>
      <c r="AG169" s="96" t="n">
        <v>45748.95833333334</v>
      </c>
      <c r="AH169" s="96" t="n">
        <v>45748.97222222222</v>
      </c>
      <c r="AI169" s="96" t="n">
        <v>45750.08680555555</v>
      </c>
      <c r="AJ169" s="96" t="n">
        <v>45750.10416666666</v>
      </c>
      <c r="AK169" s="96" t="n">
        <v>45750.54166666666</v>
      </c>
      <c r="AL169" s="96" t="n">
        <v>45750.57986111111</v>
      </c>
      <c r="AM169" s="96" t="n">
        <v>45750.61111111111</v>
      </c>
      <c r="AN169" s="96" t="n">
        <v>45750.65416666667</v>
      </c>
      <c r="AO169" s="96" t="n">
        <v>45750.66388888889</v>
      </c>
      <c r="AP169" s="117">
        <f>(AG169-AF169)*1440</f>
        <v/>
      </c>
      <c r="AQ169" s="117">
        <f>(AG169-AE169)*1440</f>
        <v/>
      </c>
      <c r="AR169" s="117">
        <f>(AH169-AF169)*1440</f>
        <v/>
      </c>
      <c r="AS169" s="117">
        <f>(AI169-AH169)*1440</f>
        <v/>
      </c>
      <c r="AT169" s="117">
        <f>(AJ169-AH169)*1440</f>
        <v/>
      </c>
      <c r="AU169" s="117">
        <f>(AL169-AK169)*1440</f>
        <v/>
      </c>
      <c r="AV169" s="117">
        <f>(AM169-AL169)*1440</f>
        <v/>
      </c>
      <c r="AW169" s="117">
        <f>(AO169-AM169)*1440</f>
        <v/>
      </c>
      <c r="AX169" s="118">
        <f>AP169+AS169+AU169+AV169+AW169</f>
        <v/>
      </c>
      <c r="AY169" s="119">
        <f>(AG169-AA169)</f>
        <v/>
      </c>
      <c r="AZ169" s="119">
        <f>(AK169-AJ169)</f>
        <v/>
      </c>
      <c r="BA169" s="119">
        <f>AO169-AG169</f>
        <v/>
      </c>
      <c r="BB169" s="119">
        <f>(AO169-AA169)-(AP169/1440)-(AW169/1440)</f>
        <v/>
      </c>
      <c r="BC169" s="117">
        <f>E169/AZ169</f>
        <v/>
      </c>
      <c r="BE169" s="117">
        <f>IF(E169&lt;10000,3000,IF(E169&lt;15000,3600,IF(E169&lt;20000,4500,IF(E169&lt;25000,6000,IF(E169&lt;30000,7500,IF(E169&lt;40000,9000,IF(E169&gt;40000,10000)))))))</f>
        <v/>
      </c>
      <c r="BF169" s="322">
        <f>(E169/BE169)+2</f>
        <v/>
      </c>
      <c r="BS169" s="127" t="inlineStr">
        <is>
          <t>CHANGE DU POSTE 7 VERS LE POSTE 4 BIS LE 02/04 - 1740 // CHANGE DU POSTE 4BIS VERS LE POSTE 2T LE 03/04 - 0150</t>
        </is>
      </c>
      <c r="BT169" s="127" t="n">
        <v>2</v>
      </c>
      <c r="BU169" s="201" t="n"/>
      <c r="BV169" s="127" t="n"/>
      <c r="BW169" s="323">
        <f>AI169-AH169</f>
        <v/>
      </c>
      <c r="BX169" s="120" t="inlineStr">
        <is>
          <t>NUL</t>
        </is>
      </c>
      <c r="BY169" s="120" t="inlineStr">
        <is>
          <t>NUL</t>
        </is>
      </c>
      <c r="CB169" s="111" t="n">
        <v>4220</v>
      </c>
    </row>
    <row r="170" customFormat="1" s="230">
      <c r="A170" s="112" t="n">
        <v>115</v>
      </c>
      <c r="B170" s="342" t="inlineStr">
        <is>
          <t>TBC PRINCESS</t>
        </is>
      </c>
      <c r="C170" s="108" t="n">
        <v>45750</v>
      </c>
      <c r="D170" s="318" t="n">
        <v>30289</v>
      </c>
      <c r="E170" s="318" t="n">
        <v>30289</v>
      </c>
      <c r="F170" s="141" t="inlineStr">
        <is>
          <t>OCP NUTRI</t>
        </is>
      </c>
      <c r="G170" s="112" t="n">
        <v>1</v>
      </c>
      <c r="H170" s="115" t="inlineStr">
        <is>
          <t>TSP</t>
        </is>
      </c>
      <c r="I170" s="114" t="inlineStr">
        <is>
          <t xml:space="preserve">TSP-JORF </t>
        </is>
      </c>
      <c r="J170" s="129" t="inlineStr">
        <is>
          <t>FOB</t>
        </is>
      </c>
      <c r="K170" s="82" t="n">
        <v>440</v>
      </c>
      <c r="L170" s="341">
        <f>D170*K170</f>
        <v/>
      </c>
      <c r="M170" s="14" t="n">
        <v>9.619</v>
      </c>
      <c r="N170" s="335">
        <f>L170*M170</f>
        <v/>
      </c>
      <c r="O170" s="16" t="inlineStr">
        <is>
          <t>377 S 26/03/2025</t>
        </is>
      </c>
      <c r="P170" s="16" t="inlineStr">
        <is>
          <t>BANGLADESH AGRICULTURAL DEVELOPMENT CORPORATION</t>
        </is>
      </c>
      <c r="Q170" s="113" t="inlineStr">
        <is>
          <t>ASIE</t>
        </is>
      </c>
      <c r="R170" s="113" t="inlineStr">
        <is>
          <t xml:space="preserve">BANGLADESH </t>
        </is>
      </c>
      <c r="S170" s="233" t="n"/>
      <c r="T170" s="113" t="inlineStr">
        <is>
          <t>INTERTEK</t>
        </is>
      </c>
      <c r="U170" s="112" t="n">
        <v>177</v>
      </c>
      <c r="V170" s="129">
        <f>IF(U170&lt;130, "Mini Bulker", IF(AND(U170&gt;=130, U170&lt;150), "Handysize", IF(AND(U170&gt;=150, U170&lt;200), "Handymax", IF(AND(U170&gt;=200, U170&lt;230), "Panamax", IF(AND(U170&gt;=230, U170&lt;=270), "Capesize", "Autre")))))</f>
        <v/>
      </c>
      <c r="X170" s="111">
        <f>IF(E170&lt;9999,"1",IF(E170&lt;19999,"2",IF(E170&lt;29999,"3",IF(E170&lt;39999,"4",IF(E170&lt;49999,"5",IF(E170&gt;50000,"6"))))))</f>
        <v/>
      </c>
      <c r="Y170" s="115" t="inlineStr">
        <is>
          <t>2N</t>
        </is>
      </c>
      <c r="AA170" s="96" t="n">
        <v>45696.05</v>
      </c>
      <c r="AB170" s="96" t="n">
        <v>45696.375</v>
      </c>
      <c r="AC170" s="108" t="n">
        <v>45695</v>
      </c>
      <c r="AD170" s="108" t="n">
        <v>45698</v>
      </c>
      <c r="AE170" s="96" t="n">
        <v>45695.95833333334</v>
      </c>
      <c r="AF170" s="96" t="n">
        <v>45699.66666666666</v>
      </c>
      <c r="AG170" s="96" t="n">
        <v>45699.75416666667</v>
      </c>
      <c r="AH170" s="96" t="n">
        <v>45699.77083333334</v>
      </c>
      <c r="AI170" s="96" t="n">
        <v>45699.83333333334</v>
      </c>
      <c r="AJ170" s="96" t="n">
        <v>45699.92361111111</v>
      </c>
      <c r="AK170" s="96" t="n">
        <v>45750.09722222222</v>
      </c>
      <c r="AL170" s="96" t="n">
        <v>45750.12361111111</v>
      </c>
      <c r="AM170" s="96" t="n">
        <v>45750.13888888889</v>
      </c>
      <c r="AN170" s="96" t="n">
        <v>45750.18055555555</v>
      </c>
      <c r="AO170" s="96" t="n">
        <v>45750.27777777778</v>
      </c>
      <c r="AP170" s="117">
        <f>(AG170-AF170)*1440</f>
        <v/>
      </c>
      <c r="AQ170" s="117">
        <f>(AG170-AE170)*1440</f>
        <v/>
      </c>
      <c r="AR170" s="117">
        <f>(AH170-AF170)*1440</f>
        <v/>
      </c>
      <c r="AS170" s="117">
        <f>(AI170-AH170)*1440</f>
        <v/>
      </c>
      <c r="AT170" s="117">
        <f>(AJ170-AH170)*1440</f>
        <v/>
      </c>
      <c r="AU170" s="117">
        <f>(AL170-AK170)*1440</f>
        <v/>
      </c>
      <c r="AV170" s="117">
        <f>(AM170-AL170)*1440</f>
        <v/>
      </c>
      <c r="AW170" s="117">
        <f>(AO170-AM170)*1440</f>
        <v/>
      </c>
      <c r="AX170" s="118">
        <f>AP170+AS170+AU170+AV170+AW170</f>
        <v/>
      </c>
      <c r="AY170" s="119">
        <f>(AG170-AA170)</f>
        <v/>
      </c>
      <c r="AZ170" s="119">
        <f>(AK170-AJ170)</f>
        <v/>
      </c>
      <c r="BA170" s="119">
        <f>AO170-AG170</f>
        <v/>
      </c>
      <c r="BB170" s="119">
        <f>(AO170-AA170)-(AP170/1440)-(AW170/1440)</f>
        <v/>
      </c>
      <c r="BC170" s="117">
        <f>E170/AZ170</f>
        <v/>
      </c>
      <c r="BE170" s="117">
        <f>IF(E170&lt;10000,3000,IF(E170&lt;15000,3600,IF(E170&lt;20000,4500,IF(E170&lt;25000,6000,IF(E170&lt;30000,7500,IF(E170&lt;40000,9000,IF(E170&gt;40000,10000)))))))</f>
        <v/>
      </c>
      <c r="BF170" s="322">
        <f>(E170/BE170)+2</f>
        <v/>
      </c>
      <c r="BS170" s="127" t="inlineStr">
        <is>
          <t xml:space="preserve">  CHANGE DU POSTE 2N VERS LA RADE LE 20/02- 1410 // RE-ACC AU POSTE 2N LE 27/03- 0706 // MAINTENU PAR SHORE TENSION</t>
        </is>
      </c>
      <c r="BT170" s="125" t="n">
        <v>2</v>
      </c>
      <c r="BU170" s="125" t="inlineStr">
        <is>
          <t>CLEAN</t>
        </is>
      </c>
      <c r="BV170" s="127" t="inlineStr">
        <is>
          <t>-</t>
        </is>
      </c>
      <c r="BW170" s="323">
        <f>AI170-AH170</f>
        <v/>
      </c>
      <c r="BX170" s="120" t="n"/>
      <c r="BY170" s="120" t="n">
        <v>100</v>
      </c>
      <c r="CB170" s="111" t="n">
        <v>19999</v>
      </c>
    </row>
    <row r="171" customFormat="1" s="230">
      <c r="A171" s="112" t="n">
        <v>119</v>
      </c>
      <c r="B171" s="317" t="inlineStr">
        <is>
          <t>MOTHER M</t>
        </is>
      </c>
      <c r="C171" s="108" t="n">
        <v>45751</v>
      </c>
      <c r="D171" s="318" t="n">
        <v>33030</v>
      </c>
      <c r="E171" s="318" t="n">
        <v>33030</v>
      </c>
      <c r="F171" s="141" t="n"/>
      <c r="G171" s="112" t="n">
        <v>1</v>
      </c>
      <c r="H171" s="115" t="inlineStr">
        <is>
          <t>TSP</t>
        </is>
      </c>
      <c r="I171" s="114" t="inlineStr">
        <is>
          <t xml:space="preserve">TSP SPECIAL JORF </t>
        </is>
      </c>
      <c r="J171" s="129" t="inlineStr">
        <is>
          <t>CFR</t>
        </is>
      </c>
      <c r="K171" s="82" t="n"/>
      <c r="L171" s="341">
        <f>D171*K171</f>
        <v/>
      </c>
      <c r="M171" s="14" t="n"/>
      <c r="N171" s="335">
        <f>L171*M171</f>
        <v/>
      </c>
      <c r="O171" s="16" t="n"/>
      <c r="P171" s="16" t="n"/>
      <c r="Q171" s="113" t="inlineStr">
        <is>
          <t>AMERIQUE LATINE</t>
        </is>
      </c>
      <c r="R171" s="113" t="inlineStr">
        <is>
          <t>BRESIL</t>
        </is>
      </c>
      <c r="S171" s="233" t="n"/>
      <c r="T171" s="113" t="inlineStr">
        <is>
          <t>INSPECTORATE</t>
        </is>
      </c>
      <c r="U171" s="112" t="n">
        <v>180</v>
      </c>
      <c r="V171" s="129">
        <f>IF(U171&lt;130, "Mini Bulker", IF(AND(U171&gt;=130, U171&lt;150), "Handysize", IF(AND(U171&gt;=150, U171&lt;200), "Handymax", IF(AND(U171&gt;=200, U171&lt;230), "Panamax", IF(AND(U171&gt;=230, U171&lt;=270), "Capesize", "Autre")))))</f>
        <v/>
      </c>
      <c r="X171" s="111">
        <f>IF(E171&lt;9999,"1",IF(E171&lt;19999,"2",IF(E171&lt;29999,"3",IF(E171&lt;39999,"4",IF(E171&lt;49999,"5",IF(E171&gt;50000,"6"))))))</f>
        <v/>
      </c>
      <c r="Y171" s="115" t="inlineStr">
        <is>
          <t>2BIS</t>
        </is>
      </c>
      <c r="AA171" s="96" t="n">
        <v>45743.875</v>
      </c>
      <c r="AB171" s="96" t="n">
        <v>45744.375</v>
      </c>
      <c r="AC171" s="108" t="n">
        <v>45742</v>
      </c>
      <c r="AD171" s="108" t="n">
        <v>45745</v>
      </c>
      <c r="AE171" s="96" t="n">
        <v>45743.875</v>
      </c>
      <c r="AF171" s="96" t="n">
        <v>45746.73958333334</v>
      </c>
      <c r="AG171" s="96" t="n">
        <v>45746.78472222222</v>
      </c>
      <c r="AH171" s="96" t="n">
        <v>45746.80902777778</v>
      </c>
      <c r="AI171" s="96" t="n">
        <v>45746.87152777778</v>
      </c>
      <c r="AJ171" s="96" t="n">
        <v>45746.95486111111</v>
      </c>
      <c r="AK171" s="96" t="n">
        <v>45751.84722222222</v>
      </c>
      <c r="AL171" s="96" t="n">
        <v>45751.88194444445</v>
      </c>
      <c r="AM171" s="96" t="n">
        <v>45751.94444444445</v>
      </c>
      <c r="AN171" s="96" t="n">
        <v>45751.99305555555</v>
      </c>
      <c r="AO171" s="96" t="n">
        <v>45752.01527777778</v>
      </c>
      <c r="AP171" s="117">
        <f>(AG171-AF171)*1440</f>
        <v/>
      </c>
      <c r="AQ171" s="117">
        <f>(AG171-AE171)*1440</f>
        <v/>
      </c>
      <c r="AR171" s="117">
        <f>(AH171-AF171)*1440</f>
        <v/>
      </c>
      <c r="AS171" s="117">
        <f>(AI171-AH171)*1440</f>
        <v/>
      </c>
      <c r="AT171" s="117">
        <f>(AJ171-AH171)*1440</f>
        <v/>
      </c>
      <c r="AU171" s="117">
        <f>(AL171-AK171)*1440</f>
        <v/>
      </c>
      <c r="AV171" s="117">
        <f>(AM171-AL171)*1440</f>
        <v/>
      </c>
      <c r="AW171" s="117">
        <f>(AO171-AM171)*1440</f>
        <v/>
      </c>
      <c r="AX171" s="118">
        <f>AP171+AS171+AU171+AV171+AW171</f>
        <v/>
      </c>
      <c r="AY171" s="119">
        <f>(AG171-AA171)</f>
        <v/>
      </c>
      <c r="AZ171" s="119">
        <f>(AK171-AJ171)</f>
        <v/>
      </c>
      <c r="BA171" s="119">
        <f>AO171-AG171</f>
        <v/>
      </c>
      <c r="BB171" s="119">
        <f>(AO171-AA171)-(AP171/1440)-(AW171/1440)</f>
        <v/>
      </c>
      <c r="BC171" s="117">
        <f>E171/AZ171</f>
        <v/>
      </c>
      <c r="BE171" s="117">
        <f>IF(E171&lt;10000,3000,IF(E171&lt;15000,3600,IF(E171&lt;20000,4500,IF(E171&lt;25000,6000,IF(E171&lt;30000,7500,IF(E171&lt;40000,9000,IF(E171&gt;40000,10000)))))))</f>
        <v/>
      </c>
      <c r="BF171" s="322">
        <f>(E171/BE171)+2</f>
        <v/>
      </c>
      <c r="BS171" s="127" t="inlineStr">
        <is>
          <t>DEHALAGE 15M VERS L'USINE LE 02/04- 1930 // MAINTENU PAR SHORE TENSION</t>
        </is>
      </c>
      <c r="BT171" s="125" t="n">
        <v>1</v>
      </c>
      <c r="BU171" s="223" t="n"/>
      <c r="BV171" s="127" t="n"/>
      <c r="BW171" s="323">
        <f>AI171-AH171</f>
        <v/>
      </c>
      <c r="BX171" s="120" t="inlineStr">
        <is>
          <t>NUL</t>
        </is>
      </c>
      <c r="BY171" s="120" t="inlineStr">
        <is>
          <t>NUL</t>
        </is>
      </c>
      <c r="CB171" s="111" t="n">
        <v>24212</v>
      </c>
    </row>
    <row r="172" ht="15" customFormat="1" customHeight="1" s="230">
      <c r="A172" s="112" t="n">
        <v>118</v>
      </c>
      <c r="B172" s="317" t="inlineStr">
        <is>
          <t>SPANACO FIDELITY</t>
        </is>
      </c>
      <c r="C172" s="108" t="n">
        <v>45751</v>
      </c>
      <c r="D172" s="318" t="n">
        <v>3300</v>
      </c>
      <c r="E172" s="318" t="n">
        <v>3300</v>
      </c>
      <c r="F172" s="141" t="inlineStr">
        <is>
          <t>OCP NUTRI</t>
        </is>
      </c>
      <c r="G172" s="112" t="n">
        <v>1</v>
      </c>
      <c r="H172" s="115" t="inlineStr">
        <is>
          <t>DAP</t>
        </is>
      </c>
      <c r="I172" s="114" t="inlineStr">
        <is>
          <t>DAP Euro Low Cd Low MoistureV</t>
        </is>
      </c>
      <c r="J172" s="129" t="inlineStr">
        <is>
          <t>CFR</t>
        </is>
      </c>
      <c r="K172" s="82" t="n">
        <v>663</v>
      </c>
      <c r="L172" s="341">
        <f>D172*K172</f>
        <v/>
      </c>
      <c r="M172" s="14" t="n">
        <v>9.5243</v>
      </c>
      <c r="N172" s="335">
        <f>L172*M172</f>
        <v/>
      </c>
      <c r="O172" s="16" t="inlineStr">
        <is>
          <t>377 S 26/03/2025</t>
        </is>
      </c>
      <c r="P172" s="16" t="inlineStr">
        <is>
          <t>Goulding Soil Nutrition Ltd</t>
        </is>
      </c>
      <c r="Q172" s="113" t="inlineStr">
        <is>
          <t>EUROPE</t>
        </is>
      </c>
      <c r="R172" s="113" t="inlineStr">
        <is>
          <t>IRELAND</t>
        </is>
      </c>
      <c r="S172" s="233" t="n"/>
      <c r="T172" s="113" t="inlineStr">
        <is>
          <t>INSPECTORATE</t>
        </is>
      </c>
      <c r="U172" s="112" t="n">
        <v>90</v>
      </c>
      <c r="V172" s="129">
        <f>IF(U172&lt;130, "Mini Bulker", IF(AND(U172&gt;=130, U172&lt;150), "Handysize", IF(AND(U172&gt;=150, U172&lt;200), "Handymax", IF(AND(U172&gt;=200, U172&lt;230), "Panamax", IF(AND(U172&gt;=230, U172&lt;=270), "Capesize", "Autre")))))</f>
        <v/>
      </c>
      <c r="X172" s="111">
        <f>IF(E172&lt;9999,"1",IF(E172&lt;19999,"2",IF(E172&lt;29999,"3",IF(E172&lt;39999,"4",IF(E172&lt;49999,"5",IF(E172&gt;50000,"6"))))))</f>
        <v/>
      </c>
      <c r="Y172" s="115" t="inlineStr">
        <is>
          <t>4BIS/1TER</t>
        </is>
      </c>
      <c r="AA172" s="96" t="n">
        <v>45747.54166666666</v>
      </c>
      <c r="AB172" s="96" t="n">
        <v>45749.375</v>
      </c>
      <c r="AC172" s="108" t="n">
        <v>45742</v>
      </c>
      <c r="AD172" s="108" t="n">
        <v>45744</v>
      </c>
      <c r="AE172" s="96" t="n">
        <v>45747.54166666666</v>
      </c>
      <c r="AF172" s="96" t="n">
        <v>45750.07638888889</v>
      </c>
      <c r="AG172" s="96" t="n">
        <v>45750.08680555555</v>
      </c>
      <c r="AH172" s="96" t="n">
        <v>45750.10416666666</v>
      </c>
      <c r="AI172" s="96" t="n">
        <v>45750.56944444445</v>
      </c>
      <c r="AJ172" s="96" t="n">
        <v>45750.69444444445</v>
      </c>
      <c r="AK172" s="96" t="n">
        <v>45751.45138888889</v>
      </c>
      <c r="AL172" s="96" t="n">
        <v>45751.49166666667</v>
      </c>
      <c r="AM172" s="96" t="n">
        <v>45751.52083333334</v>
      </c>
      <c r="AN172" s="96" t="n">
        <v>45751.72916666666</v>
      </c>
      <c r="AO172" s="96" t="n">
        <v>45751.70833333334</v>
      </c>
      <c r="AP172" s="117">
        <f>(AG172-AF172)*1440</f>
        <v/>
      </c>
      <c r="AQ172" s="117">
        <f>(AG172-AE172)*1440</f>
        <v/>
      </c>
      <c r="AR172" s="117">
        <f>(AH172-AF172)*1440</f>
        <v/>
      </c>
      <c r="AS172" s="117">
        <f>(AI172-AH172)*1440</f>
        <v/>
      </c>
      <c r="AT172" s="117">
        <f>(AJ172-AH172)*1440</f>
        <v/>
      </c>
      <c r="AU172" s="117">
        <f>(AL172-AK172)*1440</f>
        <v/>
      </c>
      <c r="AV172" s="117">
        <f>(AM172-AL172)*1440</f>
        <v/>
      </c>
      <c r="AW172" s="117">
        <f>(AO172-AM172)*1440</f>
        <v/>
      </c>
      <c r="AX172" s="118">
        <f>AP172+AS172+AU172+AV172+AW172</f>
        <v/>
      </c>
      <c r="AY172" s="119">
        <f>(AG172-AA172)</f>
        <v/>
      </c>
      <c r="AZ172" s="119">
        <f>(AK172-AJ172)</f>
        <v/>
      </c>
      <c r="BA172" s="119">
        <f>AO172-AG172</f>
        <v/>
      </c>
      <c r="BB172" s="119">
        <f>(AO172-AA172)-(AP172/1440)-(AW172/1440)</f>
        <v/>
      </c>
      <c r="BC172" s="117">
        <f>E172/AZ172</f>
        <v/>
      </c>
      <c r="BE172" s="117">
        <f>IF(E172&lt;10000,3000,IF(E172&lt;15000,3600,IF(E172&lt;20000,4500,IF(E172&lt;25000,6000,IF(E172&lt;30000,7500,IF(E172&lt;40000,9000,IF(E172&gt;40000,10000)))))))</f>
        <v/>
      </c>
      <c r="BF172" s="322">
        <f>(E172/BE172)+2</f>
        <v/>
      </c>
      <c r="BS172" s="127" t="inlineStr">
        <is>
          <t>CHANGE DU POSTE 4BIS VERS POSTE 1T LE 03/04 - 1225</t>
        </is>
      </c>
      <c r="BT172" s="125" t="n">
        <v>1</v>
      </c>
      <c r="BU172" s="97" t="inlineStr">
        <is>
          <t>NAVIRE NON PRÊT</t>
        </is>
      </c>
      <c r="BV172" s="127" t="inlineStr">
        <is>
          <t>12 HEURES DEBALLASTING ET 8 HEURS BULK HEAD</t>
        </is>
      </c>
      <c r="BW172" s="323">
        <f>AI172-AH172</f>
        <v/>
      </c>
      <c r="BX172" s="120" t="inlineStr">
        <is>
          <t>TBC</t>
        </is>
      </c>
      <c r="BY172" s="120" t="n">
        <v>20</v>
      </c>
      <c r="CB172" s="111" t="n">
        <v>2984</v>
      </c>
    </row>
    <row r="173" ht="14.55" customFormat="1" customHeight="1" s="230">
      <c r="A173" s="112" t="n">
        <v>120</v>
      </c>
      <c r="B173" s="342" t="inlineStr">
        <is>
          <t>LADY LEYLA</t>
        </is>
      </c>
      <c r="C173" s="108" t="n">
        <v>45752</v>
      </c>
      <c r="D173" s="318" t="n">
        <v>5335</v>
      </c>
      <c r="E173" s="324">
        <f>D174+D173</f>
        <v/>
      </c>
      <c r="F173" s="141" t="n"/>
      <c r="G173" s="112" t="n">
        <v>2</v>
      </c>
      <c r="H173" s="115" t="inlineStr">
        <is>
          <t>MAP</t>
        </is>
      </c>
      <c r="I173" s="114" t="inlineStr">
        <is>
          <t xml:space="preserve">MAP 11 52 HUNGARY </t>
        </is>
      </c>
      <c r="J173" s="129" t="inlineStr">
        <is>
          <t>FOB</t>
        </is>
      </c>
      <c r="K173" s="82" t="n"/>
      <c r="L173" s="341">
        <f>D173*K173</f>
        <v/>
      </c>
      <c r="M173" s="14" t="n"/>
      <c r="N173" s="335">
        <f>L173*M173</f>
        <v/>
      </c>
      <c r="O173" s="16" t="n"/>
      <c r="P173" s="16" t="n"/>
      <c r="Q173" s="113" t="inlineStr">
        <is>
          <t>EUROPE</t>
        </is>
      </c>
      <c r="R173" s="113" t="inlineStr">
        <is>
          <t>Slovénie</t>
        </is>
      </c>
      <c r="S173" s="233" t="n"/>
      <c r="T173" s="113" t="inlineStr">
        <is>
          <t>INSPECTORATE</t>
        </is>
      </c>
      <c r="U173" s="112" t="n">
        <v>135</v>
      </c>
      <c r="V173" s="129">
        <f>IF(U173&lt;130, "Mini Bulker", IF(AND(U173&gt;=130, U173&lt;150), "Handysize", IF(AND(U173&gt;=150, U173&lt;200), "Handymax", IF(AND(U173&gt;=200, U173&lt;230), "Panamax", IF(AND(U173&gt;=230, U173&lt;=270), "Capesize", "Autre")))))</f>
        <v/>
      </c>
      <c r="X173" s="111">
        <f>IF(E173&lt;9999,"1",IF(E173&lt;19999,"2",IF(E173&lt;29999,"3",IF(E173&lt;39999,"4",IF(E173&lt;49999,"5",IF(E173&gt;50000,"6"))))))</f>
        <v/>
      </c>
      <c r="Y173" s="115" t="inlineStr">
        <is>
          <t>1N</t>
        </is>
      </c>
      <c r="AA173" s="96" t="n">
        <v>45746.08333333334</v>
      </c>
      <c r="AB173" s="96" t="n">
        <v>45749.375</v>
      </c>
      <c r="AC173" s="108" t="n">
        <v>45743</v>
      </c>
      <c r="AD173" s="108" t="n">
        <v>45745</v>
      </c>
      <c r="AE173" s="96" t="n">
        <v>45746.08333333334</v>
      </c>
      <c r="AF173" s="96" t="n">
        <v>45749.77569444444</v>
      </c>
      <c r="AG173" s="96" t="n">
        <v>45749.86458333334</v>
      </c>
      <c r="AH173" s="96" t="n">
        <v>45749.875</v>
      </c>
      <c r="AI173" s="96" t="n">
        <v>45749.92361111111</v>
      </c>
      <c r="AJ173" s="96" t="n">
        <v>45749.96527777778</v>
      </c>
      <c r="AK173" s="96" t="n">
        <v>45752.72916666666</v>
      </c>
      <c r="AL173" s="96" t="n">
        <v>45752.77083333334</v>
      </c>
      <c r="AM173" s="96" t="n">
        <v>45752.79166666666</v>
      </c>
      <c r="AN173" s="96" t="n">
        <v>45752.83819444444</v>
      </c>
      <c r="AO173" s="96" t="n">
        <v>45752.89305555556</v>
      </c>
      <c r="AP173" s="117">
        <f>(AG173-AF173)*1440</f>
        <v/>
      </c>
      <c r="AQ173" s="117">
        <f>(AG173-AE173)*1440</f>
        <v/>
      </c>
      <c r="AR173" s="117">
        <f>(AH173-AF173)*1440</f>
        <v/>
      </c>
      <c r="AS173" s="117">
        <f>(AI173-AH173)*1440</f>
        <v/>
      </c>
      <c r="AT173" s="117">
        <f>(AJ173-AH173)*1440</f>
        <v/>
      </c>
      <c r="AU173" s="117">
        <f>(AL173-AK173)*1440</f>
        <v/>
      </c>
      <c r="AV173" s="117">
        <f>(AM173-AL173)*1440</f>
        <v/>
      </c>
      <c r="AW173" s="117">
        <f>(AO173-AM173)*1440</f>
        <v/>
      </c>
      <c r="AX173" s="118">
        <f>AP173+AS173+AU173+AV173+AW173</f>
        <v/>
      </c>
      <c r="AY173" s="119">
        <f>(AG173-AA173)</f>
        <v/>
      </c>
      <c r="AZ173" s="119">
        <f>(AK173-AJ173)</f>
        <v/>
      </c>
      <c r="BA173" s="119">
        <f>AO173-AG173</f>
        <v/>
      </c>
      <c r="BB173" s="119">
        <f>(AO173-AA173)-(AP173/1440)-(AW173/1440)</f>
        <v/>
      </c>
      <c r="BC173" s="117">
        <f>E173/AZ173</f>
        <v/>
      </c>
      <c r="BE173" s="117">
        <f>IF(E173&lt;10000,3000,IF(E173&lt;15000,3600,IF(E173&lt;20000,4500,IF(E173&lt;25000,6000,IF(E173&lt;30000,7500,IF(E173&lt;40000,9000,IF(E173&gt;40000,10000)))))))</f>
        <v/>
      </c>
      <c r="BF173" s="322">
        <f>(E173/BE173)+2</f>
        <v/>
      </c>
      <c r="BS173" s="127" t="inlineStr">
        <is>
          <t>NUL</t>
        </is>
      </c>
      <c r="BT173" s="127" t="n">
        <v>0</v>
      </c>
      <c r="BU173" s="127" t="inlineStr">
        <is>
          <t>CLEAN</t>
        </is>
      </c>
      <c r="BV173" s="127" t="inlineStr">
        <is>
          <t>-</t>
        </is>
      </c>
      <c r="BW173" s="323">
        <f>AI173-AH173</f>
        <v/>
      </c>
      <c r="BX173" s="120" t="inlineStr">
        <is>
          <t>NUL</t>
        </is>
      </c>
      <c r="BY173" s="120" t="inlineStr">
        <is>
          <t>NUL</t>
        </is>
      </c>
      <c r="CB173" s="111" t="n">
        <v>7255</v>
      </c>
    </row>
    <row r="174" ht="14.55" customFormat="1" customHeight="1" s="230">
      <c r="B174" s="342" t="inlineStr">
        <is>
          <t>LADY LEYLA</t>
        </is>
      </c>
      <c r="C174" s="108" t="n">
        <v>45752</v>
      </c>
      <c r="D174" s="318" t="n">
        <v>5500</v>
      </c>
      <c r="E174" s="325" t="n"/>
      <c r="F174" s="141" t="n"/>
      <c r="G174" s="112" t="n">
        <v>2</v>
      </c>
      <c r="H174" s="115" t="inlineStr">
        <is>
          <t>DAP</t>
        </is>
      </c>
      <c r="I174" s="114" t="inlineStr">
        <is>
          <t>DAP EURO LOW CD</t>
        </is>
      </c>
      <c r="J174" s="129" t="inlineStr">
        <is>
          <t>FOB</t>
        </is>
      </c>
      <c r="K174" s="82" t="n"/>
      <c r="L174" s="341">
        <f>D174*K174</f>
        <v/>
      </c>
      <c r="M174" s="14" t="n"/>
      <c r="N174" s="335">
        <f>L174*M174</f>
        <v/>
      </c>
      <c r="O174" s="16" t="n"/>
      <c r="P174" s="16" t="n"/>
      <c r="Q174" s="113" t="inlineStr">
        <is>
          <t>EUROPE</t>
        </is>
      </c>
      <c r="R174" s="113" t="inlineStr">
        <is>
          <t>Slovénie</t>
        </is>
      </c>
      <c r="S174" s="233" t="n"/>
      <c r="T174" s="113" t="inlineStr">
        <is>
          <t>INSPECTORATE</t>
        </is>
      </c>
      <c r="U174" s="112" t="n">
        <v>135</v>
      </c>
      <c r="V174" s="129">
        <f>IF(U174&lt;130, "Mini Bulker", IF(AND(U174&gt;=130, U174&lt;150), "Handysize", IF(AND(U174&gt;=150, U174&lt;200), "Handymax", IF(AND(U174&gt;=200, U174&lt;230), "Panamax", IF(AND(U174&gt;=230, U174&lt;=270), "Capesize", "Autre")))))</f>
        <v/>
      </c>
      <c r="X174" s="111">
        <f>IF(E174&lt;9999,"1",IF(E174&lt;19999,"2",IF(E174&lt;29999,"3",IF(E174&lt;39999,"4",IF(E174&lt;49999,"5",IF(E174&gt;50000,"6"))))))</f>
        <v/>
      </c>
      <c r="Y174" s="115" t="inlineStr">
        <is>
          <t>1N</t>
        </is>
      </c>
      <c r="AA174" s="151" t="n"/>
      <c r="AB174" s="151" t="n"/>
      <c r="AC174" s="151" t="n"/>
      <c r="AD174" s="151" t="n"/>
      <c r="AE174" s="151" t="n"/>
      <c r="AF174" s="151" t="n"/>
      <c r="AG174" s="151" t="n"/>
      <c r="AH174" s="151" t="n"/>
      <c r="AI174" s="151" t="n"/>
      <c r="AJ174" s="151" t="n"/>
      <c r="AK174" s="151" t="n"/>
      <c r="AL174" s="151" t="n"/>
      <c r="AM174" s="151" t="n"/>
      <c r="AN174" s="151" t="n"/>
      <c r="AO174" s="151" t="n"/>
      <c r="AP174" s="151" t="n"/>
      <c r="AQ174" s="151" t="n"/>
      <c r="AR174" s="151" t="n"/>
      <c r="AS174" s="151" t="n"/>
      <c r="AT174" s="151" t="n"/>
      <c r="AU174" s="151" t="n"/>
      <c r="AV174" s="151" t="n"/>
      <c r="AW174" s="151" t="n"/>
      <c r="AX174" s="151" t="n"/>
      <c r="AY174" s="151" t="n"/>
      <c r="AZ174" s="151" t="n"/>
      <c r="BA174" s="151" t="n"/>
      <c r="BB174" s="151" t="n"/>
      <c r="BC174" s="151" t="n"/>
      <c r="BD174" s="151" t="n"/>
      <c r="BE174" s="151" t="n"/>
      <c r="BF174" s="151" t="n"/>
      <c r="BG174" s="98" t="n"/>
      <c r="BH174" s="98" t="n"/>
      <c r="BI174" s="98" t="n"/>
      <c r="BJ174" s="98" t="n"/>
      <c r="BK174" s="98" t="n"/>
      <c r="BL174" s="98" t="n"/>
      <c r="BM174" s="98" t="n"/>
      <c r="BN174" s="98" t="n"/>
      <c r="BO174" s="98" t="n"/>
      <c r="BS174" s="127" t="inlineStr">
        <is>
          <t>NUL</t>
        </is>
      </c>
      <c r="BT174" s="125" t="n">
        <v>0</v>
      </c>
      <c r="BW174" s="323">
        <f>AI174-AH174</f>
        <v/>
      </c>
      <c r="BX174" s="120" t="inlineStr">
        <is>
          <t>NUL</t>
        </is>
      </c>
      <c r="BY174" s="120" t="inlineStr">
        <is>
          <t>NUL</t>
        </is>
      </c>
      <c r="CB174" s="111" t="n"/>
    </row>
    <row r="175" ht="15" customFormat="1" customHeight="1" s="230">
      <c r="A175" s="112" t="n">
        <v>123</v>
      </c>
      <c r="B175" s="342" t="inlineStr">
        <is>
          <t>ARKLOW VILLA</t>
        </is>
      </c>
      <c r="C175" s="108" t="n">
        <v>45753</v>
      </c>
      <c r="D175" s="318" t="n">
        <v>4470</v>
      </c>
      <c r="E175" s="318" t="n">
        <v>4470</v>
      </c>
      <c r="F175" s="141" t="n"/>
      <c r="G175" s="112" t="n">
        <v>1</v>
      </c>
      <c r="H175" s="115" t="inlineStr">
        <is>
          <t>NPK</t>
        </is>
      </c>
      <c r="I175" s="114" t="inlineStr">
        <is>
          <t xml:space="preserve">NPK 15 15 15 Low Cd </t>
        </is>
      </c>
      <c r="J175" s="129" t="inlineStr">
        <is>
          <t>CFR</t>
        </is>
      </c>
      <c r="K175" s="82" t="n">
        <v>447</v>
      </c>
      <c r="L175" s="341">
        <f>D175*K175</f>
        <v/>
      </c>
      <c r="M175" s="14" t="n"/>
      <c r="N175" s="335">
        <f>L175*M175</f>
        <v/>
      </c>
      <c r="O175" s="16" t="n"/>
      <c r="P175" s="16" t="n"/>
      <c r="Q175" s="113" t="inlineStr">
        <is>
          <t>EUROPE</t>
        </is>
      </c>
      <c r="R175" s="113" t="inlineStr">
        <is>
          <t>Espagne</t>
        </is>
      </c>
      <c r="S175" s="233" t="n"/>
      <c r="T175" s="113" t="inlineStr">
        <is>
          <t>OCP</t>
        </is>
      </c>
      <c r="U175" s="112" t="n">
        <v>87</v>
      </c>
      <c r="V175" s="129">
        <f>IF(U175&lt;130, "Mini Bulker", IF(AND(U175&gt;=130, U175&lt;150), "Handysize", IF(AND(U175&gt;=150, U175&lt;200), "Handymax", IF(AND(U175&gt;=200, U175&lt;230), "Panamax", IF(AND(U175&gt;=230, U175&lt;=270), "Capesize", "Autre")))))</f>
        <v/>
      </c>
      <c r="X175" s="111">
        <f>IF(E175&lt;9999,"1",IF(E175&lt;19999,"2",IF(E175&lt;29999,"3",IF(E175&lt;39999,"4",IF(E175&lt;49999,"5",IF(E175&gt;50000,"6"))))))</f>
        <v/>
      </c>
      <c r="Y175" s="115" t="inlineStr">
        <is>
          <t>1N</t>
        </is>
      </c>
      <c r="AA175" s="96" t="n">
        <v>45752.59375</v>
      </c>
      <c r="AB175" s="96" t="n">
        <v>45754.375</v>
      </c>
      <c r="AC175" s="108" t="n">
        <v>45752</v>
      </c>
      <c r="AD175" s="108" t="n">
        <v>45754</v>
      </c>
      <c r="AE175" s="96" t="n">
        <v>45752.58333333334</v>
      </c>
      <c r="AF175" s="96" t="n">
        <v>45752.89305555556</v>
      </c>
      <c r="AG175" s="96" t="n">
        <v>45752.95486111111</v>
      </c>
      <c r="AH175" s="96" t="n">
        <v>45752.97569444445</v>
      </c>
      <c r="AI175" s="96" t="n">
        <v>45753.03125</v>
      </c>
      <c r="AJ175" s="96" t="n">
        <v>45753.05555555555</v>
      </c>
      <c r="AK175" s="96" t="n">
        <v>45753.53819444445</v>
      </c>
      <c r="AL175" s="96" t="n">
        <v>45753.61805555555</v>
      </c>
      <c r="AM175" s="96" t="n">
        <v>45753.69097222222</v>
      </c>
      <c r="AN175" s="96" t="n">
        <v>45753.74722222222</v>
      </c>
      <c r="AO175" s="96" t="n">
        <v>45753.77430555555</v>
      </c>
      <c r="AP175" s="117">
        <f>(AG175-AF175)*1440</f>
        <v/>
      </c>
      <c r="AQ175" s="117">
        <f>(AG175-AE175)*1440</f>
        <v/>
      </c>
      <c r="AR175" s="117">
        <f>(AH175-AF175)*1440</f>
        <v/>
      </c>
      <c r="AS175" s="117">
        <f>(AI175-AH175)*1440</f>
        <v/>
      </c>
      <c r="AT175" s="117">
        <f>(AJ175-AH175)*1440</f>
        <v/>
      </c>
      <c r="AU175" s="117">
        <f>(AL175-AK175)*1440</f>
        <v/>
      </c>
      <c r="AV175" s="117">
        <f>(AM175-AL175)*1440</f>
        <v/>
      </c>
      <c r="AW175" s="117">
        <f>(AO175-AM175)*1440</f>
        <v/>
      </c>
      <c r="AX175" s="118">
        <f>AP175+AS175+AU175+AV175+AW175</f>
        <v/>
      </c>
      <c r="AY175" s="119">
        <f>(AG175-AA175)</f>
        <v/>
      </c>
      <c r="AZ175" s="119">
        <f>(AK175-AJ175)</f>
        <v/>
      </c>
      <c r="BA175" s="119">
        <f>AO175-AG175</f>
        <v/>
      </c>
      <c r="BB175" s="119">
        <f>(AO175-AA175)-(AP175/1440)-(AW175/1440)</f>
        <v/>
      </c>
      <c r="BC175" s="117">
        <f>E175/AZ175</f>
        <v/>
      </c>
      <c r="BE175" s="117">
        <f>IF(E175&lt;10000,3000,IF(E175&lt;15000,3600,IF(E175&lt;20000,4500,IF(E175&lt;25000,6000,IF(E175&lt;30000,7500,IF(E175&lt;40000,9000,IF(E175&gt;40000,10000)))))))</f>
        <v/>
      </c>
      <c r="BF175" s="322">
        <f>(E175/BE175)+2</f>
        <v/>
      </c>
      <c r="BS175" s="127" t="inlineStr">
        <is>
          <t>NUL</t>
        </is>
      </c>
      <c r="BT175" s="125" t="n">
        <v>0</v>
      </c>
      <c r="BU175" s="120" t="n"/>
      <c r="BV175" s="127" t="n"/>
      <c r="BW175" s="323">
        <f>AI175-AH175</f>
        <v/>
      </c>
      <c r="BX175" s="120" t="inlineStr">
        <is>
          <t>NUL</t>
        </is>
      </c>
      <c r="BY175" s="120" t="inlineStr">
        <is>
          <t>NUL</t>
        </is>
      </c>
      <c r="CB175" s="111" t="n">
        <v>2999</v>
      </c>
    </row>
    <row r="176" ht="15" customFormat="1" customHeight="1" s="230">
      <c r="A176" s="112" t="n">
        <v>122</v>
      </c>
      <c r="B176" s="317" t="inlineStr">
        <is>
          <t>CORNION</t>
        </is>
      </c>
      <c r="C176" s="108" t="n">
        <v>45753</v>
      </c>
      <c r="D176" s="318" t="n">
        <v>4400</v>
      </c>
      <c r="E176" s="318" t="n">
        <v>4400</v>
      </c>
      <c r="F176" s="141" t="n"/>
      <c r="G176" s="112" t="n">
        <v>1</v>
      </c>
      <c r="H176" s="115" t="inlineStr">
        <is>
          <t>DAP</t>
        </is>
      </c>
      <c r="I176" s="114" t="inlineStr">
        <is>
          <t>DAP Euro Low Cd</t>
        </is>
      </c>
      <c r="J176" s="129" t="inlineStr">
        <is>
          <t>DAT</t>
        </is>
      </c>
      <c r="K176" s="82" t="n">
        <v>613</v>
      </c>
      <c r="L176" s="341">
        <f>D176*K176</f>
        <v/>
      </c>
      <c r="M176" s="14" t="n"/>
      <c r="N176" s="335">
        <f>L176*M176</f>
        <v/>
      </c>
      <c r="O176" s="16" t="n"/>
      <c r="P176" s="16" t="n"/>
      <c r="Q176" s="113" t="inlineStr">
        <is>
          <t>EUROPE</t>
        </is>
      </c>
      <c r="R176" s="113" t="inlineStr">
        <is>
          <t>Espagne</t>
        </is>
      </c>
      <c r="S176" s="233" t="n"/>
      <c r="T176" s="113" t="inlineStr">
        <is>
          <t>INSPECTORATE</t>
        </is>
      </c>
      <c r="U176" s="112" t="n">
        <v>90</v>
      </c>
      <c r="V176" s="129">
        <f>IF(U176&lt;130, "Mini Bulker", IF(AND(U176&gt;=130, U176&lt;150), "Handysize", IF(AND(U176&gt;=150, U176&lt;200), "Handymax", IF(AND(U176&gt;=200, U176&lt;230), "Panamax", IF(AND(U176&gt;=230, U176&lt;=270), "Capesize", "Autre")))))</f>
        <v/>
      </c>
      <c r="X176" s="111">
        <f>IF(E176&lt;9999,"1",IF(E176&lt;19999,"2",IF(E176&lt;29999,"3",IF(E176&lt;39999,"4",IF(E176&lt;49999,"5",IF(E176&gt;50000,"6"))))))</f>
        <v/>
      </c>
      <c r="Y176" s="115" t="inlineStr">
        <is>
          <t>2TER</t>
        </is>
      </c>
      <c r="AA176" s="96" t="n">
        <v>45747</v>
      </c>
      <c r="AB176" s="96" t="n">
        <v>45749.375</v>
      </c>
      <c r="AC176" s="108" t="n">
        <v>45743</v>
      </c>
      <c r="AD176" s="108" t="n">
        <v>45745</v>
      </c>
      <c r="AE176" s="96" t="n">
        <v>45747</v>
      </c>
      <c r="AF176" s="96" t="n">
        <v>45751.67777777778</v>
      </c>
      <c r="AG176" s="96" t="n">
        <v>45751.79861111111</v>
      </c>
      <c r="AH176" s="96" t="n">
        <v>45751.81597222222</v>
      </c>
      <c r="AI176" s="96" t="n">
        <v>45752.05555555555</v>
      </c>
      <c r="AJ176" s="96" t="n">
        <v>45752.12152777778</v>
      </c>
      <c r="AK176" s="96" t="n">
        <v>45753.53472222222</v>
      </c>
      <c r="AL176" s="96" t="n">
        <v>45753.5625</v>
      </c>
      <c r="AM176" s="96" t="n">
        <v>45753.58680555555</v>
      </c>
      <c r="AN176" s="96" t="n">
        <v>45753.62986111111</v>
      </c>
      <c r="AO176" s="96" t="n">
        <v>45753.64930555555</v>
      </c>
      <c r="AP176" s="117">
        <f>(AG176-AF176)*1440</f>
        <v/>
      </c>
      <c r="AQ176" s="117">
        <f>(AG176-AE176)*1440</f>
        <v/>
      </c>
      <c r="AR176" s="117">
        <f>(AH176-AF176)*1440</f>
        <v/>
      </c>
      <c r="AS176" s="117">
        <f>(AI176-AH176)*1440</f>
        <v/>
      </c>
      <c r="AT176" s="117">
        <f>(AJ176-AH176)*1440</f>
        <v/>
      </c>
      <c r="AU176" s="117">
        <f>(AL176-AK176)*1440</f>
        <v/>
      </c>
      <c r="AV176" s="117">
        <f>(AM176-AL176)*1440</f>
        <v/>
      </c>
      <c r="AW176" s="117">
        <f>(AO176-AM176)*1440</f>
        <v/>
      </c>
      <c r="AX176" s="118">
        <f>AP176+AS176+AU176+AV176+AW176</f>
        <v/>
      </c>
      <c r="AY176" s="119">
        <f>(AG176-AA176)</f>
        <v/>
      </c>
      <c r="AZ176" s="119">
        <f>(AK176-AJ176)</f>
        <v/>
      </c>
      <c r="BA176" s="119">
        <f>AO176-AG176</f>
        <v/>
      </c>
      <c r="BB176" s="119">
        <f>(AO176-AA176)-(AP176/1440)-(AW176/1440)</f>
        <v/>
      </c>
      <c r="BC176" s="117">
        <f>E176/AZ176</f>
        <v/>
      </c>
      <c r="BE176" s="117">
        <f>IF(E176&lt;10000,3000,IF(E176&lt;15000,3600,IF(E176&lt;20000,4500,IF(E176&lt;25000,6000,IF(E176&lt;30000,7500,IF(E176&lt;40000,9000,IF(E176&gt;40000,10000)))))))</f>
        <v/>
      </c>
      <c r="BF176" s="322">
        <f>(E176/BE176)+2</f>
        <v/>
      </c>
      <c r="BS176" s="127" t="inlineStr">
        <is>
          <t>NUL</t>
        </is>
      </c>
      <c r="BT176" s="120" t="n">
        <v>0</v>
      </c>
      <c r="BU176" s="97" t="inlineStr">
        <is>
          <t>NAVIRE NON PRÊT</t>
        </is>
      </c>
      <c r="BV176" s="127" t="inlineStr">
        <is>
          <t>DEBALLASTING</t>
        </is>
      </c>
      <c r="BW176" s="323">
        <f>AI176-AH176</f>
        <v/>
      </c>
      <c r="BX176" s="120" t="inlineStr">
        <is>
          <t>TBC</t>
        </is>
      </c>
      <c r="BY176" s="120" t="n">
        <v>10</v>
      </c>
      <c r="CB176" s="111" t="n">
        <v>2956</v>
      </c>
    </row>
    <row r="177" ht="15" customFormat="1" customHeight="1" s="230">
      <c r="A177" s="112" t="n">
        <v>121</v>
      </c>
      <c r="B177" s="317" t="inlineStr">
        <is>
          <t>ELENA L</t>
        </is>
      </c>
      <c r="C177" s="108" t="n">
        <v>45753</v>
      </c>
      <c r="D177" s="318" t="n">
        <v>4400</v>
      </c>
      <c r="E177" s="318" t="n">
        <v>4400</v>
      </c>
      <c r="F177" s="141" t="n"/>
      <c r="G177" s="112" t="n">
        <v>1</v>
      </c>
      <c r="H177" s="115" t="inlineStr">
        <is>
          <t>DAP</t>
        </is>
      </c>
      <c r="I177" s="114" t="inlineStr">
        <is>
          <t xml:space="preserve">DAP Euro Low Cd </t>
        </is>
      </c>
      <c r="J177" s="115" t="inlineStr">
        <is>
          <t>CFR</t>
        </is>
      </c>
      <c r="K177" s="82" t="n"/>
      <c r="L177" s="341">
        <f>D177*K177</f>
        <v/>
      </c>
      <c r="M177" s="14" t="n"/>
      <c r="N177" s="335">
        <f>L177*M177</f>
        <v/>
      </c>
      <c r="O177" s="16" t="n"/>
      <c r="P177" s="16" t="n"/>
      <c r="Q177" s="113" t="inlineStr">
        <is>
          <t>EUROPE</t>
        </is>
      </c>
      <c r="R177" s="113" t="inlineStr">
        <is>
          <t>England</t>
        </is>
      </c>
      <c r="S177" s="233" t="n"/>
      <c r="T177" s="113" t="inlineStr">
        <is>
          <t>INTERTEK</t>
        </is>
      </c>
      <c r="U177" s="112" t="n">
        <v>95</v>
      </c>
      <c r="V177" s="129">
        <f>IF(U177&lt;130, "Mini Bulker", IF(AND(U177&gt;=130, U177&lt;150), "Handysize", IF(AND(U177&gt;=150, U177&lt;200), "Handymax", IF(AND(U177&gt;=200, U177&lt;230), "Panamax", IF(AND(U177&gt;=230, U177&lt;=270), "Capesize", "Autre")))))</f>
        <v/>
      </c>
      <c r="X177" s="111">
        <f>IF(E177&lt;9999,"1",IF(E177&lt;19999,"2",IF(E177&lt;29999,"3",IF(E177&lt;39999,"4",IF(E177&lt;49999,"5",IF(E177&gt;50000,"6"))))))</f>
        <v/>
      </c>
      <c r="Y177" s="115" t="inlineStr">
        <is>
          <t>1TER/2BIS</t>
        </is>
      </c>
      <c r="AA177" s="96" t="n">
        <v>45751.57291666666</v>
      </c>
      <c r="AB177" s="96" t="n">
        <v>45751.57291666666</v>
      </c>
      <c r="AC177" s="108" t="n">
        <v>45749</v>
      </c>
      <c r="AD177" s="108" t="n">
        <v>45751</v>
      </c>
      <c r="AE177" s="96" t="n">
        <v>45751.57291666666</v>
      </c>
      <c r="AF177" s="96" t="n">
        <v>45751.70833333334</v>
      </c>
      <c r="AG177" s="96" t="n">
        <v>45751.76041666666</v>
      </c>
      <c r="AH177" s="96" t="n">
        <v>45751.77430555555</v>
      </c>
      <c r="AI177" s="96" t="n">
        <v>45752.11111111111</v>
      </c>
      <c r="AJ177" s="96" t="n">
        <v>45752.81944444445</v>
      </c>
      <c r="AK177" s="96" t="n">
        <v>45753.19791666666</v>
      </c>
      <c r="AL177" s="96" t="n">
        <v>45753.26041666666</v>
      </c>
      <c r="AM177" s="96" t="n">
        <v>45753.27777777778</v>
      </c>
      <c r="AN177" s="96" t="n">
        <v>45753.34027777778</v>
      </c>
      <c r="AO177" s="96" t="n">
        <v>45753.42361111111</v>
      </c>
      <c r="AP177" s="117">
        <f>(AG177-AF177)*1440</f>
        <v/>
      </c>
      <c r="AQ177" s="117">
        <f>(AG177-AE177)*1440</f>
        <v/>
      </c>
      <c r="AR177" s="117">
        <f>(AH177-AF177)*1440</f>
        <v/>
      </c>
      <c r="AS177" s="117">
        <f>(AI177-AH177)*1440</f>
        <v/>
      </c>
      <c r="AT177" s="117">
        <f>(AJ177-AH177)*1440</f>
        <v/>
      </c>
      <c r="AU177" s="117">
        <f>(AL177-AK177)*1440</f>
        <v/>
      </c>
      <c r="AV177" s="117">
        <f>(AM177-AL177)*1440</f>
        <v/>
      </c>
      <c r="AW177" s="117">
        <f>(AO177-AM177)*1440</f>
        <v/>
      </c>
      <c r="AX177" s="118">
        <f>AP177+AS177+AU177+AV177+AW177</f>
        <v/>
      </c>
      <c r="AY177" s="119">
        <f>(AG177-AA177)</f>
        <v/>
      </c>
      <c r="AZ177" s="119">
        <f>(AK177-AJ177)</f>
        <v/>
      </c>
      <c r="BA177" s="119">
        <f>AO177-AG177</f>
        <v/>
      </c>
      <c r="BB177" s="119">
        <f>(AO177-AA177)-(AP177/1440)-(AW177/1440)</f>
        <v/>
      </c>
      <c r="BC177" s="117">
        <f>E177/AZ177</f>
        <v/>
      </c>
      <c r="BE177" s="117">
        <f>IF(E177&lt;10000,3000,IF(E177&lt;15000,3600,IF(E177&lt;20000,4500,IF(E177&lt;25000,6000,IF(E177&lt;30000,7500,IF(E177&lt;40000,9000,IF(E177&gt;40000,10000)))))))</f>
        <v/>
      </c>
      <c r="BF177" s="322">
        <f>(E177/BE177)+2</f>
        <v/>
      </c>
      <c r="BS177" s="127" t="inlineStr">
        <is>
          <t>CHANGE DU POSTE 1TER VERS POSTE 2BIS LE 05/04- 0210</t>
        </is>
      </c>
      <c r="BT177" s="120" t="n">
        <v>1</v>
      </c>
      <c r="BU177" s="97" t="inlineStr">
        <is>
          <t>NAVIRE NON PRÊT</t>
        </is>
      </c>
      <c r="BV177" s="127" t="inlineStr">
        <is>
          <t>DEBALLASTING</t>
        </is>
      </c>
      <c r="BW177" s="323">
        <f>AI177-AH177</f>
        <v/>
      </c>
      <c r="BX177" s="120" t="inlineStr">
        <is>
          <t>NUL</t>
        </is>
      </c>
      <c r="BY177" s="120" t="inlineStr">
        <is>
          <t>NUL</t>
        </is>
      </c>
      <c r="CB177" s="111" t="n">
        <v>2997</v>
      </c>
    </row>
    <row r="178" customFormat="1" s="230">
      <c r="A178" s="112" t="n">
        <v>124</v>
      </c>
      <c r="B178" s="317" t="inlineStr">
        <is>
          <t>SPANACO PROGRESS</t>
        </is>
      </c>
      <c r="C178" s="108" t="n">
        <v>45754</v>
      </c>
      <c r="D178" s="318" t="n">
        <v>7700</v>
      </c>
      <c r="E178" s="318" t="n">
        <v>7700</v>
      </c>
      <c r="F178" s="141" t="inlineStr">
        <is>
          <t>JFC2</t>
        </is>
      </c>
      <c r="G178" s="112" t="n">
        <v>1</v>
      </c>
      <c r="H178" s="115" t="inlineStr">
        <is>
          <t>DAP</t>
        </is>
      </c>
      <c r="I178" s="233" t="inlineStr">
        <is>
          <t xml:space="preserve">DAP Euro Low Cd </t>
        </is>
      </c>
      <c r="J178" s="115" t="inlineStr">
        <is>
          <t>CFR</t>
        </is>
      </c>
      <c r="K178" s="82" t="n">
        <v>668</v>
      </c>
      <c r="L178" s="341">
        <f>D178*K178</f>
        <v/>
      </c>
      <c r="M178" s="14" t="n">
        <v>9.5379</v>
      </c>
      <c r="N178" s="335">
        <f>L178*M178</f>
        <v/>
      </c>
      <c r="O178" s="16" t="inlineStr">
        <is>
          <t>383 Y DU 26/03/2025</t>
        </is>
      </c>
      <c r="P178" s="16" t="inlineStr">
        <is>
          <t>Rosier Nederland B.V</t>
        </is>
      </c>
      <c r="Q178" s="113" t="inlineStr">
        <is>
          <t>EUROPE</t>
        </is>
      </c>
      <c r="R178" s="113" t="inlineStr">
        <is>
          <t xml:space="preserve">Netherlands </t>
        </is>
      </c>
      <c r="S178" s="233" t="n"/>
      <c r="T178" s="113" t="inlineStr">
        <is>
          <t>INTERTEK</t>
        </is>
      </c>
      <c r="U178" s="112" t="n">
        <v>108</v>
      </c>
      <c r="V178" s="129">
        <f>IF(U178&lt;130, "Mini Bulker", IF(AND(U178&gt;=130, U178&lt;150), "Handysize", IF(AND(U178&gt;=150, U178&lt;200), "Handymax", IF(AND(U178&gt;=200, U178&lt;230), "Panamax", IF(AND(U178&gt;=230, U178&lt;=270), "Capesize", "Autre")))))</f>
        <v/>
      </c>
      <c r="X178" s="111">
        <f>IF(E178&lt;9999,"1",IF(E178&lt;19999,"2",IF(E178&lt;29999,"3",IF(E178&lt;39999,"4",IF(E178&lt;49999,"5",IF(E178&gt;50000,"6"))))))</f>
        <v/>
      </c>
      <c r="Y178" s="115" t="inlineStr">
        <is>
          <t>2BIS</t>
        </is>
      </c>
      <c r="AA178" s="96" t="n">
        <v>45751.5</v>
      </c>
      <c r="AB178" s="96" t="n">
        <v>45751.5</v>
      </c>
      <c r="AC178" s="108" t="n">
        <v>45752</v>
      </c>
      <c r="AD178" s="108" t="n">
        <v>45754</v>
      </c>
      <c r="AE178" s="96" t="n">
        <v>45750.92708333334</v>
      </c>
      <c r="AF178" s="96" t="n">
        <v>45753.42361111111</v>
      </c>
      <c r="AG178" s="96" t="n">
        <v>45753.45833333334</v>
      </c>
      <c r="AH178" s="96" t="n">
        <v>45753.47569444445</v>
      </c>
      <c r="AI178" s="96" t="n">
        <v>45753.52777777778</v>
      </c>
      <c r="AJ178" s="96" t="n">
        <v>45753.57291666666</v>
      </c>
      <c r="AK178" s="96" t="n">
        <v>45754.75694444445</v>
      </c>
      <c r="AL178" s="96" t="n">
        <v>45754.80555555555</v>
      </c>
      <c r="AM178" s="96" t="n">
        <v>45754.83333333334</v>
      </c>
      <c r="AN178" s="96" t="n">
        <v>45754.88888888889</v>
      </c>
      <c r="AO178" s="96" t="n">
        <v>45754.93402777778</v>
      </c>
      <c r="AP178" s="117">
        <f>(AG178-AF178)*1440</f>
        <v/>
      </c>
      <c r="AQ178" s="117">
        <f>(AG178-AE178)*1440</f>
        <v/>
      </c>
      <c r="AR178" s="117">
        <f>(AH178-AF178)*1440</f>
        <v/>
      </c>
      <c r="AS178" s="117">
        <f>(AI178-AH178)*1440</f>
        <v/>
      </c>
      <c r="AT178" s="117">
        <f>(AJ178-AH178)*1440</f>
        <v/>
      </c>
      <c r="AU178" s="117">
        <f>(AL178-AK178)*1440</f>
        <v/>
      </c>
      <c r="AV178" s="117">
        <f>(AM178-AL178)*1440</f>
        <v/>
      </c>
      <c r="AW178" s="117">
        <f>(AO178-AM178)*1440</f>
        <v/>
      </c>
      <c r="AX178" s="118">
        <f>AP178+AS178+AU178+AV178+AW178</f>
        <v/>
      </c>
      <c r="AY178" s="119">
        <f>(AG178-AA178)</f>
        <v/>
      </c>
      <c r="AZ178" s="119">
        <f>(AK178-AJ178)</f>
        <v/>
      </c>
      <c r="BA178" s="119">
        <f>AO178-AG178</f>
        <v/>
      </c>
      <c r="BB178" s="119">
        <f>(AO178-AA178)-(AP178/1440)-(AW178/1440)</f>
        <v/>
      </c>
      <c r="BC178" s="117">
        <f>E178/AZ178</f>
        <v/>
      </c>
      <c r="BE178" s="117">
        <f>IF(E178&lt;10000,3000,IF(E178&lt;15000,3600,IF(E178&lt;20000,4500,IF(E178&lt;25000,6000,IF(E178&lt;30000,7500,IF(E178&lt;40000,9000,IF(E178&gt;40000,10000)))))))</f>
        <v/>
      </c>
      <c r="BF178" s="322">
        <f>(E178/BE178)+2</f>
        <v/>
      </c>
      <c r="BS178" s="127" t="inlineStr">
        <is>
          <t>NUL</t>
        </is>
      </c>
      <c r="BT178" s="120" t="n">
        <v>0</v>
      </c>
      <c r="BU178" s="120" t="n"/>
      <c r="BV178" s="152" t="n"/>
      <c r="BW178" s="323">
        <f>AI178-AH178</f>
        <v/>
      </c>
      <c r="BX178" s="120" t="n"/>
      <c r="BY178" s="120" t="n">
        <v>15</v>
      </c>
      <c r="CB178" s="111" t="n">
        <v>5581</v>
      </c>
    </row>
    <row r="179" ht="14.55" customFormat="1" customHeight="1" s="230">
      <c r="A179" s="112" t="n">
        <v>127</v>
      </c>
      <c r="B179" s="342" t="inlineStr">
        <is>
          <t>ARKLOW VENTURE</t>
        </is>
      </c>
      <c r="C179" s="108" t="n">
        <v>45756</v>
      </c>
      <c r="D179" s="318" t="n">
        <v>5006</v>
      </c>
      <c r="E179" s="318" t="n">
        <v>5006</v>
      </c>
      <c r="F179" s="141" t="n"/>
      <c r="G179" s="112" t="n">
        <v>1</v>
      </c>
      <c r="H179" s="115" t="inlineStr">
        <is>
          <t>DAP</t>
        </is>
      </c>
      <c r="I179" s="114" t="inlineStr">
        <is>
          <t>DAP Euro Low Cd</t>
        </is>
      </c>
      <c r="J179" s="115" t="inlineStr">
        <is>
          <t>DAT</t>
        </is>
      </c>
      <c r="K179" s="82" t="n">
        <v>678</v>
      </c>
      <c r="L179" s="341">
        <f>D179*K179</f>
        <v/>
      </c>
      <c r="M179" s="14" t="n"/>
      <c r="N179" s="335">
        <f>L179*M179</f>
        <v/>
      </c>
      <c r="O179" s="16" t="n"/>
      <c r="P179" s="16" t="n"/>
      <c r="Q179" s="113" t="inlineStr">
        <is>
          <t>EUROPE</t>
        </is>
      </c>
      <c r="R179" s="113" t="inlineStr">
        <is>
          <t>BELGUIM</t>
        </is>
      </c>
      <c r="S179" s="233" t="n"/>
      <c r="T179" s="113" t="inlineStr">
        <is>
          <t>INTERTEK</t>
        </is>
      </c>
      <c r="U179" s="112" t="n">
        <v>87</v>
      </c>
      <c r="V179" s="129">
        <f>IF(U179&lt;130, "Mini Bulker", IF(AND(U179&gt;=130, U179&lt;150), "Handysize", IF(AND(U179&gt;=150, U179&lt;200), "Handymax", IF(AND(U179&gt;=200, U179&lt;230), "Panamax", IF(AND(U179&gt;=230, U179&lt;=270), "Capesize", "Autre")))))</f>
        <v/>
      </c>
      <c r="X179" s="111">
        <f>IF(E179&lt;9999,"1",IF(E179&lt;19999,"2",IF(E179&lt;29999,"3",IF(E179&lt;39999,"4",IF(E179&lt;49999,"5",IF(E179&gt;50000,"6"))))))</f>
        <v/>
      </c>
      <c r="Y179" s="115" t="inlineStr">
        <is>
          <t>2TER</t>
        </is>
      </c>
      <c r="AA179" s="96" t="n">
        <v>45753.67361111111</v>
      </c>
      <c r="AB179" s="96" t="n">
        <v>45754.375</v>
      </c>
      <c r="AC179" s="108" t="n">
        <v>45743</v>
      </c>
      <c r="AD179" s="108" t="n">
        <v>45745</v>
      </c>
      <c r="AE179" s="96" t="n">
        <v>45753.67361111111</v>
      </c>
      <c r="AF179" s="96" t="n">
        <v>45754.69583333333</v>
      </c>
      <c r="AG179" s="96" t="n">
        <v>45754.76041666666</v>
      </c>
      <c r="AH179" s="96" t="n">
        <v>45754.76736111111</v>
      </c>
      <c r="AI179" s="96" t="n">
        <v>45754.88194444445</v>
      </c>
      <c r="AJ179" s="96" t="n">
        <v>45755</v>
      </c>
      <c r="AK179" s="96" t="n">
        <v>45756.74305555555</v>
      </c>
      <c r="AL179" s="96" t="n">
        <v>45756.80208333334</v>
      </c>
      <c r="AM179" s="96" t="n">
        <v>45756.84375</v>
      </c>
      <c r="AN179" s="96" t="n">
        <v>45756.84375</v>
      </c>
      <c r="AO179" s="96" t="n">
        <v>45756.89930555555</v>
      </c>
      <c r="AP179" s="117">
        <f>(AG179-AF179)*1440</f>
        <v/>
      </c>
      <c r="AQ179" s="117">
        <f>(AG179-AE179)*1440</f>
        <v/>
      </c>
      <c r="AR179" s="117">
        <f>(AH179-AF179)*1440</f>
        <v/>
      </c>
      <c r="AS179" s="117">
        <f>(AI179-AH179)*1440</f>
        <v/>
      </c>
      <c r="AT179" s="117">
        <f>(AJ179-AH179)*1440</f>
        <v/>
      </c>
      <c r="AU179" s="117">
        <f>(AL179-AK179)*1440</f>
        <v/>
      </c>
      <c r="AV179" s="117">
        <f>(AM179-AL179)*1440</f>
        <v/>
      </c>
      <c r="AW179" s="117">
        <f>(AO179-AM179)*1440</f>
        <v/>
      </c>
      <c r="AX179" s="118">
        <f>AP179+AS179+AU179+AV179+AW179</f>
        <v/>
      </c>
      <c r="AY179" s="119">
        <f>(AG179-AA179)</f>
        <v/>
      </c>
      <c r="AZ179" s="119">
        <f>(AK179-AJ179)</f>
        <v/>
      </c>
      <c r="BA179" s="119">
        <f>AO179-AG179</f>
        <v/>
      </c>
      <c r="BB179" s="119">
        <f>(AO179-AA179)-(AP179/1440)-(AW179/1440)</f>
        <v/>
      </c>
      <c r="BC179" s="117">
        <f>E179/AZ179</f>
        <v/>
      </c>
      <c r="BE179" s="117">
        <f>IF(E179&lt;10000,3000,IF(E179&lt;15000,3600,IF(E179&lt;20000,4500,IF(E179&lt;25000,6000,IF(E179&lt;30000,7500,IF(E179&lt;40000,9000,IF(E179&gt;40000,10000)))))))</f>
        <v/>
      </c>
      <c r="BF179" s="322">
        <f>(E179/BE179)+2</f>
        <v/>
      </c>
      <c r="BS179" s="127" t="inlineStr">
        <is>
          <t>NUL</t>
        </is>
      </c>
      <c r="BT179" s="120" t="n">
        <v>0</v>
      </c>
      <c r="BU179" s="120" t="n"/>
      <c r="BV179" s="240" t="n"/>
      <c r="BW179" s="323">
        <f>AI179-AH179</f>
        <v/>
      </c>
      <c r="BX179" s="120" t="inlineStr">
        <is>
          <t>NUL</t>
        </is>
      </c>
      <c r="BY179" s="120" t="inlineStr">
        <is>
          <t>NUL</t>
        </is>
      </c>
      <c r="CB179" s="111" t="n">
        <v>2999</v>
      </c>
    </row>
    <row r="180" ht="14.55" customFormat="1" customHeight="1" s="230">
      <c r="A180" s="112" t="n">
        <v>128</v>
      </c>
      <c r="B180" s="342" t="inlineStr">
        <is>
          <t>INTERLINK FORTUITY</t>
        </is>
      </c>
      <c r="C180" s="108" t="n">
        <v>45756</v>
      </c>
      <c r="D180" s="318" t="n">
        <v>22900</v>
      </c>
      <c r="E180" s="318">
        <f>D180+D181+D182</f>
        <v/>
      </c>
      <c r="F180" s="141" t="n"/>
      <c r="G180" s="112" t="n">
        <v>3</v>
      </c>
      <c r="H180" s="115" t="inlineStr">
        <is>
          <t>MAP</t>
        </is>
      </c>
      <c r="I180" s="114" t="inlineStr">
        <is>
          <t xml:space="preserve">MAP 11 52 SPECIAL </t>
        </is>
      </c>
      <c r="J180" s="115" t="inlineStr">
        <is>
          <t>CFR</t>
        </is>
      </c>
      <c r="K180" s="82" t="n">
        <v>674.6</v>
      </c>
      <c r="L180" s="341">
        <f>D180*K180</f>
        <v/>
      </c>
      <c r="M180" s="14" t="n">
        <v>9.5</v>
      </c>
      <c r="N180" s="335">
        <f>L180*M180</f>
        <v/>
      </c>
      <c r="O180" s="16" t="inlineStr">
        <is>
          <t>377 S 26/03/2025</t>
        </is>
      </c>
      <c r="P180" s="16" t="inlineStr">
        <is>
          <t xml:space="preserve">AMAGGI ARGENTINA SA /LDC SUISSE S.A/ASOCIACION DE COOPERATIVAS ARGENTIN /BUNGE ARGENTINA S.A /COFCO INTERNATIONAL ARGENTINA S.A. </t>
        </is>
      </c>
      <c r="Q180" s="113" t="inlineStr">
        <is>
          <t>AMERIQUE LATINE</t>
        </is>
      </c>
      <c r="R180" s="113" t="inlineStr">
        <is>
          <t>ARGENTINE</t>
        </is>
      </c>
      <c r="S180" s="233" t="n"/>
      <c r="T180" s="115" t="inlineStr">
        <is>
          <t>INSPECTORATE</t>
        </is>
      </c>
      <c r="U180" s="112" t="n">
        <v>179</v>
      </c>
      <c r="V180" s="129">
        <f>IF(U180&lt;130, "Mini Bulker", IF(AND(U180&gt;=130, U180&lt;150), "Handysize", IF(AND(U180&gt;=150, U180&lt;200), "Handymax", IF(AND(U180&gt;=200, U180&lt;230), "Panamax", IF(AND(U180&gt;=230, U180&lt;=270), "Capesize", "Autre")))))</f>
        <v/>
      </c>
      <c r="X180" s="111">
        <f>IF(E180&lt;9999,"1",IF(E180&lt;19999,"2",IF(E180&lt;29999,"3",IF(E180&lt;39999,"4",IF(E180&lt;49999,"5",IF(E180&gt;50000,"6"))))))</f>
        <v/>
      </c>
      <c r="Y180" s="115" t="inlineStr">
        <is>
          <t>1TER</t>
        </is>
      </c>
      <c r="AA180" s="96" t="n">
        <v>45750.4625</v>
      </c>
      <c r="AB180" s="96" t="n">
        <v>45750.4625</v>
      </c>
      <c r="AC180" s="108" t="n">
        <v>45748</v>
      </c>
      <c r="AD180" s="108" t="n">
        <v>45750</v>
      </c>
      <c r="AE180" s="96" t="n">
        <v>45750.35416666666</v>
      </c>
      <c r="AF180" s="96" t="n">
        <v>45752.15972222222</v>
      </c>
      <c r="AG180" s="96" t="n">
        <v>45752.2625</v>
      </c>
      <c r="AH180" s="96" t="n">
        <v>45752.29166666666</v>
      </c>
      <c r="AI180" s="96" t="n">
        <v>45752.35416666666</v>
      </c>
      <c r="AJ180" s="96" t="n">
        <v>45752.375</v>
      </c>
      <c r="AK180" s="96" t="n">
        <v>45756.84027777778</v>
      </c>
      <c r="AL180" s="96" t="n">
        <v>45756.90277777778</v>
      </c>
      <c r="AM180" s="96" t="n">
        <v>45756.91666666666</v>
      </c>
      <c r="AN180" s="96" t="n">
        <v>45756.95833333334</v>
      </c>
      <c r="AO180" s="96" t="n">
        <v>45757.02291666667</v>
      </c>
      <c r="AP180" s="117">
        <f>(AG180-AF180)*1440</f>
        <v/>
      </c>
      <c r="AQ180" s="117">
        <f>(AG180-AE180)*1440</f>
        <v/>
      </c>
      <c r="AR180" s="117">
        <f>(AH180-AF180)*1440</f>
        <v/>
      </c>
      <c r="AS180" s="117">
        <f>(AI180-AH180)*1440</f>
        <v/>
      </c>
      <c r="AT180" s="117">
        <f>(AJ180-AH180)*1440</f>
        <v/>
      </c>
      <c r="AU180" s="117">
        <f>(AL180-AK180)*1440</f>
        <v/>
      </c>
      <c r="AV180" s="117">
        <f>(AM180-AL180)*1440</f>
        <v/>
      </c>
      <c r="AW180" s="117">
        <f>(AO180-AM180)*1440</f>
        <v/>
      </c>
      <c r="AX180" s="118">
        <f>AP180+AS180+AU180+AV180+AW180</f>
        <v/>
      </c>
      <c r="AY180" s="119">
        <f>(AG180-AA180)</f>
        <v/>
      </c>
      <c r="AZ180" s="119">
        <f>(AK180-AJ180)</f>
        <v/>
      </c>
      <c r="BA180" s="119">
        <f>AO180-AG180</f>
        <v/>
      </c>
      <c r="BB180" s="119">
        <f>(AO180-AA180)-(AP180/1440)-(AW180/1440)</f>
        <v/>
      </c>
      <c r="BC180" s="117">
        <f>E180/AZ180</f>
        <v/>
      </c>
      <c r="BE180" s="117">
        <f>IF(E180&lt;10000,3000,IF(E180&lt;15000,3600,IF(E180&lt;20000,4500,IF(E180&lt;25000,6000,IF(E180&lt;30000,7500,IF(E180&lt;40000,9000,IF(E180&gt;40000,10000)))))))</f>
        <v/>
      </c>
      <c r="BF180" s="322">
        <f>(E180/BE180)+2</f>
        <v/>
      </c>
      <c r="BS180" s="127" t="inlineStr">
        <is>
          <t>NUL</t>
        </is>
      </c>
      <c r="BT180" s="120" t="n">
        <v>0</v>
      </c>
      <c r="BU180" s="120" t="inlineStr">
        <is>
          <t>CLEAN</t>
        </is>
      </c>
      <c r="BV180" s="238" t="inlineStr">
        <is>
          <t>-</t>
        </is>
      </c>
      <c r="BW180" s="323">
        <f>AI180-AH180</f>
        <v/>
      </c>
      <c r="BX180" s="120" t="inlineStr">
        <is>
          <t>NUL</t>
        </is>
      </c>
      <c r="BY180" s="120" t="inlineStr">
        <is>
          <t>NUL</t>
        </is>
      </c>
      <c r="CB180" s="111" t="n">
        <v>25546</v>
      </c>
    </row>
    <row r="181" ht="14.55" customFormat="1" customHeight="1" s="230">
      <c r="B181" s="342" t="inlineStr">
        <is>
          <t>INTERLINK FORTUITY</t>
        </is>
      </c>
      <c r="C181" s="108" t="n">
        <v>45756</v>
      </c>
      <c r="D181" s="318" t="n">
        <v>9461</v>
      </c>
      <c r="E181" s="325" t="n"/>
      <c r="F181" s="141" t="n"/>
      <c r="G181" s="112" t="n">
        <v>3</v>
      </c>
      <c r="H181" s="115" t="inlineStr">
        <is>
          <t>DAP</t>
        </is>
      </c>
      <c r="I181" s="114" t="inlineStr">
        <is>
          <t xml:space="preserve">DAP SPECIAL </t>
        </is>
      </c>
      <c r="J181" s="115" t="inlineStr">
        <is>
          <t>CFR</t>
        </is>
      </c>
      <c r="K181" s="82" t="n">
        <v>670</v>
      </c>
      <c r="L181" s="341">
        <f>D181*K181</f>
        <v/>
      </c>
      <c r="M181" s="14" t="n">
        <v>9.5</v>
      </c>
      <c r="N181" s="335">
        <f>L181*M181</f>
        <v/>
      </c>
      <c r="O181" s="16" t="inlineStr">
        <is>
          <t>377 S 26/03/2025</t>
        </is>
      </c>
      <c r="P181" s="16" t="inlineStr">
        <is>
          <t xml:space="preserve">ASOCIACION DE COOPERATIVAS ARGENTIN /BUNGE ARGENTINA S.A </t>
        </is>
      </c>
      <c r="Q181" s="113" t="inlineStr">
        <is>
          <t>AMERIQUE LATINE</t>
        </is>
      </c>
      <c r="R181" s="113" t="inlineStr">
        <is>
          <t>ARGENTINE</t>
        </is>
      </c>
      <c r="S181" s="233" t="n"/>
      <c r="T181" s="115" t="inlineStr">
        <is>
          <t>INSPECTORATE</t>
        </is>
      </c>
      <c r="U181" s="112" t="n">
        <v>179</v>
      </c>
      <c r="V181" s="129">
        <f>IF(U181&lt;130, "Mini Bulker", IF(AND(U181&gt;=130, U181&lt;150), "Handysize", IF(AND(U181&gt;=150, U181&lt;200), "Handymax", IF(AND(U181&gt;=200, U181&lt;230), "Panamax", IF(AND(U181&gt;=230, U181&lt;=270), "Capesize", "Autre")))))</f>
        <v/>
      </c>
      <c r="X181" s="111">
        <f>IF(E181&lt;9999,"1",IF(E181&lt;19999,"2",IF(E181&lt;29999,"3",IF(E181&lt;39999,"4",IF(E181&lt;49999,"5",IF(E181&gt;50000,"6"))))))</f>
        <v/>
      </c>
      <c r="Y181" s="115" t="inlineStr">
        <is>
          <t>1TER</t>
        </is>
      </c>
      <c r="AA181" s="151" t="n"/>
      <c r="AB181" s="151" t="n"/>
      <c r="AC181" s="151" t="n"/>
      <c r="AD181" s="151" t="n"/>
      <c r="AE181" s="151" t="n"/>
      <c r="AF181" s="151" t="n"/>
      <c r="AG181" s="151" t="n"/>
      <c r="AH181" s="151" t="n"/>
      <c r="AI181" s="151" t="n"/>
      <c r="AJ181" s="151" t="n"/>
      <c r="AK181" s="151" t="n"/>
      <c r="AL181" s="151" t="n"/>
      <c r="AM181" s="151" t="n"/>
      <c r="AN181" s="151" t="n"/>
      <c r="AO181" s="151" t="n"/>
      <c r="AP181" s="151" t="n"/>
      <c r="AQ181" s="151" t="n"/>
      <c r="AR181" s="151" t="n"/>
      <c r="AS181" s="151" t="n"/>
      <c r="AT181" s="151" t="n"/>
      <c r="AU181" s="151" t="n"/>
      <c r="AV181" s="151" t="n"/>
      <c r="AW181" s="151" t="n"/>
      <c r="AX181" s="151" t="n"/>
      <c r="AY181" s="151" t="n"/>
      <c r="AZ181" s="151" t="n"/>
      <c r="BA181" s="151" t="n"/>
      <c r="BB181" s="151" t="n"/>
      <c r="BC181" s="151" t="n"/>
      <c r="BD181" s="151" t="n"/>
      <c r="BE181" s="151" t="n"/>
      <c r="BF181" s="151" t="n"/>
      <c r="BG181" s="98" t="n"/>
      <c r="BH181" s="98" t="n"/>
      <c r="BI181" s="98" t="n"/>
      <c r="BJ181" s="98" t="n"/>
      <c r="BK181" s="98" t="n"/>
      <c r="BL181" s="98" t="n"/>
      <c r="BM181" s="98" t="n"/>
      <c r="BN181" s="98" t="n"/>
      <c r="BO181" s="98" t="n"/>
      <c r="BP181" s="98" t="n"/>
      <c r="BQ181" s="98" t="n"/>
      <c r="BR181" s="98" t="n"/>
      <c r="BS181" s="127" t="inlineStr">
        <is>
          <t>NUL</t>
        </is>
      </c>
      <c r="BT181" s="120" t="n">
        <v>0</v>
      </c>
      <c r="BU181" s="120" t="n"/>
      <c r="BW181" s="323">
        <f>AI181-AH181</f>
        <v/>
      </c>
      <c r="BX181" s="120" t="inlineStr">
        <is>
          <t>NUL</t>
        </is>
      </c>
      <c r="BY181" s="120" t="inlineStr">
        <is>
          <t>NUL</t>
        </is>
      </c>
      <c r="CB181" s="225" t="n"/>
    </row>
    <row r="182" customFormat="1" s="230">
      <c r="A182" s="112" t="n"/>
      <c r="B182" s="342" t="inlineStr">
        <is>
          <t>INTERLINK FORTUITY</t>
        </is>
      </c>
      <c r="C182" s="108" t="n">
        <v>45756</v>
      </c>
      <c r="D182" s="318" t="n">
        <v>5600</v>
      </c>
      <c r="E182" s="325" t="n"/>
      <c r="F182" s="141" t="n"/>
      <c r="G182" s="112" t="n">
        <v>3</v>
      </c>
      <c r="H182" s="115" t="inlineStr">
        <is>
          <t>TSP</t>
        </is>
      </c>
      <c r="I182" s="114" t="inlineStr">
        <is>
          <t xml:space="preserve">TSP SPECIAL JORF </t>
        </is>
      </c>
      <c r="J182" s="115" t="inlineStr">
        <is>
          <t>CFR</t>
        </is>
      </c>
      <c r="K182" s="82" t="n">
        <v>515</v>
      </c>
      <c r="L182" s="341">
        <f>D182*K182</f>
        <v/>
      </c>
      <c r="M182" s="14" t="n">
        <v>9.5</v>
      </c>
      <c r="N182" s="335">
        <f>L182*M182</f>
        <v/>
      </c>
      <c r="O182" s="16" t="inlineStr">
        <is>
          <t>377 S 26/03/2025</t>
        </is>
      </c>
      <c r="P182" s="16" t="inlineStr">
        <is>
          <t>AMAGGI ARGENTINA SA /LDC SUISSE S.A</t>
        </is>
      </c>
      <c r="Q182" s="113" t="inlineStr">
        <is>
          <t>AMERIQUE LATINE</t>
        </is>
      </c>
      <c r="R182" s="113" t="inlineStr">
        <is>
          <t>ARGENTINE</t>
        </is>
      </c>
      <c r="S182" s="233" t="n"/>
      <c r="T182" s="115" t="inlineStr">
        <is>
          <t>INSPECTORATE</t>
        </is>
      </c>
      <c r="U182" s="112" t="n">
        <v>179</v>
      </c>
      <c r="V182" s="129">
        <f>IF(U182&lt;130, "Mini Bulker", IF(AND(U182&gt;=130, U182&lt;150), "Handysize", IF(AND(U182&gt;=150, U182&lt;200), "Handymax", IF(AND(U182&gt;=200, U182&lt;230), "Panamax", IF(AND(U182&gt;=230, U182&lt;=270), "Capesize", "Autre")))))</f>
        <v/>
      </c>
      <c r="X182" s="111">
        <f>IF(E182&lt;9999,"1",IF(E182&lt;19999,"2",IF(E182&lt;29999,"3",IF(E182&lt;39999,"4",IF(E182&lt;49999,"5",IF(E182&gt;50000,"6"))))))</f>
        <v/>
      </c>
      <c r="Y182" s="115" t="inlineStr">
        <is>
          <t>1TER</t>
        </is>
      </c>
      <c r="AA182" s="217" t="n"/>
      <c r="AB182" s="217" t="n"/>
      <c r="AC182" s="151" t="n"/>
      <c r="AD182" s="151" t="n"/>
      <c r="AE182" s="217" t="n"/>
      <c r="AF182" s="217" t="n"/>
      <c r="AG182" s="217" t="n"/>
      <c r="AH182" s="217" t="n"/>
      <c r="AI182" s="217" t="n"/>
      <c r="AJ182" s="217" t="n"/>
      <c r="AK182" s="217" t="n"/>
      <c r="AL182" s="217" t="n"/>
      <c r="AM182" s="217" t="n"/>
      <c r="AN182" s="217" t="n"/>
      <c r="AO182" s="217" t="n"/>
      <c r="AP182" s="151" t="n"/>
      <c r="AQ182" s="151" t="n"/>
      <c r="AR182" s="151" t="n"/>
      <c r="AS182" s="151" t="n"/>
      <c r="AT182" s="151" t="n"/>
      <c r="AU182" s="151" t="n"/>
      <c r="AV182" s="151" t="n"/>
      <c r="AW182" s="151" t="n"/>
      <c r="AX182" s="151" t="n"/>
      <c r="AY182" s="151" t="n"/>
      <c r="AZ182" s="151" t="n"/>
      <c r="BA182" s="151" t="n"/>
      <c r="BB182" s="151" t="n"/>
      <c r="BC182" s="151" t="n"/>
      <c r="BD182" s="224" t="n"/>
      <c r="BE182" s="151" t="n"/>
      <c r="BF182" s="151" t="n"/>
      <c r="BG182" s="220" t="n"/>
      <c r="BH182" s="220" t="n"/>
      <c r="BI182" s="220" t="n"/>
      <c r="BJ182" s="220" t="n"/>
      <c r="BK182" s="220" t="n"/>
      <c r="BL182" s="220" t="n"/>
      <c r="BM182" s="220" t="n"/>
      <c r="BN182" s="220" t="n"/>
      <c r="BO182" s="220" t="n"/>
      <c r="BP182" s="220" t="n"/>
      <c r="BQ182" s="220" t="n"/>
      <c r="BR182" s="220" t="n"/>
      <c r="BS182" s="127" t="inlineStr">
        <is>
          <t>NUL</t>
        </is>
      </c>
      <c r="BT182" s="120" t="n">
        <v>0</v>
      </c>
      <c r="BU182" s="120" t="n"/>
      <c r="BW182" s="323">
        <f>AI182-AH182</f>
        <v/>
      </c>
      <c r="BX182" s="120" t="inlineStr">
        <is>
          <t>NUL</t>
        </is>
      </c>
      <c r="BY182" s="120" t="inlineStr">
        <is>
          <t>NUL</t>
        </is>
      </c>
      <c r="CB182" s="111" t="n"/>
    </row>
    <row r="183" ht="14.55" customFormat="1" customHeight="1" s="230">
      <c r="A183" s="112" t="n">
        <v>125</v>
      </c>
      <c r="B183" s="342" t="inlineStr">
        <is>
          <t>MAVI VATAN</t>
        </is>
      </c>
      <c r="C183" s="108" t="n">
        <v>45756</v>
      </c>
      <c r="D183" s="318" t="n">
        <v>11000</v>
      </c>
      <c r="E183" s="318" t="n">
        <v>11000</v>
      </c>
      <c r="F183" s="141" t="n"/>
      <c r="G183" s="112" t="n">
        <v>1</v>
      </c>
      <c r="H183" s="115" t="inlineStr">
        <is>
          <t>NPK</t>
        </is>
      </c>
      <c r="I183" s="114" t="inlineStr">
        <is>
          <t xml:space="preserve">NPK 15 15 15 Low Cd </t>
        </is>
      </c>
      <c r="J183" s="115" t="inlineStr">
        <is>
          <t>FOB</t>
        </is>
      </c>
      <c r="K183" s="82" t="n">
        <v>415</v>
      </c>
      <c r="L183" s="341">
        <f>D183*K183</f>
        <v/>
      </c>
      <c r="M183" s="14" t="n"/>
      <c r="N183" s="335">
        <f>L183*M183</f>
        <v/>
      </c>
      <c r="O183" s="16" t="n"/>
      <c r="P183" s="16" t="n"/>
      <c r="Q183" s="113" t="inlineStr">
        <is>
          <t>EUROPE</t>
        </is>
      </c>
      <c r="R183" s="113" t="inlineStr">
        <is>
          <t>BULGARIA</t>
        </is>
      </c>
      <c r="S183" s="233" t="n"/>
      <c r="T183" s="115" t="inlineStr">
        <is>
          <t>INTERTEK</t>
        </is>
      </c>
      <c r="U183" s="112" t="n">
        <v>177</v>
      </c>
      <c r="V183" s="129">
        <f>IF(U183&lt;130, "Mini Bulker", IF(AND(U183&gt;=130, U183&lt;150), "Handysize", IF(AND(U183&gt;=150, U183&lt;200), "Handymax", IF(AND(U183&gt;=200, U183&lt;230), "Panamax", IF(AND(U183&gt;=230, U183&lt;=270), "Capesize", "Autre")))))</f>
        <v/>
      </c>
      <c r="X183" s="111">
        <f>IF(E183&lt;9999,"1",IF(E183&lt;19999,"2",IF(E183&lt;29999,"3",IF(E183&lt;39999,"4",IF(E183&lt;49999,"5",IF(E183&gt;50000,"6"))))))</f>
        <v/>
      </c>
      <c r="Y183" s="115" t="inlineStr">
        <is>
          <t>1BIS</t>
        </is>
      </c>
      <c r="AA183" s="96" t="n">
        <v>45753.72569444445</v>
      </c>
      <c r="AB183" s="96" t="n">
        <v>45754.375</v>
      </c>
      <c r="AC183" s="108" t="n">
        <v>45737</v>
      </c>
      <c r="AD183" s="108" t="n">
        <v>45739</v>
      </c>
      <c r="AE183" s="96" t="n">
        <v>45753.72569444445</v>
      </c>
      <c r="AF183" s="96" t="n">
        <v>45755.10625</v>
      </c>
      <c r="AG183" s="96" t="n">
        <v>45755.16319444445</v>
      </c>
      <c r="AH183" s="96" t="n">
        <v>45755.18055555555</v>
      </c>
      <c r="AI183" s="96" t="n">
        <v>45755.24305555555</v>
      </c>
      <c r="AJ183" s="96" t="n">
        <v>45755.3125</v>
      </c>
      <c r="AK183" s="96" t="n">
        <v>45756.53125</v>
      </c>
      <c r="AL183" s="96" t="n">
        <v>45756.55555555555</v>
      </c>
      <c r="AM183" s="96" t="n">
        <v>45756.58333333334</v>
      </c>
      <c r="AN183" s="96" t="n">
        <v>45756.62986111111</v>
      </c>
      <c r="AO183" s="96" t="n">
        <v>45756.72222222222</v>
      </c>
      <c r="AP183" s="117">
        <f>(AG183-AF183)*1440</f>
        <v/>
      </c>
      <c r="AQ183" s="117">
        <f>(AG183-AE183)*1440</f>
        <v/>
      </c>
      <c r="AR183" s="117">
        <f>(AH183-AF183)*1440</f>
        <v/>
      </c>
      <c r="AS183" s="117">
        <f>(AI183-AH183)*1440</f>
        <v/>
      </c>
      <c r="AT183" s="117">
        <f>(AJ183-AH183)*1440</f>
        <v/>
      </c>
      <c r="AU183" s="117">
        <f>(AL183-AK183)*1440</f>
        <v/>
      </c>
      <c r="AV183" s="117">
        <f>(AM183-AL183)*1440</f>
        <v/>
      </c>
      <c r="AW183" s="117">
        <f>(AO183-AM183)*1440</f>
        <v/>
      </c>
      <c r="AX183" s="118">
        <f>AP183+AS183+AU183+AV183+AW183</f>
        <v/>
      </c>
      <c r="AY183" s="119">
        <f>(AG183-AA183)</f>
        <v/>
      </c>
      <c r="AZ183" s="119">
        <f>(AK183-AJ183)</f>
        <v/>
      </c>
      <c r="BA183" s="119">
        <f>AO183-AG183</f>
        <v/>
      </c>
      <c r="BB183" s="119">
        <f>(AO183-AA183)-(AP183/1440)-(AW183/1440)</f>
        <v/>
      </c>
      <c r="BC183" s="117">
        <f>E183/AZ183</f>
        <v/>
      </c>
      <c r="BE183" s="117">
        <f>IF(E183&lt;10000,3000,IF(E183&lt;15000,3600,IF(E183&lt;20000,4500,IF(E183&lt;25000,6000,IF(E183&lt;30000,7500,IF(E183&lt;40000,9000,IF(E183&gt;40000,10000)))))))</f>
        <v/>
      </c>
      <c r="BF183" s="322">
        <f>(E183/BE183)+2</f>
        <v/>
      </c>
      <c r="BS183" s="127" t="inlineStr">
        <is>
          <t>NUL</t>
        </is>
      </c>
      <c r="BT183" s="120" t="n">
        <v>0</v>
      </c>
      <c r="BU183" s="120" t="n"/>
      <c r="BV183" s="228" t="n"/>
      <c r="BW183" s="323">
        <f>AI183-AH183</f>
        <v/>
      </c>
      <c r="BX183" s="120" t="inlineStr">
        <is>
          <t>NUL</t>
        </is>
      </c>
      <c r="BY183" s="120" t="inlineStr">
        <is>
          <t>NUL</t>
        </is>
      </c>
      <c r="CB183" s="111" t="n">
        <v>19885</v>
      </c>
    </row>
    <row r="184" ht="14.55" customFormat="1" customHeight="1" s="230">
      <c r="A184" s="112" t="n">
        <v>126</v>
      </c>
      <c r="B184" s="342" t="inlineStr">
        <is>
          <t>SEA MOON</t>
        </is>
      </c>
      <c r="C184" s="108" t="n">
        <v>45756</v>
      </c>
      <c r="D184" s="318" t="n">
        <v>16500</v>
      </c>
      <c r="E184" s="324">
        <f>D185+D184</f>
        <v/>
      </c>
      <c r="F184" s="141" t="inlineStr">
        <is>
          <t>OCP NUTRI</t>
        </is>
      </c>
      <c r="G184" s="112" t="n">
        <v>2</v>
      </c>
      <c r="H184" s="115" t="inlineStr">
        <is>
          <t>NPK</t>
        </is>
      </c>
      <c r="I184" s="114" t="inlineStr">
        <is>
          <t xml:space="preserve">NPK 15 15 15 SPECIAL </t>
        </is>
      </c>
      <c r="J184" s="115" t="inlineStr">
        <is>
          <t>CFR</t>
        </is>
      </c>
      <c r="K184" s="82" t="n">
        <v>394</v>
      </c>
      <c r="L184" s="341">
        <f>D184*K184</f>
        <v/>
      </c>
      <c r="M184" s="14" t="n">
        <v>10.4464</v>
      </c>
      <c r="N184" s="335">
        <f>L184*M184</f>
        <v/>
      </c>
      <c r="O184" s="16" t="inlineStr">
        <is>
          <t>377 S 26/03/2025</t>
        </is>
      </c>
      <c r="P184" s="16" t="inlineStr">
        <is>
          <t>OCP SENEGAL SA</t>
        </is>
      </c>
      <c r="Q184" s="113" t="inlineStr">
        <is>
          <t>AFRIQUE</t>
        </is>
      </c>
      <c r="R184" s="113" t="inlineStr">
        <is>
          <t xml:space="preserve">Senegal  </t>
        </is>
      </c>
      <c r="S184" s="233" t="n"/>
      <c r="T184" s="115" t="inlineStr">
        <is>
          <t>INSPECTORATE</t>
        </is>
      </c>
      <c r="U184" s="112" t="n">
        <v>170</v>
      </c>
      <c r="V184" s="129">
        <f>IF(U184&lt;130, "Mini Bulker", IF(AND(U184&gt;=130, U184&lt;150), "Handysize", IF(AND(U184&gt;=150, U184&lt;200), "Handymax", IF(AND(U184&gt;=200, U184&lt;230), "Panamax", IF(AND(U184&gt;=230, U184&lt;=270), "Capesize", "Autre")))))</f>
        <v/>
      </c>
      <c r="X184" s="111">
        <f>IF(E184&lt;9999,"1",IF(E184&lt;19999,"2",IF(E184&lt;29999,"3",IF(E184&lt;39999,"4",IF(E184&lt;49999,"5",IF(E184&gt;50000,"6"))))))</f>
        <v/>
      </c>
      <c r="Y184" s="115" t="inlineStr">
        <is>
          <t>1N</t>
        </is>
      </c>
      <c r="AA184" s="121" t="n">
        <v>45753.00069444445</v>
      </c>
      <c r="AB184" s="121" t="n">
        <v>45754.375</v>
      </c>
      <c r="AC184" s="108" t="n">
        <v>45737</v>
      </c>
      <c r="AD184" s="108" t="n">
        <v>45739</v>
      </c>
      <c r="AE184" s="121" t="n">
        <v>45753.00069444445</v>
      </c>
      <c r="AF184" s="121" t="n">
        <v>45753.77430555555</v>
      </c>
      <c r="AG184" s="121" t="n">
        <v>45753.82291666666</v>
      </c>
      <c r="AH184" s="121" t="n">
        <v>45753.83333333334</v>
      </c>
      <c r="AI184" s="121" t="n">
        <v>45753.88541666666</v>
      </c>
      <c r="AJ184" s="121" t="n">
        <v>45753.91666666666</v>
      </c>
      <c r="AK184" s="121" t="n">
        <v>45756.6875</v>
      </c>
      <c r="AL184" s="121" t="n">
        <v>45756.71875</v>
      </c>
      <c r="AM184" s="121" t="n">
        <v>45756.74305555555</v>
      </c>
      <c r="AN184" s="121" t="n">
        <v>45756.75</v>
      </c>
      <c r="AO184" s="121" t="n">
        <v>45756.80555555555</v>
      </c>
      <c r="AP184" s="117">
        <f>(AG184-AF184)*1440</f>
        <v/>
      </c>
      <c r="AQ184" s="117">
        <f>(AG184-AE184)*1440</f>
        <v/>
      </c>
      <c r="AR184" s="117">
        <f>(AH184-AF184)*1440</f>
        <v/>
      </c>
      <c r="AS184" s="117">
        <f>(AI184-AH184)*1440</f>
        <v/>
      </c>
      <c r="AT184" s="117">
        <f>(AJ184-AH184)*1440</f>
        <v/>
      </c>
      <c r="AU184" s="117">
        <f>(AL184-AK184)*1440</f>
        <v/>
      </c>
      <c r="AV184" s="117">
        <f>(AM184-AL184)*1440</f>
        <v/>
      </c>
      <c r="AW184" s="117">
        <f>(AO184-AM184)*1440</f>
        <v/>
      </c>
      <c r="AX184" s="118">
        <f>AP184+AS184+AU184+AV184+AW184</f>
        <v/>
      </c>
      <c r="AY184" s="119">
        <f>(AG184-AA184)</f>
        <v/>
      </c>
      <c r="AZ184" s="119">
        <f>(AK184-AJ184)</f>
        <v/>
      </c>
      <c r="BA184" s="119">
        <f>AO184-AG184</f>
        <v/>
      </c>
      <c r="BB184" s="119">
        <f>(AO184-AA184)-(AP184/1440)-(AW184/1440)</f>
        <v/>
      </c>
      <c r="BC184" s="117">
        <f>E184/AZ184</f>
        <v/>
      </c>
      <c r="BD184" s="225" t="n"/>
      <c r="BE184" s="117">
        <f>IF(E184&lt;10000,3000,IF(E184&lt;15000,3600,IF(E184&lt;20000,4500,IF(E184&lt;25000,6000,IF(E184&lt;30000,7500,IF(E184&lt;40000,9000,IF(E184&gt;40000,10000)))))))</f>
        <v/>
      </c>
      <c r="BF184" s="322">
        <f>(E184/BE184)+2</f>
        <v/>
      </c>
      <c r="BG184" s="208" t="n"/>
      <c r="BH184" s="208" t="n"/>
      <c r="BI184" s="208" t="n"/>
      <c r="BJ184" s="208" t="n"/>
      <c r="BK184" s="208" t="n"/>
      <c r="BL184" s="208" t="n"/>
      <c r="BM184" s="208" t="n"/>
      <c r="BN184" s="208" t="n"/>
      <c r="BO184" s="208" t="n"/>
      <c r="BP184" s="208" t="n"/>
      <c r="BQ184" s="208" t="n"/>
      <c r="BR184" s="208" t="n"/>
      <c r="BS184" s="127" t="inlineStr">
        <is>
          <t>NUL</t>
        </is>
      </c>
      <c r="BT184" s="120" t="n">
        <v>0</v>
      </c>
      <c r="BU184" s="120" t="inlineStr">
        <is>
          <t>CLEAN</t>
        </is>
      </c>
      <c r="BV184" s="238" t="inlineStr">
        <is>
          <t>-</t>
        </is>
      </c>
      <c r="BW184" s="323">
        <f>AI184-AH184</f>
        <v/>
      </c>
      <c r="BX184" s="120" t="inlineStr">
        <is>
          <t>NUL</t>
        </is>
      </c>
      <c r="BY184" s="120" t="inlineStr">
        <is>
          <t>NUL</t>
        </is>
      </c>
      <c r="CB184" s="112" t="n">
        <v>17431</v>
      </c>
    </row>
    <row r="185" ht="15" customFormat="1" customHeight="1" s="230">
      <c r="B185" s="342" t="inlineStr">
        <is>
          <t>SEA MOON</t>
        </is>
      </c>
      <c r="C185" s="108" t="n">
        <v>45756</v>
      </c>
      <c r="D185" s="318" t="n">
        <v>8800</v>
      </c>
      <c r="E185" s="325" t="n"/>
      <c r="F185" s="141" t="inlineStr">
        <is>
          <t>JFC1</t>
        </is>
      </c>
      <c r="G185" s="112" t="n">
        <v>2</v>
      </c>
      <c r="H185" s="115" t="inlineStr">
        <is>
          <t>DAP</t>
        </is>
      </c>
      <c r="I185" s="114" t="inlineStr">
        <is>
          <t xml:space="preserve">DAP STANDARD </t>
        </is>
      </c>
      <c r="J185" s="115" t="inlineStr">
        <is>
          <t>CFR</t>
        </is>
      </c>
      <c r="K185" s="82" t="n">
        <v>587</v>
      </c>
      <c r="L185" s="341">
        <f>D185*K185</f>
        <v/>
      </c>
      <c r="M185" s="14" t="n">
        <v>10.4464</v>
      </c>
      <c r="N185" s="335">
        <f>L185*M185</f>
        <v/>
      </c>
      <c r="O185" s="16" t="inlineStr">
        <is>
          <t>382 X DU 26/03/2025</t>
        </is>
      </c>
      <c r="P185" s="16" t="inlineStr">
        <is>
          <t>OCP SENEGAL SA</t>
        </is>
      </c>
      <c r="Q185" s="113" t="inlineStr">
        <is>
          <t>AFRIQUE</t>
        </is>
      </c>
      <c r="R185" s="113" t="inlineStr">
        <is>
          <t xml:space="preserve">Senegal  </t>
        </is>
      </c>
      <c r="S185" s="233" t="n"/>
      <c r="T185" s="115" t="inlineStr">
        <is>
          <t>INSPECTORATE</t>
        </is>
      </c>
      <c r="U185" s="112" t="n">
        <v>170</v>
      </c>
      <c r="V185" s="129">
        <f>IF(U185&lt;130, "Mini Bulker", IF(AND(U185&gt;=130, U185&lt;150), "Handysize", IF(AND(U185&gt;=150, U185&lt;200), "Handymax", IF(AND(U185&gt;=200, U185&lt;230), "Panamax", IF(AND(U185&gt;=230, U185&lt;=270), "Capesize", "Autre")))))</f>
        <v/>
      </c>
      <c r="X185" s="111">
        <f>IF(E185&lt;9999,"1",IF(E185&lt;19999,"2",IF(E185&lt;29999,"3",IF(E185&lt;39999,"4",IF(E185&lt;49999,"5",IF(E185&gt;50000,"6"))))))</f>
        <v/>
      </c>
      <c r="Y185" s="115" t="inlineStr">
        <is>
          <t>1N</t>
        </is>
      </c>
      <c r="AA185" s="151" t="n"/>
      <c r="AB185" s="151" t="n"/>
      <c r="AC185" s="151" t="n"/>
      <c r="AD185" s="151" t="n"/>
      <c r="AE185" s="151" t="n"/>
      <c r="AF185" s="151" t="n"/>
      <c r="AG185" s="151" t="n"/>
      <c r="AH185" s="151" t="n"/>
      <c r="AI185" s="151" t="n"/>
      <c r="AJ185" s="151" t="n"/>
      <c r="AK185" s="151" t="n"/>
      <c r="AL185" s="151" t="n"/>
      <c r="AM185" s="151" t="n"/>
      <c r="AN185" s="151" t="n"/>
      <c r="AO185" s="151" t="n"/>
      <c r="AP185" s="151" t="n"/>
      <c r="AQ185" s="151" t="n"/>
      <c r="AR185" s="151" t="n"/>
      <c r="AS185" s="151" t="n"/>
      <c r="AT185" s="151" t="n"/>
      <c r="AU185" s="151" t="n"/>
      <c r="AV185" s="151" t="n"/>
      <c r="AW185" s="151" t="n"/>
      <c r="AX185" s="151" t="n"/>
      <c r="AY185" s="151" t="n"/>
      <c r="AZ185" s="151" t="n"/>
      <c r="BA185" s="151" t="n"/>
      <c r="BB185" s="151" t="n"/>
      <c r="BC185" s="151" t="n"/>
      <c r="BD185" s="151" t="n"/>
      <c r="BE185" s="151" t="n"/>
      <c r="BF185" s="151" t="n"/>
      <c r="BG185" s="98" t="n"/>
      <c r="BH185" s="98" t="n"/>
      <c r="BI185" s="98" t="n"/>
      <c r="BJ185" s="98" t="n"/>
      <c r="BK185" s="98" t="n"/>
      <c r="BL185" s="98" t="n"/>
      <c r="BM185" s="98" t="n"/>
      <c r="BN185" s="98" t="n"/>
      <c r="BO185" s="98" t="n"/>
      <c r="BP185" s="98" t="n"/>
      <c r="BQ185" s="98" t="n"/>
      <c r="BR185" s="98" t="n"/>
      <c r="BS185" s="127" t="inlineStr">
        <is>
          <t>NUL</t>
        </is>
      </c>
      <c r="BT185" s="120" t="n">
        <v>0</v>
      </c>
      <c r="BU185" s="120" t="n"/>
      <c r="BW185" s="323">
        <f>AI185-AH185</f>
        <v/>
      </c>
      <c r="BX185" s="120" t="inlineStr">
        <is>
          <t>NUL</t>
        </is>
      </c>
      <c r="BY185" s="120" t="inlineStr">
        <is>
          <t>NUL</t>
        </is>
      </c>
      <c r="CB185" s="111" t="n"/>
    </row>
    <row r="186" ht="14.55" customFormat="1" customHeight="1" s="230">
      <c r="A186" s="112" t="n">
        <v>129</v>
      </c>
      <c r="B186" s="342" t="inlineStr">
        <is>
          <t>ATLANTIC ISLAND</t>
        </is>
      </c>
      <c r="C186" s="108" t="n">
        <v>45757</v>
      </c>
      <c r="D186" s="318" t="n">
        <v>4750</v>
      </c>
      <c r="E186" s="318" t="n">
        <v>4750</v>
      </c>
      <c r="F186" s="141" t="n"/>
      <c r="G186" s="112" t="n">
        <v>1</v>
      </c>
      <c r="H186" s="115" t="inlineStr">
        <is>
          <t>MAP</t>
        </is>
      </c>
      <c r="I186" s="114" t="inlineStr">
        <is>
          <t xml:space="preserve">MAP 11 52 Special Low Cd </t>
        </is>
      </c>
      <c r="J186" s="115" t="inlineStr">
        <is>
          <t>CFR</t>
        </is>
      </c>
      <c r="K186" s="82" t="n">
        <v>681.79</v>
      </c>
      <c r="L186" s="341">
        <f>D186*K186</f>
        <v/>
      </c>
      <c r="M186" s="14" t="n"/>
      <c r="N186" s="335">
        <f>L186*M186</f>
        <v/>
      </c>
      <c r="O186" s="16" t="n"/>
      <c r="P186" s="16" t="n"/>
      <c r="Q186" s="113" t="inlineStr">
        <is>
          <t>EUROPE</t>
        </is>
      </c>
      <c r="R186" s="113" t="inlineStr">
        <is>
          <t>ESPAGNE</t>
        </is>
      </c>
      <c r="S186" s="233" t="n"/>
      <c r="T186" s="115" t="inlineStr">
        <is>
          <t>INSPECTORATE</t>
        </is>
      </c>
      <c r="U186" s="112" t="n">
        <v>180</v>
      </c>
      <c r="V186" s="129">
        <f>IF(U186&lt;130, "Mini Bulker", IF(AND(U186&gt;=130, U186&lt;150), "Handysize", IF(AND(U186&gt;=150, U186&lt;200), "Handymax", IF(AND(U186&gt;=200, U186&lt;230), "Panamax", IF(AND(U186&gt;=230, U186&lt;=270), "Capesize", "Autre")))))</f>
        <v/>
      </c>
      <c r="X186" s="111">
        <f>IF(E186&lt;9999,"1",IF(E186&lt;19999,"2",IF(E186&lt;29999,"3",IF(E186&lt;39999,"4",IF(E186&lt;49999,"5",IF(E186&gt;50000,"6"))))))</f>
        <v/>
      </c>
      <c r="Y186" s="115" t="inlineStr">
        <is>
          <t>2TER</t>
        </is>
      </c>
      <c r="AA186" s="96" t="n">
        <v>45756.28125</v>
      </c>
      <c r="AB186" s="96" t="n">
        <v>45756.375</v>
      </c>
      <c r="AC186" s="108" t="n">
        <v>45755</v>
      </c>
      <c r="AD186" s="108" t="n">
        <v>45757</v>
      </c>
      <c r="AE186" s="96" t="n">
        <v>45756.28125</v>
      </c>
      <c r="AF186" s="96" t="n">
        <v>45756.89930555555</v>
      </c>
      <c r="AG186" s="96" t="n">
        <v>45756.96180555555</v>
      </c>
      <c r="AH186" s="96" t="n">
        <v>45756.97916666666</v>
      </c>
      <c r="AI186" s="96" t="n">
        <v>45757.02430555555</v>
      </c>
      <c r="AJ186" s="96" t="n">
        <v>45757.04861111111</v>
      </c>
      <c r="AK186" s="96" t="n">
        <v>45757.74305555555</v>
      </c>
      <c r="AL186" s="96" t="n">
        <v>45757.79166666666</v>
      </c>
      <c r="AM186" s="96" t="n">
        <v>45757.8125</v>
      </c>
      <c r="AN186" s="96" t="n">
        <v>45757.86805555555</v>
      </c>
      <c r="AO186" s="96" t="n">
        <v>45757.8625</v>
      </c>
      <c r="AP186" s="117">
        <f>(AG186-AF186)*1440</f>
        <v/>
      </c>
      <c r="AQ186" s="117">
        <f>(AG186-AE186)*1440</f>
        <v/>
      </c>
      <c r="AR186" s="117">
        <f>(AH186-AF186)*1440</f>
        <v/>
      </c>
      <c r="AS186" s="117">
        <f>(AI186-AH186)*1440</f>
        <v/>
      </c>
      <c r="AT186" s="117">
        <f>(AJ186-AH186)*1440</f>
        <v/>
      </c>
      <c r="AU186" s="117">
        <f>(AL186-AK186)*1440</f>
        <v/>
      </c>
      <c r="AV186" s="117">
        <f>(AM186-AL186)*1440</f>
        <v/>
      </c>
      <c r="AW186" s="117">
        <f>(AO186-AM186)*1440</f>
        <v/>
      </c>
      <c r="AX186" s="118">
        <f>AP186+AS186+AU186+AV186+AW186</f>
        <v/>
      </c>
      <c r="AY186" s="119">
        <f>(AG186-AA186)</f>
        <v/>
      </c>
      <c r="AZ186" s="119">
        <f>(AK186-AJ186)</f>
        <v/>
      </c>
      <c r="BA186" s="119">
        <f>AO186-AG186</f>
        <v/>
      </c>
      <c r="BB186" s="119">
        <f>(AO186-AA186)-(AP186/1440)-(AW186/1440)</f>
        <v/>
      </c>
      <c r="BC186" s="117">
        <f>E186/AZ186</f>
        <v/>
      </c>
      <c r="BE186" s="117">
        <f>IF(E186&lt;10000,3000,IF(E186&lt;15000,3600,IF(E186&lt;20000,4500,IF(E186&lt;25000,6000,IF(E186&lt;30000,7500,IF(E186&lt;40000,9000,IF(E186&gt;40000,10000)))))))</f>
        <v/>
      </c>
      <c r="BF186" s="322">
        <f>(E186/BE186)+2</f>
        <v/>
      </c>
      <c r="BS186" s="127" t="inlineStr">
        <is>
          <t>NUL</t>
        </is>
      </c>
      <c r="BT186" s="127" t="n">
        <v>0</v>
      </c>
      <c r="BU186" s="120" t="inlineStr">
        <is>
          <t>CLEAN</t>
        </is>
      </c>
      <c r="BV186" s="238" t="inlineStr">
        <is>
          <t>-</t>
        </is>
      </c>
      <c r="BW186" s="323">
        <f>AI186-AH186</f>
        <v/>
      </c>
      <c r="BX186" s="120" t="inlineStr">
        <is>
          <t>NUL</t>
        </is>
      </c>
      <c r="BY186" s="120" t="inlineStr">
        <is>
          <t>NUL</t>
        </is>
      </c>
      <c r="CB186" s="111" t="n">
        <v>21441</v>
      </c>
    </row>
    <row r="187" ht="14.55" customFormat="1" customHeight="1" s="230">
      <c r="A187" s="112" t="n">
        <v>130</v>
      </c>
      <c r="B187" s="342" t="inlineStr">
        <is>
          <t>GHALA</t>
        </is>
      </c>
      <c r="C187" s="108" t="n">
        <v>45758</v>
      </c>
      <c r="D187" s="318" t="n">
        <v>15400</v>
      </c>
      <c r="E187" s="318">
        <f>D187+D188+D189</f>
        <v/>
      </c>
      <c r="F187" s="141" t="inlineStr">
        <is>
          <t>OCP NUTRI</t>
        </is>
      </c>
      <c r="G187" s="112" t="n">
        <v>3</v>
      </c>
      <c r="H187" s="115" t="inlineStr">
        <is>
          <t>MAP</t>
        </is>
      </c>
      <c r="I187" s="114" t="inlineStr">
        <is>
          <t>MAP 11 52 SPECIAL</t>
        </is>
      </c>
      <c r="J187" s="115" t="inlineStr">
        <is>
          <t>CFR</t>
        </is>
      </c>
      <c r="K187" s="82" t="n">
        <v>659</v>
      </c>
      <c r="L187" s="341">
        <f>D187*K187</f>
        <v/>
      </c>
      <c r="M187" s="14" t="n">
        <v>9.4925</v>
      </c>
      <c r="N187" s="335">
        <f>L187*M187</f>
        <v/>
      </c>
      <c r="O187" s="16" t="inlineStr">
        <is>
          <t>377 S DU 26/03/2025</t>
        </is>
      </c>
      <c r="P187" s="16" t="inlineStr">
        <is>
          <t>COFCO INTERNATIONAL ARGENTINA S.A. /Cofco International Uruguay S.A</t>
        </is>
      </c>
      <c r="Q187" s="113" t="inlineStr">
        <is>
          <t>AMERIQUE LATINE</t>
        </is>
      </c>
      <c r="R187" s="113" t="inlineStr">
        <is>
          <t>ARGENTINE</t>
        </is>
      </c>
      <c r="S187" s="233" t="n"/>
      <c r="T187" s="115" t="inlineStr">
        <is>
          <t>INTERTEK</t>
        </is>
      </c>
      <c r="U187" s="112" t="n">
        <v>183</v>
      </c>
      <c r="V187" s="129">
        <f>IF(U187&lt;130, "Mini Bulker", IF(AND(U187&gt;=130, U187&lt;150), "Handysize", IF(AND(U187&gt;=150, U187&lt;200), "Handymax", IF(AND(U187&gt;=200, U187&lt;230), "Panamax", IF(AND(U187&gt;=230, U187&lt;=270), "Capesize", "Autre")))))</f>
        <v/>
      </c>
      <c r="X187" s="111">
        <f>IF(E187&lt;9999,"1",IF(E187&lt;19999,"2",IF(E187&lt;29999,"3",IF(E187&lt;39999,"4",IF(E187&lt;49999,"5",IF(E187&gt;50000,"6"))))))</f>
        <v/>
      </c>
      <c r="Y187" s="115" t="inlineStr">
        <is>
          <t>1TER/5/2N/2BIS</t>
        </is>
      </c>
      <c r="AA187" s="96" t="n">
        <v>45741.875</v>
      </c>
      <c r="AB187" s="96" t="n">
        <v>45742.375</v>
      </c>
      <c r="AC187" s="108" t="n">
        <v>45741</v>
      </c>
      <c r="AD187" s="108" t="n">
        <v>45743</v>
      </c>
      <c r="AE187" s="96" t="n">
        <v>45741.86666666667</v>
      </c>
      <c r="AF187" s="96" t="n">
        <v>45742.50555555556</v>
      </c>
      <c r="AG187" s="96" t="n">
        <v>45742.6375</v>
      </c>
      <c r="AH187" s="96" t="n">
        <v>45742.65277777778</v>
      </c>
      <c r="AI187" s="96" t="n">
        <v>45742.70486111111</v>
      </c>
      <c r="AJ187" s="96" t="n">
        <v>45742.70833333334</v>
      </c>
      <c r="AK187" s="96" t="n">
        <v>45758.85416666666</v>
      </c>
      <c r="AL187" s="96" t="n">
        <v>45758.88194444445</v>
      </c>
      <c r="AM187" s="96" t="n">
        <v>45758.90277777778</v>
      </c>
      <c r="AN187" s="96" t="n">
        <v>45758.93055555555</v>
      </c>
      <c r="AO187" s="96" t="n">
        <v>45758.97222222222</v>
      </c>
      <c r="AP187" s="117">
        <f>(AG187-AF187)*1440</f>
        <v/>
      </c>
      <c r="AQ187" s="117">
        <f>(AG187-AE187)*1440</f>
        <v/>
      </c>
      <c r="AR187" s="117">
        <f>(AH187-AF187)*1440</f>
        <v/>
      </c>
      <c r="AS187" s="117">
        <f>(AI187-AH187)*1440</f>
        <v/>
      </c>
      <c r="AT187" s="117">
        <f>(AJ187-AH187)*1440</f>
        <v/>
      </c>
      <c r="AU187" s="117">
        <f>(AL187-AK187)*1440</f>
        <v/>
      </c>
      <c r="AV187" s="117">
        <f>(AM187-AL187)*1440</f>
        <v/>
      </c>
      <c r="AW187" s="117">
        <f>(AO187-AM187)*1440</f>
        <v/>
      </c>
      <c r="AX187" s="118">
        <f>AP187+AS187+AU187+AV187+AW187</f>
        <v/>
      </c>
      <c r="AY187" s="119">
        <f>(AG187-AA187)</f>
        <v/>
      </c>
      <c r="AZ187" s="119">
        <f>(AK187-AJ187)</f>
        <v/>
      </c>
      <c r="BA187" s="119">
        <f>AO187-AG187</f>
        <v/>
      </c>
      <c r="BB187" s="119">
        <f>(AO187-AA187)-(AP187/1440)-(AW187/1440)</f>
        <v/>
      </c>
      <c r="BC187" s="117">
        <f>E187/AZ187</f>
        <v/>
      </c>
      <c r="BE187" s="117">
        <f>IF(E187&lt;10000,3000,IF(E187&lt;15000,3600,IF(E187&lt;20000,4500,IF(E187&lt;25000,6000,IF(E187&lt;30000,7500,IF(E187&lt;40000,9000,IF(E187&gt;40000,10000)))))))</f>
        <v/>
      </c>
      <c r="BF187" s="322">
        <f>(E187/BE187)+2</f>
        <v/>
      </c>
      <c r="BS187" s="127" t="inlineStr">
        <is>
          <t>CHANGE DU POSTE 1TER VERS LA RADE LE 28/03- 1637 // RE-ACCOSTAGEAU POSTE 5 LE 02/04 - 2005// CHANGE DU POSTE 5 AU POSTE 2N LE 03/04 - 0820 // CHANGE DU POSTE 2N VERS 2BIS LE 10/04- 1325</t>
        </is>
      </c>
      <c r="BT187" s="125" t="n">
        <v>4</v>
      </c>
      <c r="BU187" s="120" t="inlineStr">
        <is>
          <t>CLEAN</t>
        </is>
      </c>
      <c r="BV187" s="238" t="inlineStr">
        <is>
          <t>-</t>
        </is>
      </c>
      <c r="BW187" s="323">
        <f>AI187-AH187</f>
        <v/>
      </c>
      <c r="BX187" s="120" t="inlineStr">
        <is>
          <t>NUL</t>
        </is>
      </c>
      <c r="BY187" s="120" t="inlineStr">
        <is>
          <t>NUL</t>
        </is>
      </c>
      <c r="CB187" s="111" t="n">
        <v>29182</v>
      </c>
    </row>
    <row r="188" customFormat="1" s="230">
      <c r="A188" s="112" t="n"/>
      <c r="B188" s="342" t="inlineStr">
        <is>
          <t>GHALA</t>
        </is>
      </c>
      <c r="C188" s="108" t="n">
        <v>45758</v>
      </c>
      <c r="D188" s="318" t="n">
        <v>15400</v>
      </c>
      <c r="E188" s="325" t="n"/>
      <c r="F188" s="141" t="inlineStr">
        <is>
          <t>OCP NUTRI</t>
        </is>
      </c>
      <c r="G188" s="112" t="n">
        <v>3</v>
      </c>
      <c r="H188" s="115" t="inlineStr">
        <is>
          <t>NPS</t>
        </is>
      </c>
      <c r="I188" s="114" t="inlineStr">
        <is>
          <t>NPS 12 45 55 1ZN</t>
        </is>
      </c>
      <c r="J188" s="115" t="inlineStr">
        <is>
          <t>CFR</t>
        </is>
      </c>
      <c r="K188" s="82" t="n">
        <v>701</v>
      </c>
      <c r="L188" s="341">
        <f>D188*K188</f>
        <v/>
      </c>
      <c r="M188" s="14" t="n">
        <v>9.4925</v>
      </c>
      <c r="N188" s="335">
        <f>L188*M188</f>
        <v/>
      </c>
      <c r="O188" s="16" t="inlineStr">
        <is>
          <t>377 S DU 26/03/2025</t>
        </is>
      </c>
      <c r="P188" s="16" t="inlineStr">
        <is>
          <t>COFCO INTERNATIONAL ARGENTINA S.A. /Cofco International Uruguay S.A</t>
        </is>
      </c>
      <c r="Q188" s="113" t="inlineStr">
        <is>
          <t>AMERIQUE LATINE</t>
        </is>
      </c>
      <c r="R188" s="113" t="inlineStr">
        <is>
          <t>ARGENTINE/ Uruguay</t>
        </is>
      </c>
      <c r="S188" s="233" t="n"/>
      <c r="T188" s="115" t="inlineStr">
        <is>
          <t>INTERTEK</t>
        </is>
      </c>
      <c r="U188" s="112" t="n">
        <v>183</v>
      </c>
      <c r="V188" s="129">
        <f>IF(U188&lt;130, "Mini Bulker", IF(AND(U188&gt;=130, U188&lt;150), "Handysize", IF(AND(U188&gt;=150, U188&lt;200), "Handymax", IF(AND(U188&gt;=200, U188&lt;230), "Panamax", IF(AND(U188&gt;=230, U188&lt;=270), "Capesize", "Autre")))))</f>
        <v/>
      </c>
      <c r="X188" s="111">
        <f>IF(E188&lt;9999,"1",IF(E188&lt;19999,"2",IF(E188&lt;29999,"3",IF(E188&lt;39999,"4",IF(E188&lt;49999,"5",IF(E188&gt;50000,"6"))))))</f>
        <v/>
      </c>
      <c r="Y188" s="115" t="n"/>
      <c r="AA188" s="151" t="n"/>
      <c r="AB188" s="151" t="n"/>
      <c r="AC188" s="151" t="n"/>
      <c r="AD188" s="151" t="n"/>
      <c r="AE188" s="151" t="n"/>
      <c r="AF188" s="151" t="n"/>
      <c r="AG188" s="151" t="n"/>
      <c r="AH188" s="151" t="n"/>
      <c r="AI188" s="151" t="n"/>
      <c r="AJ188" s="151" t="n"/>
      <c r="AK188" s="151" t="n"/>
      <c r="AL188" s="151" t="n"/>
      <c r="AM188" s="151" t="n"/>
      <c r="AN188" s="151" t="n"/>
      <c r="AO188" s="151" t="n"/>
      <c r="AP188" s="151" t="n"/>
      <c r="AQ188" s="151" t="n"/>
      <c r="AR188" s="151" t="n"/>
      <c r="AS188" s="151" t="n"/>
      <c r="AT188" s="151" t="n"/>
      <c r="AU188" s="151" t="n"/>
      <c r="AV188" s="151" t="n"/>
      <c r="AW188" s="151" t="n"/>
      <c r="AX188" s="151" t="n"/>
      <c r="AY188" s="151" t="n"/>
      <c r="AZ188" s="151" t="n"/>
      <c r="BA188" s="151" t="n"/>
      <c r="BB188" s="151" t="n"/>
      <c r="BC188" s="151" t="n"/>
      <c r="BD188" s="151" t="n"/>
      <c r="BE188" s="151" t="n"/>
      <c r="BF188" s="151" t="n"/>
      <c r="BG188" s="98" t="n"/>
      <c r="BH188" s="98" t="n"/>
      <c r="BI188" s="98" t="n"/>
      <c r="BJ188" s="98" t="n"/>
      <c r="BK188" s="98" t="n"/>
      <c r="BL188" s="98" t="n"/>
      <c r="BM188" s="98" t="n"/>
      <c r="BN188" s="98" t="n"/>
      <c r="BO188" s="98" t="n"/>
      <c r="BP188" s="98" t="n"/>
      <c r="BQ188" s="98" t="n"/>
      <c r="BR188" s="98" t="n"/>
      <c r="BS188" s="127" t="inlineStr">
        <is>
          <t>CHANGE DU POSTE 1TER VERS LA RADE LE 28/03- 1637 // RE-ACCOSTAGEAU POSTE 5 LE 02/04 - 2005// CHANGE DU POSTE 5 AU POSTE 2N LE 03/04 - 0820 // CHANGE DU POSTE 2N VERS 2BIS LE 10/04- 1326</t>
        </is>
      </c>
      <c r="BT188" s="125" t="n">
        <v>4</v>
      </c>
      <c r="BW188" s="323">
        <f>AI188-AH188</f>
        <v/>
      </c>
      <c r="BX188" s="120" t="inlineStr">
        <is>
          <t>NUL</t>
        </is>
      </c>
      <c r="BY188" s="120" t="inlineStr">
        <is>
          <t>NUL</t>
        </is>
      </c>
      <c r="CB188" s="111" t="n"/>
    </row>
    <row r="189" customFormat="1" s="230">
      <c r="A189" s="112" t="n"/>
      <c r="B189" s="342" t="inlineStr">
        <is>
          <t>GHALA</t>
        </is>
      </c>
      <c r="C189" s="108" t="n">
        <v>45758</v>
      </c>
      <c r="D189" s="318" t="n">
        <v>7700</v>
      </c>
      <c r="E189" s="325" t="n"/>
      <c r="F189" s="141" t="inlineStr">
        <is>
          <t>JFC1</t>
        </is>
      </c>
      <c r="G189" s="112" t="n">
        <v>3</v>
      </c>
      <c r="H189" s="115" t="inlineStr">
        <is>
          <t>DAP</t>
        </is>
      </c>
      <c r="I189" s="114" t="inlineStr">
        <is>
          <t xml:space="preserve">DAP SPECIAL </t>
        </is>
      </c>
      <c r="J189" s="115" t="inlineStr">
        <is>
          <t>CFR</t>
        </is>
      </c>
      <c r="K189" s="82" t="n">
        <v>659</v>
      </c>
      <c r="L189" s="341">
        <f>D189*K189</f>
        <v/>
      </c>
      <c r="M189" s="14" t="n">
        <v>9.4925</v>
      </c>
      <c r="N189" s="335">
        <f>L189*M189</f>
        <v/>
      </c>
      <c r="O189" s="16" t="inlineStr">
        <is>
          <t>382 X DU 26/03/2025</t>
        </is>
      </c>
      <c r="P189" s="16" t="inlineStr">
        <is>
          <t>COFCO INTERNATIONAL ARGENTINA S.A. /Cofco International Uruguay S.A</t>
        </is>
      </c>
      <c r="Q189" s="113" t="inlineStr">
        <is>
          <t>AMERIQUE LATINE</t>
        </is>
      </c>
      <c r="R189" s="113" t="inlineStr">
        <is>
          <t>ARGENTINE</t>
        </is>
      </c>
      <c r="S189" s="233" t="n"/>
      <c r="T189" s="115" t="inlineStr">
        <is>
          <t>INTERTEK</t>
        </is>
      </c>
      <c r="U189" s="112" t="n">
        <v>183</v>
      </c>
      <c r="V189" s="129">
        <f>IF(U189&lt;130, "Mini Bulker", IF(AND(U189&gt;=130, U189&lt;150), "Handysize", IF(AND(U189&gt;=150, U189&lt;200), "Handymax", IF(AND(U189&gt;=200, U189&lt;230), "Panamax", IF(AND(U189&gt;=230, U189&lt;=270), "Capesize", "Autre")))))</f>
        <v/>
      </c>
      <c r="X189" s="111">
        <f>IF(E189&lt;9999,"1",IF(E189&lt;19999,"2",IF(E189&lt;29999,"3",IF(E189&lt;39999,"4",IF(E189&lt;49999,"5",IF(E189&gt;50000,"6"))))))</f>
        <v/>
      </c>
      <c r="Y189" s="115" t="inlineStr">
        <is>
          <t>2TER</t>
        </is>
      </c>
      <c r="AA189" s="151" t="n"/>
      <c r="AB189" s="151" t="n"/>
      <c r="AC189" s="151" t="n"/>
      <c r="AD189" s="151" t="n"/>
      <c r="AE189" s="151" t="n"/>
      <c r="AF189" s="151" t="n"/>
      <c r="AG189" s="151" t="n"/>
      <c r="AH189" s="151" t="n"/>
      <c r="AI189" s="151" t="n"/>
      <c r="AJ189" s="151" t="n"/>
      <c r="AK189" s="151" t="n"/>
      <c r="AL189" s="151" t="n"/>
      <c r="AM189" s="151" t="n"/>
      <c r="AN189" s="151" t="n"/>
      <c r="AO189" s="151" t="n"/>
      <c r="AP189" s="151" t="n"/>
      <c r="AQ189" s="151" t="n"/>
      <c r="AR189" s="151" t="n"/>
      <c r="AS189" s="151" t="n"/>
      <c r="AT189" s="151" t="n"/>
      <c r="AU189" s="151" t="n"/>
      <c r="AV189" s="151" t="n"/>
      <c r="AW189" s="151" t="n"/>
      <c r="AX189" s="151" t="n"/>
      <c r="AY189" s="151" t="n"/>
      <c r="AZ189" s="151" t="n"/>
      <c r="BA189" s="151" t="n"/>
      <c r="BB189" s="151" t="n"/>
      <c r="BC189" s="151" t="n"/>
      <c r="BD189" s="151" t="n"/>
      <c r="BE189" s="151" t="n"/>
      <c r="BF189" s="151" t="n"/>
      <c r="BG189" s="98" t="n"/>
      <c r="BH189" s="98" t="n"/>
      <c r="BI189" s="98" t="n"/>
      <c r="BJ189" s="98" t="n"/>
      <c r="BK189" s="98" t="n"/>
      <c r="BL189" s="98" t="n"/>
      <c r="BM189" s="98" t="n"/>
      <c r="BN189" s="98" t="n"/>
      <c r="BO189" s="98" t="n"/>
      <c r="BP189" s="98" t="n"/>
      <c r="BQ189" s="98" t="n"/>
      <c r="BR189" s="98" t="n"/>
      <c r="BS189" s="127" t="inlineStr">
        <is>
          <t>CHANGE DU POSTE 1TER VERS LA RADE LE 28/03- 1637 // RE-ACCOSTAGEAU POSTE 5 LE 02/04 - 2005// CHANGE DU POSTE 5 AU POSTE 2N LE 03/04 - 0820 // CHANGE DU POSTE 2N VERS 2BIS LE 10/04- 1327</t>
        </is>
      </c>
      <c r="BT189" s="125" t="n">
        <v>4</v>
      </c>
      <c r="BW189" s="323">
        <f>AI189-AH189</f>
        <v/>
      </c>
      <c r="BX189" s="120" t="inlineStr">
        <is>
          <t>NUL</t>
        </is>
      </c>
      <c r="BY189" s="120" t="inlineStr">
        <is>
          <t>NUL</t>
        </is>
      </c>
      <c r="CB189" s="111" t="n"/>
    </row>
    <row r="190" customFormat="1" s="230">
      <c r="A190" s="112" t="n">
        <v>131</v>
      </c>
      <c r="B190" s="342" t="inlineStr">
        <is>
          <t>HALIT BEY</t>
        </is>
      </c>
      <c r="C190" s="108" t="n">
        <v>45759</v>
      </c>
      <c r="D190" s="318" t="n">
        <v>11515</v>
      </c>
      <c r="E190" s="318" t="n">
        <v>11515</v>
      </c>
      <c r="F190" s="141" t="inlineStr">
        <is>
          <t>JFC5</t>
        </is>
      </c>
      <c r="G190" s="112" t="n">
        <v>1</v>
      </c>
      <c r="H190" s="115" t="inlineStr">
        <is>
          <t>MAP</t>
        </is>
      </c>
      <c r="I190" s="114" t="inlineStr">
        <is>
          <t xml:space="preserve">MAP 11 52 Special </t>
        </is>
      </c>
      <c r="J190" s="115" t="inlineStr">
        <is>
          <t>FOB</t>
        </is>
      </c>
      <c r="K190" s="82" t="n">
        <v>610</v>
      </c>
      <c r="L190" s="341">
        <f>D190*K190</f>
        <v/>
      </c>
      <c r="M190" s="14" t="n">
        <v>9.2788</v>
      </c>
      <c r="N190" s="335">
        <f>L190*M190</f>
        <v/>
      </c>
      <c r="O190" s="16" t="inlineStr">
        <is>
          <t>377 S DU 26/03/2025</t>
        </is>
      </c>
      <c r="P190" s="16" t="inlineStr">
        <is>
          <t>CARRINHO AGRI (SU) LDA</t>
        </is>
      </c>
      <c r="Q190" s="113" t="inlineStr">
        <is>
          <t>AFRIQUE</t>
        </is>
      </c>
      <c r="R190" s="113" t="inlineStr">
        <is>
          <t>ANGOLA</t>
        </is>
      </c>
      <c r="S190" s="233" t="n"/>
      <c r="T190" s="115" t="inlineStr">
        <is>
          <t>INSPECTORATE</t>
        </is>
      </c>
      <c r="U190" s="112" t="n">
        <v>104</v>
      </c>
      <c r="V190" s="129">
        <f>IF(U190&lt;130, "Mini Bulker", IF(AND(U190&gt;=130, U190&lt;150), "Handysize", IF(AND(U190&gt;=150, U190&lt;200), "Handymax", IF(AND(U190&gt;=200, U190&lt;230), "Panamax", IF(AND(U190&gt;=230, U190&lt;=270), "Capesize", "Autre")))))</f>
        <v/>
      </c>
      <c r="X190" s="111">
        <f>IF(E190&lt;9999,"1",IF(E190&lt;19999,"2",IF(E190&lt;29999,"3",IF(E190&lt;39999,"4",IF(E190&lt;49999,"5",IF(E190&gt;50000,"6"))))))</f>
        <v/>
      </c>
      <c r="Y190" s="115" t="inlineStr">
        <is>
          <t>2TER</t>
        </is>
      </c>
      <c r="AA190" s="96" t="n">
        <v>45757.33333333334</v>
      </c>
      <c r="AB190" s="96" t="n">
        <v>45757.375</v>
      </c>
      <c r="AC190" s="108" t="n">
        <v>45760</v>
      </c>
      <c r="AD190" s="108" t="n">
        <v>45764</v>
      </c>
      <c r="AE190" s="96" t="n">
        <v>45756.95138888889</v>
      </c>
      <c r="AF190" s="96" t="n">
        <v>45757.82916666667</v>
      </c>
      <c r="AG190" s="96" t="n">
        <v>45757.91319444445</v>
      </c>
      <c r="AH190" s="96" t="n">
        <v>45757.94097222222</v>
      </c>
      <c r="AI190" s="96" t="n">
        <v>45757.99305555555</v>
      </c>
      <c r="AJ190" s="96" t="n">
        <v>45758.39583333334</v>
      </c>
      <c r="AK190" s="96" t="n">
        <v>45759.89236111111</v>
      </c>
      <c r="AL190" s="96" t="n">
        <v>45759.93402777778</v>
      </c>
      <c r="AM190" s="96" t="n">
        <v>45759.94305555556</v>
      </c>
      <c r="AN190" s="96" t="n">
        <v>45759.98472222222</v>
      </c>
      <c r="AO190" s="96" t="n">
        <v>45759.99444444444</v>
      </c>
      <c r="AP190" s="117">
        <f>(AG190-AF190)*1440</f>
        <v/>
      </c>
      <c r="AQ190" s="117">
        <f>(AG190-AE190)*1440</f>
        <v/>
      </c>
      <c r="AR190" s="117">
        <f>(AH190-AF190)*1440</f>
        <v/>
      </c>
      <c r="AS190" s="117">
        <f>(AI190-AH190)*1440</f>
        <v/>
      </c>
      <c r="AT190" s="117">
        <f>(AJ190-AH190)*1440</f>
        <v/>
      </c>
      <c r="AU190" s="117">
        <f>(AL190-AK190)*1440</f>
        <v/>
      </c>
      <c r="AV190" s="117">
        <f>(AM190-AL190)*1440</f>
        <v/>
      </c>
      <c r="AW190" s="117">
        <f>(AO190-AM190)*1440</f>
        <v/>
      </c>
      <c r="AX190" s="118">
        <f>AP190+AS190+AU190+AV190+AW190</f>
        <v/>
      </c>
      <c r="AY190" s="119">
        <f>(AG190-AA190)</f>
        <v/>
      </c>
      <c r="AZ190" s="119">
        <f>(AK190-AJ190)</f>
        <v/>
      </c>
      <c r="BA190" s="119">
        <f>AO190-AG190</f>
        <v/>
      </c>
      <c r="BB190" s="119">
        <f>(AO190-AA190)-(AP190/1440)-(AW190/1440)</f>
        <v/>
      </c>
      <c r="BC190" s="117">
        <f>E190/AZ190</f>
        <v/>
      </c>
      <c r="BE190" s="117">
        <f>IF(E190&lt;10000,3000,IF(E190&lt;15000,3600,IF(E190&lt;20000,4500,IF(E190&lt;25000,6000,IF(E190&lt;30000,7500,IF(E190&lt;40000,9000,IF(E190&gt;40000,10000)))))))</f>
        <v/>
      </c>
      <c r="BF190" s="322">
        <f>(E190/BE190)+2</f>
        <v/>
      </c>
      <c r="BS190" s="127" t="inlineStr">
        <is>
          <t>NUL</t>
        </is>
      </c>
      <c r="BT190" s="125" t="n">
        <v>0</v>
      </c>
      <c r="BU190" s="120" t="inlineStr">
        <is>
          <t>CLEAN</t>
        </is>
      </c>
      <c r="BV190" s="238" t="inlineStr">
        <is>
          <t>-</t>
        </is>
      </c>
      <c r="BW190" s="323">
        <f>AI190-AH190</f>
        <v/>
      </c>
      <c r="BX190" s="120" t="inlineStr">
        <is>
          <t>NUL</t>
        </is>
      </c>
      <c r="BY190" s="120" t="inlineStr">
        <is>
          <t>NUL</t>
        </is>
      </c>
      <c r="CB190" s="111" t="n">
        <v>7727</v>
      </c>
    </row>
    <row r="191" ht="14.55" customFormat="1" customHeight="1" s="230">
      <c r="A191" s="112" t="n">
        <v>133</v>
      </c>
      <c r="B191" s="342" t="inlineStr">
        <is>
          <t>ARKLOW VIEW</t>
        </is>
      </c>
      <c r="C191" s="108" t="n">
        <v>45760</v>
      </c>
      <c r="D191" s="318" t="n">
        <v>4423</v>
      </c>
      <c r="E191" s="318" t="n">
        <v>4423</v>
      </c>
      <c r="F191" s="141" t="inlineStr">
        <is>
          <t>OCP NUTRI</t>
        </is>
      </c>
      <c r="G191" s="112" t="n">
        <v>1</v>
      </c>
      <c r="H191" s="115" t="inlineStr">
        <is>
          <t>DAP</t>
        </is>
      </c>
      <c r="I191" s="114" t="inlineStr">
        <is>
          <t xml:space="preserve">DAP Euro Low Cd Low Moisture </t>
        </is>
      </c>
      <c r="J191" s="115" t="inlineStr">
        <is>
          <t>CFR</t>
        </is>
      </c>
      <c r="K191" s="82" t="n">
        <v>678</v>
      </c>
      <c r="L191" s="341">
        <f>D191*K191</f>
        <v/>
      </c>
      <c r="M191" s="14" t="n">
        <v>9.2788</v>
      </c>
      <c r="N191" s="335">
        <f>L191*M191</f>
        <v/>
      </c>
      <c r="O191" s="16" t="inlineStr">
        <is>
          <t>377 S DU 26/03/2025</t>
        </is>
      </c>
      <c r="P191" s="16" t="inlineStr">
        <is>
          <t>TARGET FERTILISERS LIMITED</t>
        </is>
      </c>
      <c r="Q191" s="113" t="inlineStr">
        <is>
          <t>EUROPE</t>
        </is>
      </c>
      <c r="R191" s="113" t="inlineStr">
        <is>
          <t xml:space="preserve">Ireland </t>
        </is>
      </c>
      <c r="S191" s="113" t="n"/>
      <c r="T191" s="115" t="inlineStr">
        <is>
          <t>INTERTEK</t>
        </is>
      </c>
      <c r="U191" s="112" t="n">
        <v>87</v>
      </c>
      <c r="V191" s="129">
        <f>IF(U191&lt;130, "Mini Bulker", IF(AND(U191&gt;=130, U191&lt;150), "Handysize", IF(AND(U191&gt;=150, U191&lt;200), "Handymax", IF(AND(U191&gt;=200, U191&lt;230), "Panamax", IF(AND(U191&gt;=230, U191&lt;=270), "Capesize", "Autre")))))</f>
        <v/>
      </c>
      <c r="X191" s="111">
        <f>IF(E191&lt;9999,"1",IF(E191&lt;19999,"2",IF(E191&lt;29999,"3",IF(E191&lt;39999,"4",IF(E191&lt;49999,"5",IF(E191&gt;50000,"6"))))))</f>
        <v/>
      </c>
      <c r="Y191" s="115" t="inlineStr">
        <is>
          <t>2BIS/2N/2TER</t>
        </is>
      </c>
      <c r="AA191" s="96" t="n">
        <v>45754.40625</v>
      </c>
      <c r="AB191" s="96" t="n">
        <v>45754.40625</v>
      </c>
      <c r="AC191" s="108" t="n">
        <v>45752</v>
      </c>
      <c r="AD191" s="108" t="n">
        <v>45754</v>
      </c>
      <c r="AE191" s="96" t="n">
        <v>45754.38541666666</v>
      </c>
      <c r="AF191" s="96" t="n">
        <v>45756.79444444444</v>
      </c>
      <c r="AG191" s="96" t="n">
        <v>45756.86805555555</v>
      </c>
      <c r="AH191" s="96" t="n">
        <v>45756.90277777778</v>
      </c>
      <c r="AI191" s="96" t="n">
        <v>45756.98263888889</v>
      </c>
      <c r="AJ191" s="96" t="n">
        <v>45760.44791666666</v>
      </c>
      <c r="AK191" s="96" t="n">
        <v>45760.84027777778</v>
      </c>
      <c r="AL191" s="96" t="n">
        <v>45760.91319444445</v>
      </c>
      <c r="AM191" s="96" t="n">
        <v>45760.98611111111</v>
      </c>
      <c r="AN191" s="96" t="n">
        <v>45761.03194444445</v>
      </c>
      <c r="AO191" s="96" t="n">
        <v>45761.03472222222</v>
      </c>
      <c r="AP191" s="117">
        <f>(AG191-AF191)*1440</f>
        <v/>
      </c>
      <c r="AQ191" s="117">
        <f>(AG191-AE191)*1440</f>
        <v/>
      </c>
      <c r="AR191" s="117">
        <f>(AH191-AF191)*1440</f>
        <v/>
      </c>
      <c r="AS191" s="117">
        <f>(AI191-AH191)*1440</f>
        <v/>
      </c>
      <c r="AT191" s="117">
        <f>(AJ191-AH191)*1440</f>
        <v/>
      </c>
      <c r="AU191" s="117">
        <f>(AL191-AK191)*1440</f>
        <v/>
      </c>
      <c r="AV191" s="117">
        <f>(AM191-AL191)*1440</f>
        <v/>
      </c>
      <c r="AW191" s="117">
        <f>(AO191-AM191)*1440</f>
        <v/>
      </c>
      <c r="AX191" s="118">
        <f>AP191+AS191+AU191+AV191+AW191</f>
        <v/>
      </c>
      <c r="AY191" s="119">
        <f>(AG191-AA191)</f>
        <v/>
      </c>
      <c r="AZ191" s="119">
        <f>(AK191-AJ191)</f>
        <v/>
      </c>
      <c r="BA191" s="119">
        <f>AO191-AG191</f>
        <v/>
      </c>
      <c r="BB191" s="119">
        <f>(AO191-AA191)-(AP191/1440)-(AW191/1440)</f>
        <v/>
      </c>
      <c r="BC191" s="117">
        <f>E191/AZ191</f>
        <v/>
      </c>
      <c r="BE191" s="117">
        <f>IF(E191&lt;10000,3000,IF(E191&lt;15000,3600,IF(E191&lt;20000,4500,IF(E191&lt;25000,6000,IF(E191&lt;30000,7500,IF(E191&lt;40000,9000,IF(E191&gt;40000,10000)))))))</f>
        <v/>
      </c>
      <c r="BF191" s="322">
        <f>(E191/BE191)+2</f>
        <v/>
      </c>
      <c r="BS191" s="127" t="inlineStr">
        <is>
          <t>CHANGE DU POSTE 2BIS VERS 2N LE 
10/04- 1355 // CHANGE DU POSTE 2N VERS LE POSTE 2TER LE 13/04- 0031</t>
        </is>
      </c>
      <c r="BT191" s="125" t="n">
        <v>2</v>
      </c>
      <c r="BV191" s="239" t="n"/>
      <c r="BW191" s="323">
        <f>AI191-AH191</f>
        <v/>
      </c>
      <c r="BX191" s="120" t="inlineStr">
        <is>
          <t>NUL</t>
        </is>
      </c>
      <c r="BY191" s="120" t="inlineStr">
        <is>
          <t>NUL</t>
        </is>
      </c>
      <c r="CB191" s="111" t="n">
        <v>2999</v>
      </c>
    </row>
    <row r="192" ht="14.55" customFormat="1" customHeight="1" s="230">
      <c r="A192" s="112" t="n">
        <v>132</v>
      </c>
      <c r="B192" s="342" t="inlineStr">
        <is>
          <t>OHIRAYAMA</t>
        </is>
      </c>
      <c r="C192" s="108" t="n">
        <v>45760</v>
      </c>
      <c r="D192" s="318" t="n">
        <v>27500</v>
      </c>
      <c r="E192" s="324">
        <f>D193+D192</f>
        <v/>
      </c>
      <c r="F192" s="141" t="inlineStr">
        <is>
          <t>OCP NUTRI</t>
        </is>
      </c>
      <c r="G192" s="112" t="n">
        <v>2</v>
      </c>
      <c r="H192" s="115" t="inlineStr">
        <is>
          <t>MAP</t>
        </is>
      </c>
      <c r="I192" s="114" t="inlineStr">
        <is>
          <t xml:space="preserve">MAP 11 52 SPECIAL </t>
        </is>
      </c>
      <c r="J192" s="115" t="inlineStr">
        <is>
          <t>CFR</t>
        </is>
      </c>
      <c r="K192" s="82" t="n">
        <v>624.29</v>
      </c>
      <c r="L192" s="341">
        <f>D192*K192</f>
        <v/>
      </c>
      <c r="M192" s="14" t="n">
        <v>9.2788</v>
      </c>
      <c r="N192" s="335">
        <f>L192*M192</f>
        <v/>
      </c>
      <c r="O192" s="16" t="inlineStr">
        <is>
          <t>386 B DU 26/03/2025</t>
        </is>
      </c>
      <c r="P192" s="16" t="inlineStr">
        <is>
          <t>OCP Fertilizantes LTDA</t>
        </is>
      </c>
      <c r="Q192" s="113" t="inlineStr">
        <is>
          <t>AMERIQUE LATINE</t>
        </is>
      </c>
      <c r="R192" s="113" t="inlineStr">
        <is>
          <t xml:space="preserve">BRAZIL </t>
        </is>
      </c>
      <c r="S192" s="113" t="n"/>
      <c r="T192" s="115" t="inlineStr">
        <is>
          <t>INSPECTORATE</t>
        </is>
      </c>
      <c r="U192" s="112" t="n">
        <v>183</v>
      </c>
      <c r="V192" s="129">
        <f>IF(U192&lt;130, "Mini Bulker", IF(AND(U192&gt;=130, U192&lt;150), "Handysize", IF(AND(U192&gt;=150, U192&lt;200), "Handymax", IF(AND(U192&gt;=200, U192&lt;230), "Panamax", IF(AND(U192&gt;=230, U192&lt;=270), "Capesize", "Autre")))))</f>
        <v/>
      </c>
      <c r="X192" s="111">
        <f>IF(E192&lt;9999,"1",IF(E192&lt;19999,"2",IF(E192&lt;29999,"3",IF(E192&lt;39999,"4",IF(E192&lt;49999,"5",IF(E192&gt;50000,"6"))))))</f>
        <v/>
      </c>
      <c r="Y192" s="115" t="inlineStr">
        <is>
          <t>2BIS/1N</t>
        </is>
      </c>
      <c r="AA192" s="121" t="n">
        <v>45754.72916666666</v>
      </c>
      <c r="AB192" s="121" t="n">
        <v>45755.375</v>
      </c>
      <c r="AC192" s="108" t="n">
        <v>45752</v>
      </c>
      <c r="AD192" s="108" t="n">
        <v>45754</v>
      </c>
      <c r="AE192" s="121" t="n">
        <v>45754.72916666666</v>
      </c>
      <c r="AF192" s="121" t="n">
        <v>45754.93402777778</v>
      </c>
      <c r="AG192" s="121" t="n">
        <v>45755.04166666666</v>
      </c>
      <c r="AH192" s="121" t="n">
        <v>45755.0625</v>
      </c>
      <c r="AI192" s="121" t="n">
        <v>45755.13541666666</v>
      </c>
      <c r="AJ192" s="121" t="n">
        <v>45755.1875</v>
      </c>
      <c r="AK192" s="121" t="n">
        <v>45760.8125</v>
      </c>
      <c r="AL192" s="121" t="n">
        <v>45760.85416666666</v>
      </c>
      <c r="AM192" s="121" t="n">
        <v>45760.86805555555</v>
      </c>
      <c r="AN192" s="121" t="n">
        <v>45760.91527777778</v>
      </c>
      <c r="AO192" s="121" t="n">
        <v>45760.94027777778</v>
      </c>
      <c r="AP192" s="117">
        <f>(AG192-AF192)*1440</f>
        <v/>
      </c>
      <c r="AQ192" s="117">
        <f>(AG192-AE192)*1440</f>
        <v/>
      </c>
      <c r="AR192" s="117">
        <f>(AH192-AF192)*1440</f>
        <v/>
      </c>
      <c r="AS192" s="117">
        <f>(AI192-AH192)*1440</f>
        <v/>
      </c>
      <c r="AT192" s="117">
        <f>(AJ192-AH192)*1440</f>
        <v/>
      </c>
      <c r="AU192" s="117">
        <f>(AL192-AK192)*1440</f>
        <v/>
      </c>
      <c r="AV192" s="117">
        <f>(AM192-AL192)*1440</f>
        <v/>
      </c>
      <c r="AW192" s="117">
        <f>(AO192-AM192)*1440</f>
        <v/>
      </c>
      <c r="AX192" s="118">
        <f>AP192+AS192+AU192+AV192+AW192</f>
        <v/>
      </c>
      <c r="AY192" s="119">
        <f>(AG192-AA192)</f>
        <v/>
      </c>
      <c r="AZ192" s="119">
        <f>(AK192-AJ192)</f>
        <v/>
      </c>
      <c r="BA192" s="119">
        <f>AO192-AG192</f>
        <v/>
      </c>
      <c r="BB192" s="119">
        <f>(AO192-AA192)-(AP192/1440)-(AW192/1440)</f>
        <v/>
      </c>
      <c r="BC192" s="117">
        <f>E192/AZ192</f>
        <v/>
      </c>
      <c r="BD192" s="225" t="n"/>
      <c r="BE192" s="117">
        <f>IF(E192&lt;10000,3000,IF(E192&lt;15000,3600,IF(E192&lt;20000,4500,IF(E192&lt;25000,6000,IF(E192&lt;30000,7500,IF(E192&lt;40000,9000,IF(E192&gt;40000,10000)))))))</f>
        <v/>
      </c>
      <c r="BF192" s="322">
        <f>(E192/BE192)+2</f>
        <v/>
      </c>
      <c r="BG192" s="208" t="n"/>
      <c r="BH192" s="208" t="n"/>
      <c r="BI192" s="208" t="n"/>
      <c r="BJ192" s="208" t="n"/>
      <c r="BK192" s="208" t="n"/>
      <c r="BL192" s="208" t="n"/>
      <c r="BM192" s="208" t="n"/>
      <c r="BN192" s="208" t="n"/>
      <c r="BO192" s="208" t="n"/>
      <c r="BP192" s="208" t="n"/>
      <c r="BQ192" s="208" t="n"/>
      <c r="BR192" s="208" t="n"/>
      <c r="BS192" s="127" t="inlineStr">
        <is>
          <t>CHANGE DU POSTE 2BIS VERS POSTE 1N LE 09/04- 2045</t>
        </is>
      </c>
      <c r="BT192" s="125" t="n">
        <v>1</v>
      </c>
      <c r="BV192" s="239" t="n"/>
      <c r="BW192" s="323">
        <f>AI192-AH192</f>
        <v/>
      </c>
      <c r="BX192" s="120" t="inlineStr">
        <is>
          <t>NUL</t>
        </is>
      </c>
      <c r="BY192" s="120" t="inlineStr">
        <is>
          <t>NUL</t>
        </is>
      </c>
      <c r="CB192" s="111" t="n">
        <v>25006</v>
      </c>
    </row>
    <row r="193" customFormat="1" s="230">
      <c r="A193" s="112" t="n"/>
      <c r="B193" s="342" t="inlineStr">
        <is>
          <t>OHIRAYAMA</t>
        </is>
      </c>
      <c r="C193" s="108" t="n">
        <v>45760</v>
      </c>
      <c r="D193" s="318" t="n">
        <v>8800</v>
      </c>
      <c r="E193" s="325" t="n"/>
      <c r="F193" s="141" t="inlineStr">
        <is>
          <t>JFC5</t>
        </is>
      </c>
      <c r="G193" s="112" t="n">
        <v>2</v>
      </c>
      <c r="H193" s="115" t="inlineStr">
        <is>
          <t>TSP</t>
        </is>
      </c>
      <c r="I193" s="114" t="inlineStr">
        <is>
          <t xml:space="preserve">TSP SPECIAL JORF </t>
        </is>
      </c>
      <c r="J193" s="115" t="inlineStr">
        <is>
          <t>CFR</t>
        </is>
      </c>
      <c r="K193" s="82" t="n">
        <v>485</v>
      </c>
      <c r="L193" s="341">
        <f>D193*K193</f>
        <v/>
      </c>
      <c r="M193" s="14" t="n">
        <v>9.2788</v>
      </c>
      <c r="N193" s="335">
        <f>L193*M193</f>
        <v/>
      </c>
      <c r="O193" s="16" t="inlineStr">
        <is>
          <t>377 S DU 26/03/2025</t>
        </is>
      </c>
      <c r="P193" s="16" t="inlineStr">
        <is>
          <t>OCP Fertilizantes LTDA</t>
        </is>
      </c>
      <c r="Q193" s="113" t="inlineStr">
        <is>
          <t>AMERIQUE LATINE</t>
        </is>
      </c>
      <c r="R193" s="113" t="inlineStr">
        <is>
          <t xml:space="preserve">BRAZIL </t>
        </is>
      </c>
      <c r="S193" s="113" t="n"/>
      <c r="T193" s="113" t="inlineStr">
        <is>
          <t>INSPECTORATE</t>
        </is>
      </c>
      <c r="U193" s="112" t="n">
        <v>183</v>
      </c>
      <c r="V193" s="129">
        <f>IF(U193&lt;130, "Mini Bulker", IF(AND(U193&gt;=130, U193&lt;150), "Handysize", IF(AND(U193&gt;=150, U193&lt;200), "Handymax", IF(AND(U193&gt;=200, U193&lt;230), "Panamax", IF(AND(U193&gt;=230, U193&lt;=270), "Capesize", "Autre")))))</f>
        <v/>
      </c>
      <c r="X193" s="111">
        <f>IF(E193&lt;9999,"1",IF(E193&lt;19999,"2",IF(E193&lt;29999,"3",IF(E193&lt;39999,"4",IF(E193&lt;49999,"5",IF(E193&gt;50000,"6"))))))</f>
        <v/>
      </c>
      <c r="Y193" s="115" t="inlineStr">
        <is>
          <t>2BIS/1N</t>
        </is>
      </c>
      <c r="AA193" s="217" t="n"/>
      <c r="AB193" s="217" t="n"/>
      <c r="AC193" s="151" t="n"/>
      <c r="AD193" s="151" t="n"/>
      <c r="AE193" s="217" t="n"/>
      <c r="AF193" s="217" t="n"/>
      <c r="AG193" s="217" t="n"/>
      <c r="AH193" s="217" t="n"/>
      <c r="AI193" s="217" t="n"/>
      <c r="AJ193" s="217" t="n"/>
      <c r="AK193" s="217" t="n"/>
      <c r="AL193" s="217" t="n"/>
      <c r="AM193" s="217" t="n"/>
      <c r="AN193" s="217" t="n"/>
      <c r="AO193" s="217" t="n"/>
      <c r="AP193" s="151" t="n"/>
      <c r="AQ193" s="151" t="n"/>
      <c r="AR193" s="151" t="n"/>
      <c r="AS193" s="151" t="n"/>
      <c r="AT193" s="151" t="n"/>
      <c r="AU193" s="151" t="n"/>
      <c r="AV193" s="151" t="n"/>
      <c r="AW193" s="151" t="n"/>
      <c r="AX193" s="151" t="n"/>
      <c r="AY193" s="151" t="n"/>
      <c r="AZ193" s="151" t="n"/>
      <c r="BA193" s="151" t="n"/>
      <c r="BB193" s="151" t="n"/>
      <c r="BC193" s="151" t="n"/>
      <c r="BD193" s="224" t="n"/>
      <c r="BE193" s="151" t="n"/>
      <c r="BF193" s="151" t="n"/>
      <c r="BG193" s="220" t="n"/>
      <c r="BH193" s="220" t="n"/>
      <c r="BI193" s="220" t="n"/>
      <c r="BJ193" s="220" t="n"/>
      <c r="BK193" s="220" t="n"/>
      <c r="BL193" s="220" t="n"/>
      <c r="BM193" s="220" t="n"/>
      <c r="BN193" s="220" t="n"/>
      <c r="BO193" s="220" t="n"/>
      <c r="BP193" s="220" t="n"/>
      <c r="BQ193" s="220" t="n"/>
      <c r="BR193" s="220" t="n"/>
      <c r="BS193" s="127" t="inlineStr">
        <is>
          <t>CHANGE DU POSTE 2BIS VERS POSTE 1N LE 09/04- 2046</t>
        </is>
      </c>
      <c r="BT193" s="125" t="n">
        <v>1</v>
      </c>
      <c r="BW193" s="323">
        <f>AI193-AH193</f>
        <v/>
      </c>
      <c r="BX193" s="120" t="inlineStr">
        <is>
          <t>NUL</t>
        </is>
      </c>
      <c r="BY193" s="120" t="inlineStr">
        <is>
          <t>NUL</t>
        </is>
      </c>
      <c r="CB193" s="111" t="n"/>
    </row>
    <row r="194" customFormat="1" s="230">
      <c r="A194" s="112" t="n">
        <v>134</v>
      </c>
      <c r="B194" s="342" t="inlineStr">
        <is>
          <t>CAROLIN G</t>
        </is>
      </c>
      <c r="C194" s="108" t="n">
        <v>45761</v>
      </c>
      <c r="D194" s="318" t="n">
        <v>3300</v>
      </c>
      <c r="E194" s="318" t="n">
        <v>3300</v>
      </c>
      <c r="F194" s="141" t="inlineStr">
        <is>
          <t>OCP NUTRI</t>
        </is>
      </c>
      <c r="G194" s="112" t="n">
        <v>1</v>
      </c>
      <c r="H194" s="115" t="inlineStr">
        <is>
          <t>DAP</t>
        </is>
      </c>
      <c r="I194" s="114" t="inlineStr">
        <is>
          <t xml:space="preserve">DAP Euro Low Cd </t>
        </is>
      </c>
      <c r="J194" s="115" t="inlineStr">
        <is>
          <t>CFR</t>
        </is>
      </c>
      <c r="K194" s="82" t="n">
        <v>678</v>
      </c>
      <c r="L194" s="341">
        <f>D194*K194</f>
        <v/>
      </c>
      <c r="M194" s="14" t="n"/>
      <c r="N194" s="335">
        <f>L194*M194</f>
        <v/>
      </c>
      <c r="O194" s="16" t="n"/>
      <c r="P194" s="16" t="n"/>
      <c r="Q194" s="113" t="inlineStr">
        <is>
          <t>EUROPE</t>
        </is>
      </c>
      <c r="R194" s="113" t="inlineStr">
        <is>
          <t>UK</t>
        </is>
      </c>
      <c r="S194" s="113" t="n"/>
      <c r="T194" s="113" t="inlineStr">
        <is>
          <t>INSPECTORATE</t>
        </is>
      </c>
      <c r="U194" s="112" t="n">
        <v>88</v>
      </c>
      <c r="V194" s="129">
        <f>IF(U194&lt;130, "Mini Bulker", IF(AND(U194&gt;=130, U194&lt;150), "Handysize", IF(AND(U194&gt;=150, U194&lt;200), "Handymax", IF(AND(U194&gt;=200, U194&lt;230), "Panamax", IF(AND(U194&gt;=230, U194&lt;=270), "Capesize", "Autre")))))</f>
        <v/>
      </c>
      <c r="X194" s="111">
        <f>IF(E194&lt;9999,"1",IF(E194&lt;19999,"2",IF(E194&lt;29999,"3",IF(E194&lt;39999,"4",IF(E194&lt;49999,"5",IF(E194&gt;50000,"6"))))))</f>
        <v/>
      </c>
      <c r="Y194" s="115" t="inlineStr">
        <is>
          <t>2N</t>
        </is>
      </c>
      <c r="AA194" s="96" t="n">
        <v>45759.125</v>
      </c>
      <c r="AB194" s="96" t="n">
        <v>45759.375</v>
      </c>
      <c r="AC194" s="108" t="n">
        <v>45752</v>
      </c>
      <c r="AD194" s="108" t="n">
        <v>45754</v>
      </c>
      <c r="AE194" s="96" t="n">
        <v>45758.6875</v>
      </c>
      <c r="AF194" s="96" t="n">
        <v>45760.02152777778</v>
      </c>
      <c r="AG194" s="96" t="n">
        <v>45760.04166666666</v>
      </c>
      <c r="AH194" s="96" t="n">
        <v>45760.04861111111</v>
      </c>
      <c r="AI194" s="96" t="n">
        <v>45760.10416666666</v>
      </c>
      <c r="AJ194" s="96" t="n">
        <v>45760.97916666666</v>
      </c>
      <c r="AK194" s="96" t="n">
        <v>45761.65277777778</v>
      </c>
      <c r="AL194" s="96" t="n">
        <v>45761.6875</v>
      </c>
      <c r="AM194" s="96" t="n">
        <v>45761.71180555555</v>
      </c>
      <c r="AN194" s="96" t="n">
        <v>45761.73680555556</v>
      </c>
      <c r="AO194" s="96" t="n">
        <v>45761.75486111111</v>
      </c>
      <c r="AP194" s="117">
        <f>(AG194-AF194)*1440</f>
        <v/>
      </c>
      <c r="AQ194" s="117">
        <f>(AG194-AE194)*1440</f>
        <v/>
      </c>
      <c r="AR194" s="117">
        <f>(AH194-AF194)*1440</f>
        <v/>
      </c>
      <c r="AS194" s="117">
        <f>(AI194-AH194)*1440</f>
        <v/>
      </c>
      <c r="AT194" s="117">
        <f>(AJ194-AH194)*1440</f>
        <v/>
      </c>
      <c r="AU194" s="117">
        <f>(AL194-AK194)*1440</f>
        <v/>
      </c>
      <c r="AV194" s="117">
        <f>(AM194-AL194)*1440</f>
        <v/>
      </c>
      <c r="AW194" s="117">
        <f>(AO194-AM194)*1440</f>
        <v/>
      </c>
      <c r="AX194" s="118">
        <f>AP194+AS194+AU194+AV194+AW194</f>
        <v/>
      </c>
      <c r="AY194" s="119">
        <f>(AG194-AA194)</f>
        <v/>
      </c>
      <c r="AZ194" s="119">
        <f>(AK194-AJ194)</f>
        <v/>
      </c>
      <c r="BA194" s="119">
        <f>AO194-AG194</f>
        <v/>
      </c>
      <c r="BB194" s="119">
        <f>(AO194-AA194)-(AP194/1440)-(AW194/1440)</f>
        <v/>
      </c>
      <c r="BC194" s="117">
        <f>E194/AZ194</f>
        <v/>
      </c>
      <c r="BE194" s="117">
        <f>IF(E194&lt;10000,3000,IF(E194&lt;15000,3600,IF(E194&lt;20000,4500,IF(E194&lt;25000,6000,IF(E194&lt;30000,7500,IF(E194&lt;40000,9000,IF(E194&gt;40000,10000)))))))</f>
        <v/>
      </c>
      <c r="BF194" s="322">
        <f>(E194/BE194)+2</f>
        <v/>
      </c>
      <c r="BS194" s="127" t="inlineStr">
        <is>
          <t>NUL</t>
        </is>
      </c>
      <c r="BT194" s="125" t="n">
        <v>0</v>
      </c>
      <c r="BU194" s="120" t="inlineStr">
        <is>
          <t>CLEAN</t>
        </is>
      </c>
      <c r="BV194" s="238" t="inlineStr">
        <is>
          <t>-</t>
        </is>
      </c>
      <c r="BW194" s="323">
        <f>AI194-AH194</f>
        <v/>
      </c>
      <c r="BX194" s="120" t="inlineStr">
        <is>
          <t>NUL</t>
        </is>
      </c>
      <c r="BY194" s="120" t="inlineStr">
        <is>
          <t>NUL</t>
        </is>
      </c>
      <c r="CB194" s="111" t="n">
        <v>2545</v>
      </c>
    </row>
    <row r="195" ht="14.55" customFormat="1" customHeight="1" s="230">
      <c r="A195" s="112" t="n">
        <v>135</v>
      </c>
      <c r="B195" s="342" t="inlineStr">
        <is>
          <t>AMITY</t>
        </is>
      </c>
      <c r="C195" s="108" t="n">
        <v>45762</v>
      </c>
      <c r="D195" s="318" t="n">
        <v>18700</v>
      </c>
      <c r="E195" s="324">
        <f>D196+D195</f>
        <v/>
      </c>
      <c r="F195" s="141" t="inlineStr">
        <is>
          <t>OCP NUTRI</t>
        </is>
      </c>
      <c r="G195" s="112" t="n">
        <v>2</v>
      </c>
      <c r="H195" s="115" t="inlineStr">
        <is>
          <t>NPK</t>
        </is>
      </c>
      <c r="I195" s="114" t="inlineStr">
        <is>
          <t xml:space="preserve">NPK 15 15 15 SPECIAL </t>
        </is>
      </c>
      <c r="J195" s="115" t="inlineStr">
        <is>
          <t>CFR</t>
        </is>
      </c>
      <c r="K195" s="82" t="n">
        <v>435</v>
      </c>
      <c r="L195" s="341">
        <f>D195*K195</f>
        <v/>
      </c>
      <c r="M195" s="14" t="n"/>
      <c r="N195" s="335">
        <f>L195*M195</f>
        <v/>
      </c>
      <c r="O195" s="16" t="n"/>
      <c r="P195" s="16" t="n"/>
      <c r="Q195" s="113" t="inlineStr">
        <is>
          <t>AFRIQUE</t>
        </is>
      </c>
      <c r="R195" s="113" t="inlineStr">
        <is>
          <t>TOGO / COTE D'IVOIRE</t>
        </is>
      </c>
      <c r="S195" s="113" t="n"/>
      <c r="T195" s="113" t="inlineStr">
        <is>
          <t>INSPECTORATE</t>
        </is>
      </c>
      <c r="U195" s="112" t="n">
        <v>177</v>
      </c>
      <c r="V195" s="129">
        <f>IF(U195&lt;130, "Mini Bulker", IF(AND(U195&gt;=130, U195&lt;150), "Handysize", IF(AND(U195&gt;=150, U195&lt;200), "Handymax", IF(AND(U195&gt;=200, U195&lt;230), "Panamax", IF(AND(U195&gt;=230, U195&lt;=270), "Capesize", "Autre")))))</f>
        <v/>
      </c>
      <c r="X195" s="111">
        <f>IF(E195&lt;9999,"1",IF(E195&lt;19999,"2",IF(E195&lt;29999,"3",IF(E195&lt;39999,"4",IF(E195&lt;49999,"5",IF(E195&gt;50000,"6"))))))</f>
        <v/>
      </c>
      <c r="Y195" s="115" t="inlineStr">
        <is>
          <t>1BIS</t>
        </is>
      </c>
      <c r="AF195" s="96" t="n">
        <v>45759.02777777778</v>
      </c>
      <c r="AG195" s="96" t="n">
        <v>45759.15416666667</v>
      </c>
      <c r="AN195" s="96" t="n">
        <v>45762.99513888889</v>
      </c>
      <c r="AO195" s="96" t="n">
        <v>45763.0125</v>
      </c>
      <c r="BC195" s="117">
        <f>E195/AZ195</f>
        <v/>
      </c>
      <c r="BE195" s="117">
        <f>IF(E195&lt;10000,3000,IF(E195&lt;15000,3600,IF(E195&lt;20000,4500,IF(E195&lt;25000,6000,IF(E195&lt;30000,7500,IF(E195&lt;40000,9000,IF(E195&gt;40000,10000)))))))</f>
        <v/>
      </c>
      <c r="BF195" s="322">
        <f>(E195/BE195)+2</f>
        <v/>
      </c>
      <c r="BS195" s="127" t="inlineStr">
        <is>
          <t>NUL</t>
        </is>
      </c>
      <c r="BT195" s="125" t="n">
        <v>0</v>
      </c>
      <c r="BU195" s="120" t="n"/>
      <c r="BV195" s="120" t="n"/>
      <c r="BW195" s="323">
        <f>AI195-AH195</f>
        <v/>
      </c>
      <c r="BX195" s="120" t="inlineStr">
        <is>
          <t>NUL</t>
        </is>
      </c>
      <c r="BY195" s="120" t="inlineStr">
        <is>
          <t>NUL</t>
        </is>
      </c>
      <c r="CB195" s="111" t="n">
        <v>18722</v>
      </c>
    </row>
    <row r="196" ht="14.55" customFormat="1" customHeight="1" s="230">
      <c r="A196" s="112" t="n"/>
      <c r="B196" s="342" t="inlineStr">
        <is>
          <t>AMITY</t>
        </is>
      </c>
      <c r="C196" s="108" t="n">
        <v>45762</v>
      </c>
      <c r="D196" s="318" t="n">
        <v>7000</v>
      </c>
      <c r="E196" s="325" t="n"/>
      <c r="F196" s="141" t="inlineStr">
        <is>
          <t>OCP NUTRI</t>
        </is>
      </c>
      <c r="G196" s="112" t="n">
        <v>2</v>
      </c>
      <c r="H196" s="115" t="inlineStr">
        <is>
          <t>DAP</t>
        </is>
      </c>
      <c r="I196" s="114" t="inlineStr">
        <is>
          <t xml:space="preserve">DAP STANDARD </t>
        </is>
      </c>
      <c r="J196" s="115" t="inlineStr">
        <is>
          <t>CFR</t>
        </is>
      </c>
      <c r="K196" s="82" t="n">
        <v>618.15</v>
      </c>
      <c r="L196" s="341">
        <f>D196*K196</f>
        <v/>
      </c>
      <c r="M196" s="14" t="n"/>
      <c r="N196" s="335">
        <f>L196*M196</f>
        <v/>
      </c>
      <c r="O196" s="16" t="n"/>
      <c r="P196" s="16" t="n"/>
      <c r="Q196" s="113" t="inlineStr">
        <is>
          <t>AFRIQUE</t>
        </is>
      </c>
      <c r="R196" s="113" t="inlineStr">
        <is>
          <t>TOGO / COTE D'IVOIRE</t>
        </is>
      </c>
      <c r="S196" s="113" t="n"/>
      <c r="T196" s="113" t="inlineStr">
        <is>
          <t>INSPECTORATE</t>
        </is>
      </c>
      <c r="U196" s="112" t="n">
        <v>177</v>
      </c>
      <c r="V196" s="129">
        <f>IF(U196&lt;130, "Mini Bulker", IF(AND(U196&gt;=130, U196&lt;150), "Handysize", IF(AND(U196&gt;=150, U196&lt;200), "Handymax", IF(AND(U196&gt;=200, U196&lt;230), "Panamax", IF(AND(U196&gt;=230, U196&lt;=270), "Capesize", "Autre")))))</f>
        <v/>
      </c>
      <c r="X196" s="111">
        <f>IF(E196&lt;9999,"1",IF(E196&lt;19999,"2",IF(E196&lt;29999,"3",IF(E196&lt;39999,"4",IF(E196&lt;49999,"5",IF(E196&gt;50000,"6"))))))</f>
        <v/>
      </c>
      <c r="Y196" s="115" t="inlineStr">
        <is>
          <t>1BIS</t>
        </is>
      </c>
      <c r="AA196" s="151" t="n"/>
      <c r="AB196" s="151" t="n"/>
      <c r="AC196" s="151" t="n"/>
      <c r="AD196" s="151" t="n"/>
      <c r="AE196" s="151" t="n"/>
      <c r="AF196" s="151" t="n"/>
      <c r="AG196" s="151" t="n"/>
      <c r="AH196" s="151" t="n"/>
      <c r="AI196" s="151" t="n"/>
      <c r="AJ196" s="151" t="n"/>
      <c r="AK196" s="151" t="n"/>
      <c r="AL196" s="151" t="n"/>
      <c r="AM196" s="151" t="n"/>
      <c r="AN196" s="151" t="n"/>
      <c r="AO196" s="151" t="n"/>
      <c r="AP196" s="151" t="n"/>
      <c r="AQ196" s="151" t="n"/>
      <c r="AR196" s="151" t="n"/>
      <c r="AS196" s="151" t="n"/>
      <c r="AT196" s="151" t="n"/>
      <c r="AU196" s="151" t="n"/>
      <c r="AV196" s="151" t="n"/>
      <c r="AW196" s="151" t="n"/>
      <c r="AX196" s="151" t="n"/>
      <c r="AY196" s="151" t="n"/>
      <c r="AZ196" s="151" t="n"/>
      <c r="BA196" s="151" t="n"/>
      <c r="BB196" s="151" t="n"/>
      <c r="BC196" s="151" t="n"/>
      <c r="BD196" s="151" t="n"/>
      <c r="BE196" s="151" t="n"/>
      <c r="BF196" s="151" t="n"/>
      <c r="BS196" s="127" t="inlineStr">
        <is>
          <t>NUL</t>
        </is>
      </c>
      <c r="BT196" s="125" t="n">
        <v>0</v>
      </c>
      <c r="BU196" s="120" t="n"/>
      <c r="BV196" s="120" t="n"/>
      <c r="BW196" s="323">
        <f>AI196-AH196</f>
        <v/>
      </c>
      <c r="BX196" s="120" t="inlineStr">
        <is>
          <t>NUL</t>
        </is>
      </c>
      <c r="BY196" s="120" t="inlineStr">
        <is>
          <t>NUL</t>
        </is>
      </c>
      <c r="CB196" s="111" t="n"/>
    </row>
    <row r="197" ht="15" customFormat="1" customHeight="1" s="230">
      <c r="A197" s="112" t="n">
        <v>136</v>
      </c>
      <c r="B197" s="342" t="inlineStr">
        <is>
          <t>CENTURION GORYO</t>
        </is>
      </c>
      <c r="C197" s="108" t="n">
        <v>45763</v>
      </c>
      <c r="D197" s="318" t="n">
        <v>38650</v>
      </c>
      <c r="E197" s="318" t="n">
        <v>38650</v>
      </c>
      <c r="F197" s="141" t="inlineStr">
        <is>
          <t>OCP NUTRI</t>
        </is>
      </c>
      <c r="G197" s="112" t="n">
        <v>1</v>
      </c>
      <c r="H197" s="115" t="inlineStr">
        <is>
          <t>DAP</t>
        </is>
      </c>
      <c r="I197" s="114" t="inlineStr">
        <is>
          <t xml:space="preserve">DAP SPECIAL DARK </t>
        </is>
      </c>
      <c r="J197" s="115" t="inlineStr">
        <is>
          <t>CFR</t>
        </is>
      </c>
      <c r="K197" s="82" t="n">
        <v>655</v>
      </c>
      <c r="L197" s="341">
        <f>D197*K197</f>
        <v/>
      </c>
      <c r="M197" s="14" t="n">
        <v>9.291399999999999</v>
      </c>
      <c r="N197" s="335">
        <f>L197*M197</f>
        <v/>
      </c>
      <c r="O197" s="16" t="inlineStr">
        <is>
          <t>377 S DU 26/03/2025</t>
        </is>
      </c>
      <c r="P197" s="16" t="inlineStr">
        <is>
          <t>OCP North America, Inc</t>
        </is>
      </c>
      <c r="Q197" s="113" t="inlineStr">
        <is>
          <t>EUROPE</t>
        </is>
      </c>
      <c r="R197" s="113" t="inlineStr">
        <is>
          <t>Mexico</t>
        </is>
      </c>
      <c r="S197" s="113" t="n"/>
      <c r="T197" s="113" t="inlineStr">
        <is>
          <t>INSPECTORATE</t>
        </is>
      </c>
      <c r="U197" s="112" t="n">
        <v>183</v>
      </c>
      <c r="V197" s="129">
        <f>IF(U197&lt;130, "Mini Bulker", IF(AND(U197&gt;=130, U197&lt;150), "Handysize", IF(AND(U197&gt;=150, U197&lt;200), "Handymax", IF(AND(U197&gt;=200, U197&lt;230), "Panamax", IF(AND(U197&gt;=230, U197&lt;=270), "Capesize", "Autre")))))</f>
        <v/>
      </c>
      <c r="X197" s="111">
        <f>IF(E197&lt;9999,"1",IF(E197&lt;19999,"2",IF(E197&lt;29999,"3",IF(E197&lt;39999,"4",IF(E197&lt;49999,"5",IF(E197&gt;50000,"6"))))))</f>
        <v/>
      </c>
      <c r="Y197" s="115" t="inlineStr">
        <is>
          <t>1BIS/1N</t>
        </is>
      </c>
      <c r="AA197" s="96" t="n">
        <v>45752.00069444445</v>
      </c>
      <c r="AB197" s="96" t="n">
        <v>45752.375</v>
      </c>
      <c r="AC197" s="108" t="n">
        <v>45752</v>
      </c>
      <c r="AD197" s="108" t="n">
        <v>45754</v>
      </c>
      <c r="AE197" s="96" t="n">
        <v>45751.95833333334</v>
      </c>
      <c r="AF197" s="96" t="n">
        <v>45754.11805555555</v>
      </c>
      <c r="AG197" s="96" t="n">
        <v>45754.22916666666</v>
      </c>
      <c r="AH197" s="96" t="n">
        <v>45754.26041666666</v>
      </c>
      <c r="AI197" s="96" t="n">
        <v>45754.33680555555</v>
      </c>
      <c r="AJ197" s="96" t="n">
        <v>45754.34722222222</v>
      </c>
      <c r="AK197" s="96" t="n">
        <v>45763.23958333334</v>
      </c>
      <c r="AL197" s="96" t="n">
        <v>45763.28125</v>
      </c>
      <c r="AM197" s="96" t="n">
        <v>45763.29861111111</v>
      </c>
      <c r="AN197" s="96" t="n">
        <v>45763.34236111111</v>
      </c>
      <c r="AO197" s="96" t="n">
        <v>45763.35625</v>
      </c>
      <c r="AP197" s="117">
        <f>(AG197-AF197)*1440</f>
        <v/>
      </c>
      <c r="AQ197" s="117">
        <f>(AG197-AE197)*1440</f>
        <v/>
      </c>
      <c r="AR197" s="117">
        <f>(AH197-AF197)*1440</f>
        <v/>
      </c>
      <c r="AS197" s="117">
        <f>(AI197-AH197)*1440</f>
        <v/>
      </c>
      <c r="AT197" s="117">
        <f>(AJ197-AH197)*1440</f>
        <v/>
      </c>
      <c r="AU197" s="117">
        <f>(AL197-AK197)*1440</f>
        <v/>
      </c>
      <c r="AV197" s="117">
        <f>(AM197-AL197)*1440</f>
        <v/>
      </c>
      <c r="AW197" s="117">
        <f>(AO197-AM197)*1440</f>
        <v/>
      </c>
      <c r="AX197" s="118">
        <f>AP197+AS197+AU197+AV197+AW197</f>
        <v/>
      </c>
      <c r="AY197" s="119">
        <f>(AG197-AA197)</f>
        <v/>
      </c>
      <c r="AZ197" s="119">
        <f>(AK197-AJ197)</f>
        <v/>
      </c>
      <c r="BA197" s="119">
        <f>AO197-AG197</f>
        <v/>
      </c>
      <c r="BB197" s="119">
        <f>(AO197-AA197)-(AP197/1440)-(AW197/1440)</f>
        <v/>
      </c>
      <c r="BC197" s="117">
        <f>E197/AZ197</f>
        <v/>
      </c>
      <c r="BE197" s="117">
        <f>IF(E197&lt;10000,3000,IF(E197&lt;15000,3600,IF(E197&lt;20000,4500,IF(E197&lt;25000,6000,IF(E197&lt;30000,7500,IF(E197&lt;40000,9000,IF(E197&gt;40000,10000)))))))</f>
        <v/>
      </c>
      <c r="BF197" s="322">
        <f>(E197/BE197)+2</f>
        <v/>
      </c>
      <c r="BS197" s="127" t="inlineStr">
        <is>
          <t>CHANGE DU POSTE 1BIS VERS LA RADE LE 08/04- 0233// RE-ACC AU POSTE 1BIS LE 09/04- 1930 / CHANGE DU POSTE 1BIS VERS LA RADE LE 11/04- 2245 // RE-ACC AU POSTE 1N LE 13/04- 2358</t>
        </is>
      </c>
      <c r="BT197" s="125" t="n">
        <v>4</v>
      </c>
      <c r="BU197" s="120" t="n"/>
      <c r="BV197" s="120" t="n"/>
      <c r="BW197" s="323">
        <f>AI197-AH197</f>
        <v/>
      </c>
      <c r="BX197" s="120" t="inlineStr">
        <is>
          <t>NUL</t>
        </is>
      </c>
      <c r="BY197" s="120" t="inlineStr">
        <is>
          <t>NUL</t>
        </is>
      </c>
      <c r="CB197" s="111" t="n">
        <v>24441</v>
      </c>
    </row>
    <row r="198" customFormat="1" s="230">
      <c r="A198" s="112" t="n">
        <v>137</v>
      </c>
      <c r="B198" s="342" t="inlineStr">
        <is>
          <t>ENES D</t>
        </is>
      </c>
      <c r="C198" s="108" t="n">
        <v>45764</v>
      </c>
      <c r="D198" s="318" t="n">
        <v>3928</v>
      </c>
      <c r="E198" s="318" t="n">
        <v>3928</v>
      </c>
      <c r="F198" s="141" t="n"/>
      <c r="G198" s="112" t="n">
        <v>1</v>
      </c>
      <c r="H198" s="115" t="inlineStr">
        <is>
          <t>DAP</t>
        </is>
      </c>
      <c r="I198" s="114" t="inlineStr">
        <is>
          <t xml:space="preserve">DAP Euro Low Cd </t>
        </is>
      </c>
      <c r="J198" s="115" t="inlineStr">
        <is>
          <t>DAT</t>
        </is>
      </c>
      <c r="K198" s="82" t="n">
        <v>690</v>
      </c>
      <c r="L198" s="341">
        <f>D198*K198</f>
        <v/>
      </c>
      <c r="M198" s="14" t="n"/>
      <c r="N198" s="335">
        <f>L198*M198</f>
        <v/>
      </c>
      <c r="O198" s="16" t="n"/>
      <c r="Q198" s="113" t="inlineStr">
        <is>
          <t>EUROPE</t>
        </is>
      </c>
      <c r="R198" s="113" t="inlineStr">
        <is>
          <t>ESPAGNE</t>
        </is>
      </c>
      <c r="S198" s="113" t="n"/>
      <c r="T198" s="113" t="inlineStr">
        <is>
          <t>INSPECTORATE</t>
        </is>
      </c>
      <c r="U198" s="112" t="n">
        <v>90</v>
      </c>
      <c r="V198" s="129">
        <f>IF(U198&lt;130, "Mini Bulker", IF(AND(U198&gt;=130, U198&lt;150), "Handysize", IF(AND(U198&gt;=150, U198&lt;200), "Handymax", IF(AND(U198&gt;=200, U198&lt;230), "Panamax", IF(AND(U198&gt;=230, U198&lt;=270), "Capesize", "Autre")))))</f>
        <v/>
      </c>
      <c r="X198" s="111">
        <f>IF(E198&lt;9999,"1",IF(E198&lt;19999,"2",IF(E198&lt;29999,"3",IF(E198&lt;39999,"4",IF(E198&lt;49999,"5",IF(E198&gt;50000,"6"))))))</f>
        <v/>
      </c>
      <c r="Y198" s="115" t="inlineStr">
        <is>
          <t>2TER</t>
        </is>
      </c>
      <c r="AA198" s="96" t="n">
        <v>45763.84375</v>
      </c>
      <c r="AB198" s="96" t="n">
        <v>45764.375</v>
      </c>
      <c r="AC198" s="108" t="n">
        <v>45760</v>
      </c>
      <c r="AD198" s="108" t="n">
        <v>45762</v>
      </c>
      <c r="AE198" s="96" t="n">
        <v>45763.84375</v>
      </c>
      <c r="AF198" s="96" t="n">
        <v>45763.87708333333</v>
      </c>
      <c r="AG198" s="96" t="n">
        <v>45763.92708333334</v>
      </c>
      <c r="AH198" s="96" t="n">
        <v>45763.96527777778</v>
      </c>
      <c r="AI198" s="96" t="n">
        <v>45764.06944444445</v>
      </c>
      <c r="AJ198" s="96" t="n">
        <v>45764.22222222222</v>
      </c>
      <c r="AK198" s="96" t="n">
        <v>45764.60069444445</v>
      </c>
      <c r="AL198" s="96" t="n">
        <v>45764.62847222222</v>
      </c>
      <c r="AM198" s="96" t="n">
        <v>45764.65625</v>
      </c>
      <c r="AN198" s="96" t="n">
        <v>45764.74097222222</v>
      </c>
      <c r="AO198" s="96" t="n">
        <v>45764.74305555555</v>
      </c>
      <c r="AP198" s="117">
        <f>(AG198-AF198)*1440</f>
        <v/>
      </c>
      <c r="AQ198" s="117">
        <f>(AG198-AE198)*1440</f>
        <v/>
      </c>
      <c r="AR198" s="117">
        <f>(AH198-AF198)*1440</f>
        <v/>
      </c>
      <c r="AS198" s="117">
        <f>(AI198-AH198)*1440</f>
        <v/>
      </c>
      <c r="AT198" s="117">
        <f>(AJ198-AH198)*1440</f>
        <v/>
      </c>
      <c r="AU198" s="117">
        <f>(AL198-AK198)*1440</f>
        <v/>
      </c>
      <c r="AV198" s="117">
        <f>(AM198-AL198)*1440</f>
        <v/>
      </c>
      <c r="AW198" s="117">
        <f>(AO198-AM198)*1440</f>
        <v/>
      </c>
      <c r="AX198" s="118">
        <f>AP198+AS198+AU198+AV198+AW198</f>
        <v/>
      </c>
      <c r="AY198" s="119">
        <f>(AG198-AA198)</f>
        <v/>
      </c>
      <c r="AZ198" s="119">
        <f>(AK198-AJ198)</f>
        <v/>
      </c>
      <c r="BA198" s="119">
        <f>AO198-AG198</f>
        <v/>
      </c>
      <c r="BB198" s="119">
        <f>(AO198-AA198)-(AP198/1440)-(AW198/1440)</f>
        <v/>
      </c>
      <c r="BC198" s="117">
        <f>E198/AZ198</f>
        <v/>
      </c>
      <c r="BE198" s="117">
        <f>IF(E198&lt;10000,3000,IF(E198&lt;15000,3600,IF(E198&lt;20000,4500,IF(E198&lt;25000,6000,IF(E198&lt;30000,7500,IF(E198&lt;40000,9000,IF(E198&gt;40000,10000)))))))</f>
        <v/>
      </c>
      <c r="BF198" s="322">
        <f>(E198/BE198)+2</f>
        <v/>
      </c>
      <c r="BS198" s="127" t="inlineStr">
        <is>
          <t>NUL</t>
        </is>
      </c>
      <c r="BT198" s="125" t="n">
        <v>0</v>
      </c>
      <c r="BU198" s="120" t="inlineStr">
        <is>
          <t>NON CLEAN</t>
        </is>
      </c>
      <c r="BV198" s="120" t="inlineStr">
        <is>
          <t>WATER/LAST CARGO</t>
        </is>
      </c>
      <c r="BW198" s="323">
        <f>AI198-AH198</f>
        <v/>
      </c>
      <c r="BX198" s="120" t="inlineStr">
        <is>
          <t>NUL</t>
        </is>
      </c>
      <c r="BY198" s="120" t="inlineStr">
        <is>
          <t>NUL</t>
        </is>
      </c>
      <c r="CB198" s="111" t="n">
        <v>2769</v>
      </c>
    </row>
    <row r="199" ht="14.55" customFormat="1" customHeight="1" s="230">
      <c r="A199" s="112" t="n">
        <v>139</v>
      </c>
      <c r="B199" s="342" t="inlineStr">
        <is>
          <t>HOPE</t>
        </is>
      </c>
      <c r="C199" s="108" t="n">
        <v>45766</v>
      </c>
      <c r="D199" s="318" t="n">
        <v>15955</v>
      </c>
      <c r="E199" s="324">
        <f>D200+D199</f>
        <v/>
      </c>
      <c r="F199" s="141" t="inlineStr">
        <is>
          <t>OCP NUTRI</t>
        </is>
      </c>
      <c r="G199" s="112" t="n">
        <v>2</v>
      </c>
      <c r="H199" s="115" t="inlineStr">
        <is>
          <t>NPK</t>
        </is>
      </c>
      <c r="I199" s="114" t="inlineStr">
        <is>
          <t xml:space="preserve">NPK 15 15 15 SPECIAL </t>
        </is>
      </c>
      <c r="J199" s="115" t="inlineStr">
        <is>
          <t>CFR</t>
        </is>
      </c>
      <c r="K199" s="82" t="n">
        <v>435</v>
      </c>
      <c r="L199" s="341">
        <f>D199*K199</f>
        <v/>
      </c>
      <c r="M199" s="81" t="n"/>
      <c r="N199" s="335">
        <f>L199*M199</f>
        <v/>
      </c>
      <c r="O199" s="208" t="n"/>
      <c r="Q199" s="113" t="inlineStr">
        <is>
          <t>AFRIQUE</t>
        </is>
      </c>
      <c r="R199" s="113" t="inlineStr">
        <is>
          <t>TOGO</t>
        </is>
      </c>
      <c r="S199" s="233" t="n"/>
      <c r="T199" s="113" t="inlineStr">
        <is>
          <t>INSPECTORATE</t>
        </is>
      </c>
      <c r="U199" s="112" t="n">
        <v>180</v>
      </c>
      <c r="V199" s="129">
        <f>IF(U199&lt;130, "Mini Bulker", IF(AND(U199&gt;=130, U199&lt;150), "Handysize", IF(AND(U199&gt;=150, U199&lt;200), "Handymax", IF(AND(U199&gt;=200, U199&lt;230), "Panamax", IF(AND(U199&gt;=230, U199&lt;=270), "Capesize", "Autre")))))</f>
        <v/>
      </c>
      <c r="X199" s="111">
        <f>IF(E199&lt;9999,"1",IF(E199&lt;19999,"2",IF(E199&lt;29999,"3",IF(E199&lt;39999,"4",IF(E199&lt;49999,"5",IF(E199&gt;50000,"6"))))))</f>
        <v/>
      </c>
      <c r="Y199" s="115" t="inlineStr">
        <is>
          <t>1N</t>
        </is>
      </c>
      <c r="AA199" s="96" t="n">
        <v>45759.00069444445</v>
      </c>
      <c r="AB199" s="96" t="n">
        <v>45759.375</v>
      </c>
      <c r="AC199" s="108" t="n">
        <v>45759</v>
      </c>
      <c r="AD199" s="108" t="n">
        <v>45762</v>
      </c>
      <c r="AE199" s="96" t="n">
        <v>45759.00069444445</v>
      </c>
      <c r="AF199" s="96" t="n">
        <v>45763.35625</v>
      </c>
      <c r="AG199" s="96" t="n">
        <v>45763.4125</v>
      </c>
      <c r="AH199" s="96" t="n">
        <v>45763.4375</v>
      </c>
      <c r="AI199" s="96" t="n">
        <v>45763.5</v>
      </c>
      <c r="AJ199" s="96" t="n">
        <v>45763.51388888889</v>
      </c>
      <c r="AK199" s="96" t="n">
        <v>45766.97222222222</v>
      </c>
      <c r="AL199" s="96" t="n">
        <v>45767.01388888889</v>
      </c>
      <c r="AM199" s="96" t="n">
        <v>45767.02777777778</v>
      </c>
      <c r="AN199" s="96" t="n">
        <v>45767.06736111111</v>
      </c>
      <c r="AO199" s="96" t="n">
        <v>45767.11805555555</v>
      </c>
      <c r="AP199" s="117">
        <f>(AG199-AF199)*1440</f>
        <v/>
      </c>
      <c r="AQ199" s="117">
        <f>(AG199-AE199)*1440</f>
        <v/>
      </c>
      <c r="AR199" s="117">
        <f>(AH199-AF199)*1440</f>
        <v/>
      </c>
      <c r="AS199" s="117">
        <f>(AI199-AH199)*1440</f>
        <v/>
      </c>
      <c r="AT199" s="117">
        <f>(AJ199-AH199)*1440</f>
        <v/>
      </c>
      <c r="AU199" s="117">
        <f>(AL199-AK199)*1440</f>
        <v/>
      </c>
      <c r="AV199" s="117">
        <f>(AM199-AL199)*1440</f>
        <v/>
      </c>
      <c r="AW199" s="117">
        <f>(AO199-AM199)*1440</f>
        <v/>
      </c>
      <c r="AX199" s="118">
        <f>AP199+AS199+AU199+AV199+AW199</f>
        <v/>
      </c>
      <c r="AY199" s="119">
        <f>(AG199-AA199)</f>
        <v/>
      </c>
      <c r="AZ199" s="119">
        <f>(AK199-AJ199)</f>
        <v/>
      </c>
      <c r="BA199" s="119">
        <f>AO199-AG199</f>
        <v/>
      </c>
      <c r="BB199" s="119">
        <f>(AO199-AA199)-(AP199/1440)-(AW199/1440)</f>
        <v/>
      </c>
      <c r="BC199" s="117">
        <f>E199/AZ199</f>
        <v/>
      </c>
      <c r="BE199" s="117">
        <f>IF(E199&lt;10000,3000,IF(E199&lt;15000,3600,IF(E199&lt;20000,4500,IF(E199&lt;25000,6000,IF(E199&lt;30000,7500,IF(E199&lt;40000,9000,IF(E199&gt;40000,10000)))))))</f>
        <v/>
      </c>
      <c r="BF199" s="322">
        <f>(E199/BE199)+2</f>
        <v/>
      </c>
      <c r="BS199" s="127" t="inlineStr">
        <is>
          <t>NUL</t>
        </is>
      </c>
      <c r="BT199" s="125" t="n">
        <v>0</v>
      </c>
      <c r="BU199" s="120" t="inlineStr">
        <is>
          <t>CLEAN</t>
        </is>
      </c>
      <c r="BV199" s="238" t="inlineStr">
        <is>
          <t>-</t>
        </is>
      </c>
      <c r="BW199" s="323">
        <f>AI199-AH199</f>
        <v/>
      </c>
      <c r="BX199" s="120" t="inlineStr">
        <is>
          <t>NUL</t>
        </is>
      </c>
      <c r="BY199" s="120" t="inlineStr">
        <is>
          <t>NUL</t>
        </is>
      </c>
      <c r="CB199" s="111" t="n">
        <v>23494</v>
      </c>
    </row>
    <row r="200" ht="14.55" customFormat="1" customHeight="1" s="230">
      <c r="B200" s="342" t="inlineStr">
        <is>
          <t>HOPE</t>
        </is>
      </c>
      <c r="C200" s="108" t="n">
        <v>45766</v>
      </c>
      <c r="D200" s="318" t="n">
        <v>15953</v>
      </c>
      <c r="E200" s="325" t="n"/>
      <c r="F200" s="141" t="inlineStr">
        <is>
          <t>OCP NUTRI</t>
        </is>
      </c>
      <c r="G200" s="112" t="n">
        <v>2</v>
      </c>
      <c r="H200" s="115" t="inlineStr">
        <is>
          <t>NPK</t>
        </is>
      </c>
      <c r="I200" s="114" t="inlineStr">
        <is>
          <t xml:space="preserve">NPK 12 20 18 5S 1B2O3 TOGO </t>
        </is>
      </c>
      <c r="J200" s="115" t="inlineStr">
        <is>
          <t>CFR</t>
        </is>
      </c>
      <c r="K200" s="82" t="n">
        <v>475</v>
      </c>
      <c r="L200" s="341">
        <f>D200*K200</f>
        <v/>
      </c>
      <c r="M200" s="14" t="n"/>
      <c r="N200" s="335">
        <f>L200*M200</f>
        <v/>
      </c>
      <c r="O200" s="208" t="n"/>
      <c r="Q200" s="113" t="inlineStr">
        <is>
          <t>AFRIQUE</t>
        </is>
      </c>
      <c r="R200" s="113" t="inlineStr">
        <is>
          <t>TOGO</t>
        </is>
      </c>
      <c r="S200" s="233" t="n"/>
      <c r="T200" s="113" t="inlineStr">
        <is>
          <t>INSPECTORATE</t>
        </is>
      </c>
      <c r="U200" s="112" t="n">
        <v>180</v>
      </c>
      <c r="V200" s="129">
        <f>IF(U200&lt;130, "Mini Bulker", IF(AND(U200&gt;=130, U200&lt;150), "Handysize", IF(AND(U200&gt;=150, U200&lt;200), "Handymax", IF(AND(U200&gt;=200, U200&lt;230), "Panamax", IF(AND(U200&gt;=230, U200&lt;=270), "Capesize", "Autre")))))</f>
        <v/>
      </c>
      <c r="X200" s="111">
        <f>IF(E200&lt;9999,"1",IF(E200&lt;19999,"2",IF(E200&lt;29999,"3",IF(E200&lt;39999,"4",IF(E200&lt;49999,"5",IF(E200&gt;50000,"6"))))))</f>
        <v/>
      </c>
      <c r="Y200" s="115" t="inlineStr">
        <is>
          <t>1N</t>
        </is>
      </c>
      <c r="AA200" s="151" t="n"/>
      <c r="AB200" s="151" t="n"/>
      <c r="AC200" s="151" t="n"/>
      <c r="AD200" s="151" t="n"/>
      <c r="AE200" s="151" t="n"/>
      <c r="AF200" s="151" t="n"/>
      <c r="AG200" s="151" t="n"/>
      <c r="AH200" s="151" t="n"/>
      <c r="AI200" s="151" t="n"/>
      <c r="AJ200" s="151" t="n"/>
      <c r="AK200" s="151" t="n"/>
      <c r="AL200" s="151" t="n"/>
      <c r="AM200" s="151" t="n"/>
      <c r="AN200" s="151" t="n"/>
      <c r="AO200" s="151" t="n"/>
      <c r="AP200" s="151" t="n"/>
      <c r="AQ200" s="151" t="n"/>
      <c r="AR200" s="151" t="n"/>
      <c r="AS200" s="151" t="n"/>
      <c r="AT200" s="151" t="n"/>
      <c r="AU200" s="151" t="n"/>
      <c r="AV200" s="151" t="n"/>
      <c r="AW200" s="151" t="n"/>
      <c r="AX200" s="151" t="n"/>
      <c r="AY200" s="151" t="n"/>
      <c r="AZ200" s="151" t="n"/>
      <c r="BA200" s="151" t="n"/>
      <c r="BB200" s="151" t="n"/>
      <c r="BC200" s="151" t="n"/>
      <c r="BD200" s="151" t="n"/>
      <c r="BE200" s="151" t="n"/>
      <c r="BF200" s="151" t="n"/>
      <c r="BG200" s="98" t="n"/>
      <c r="BH200" s="98" t="n"/>
      <c r="BI200" s="98" t="n"/>
      <c r="BJ200" s="98" t="n"/>
      <c r="BK200" s="98" t="n"/>
      <c r="BL200" s="98" t="n"/>
      <c r="BM200" s="98" t="n"/>
      <c r="BN200" s="98" t="n"/>
      <c r="BO200" s="98" t="n"/>
      <c r="BP200" s="98" t="n"/>
      <c r="BQ200" s="98" t="n"/>
      <c r="BR200" s="98" t="n"/>
      <c r="BS200" s="127" t="inlineStr">
        <is>
          <t>NUL</t>
        </is>
      </c>
      <c r="BT200" s="125" t="n">
        <v>0</v>
      </c>
      <c r="BU200" s="120" t="inlineStr">
        <is>
          <t>CLEAN</t>
        </is>
      </c>
      <c r="BV200" s="238" t="inlineStr">
        <is>
          <t>-</t>
        </is>
      </c>
      <c r="BW200" s="323">
        <f>AI200-AH200</f>
        <v/>
      </c>
      <c r="BX200" s="120" t="inlineStr">
        <is>
          <t>NUL</t>
        </is>
      </c>
      <c r="BY200" s="120" t="inlineStr">
        <is>
          <t>NUL</t>
        </is>
      </c>
      <c r="CB200" s="112" t="n"/>
    </row>
    <row r="201" ht="14.55" customFormat="1" customHeight="1" s="230">
      <c r="A201" s="112" t="n">
        <v>138</v>
      </c>
      <c r="B201" s="342" t="inlineStr">
        <is>
          <t>OCEAN JOY</t>
        </is>
      </c>
      <c r="C201" s="108" t="n">
        <v>45766</v>
      </c>
      <c r="D201" s="318" t="n">
        <v>19160</v>
      </c>
      <c r="E201" s="324">
        <f>D202+D201</f>
        <v/>
      </c>
      <c r="F201" s="141" t="inlineStr">
        <is>
          <t>OCP NUTRI</t>
        </is>
      </c>
      <c r="G201" s="112" t="n">
        <v>2</v>
      </c>
      <c r="H201" s="115" t="inlineStr">
        <is>
          <t>MAP</t>
        </is>
      </c>
      <c r="I201" s="114" t="inlineStr">
        <is>
          <t xml:space="preserve">MAP 11 52 SPECIAL </t>
        </is>
      </c>
      <c r="J201" s="115" t="inlineStr">
        <is>
          <t>CFR</t>
        </is>
      </c>
      <c r="K201" s="82" t="n">
        <v>648.89</v>
      </c>
      <c r="L201" s="341">
        <f>D201*K201</f>
        <v/>
      </c>
      <c r="M201" s="208" t="n"/>
      <c r="N201" s="335">
        <f>L201*M201</f>
        <v/>
      </c>
      <c r="O201" s="195" t="n"/>
      <c r="Q201" s="113" t="inlineStr">
        <is>
          <t>AMERIQUE LATINE</t>
        </is>
      </c>
      <c r="R201" s="115" t="inlineStr">
        <is>
          <t>BRESIL</t>
        </is>
      </c>
      <c r="S201" s="233" t="n"/>
      <c r="T201" s="113" t="inlineStr">
        <is>
          <t>INTERTEK</t>
        </is>
      </c>
      <c r="U201" s="112" t="n">
        <v>180</v>
      </c>
      <c r="V201" s="129">
        <f>IF(U201&lt;130, "Mini Bulker", IF(AND(U201&gt;=130, U201&lt;150), "Handysize", IF(AND(U201&gt;=150, U201&lt;200), "Handymax", IF(AND(U201&gt;=200, U201&lt;230), "Panamax", IF(AND(U201&gt;=230, U201&lt;=270), "Capesize", "Autre")))))</f>
        <v/>
      </c>
      <c r="X201" s="111">
        <f>IF(E201&lt;9999,"1",IF(E201&lt;19999,"2",IF(E201&lt;29999,"3",IF(E201&lt;39999,"4",IF(E201&lt;49999,"5",IF(E201&gt;50000,"6"))))))</f>
        <v/>
      </c>
      <c r="Y201" s="115" t="inlineStr">
        <is>
          <t>2N</t>
        </is>
      </c>
      <c r="AA201" s="96" t="n">
        <v>45761.62152777778</v>
      </c>
      <c r="AB201" s="96" t="n">
        <v>45761.62152777778</v>
      </c>
      <c r="AC201" s="108" t="n">
        <v>45761</v>
      </c>
      <c r="AD201" s="108" t="n">
        <v>45764</v>
      </c>
      <c r="AE201" s="96" t="n">
        <v>45761.6125</v>
      </c>
      <c r="AF201" s="96" t="n">
        <v>45761.75486111111</v>
      </c>
      <c r="AG201" s="96" t="n">
        <v>45761.8</v>
      </c>
      <c r="AH201" s="96" t="n">
        <v>45761.81597222222</v>
      </c>
      <c r="AI201" s="96" t="n">
        <v>45761.86805555555</v>
      </c>
      <c r="AJ201" s="96" t="n">
        <v>45762.46180555555</v>
      </c>
      <c r="AK201" s="96" t="n">
        <v>45766.39583333334</v>
      </c>
      <c r="AL201" s="96" t="n">
        <v>45766.4375</v>
      </c>
      <c r="AM201" s="96" t="n">
        <v>45766.45833333334</v>
      </c>
      <c r="AN201" s="96" t="n">
        <v>45766.50416666667</v>
      </c>
      <c r="AO201" s="96" t="n">
        <v>45766.52430555555</v>
      </c>
      <c r="AP201" s="117">
        <f>(AG201-AF201)*1440</f>
        <v/>
      </c>
      <c r="AQ201" s="117">
        <f>(AG201-AE201)*1440</f>
        <v/>
      </c>
      <c r="AR201" s="117">
        <f>(AH201-AF201)*1440</f>
        <v/>
      </c>
      <c r="AS201" s="117">
        <f>(AI201-AH201)*1440</f>
        <v/>
      </c>
      <c r="AT201" s="117">
        <f>(AJ201-AH201)*1440</f>
        <v/>
      </c>
      <c r="AU201" s="117">
        <f>(AL201-AK201)*1440</f>
        <v/>
      </c>
      <c r="AV201" s="117">
        <f>(AM201-AL201)*1440</f>
        <v/>
      </c>
      <c r="AW201" s="117">
        <f>(AO201-AM201)*1440</f>
        <v/>
      </c>
      <c r="AX201" s="118">
        <f>AP201+AS201+AU201+AV201+AW201</f>
        <v/>
      </c>
      <c r="AY201" s="119">
        <f>(AG201-AA201)</f>
        <v/>
      </c>
      <c r="AZ201" s="119">
        <f>(AK201-AJ201)</f>
        <v/>
      </c>
      <c r="BA201" s="119">
        <f>AO201-AG201</f>
        <v/>
      </c>
      <c r="BB201" s="119">
        <f>(AO201-AA201)-(AP201/1440)-(AW201/1440)</f>
        <v/>
      </c>
      <c r="BC201" s="117">
        <f>E201/AZ201</f>
        <v/>
      </c>
      <c r="BE201" s="117">
        <f>IF(E201&lt;10000,3000,IF(E201&lt;15000,3600,IF(E201&lt;20000,4500,IF(E201&lt;25000,6000,IF(E201&lt;30000,7500,IF(E201&lt;40000,9000,IF(E201&gt;40000,10000)))))))</f>
        <v/>
      </c>
      <c r="BF201" s="322">
        <f>(E201/BE201)+2</f>
        <v/>
      </c>
      <c r="BS201" s="127" t="inlineStr">
        <is>
          <t>NUL</t>
        </is>
      </c>
      <c r="BT201" s="125" t="n">
        <v>0</v>
      </c>
      <c r="BU201" s="120" t="inlineStr">
        <is>
          <t>CLEAN</t>
        </is>
      </c>
      <c r="BV201" s="238" t="inlineStr">
        <is>
          <t>-</t>
        </is>
      </c>
      <c r="BW201" s="323">
        <f>AI201-AH201</f>
        <v/>
      </c>
      <c r="BX201" s="120" t="inlineStr">
        <is>
          <t>TBC</t>
        </is>
      </c>
      <c r="BY201" s="120" t="inlineStr">
        <is>
          <t>TBC</t>
        </is>
      </c>
      <c r="CB201" s="111" t="n">
        <v>23268</v>
      </c>
    </row>
    <row r="202" ht="15" customFormat="1" customHeight="1" s="230">
      <c r="B202" s="342" t="inlineStr">
        <is>
          <t>OCEAN JOY</t>
        </is>
      </c>
      <c r="C202" s="108" t="n">
        <v>45766</v>
      </c>
      <c r="D202" s="318" t="n">
        <v>17006</v>
      </c>
      <c r="E202" s="325" t="n"/>
      <c r="F202" s="141" t="inlineStr">
        <is>
          <t>OCP NUTRI</t>
        </is>
      </c>
      <c r="G202" s="112" t="n">
        <v>2</v>
      </c>
      <c r="H202" s="115" t="inlineStr">
        <is>
          <t>TSP</t>
        </is>
      </c>
      <c r="I202" s="114" t="inlineStr">
        <is>
          <t xml:space="preserve">TSP SPECIAL JORF </t>
        </is>
      </c>
      <c r="J202" s="115" t="inlineStr">
        <is>
          <t>CFR</t>
        </is>
      </c>
      <c r="K202" s="82" t="n">
        <v>492.5</v>
      </c>
      <c r="L202" s="341">
        <f>D202*K202</f>
        <v/>
      </c>
      <c r="M202" s="14" t="n"/>
      <c r="N202" s="335">
        <f>L202*M202</f>
        <v/>
      </c>
      <c r="O202" s="195" t="n"/>
      <c r="Q202" s="113" t="inlineStr">
        <is>
          <t>AMERIQUE LATINE</t>
        </is>
      </c>
      <c r="R202" s="115" t="inlineStr">
        <is>
          <t>BRESIL</t>
        </is>
      </c>
      <c r="S202" s="233" t="n"/>
      <c r="T202" s="113" t="inlineStr">
        <is>
          <t>INTERTEK</t>
        </is>
      </c>
      <c r="U202" s="112" t="n">
        <v>180</v>
      </c>
      <c r="V202" s="129">
        <f>IF(U202&lt;130, "Mini Bulker", IF(AND(U202&gt;=130, U202&lt;150), "Handysize", IF(AND(U202&gt;=150, U202&lt;200), "Handymax", IF(AND(U202&gt;=200, U202&lt;230), "Panamax", IF(AND(U202&gt;=230, U202&lt;=270), "Capesize", "Autre")))))</f>
        <v/>
      </c>
      <c r="X202" s="111">
        <f>IF(E202&lt;9999,"1",IF(E202&lt;19999,"2",IF(E202&lt;29999,"3",IF(E202&lt;39999,"4",IF(E202&lt;49999,"5",IF(E202&gt;50000,"6"))))))</f>
        <v/>
      </c>
      <c r="Y202" s="115" t="inlineStr">
        <is>
          <t>2N</t>
        </is>
      </c>
      <c r="AA202" s="151" t="n"/>
      <c r="AB202" s="151" t="n"/>
      <c r="AC202" s="151" t="n"/>
      <c r="AD202" s="151" t="n"/>
      <c r="AE202" s="151" t="n"/>
      <c r="AF202" s="151" t="n"/>
      <c r="AG202" s="151" t="n"/>
      <c r="AH202" s="151" t="n"/>
      <c r="AI202" s="151" t="n"/>
      <c r="AJ202" s="151" t="n"/>
      <c r="AK202" s="151" t="n"/>
      <c r="AL202" s="151" t="n"/>
      <c r="AM202" s="151" t="n"/>
      <c r="AN202" s="151" t="n"/>
      <c r="AO202" s="151" t="n"/>
      <c r="AP202" s="151" t="n"/>
      <c r="AQ202" s="151" t="n"/>
      <c r="AR202" s="151" t="n"/>
      <c r="AS202" s="151" t="n"/>
      <c r="AT202" s="151" t="n"/>
      <c r="AU202" s="151" t="n"/>
      <c r="AV202" s="151" t="n"/>
      <c r="AW202" s="151" t="n"/>
      <c r="AX202" s="151" t="n"/>
      <c r="AY202" s="151" t="n"/>
      <c r="AZ202" s="151" t="n"/>
      <c r="BA202" s="151" t="n"/>
      <c r="BB202" s="151" t="n"/>
      <c r="BC202" s="151" t="n"/>
      <c r="BD202" s="151" t="n"/>
      <c r="BE202" s="151" t="n"/>
      <c r="BF202" s="151" t="n"/>
      <c r="BG202" s="98" t="n"/>
      <c r="BH202" s="98" t="n"/>
      <c r="BI202" s="98" t="n"/>
      <c r="BJ202" s="98" t="n"/>
      <c r="BK202" s="98" t="n"/>
      <c r="BL202" s="98" t="n"/>
      <c r="BM202" s="98" t="n"/>
      <c r="BN202" s="98" t="n"/>
      <c r="BO202" s="98" t="n"/>
      <c r="BP202" s="98" t="n"/>
      <c r="BQ202" s="98" t="n"/>
      <c r="BR202" s="98" t="n"/>
      <c r="BS202" s="127" t="inlineStr">
        <is>
          <t>NUL</t>
        </is>
      </c>
      <c r="BT202" s="125" t="n">
        <v>0</v>
      </c>
      <c r="BU202" s="120" t="inlineStr">
        <is>
          <t>CLEAN</t>
        </is>
      </c>
      <c r="BV202" s="238" t="inlineStr">
        <is>
          <t>-</t>
        </is>
      </c>
      <c r="BW202" s="323">
        <f>AI202-AH202</f>
        <v/>
      </c>
      <c r="BX202" s="120" t="inlineStr">
        <is>
          <t>TBC</t>
        </is>
      </c>
      <c r="BY202" s="120" t="inlineStr">
        <is>
          <t>TBC</t>
        </is>
      </c>
      <c r="CB202" s="225" t="n"/>
    </row>
    <row r="203" customFormat="1" s="230">
      <c r="A203" s="112" t="n">
        <v>141</v>
      </c>
      <c r="B203" s="342" t="inlineStr">
        <is>
          <t>ANYA</t>
        </is>
      </c>
      <c r="C203" s="108" t="n">
        <v>45767</v>
      </c>
      <c r="D203" s="318" t="n">
        <v>55000</v>
      </c>
      <c r="E203" s="318" t="n">
        <v>55000</v>
      </c>
      <c r="F203" s="207" t="n"/>
      <c r="G203" s="112" t="n">
        <v>1</v>
      </c>
      <c r="H203" s="115" t="inlineStr">
        <is>
          <t>DAP</t>
        </is>
      </c>
      <c r="I203" s="114" t="inlineStr">
        <is>
          <t xml:space="preserve">DAP STANDARD </t>
        </is>
      </c>
      <c r="J203" s="115" t="inlineStr">
        <is>
          <t>FOB</t>
        </is>
      </c>
      <c r="K203" s="82" t="n">
        <v>605.25</v>
      </c>
      <c r="L203" s="341">
        <f>D203*K203</f>
        <v/>
      </c>
      <c r="M203" s="14" t="n"/>
      <c r="N203" s="335">
        <f>L203*M203</f>
        <v/>
      </c>
      <c r="Q203" s="113" t="inlineStr">
        <is>
          <t>ASIE</t>
        </is>
      </c>
      <c r="R203" s="115" t="inlineStr">
        <is>
          <t>INDE</t>
        </is>
      </c>
      <c r="S203" s="233" t="n"/>
      <c r="T203" s="113" t="inlineStr">
        <is>
          <t>INTERTEK</t>
        </is>
      </c>
      <c r="U203" s="112" t="n">
        <v>190</v>
      </c>
      <c r="V203" s="129">
        <f>IF(U203&lt;130, "Mini Bulker", IF(AND(U203&gt;=130, U203&lt;150), "Handysize", IF(AND(U203&gt;=150, U203&lt;200), "Handymax", IF(AND(U203&gt;=200, U203&lt;230), "Panamax", IF(AND(U203&gt;=230, U203&lt;=270), "Capesize", "Autre")))))</f>
        <v/>
      </c>
      <c r="X203" s="111">
        <f>IF(E203&lt;9999,"1",IF(E203&lt;19999,"2",IF(E203&lt;29999,"3",IF(E203&lt;39999,"4",IF(E203&lt;49999,"5",IF(E203&gt;50000,"6"))))))</f>
        <v/>
      </c>
      <c r="Y203" s="115" t="inlineStr">
        <is>
          <t>2BIS</t>
        </is>
      </c>
      <c r="AA203" s="96" t="n">
        <v>45764.10416666666</v>
      </c>
      <c r="AB203" s="96" t="n">
        <v>45764.375</v>
      </c>
      <c r="AC203" s="108" t="n">
        <v>45762</v>
      </c>
      <c r="AD203" s="108" t="n">
        <v>45766</v>
      </c>
      <c r="AE203" s="96" t="n">
        <v>45764.0375</v>
      </c>
      <c r="AF203" s="96" t="n">
        <v>45764.53472222222</v>
      </c>
      <c r="AG203" s="96" t="n">
        <v>45764.59722222222</v>
      </c>
      <c r="AH203" s="96" t="n">
        <v>45764.61805555555</v>
      </c>
      <c r="AI203" s="96" t="n">
        <v>45764.68055555555</v>
      </c>
      <c r="AJ203" s="96" t="n">
        <v>45764.71875</v>
      </c>
      <c r="AK203" s="96" t="n">
        <v>45767.83333333334</v>
      </c>
      <c r="AL203" s="96" t="n">
        <v>45767.88541666666</v>
      </c>
      <c r="AM203" s="96" t="n">
        <v>45767.90625</v>
      </c>
      <c r="AN203" s="96" t="n">
        <v>45768.33333333334</v>
      </c>
      <c r="AO203" s="96" t="n">
        <v>45768.38958333333</v>
      </c>
      <c r="AP203" s="117">
        <f>(AG203-AF203)*1440</f>
        <v/>
      </c>
      <c r="AQ203" s="117">
        <f>(AG203-AE203)*1440</f>
        <v/>
      </c>
      <c r="AR203" s="117">
        <f>(AH203-AF203)*1440</f>
        <v/>
      </c>
      <c r="AS203" s="117">
        <f>(AI203-AH203)*1440</f>
        <v/>
      </c>
      <c r="AT203" s="117">
        <f>(AJ203-AH203)*1440</f>
        <v/>
      </c>
      <c r="AU203" s="117">
        <f>(AL203-AK203)*1440</f>
        <v/>
      </c>
      <c r="AV203" s="117">
        <f>(AM203-AL203)*1440</f>
        <v/>
      </c>
      <c r="AW203" s="117">
        <f>(AO203-AM203)*1440</f>
        <v/>
      </c>
      <c r="AX203" s="118">
        <f>AP203+AS203+AU203+AV203+AW203</f>
        <v/>
      </c>
      <c r="AY203" s="119">
        <f>(AG203-AA203)</f>
        <v/>
      </c>
      <c r="AZ203" s="119">
        <f>(AK203-AJ203)</f>
        <v/>
      </c>
      <c r="BA203" s="119">
        <f>AO203-AG203</f>
        <v/>
      </c>
      <c r="BB203" s="119">
        <f>(AO203-AA203)-(AP203/1440)-(AW203/1440)</f>
        <v/>
      </c>
      <c r="BC203" s="117">
        <f>E203/AZ203</f>
        <v/>
      </c>
      <c r="BE203" s="117">
        <f>IF(E203&lt;10000,3000,IF(E203&lt;15000,3600,IF(E203&lt;20000,4500,IF(E203&lt;25000,6000,IF(E203&lt;30000,7500,IF(E203&lt;40000,9000,IF(E203&gt;40000,10000)))))))</f>
        <v/>
      </c>
      <c r="BF203" s="322">
        <f>(E203/BE203)+2</f>
        <v/>
      </c>
      <c r="BS203" s="127" t="inlineStr">
        <is>
          <t>NUL</t>
        </is>
      </c>
      <c r="BT203" s="125" t="n">
        <v>0</v>
      </c>
      <c r="BU203" s="120" t="n"/>
      <c r="BV203" s="238" t="n"/>
      <c r="BW203" s="323">
        <f>AI203-AH203</f>
        <v/>
      </c>
      <c r="BX203" s="120" t="inlineStr">
        <is>
          <t>NUL</t>
        </is>
      </c>
      <c r="BY203" s="120" t="inlineStr">
        <is>
          <t>NUL</t>
        </is>
      </c>
      <c r="CB203" s="111" t="n">
        <v>34206</v>
      </c>
    </row>
    <row r="204" customFormat="1" s="230">
      <c r="A204" s="112" t="n">
        <v>142</v>
      </c>
      <c r="B204" s="342" t="inlineStr">
        <is>
          <t>ILIA</t>
        </is>
      </c>
      <c r="C204" s="108" t="n">
        <v>45767</v>
      </c>
      <c r="D204" s="318" t="n">
        <v>55000</v>
      </c>
      <c r="E204" s="318" t="n">
        <v>55000</v>
      </c>
      <c r="F204" s="232" t="n"/>
      <c r="G204" s="112" t="n">
        <v>1</v>
      </c>
      <c r="H204" s="115" t="inlineStr">
        <is>
          <t>TSP</t>
        </is>
      </c>
      <c r="I204" s="114" t="inlineStr">
        <is>
          <t xml:space="preserve">TSP CIV </t>
        </is>
      </c>
      <c r="J204" s="115" t="inlineStr">
        <is>
          <t>CFR</t>
        </is>
      </c>
      <c r="K204" s="82" t="n">
        <v>470</v>
      </c>
      <c r="L204" s="341">
        <f>D204*K204</f>
        <v/>
      </c>
      <c r="M204" s="14" t="n"/>
      <c r="N204" s="335">
        <f>L204*M204</f>
        <v/>
      </c>
      <c r="Q204" s="113" t="inlineStr">
        <is>
          <t>ASIE</t>
        </is>
      </c>
      <c r="R204" s="115" t="inlineStr">
        <is>
          <t>INDE</t>
        </is>
      </c>
      <c r="S204" s="115" t="n"/>
      <c r="T204" s="113" t="inlineStr">
        <is>
          <t>INTERTEK</t>
        </is>
      </c>
      <c r="U204" s="112" t="n">
        <v>229</v>
      </c>
      <c r="V204" s="129">
        <f>IF(U204&lt;130, "Mini Bulker", IF(AND(U204&gt;=130, U204&lt;150), "Handysize", IF(AND(U204&gt;=150, U204&lt;200), "Handymax", IF(AND(U204&gt;=200, U204&lt;230), "Panamax", IF(AND(U204&gt;=230, U204&lt;=270), "Capesize", "Autre")))))</f>
        <v/>
      </c>
      <c r="X204" s="111">
        <f>IF(E204&lt;9999,"1",IF(E204&lt;19999,"2",IF(E204&lt;29999,"3",IF(E204&lt;39999,"4",IF(E204&lt;49999,"5",IF(E204&gt;50000,"6"))))))</f>
        <v/>
      </c>
      <c r="Y204" s="115" t="inlineStr">
        <is>
          <t>1TER/2N</t>
        </is>
      </c>
      <c r="AA204" s="96" t="n">
        <v>45753.31597222222</v>
      </c>
      <c r="AB204" s="96" t="n">
        <v>45754.375</v>
      </c>
      <c r="AC204" s="108" t="n">
        <v>45754</v>
      </c>
      <c r="AD204" s="108" t="n">
        <v>45757</v>
      </c>
      <c r="AE204" s="96" t="n">
        <v>45753.29166666666</v>
      </c>
      <c r="AF204" s="96" t="n">
        <v>45757.02291666667</v>
      </c>
      <c r="AG204" s="96" t="n">
        <v>45757.10416666666</v>
      </c>
      <c r="AH204" s="96" t="n">
        <v>45757.11458333334</v>
      </c>
      <c r="AI204" s="96" t="n">
        <v>45757.17708333334</v>
      </c>
      <c r="AJ204" s="96" t="n">
        <v>45757.18402777778</v>
      </c>
      <c r="AK204" s="96" t="n">
        <v>45767.97569444445</v>
      </c>
      <c r="AL204" s="96" t="n">
        <v>45768.01527777778</v>
      </c>
      <c r="AM204" s="96" t="n">
        <v>45768.025</v>
      </c>
      <c r="AN204" s="96" t="n">
        <v>45768.33333333334</v>
      </c>
      <c r="AO204" s="96" t="n">
        <v>45768.35069444445</v>
      </c>
      <c r="AP204" s="117">
        <f>(AG204-AF204)*1440</f>
        <v/>
      </c>
      <c r="AQ204" s="117">
        <f>(AG204-AE204)*1440</f>
        <v/>
      </c>
      <c r="AR204" s="117">
        <f>(AH204-AF204)*1440</f>
        <v/>
      </c>
      <c r="AS204" s="117">
        <f>(AI204-AH204)*1440</f>
        <v/>
      </c>
      <c r="AT204" s="117">
        <f>(AJ204-AH204)*1440</f>
        <v/>
      </c>
      <c r="AU204" s="117">
        <f>(AL204-AK204)*1440</f>
        <v/>
      </c>
      <c r="AV204" s="117">
        <f>(AM204-AL204)*1440</f>
        <v/>
      </c>
      <c r="AW204" s="117">
        <f>(AO204-AM204)*1440</f>
        <v/>
      </c>
      <c r="AX204" s="118">
        <f>AP204+AS204+AU204+AV204+AW204</f>
        <v/>
      </c>
      <c r="AY204" s="119">
        <f>(AG204-AA204)</f>
        <v/>
      </c>
      <c r="AZ204" s="119">
        <f>(AK204-AJ204)</f>
        <v/>
      </c>
      <c r="BA204" s="119">
        <f>AO204-AG204</f>
        <v/>
      </c>
      <c r="BB204" s="119">
        <f>(AO204-AA204)-(AP204/1440)-(AW204/1440)</f>
        <v/>
      </c>
      <c r="BC204" s="117">
        <f>E204/AZ204</f>
        <v/>
      </c>
      <c r="BE204" s="117">
        <f>IF(E204&lt;10000,3000,IF(E204&lt;15000,3600,IF(E204&lt;20000,4500,IF(E204&lt;25000,6000,IF(E204&lt;30000,7500,IF(E204&lt;40000,9000,IF(E204&gt;40000,10000)))))))</f>
        <v/>
      </c>
      <c r="BF204" s="322">
        <f>(E204/BE204)+2</f>
        <v/>
      </c>
      <c r="BS204" s="127" t="inlineStr">
        <is>
          <t>CHANGE DU POSTE 1TER VERS LA RADE LE 17/04- 1545 / RE-ACC AU POSTE 2N LE 19/04- 1655</t>
        </is>
      </c>
      <c r="BT204" s="125" t="n">
        <v>2</v>
      </c>
      <c r="BU204" s="223" t="n"/>
      <c r="BW204" s="323">
        <f>AI204-AH204</f>
        <v/>
      </c>
      <c r="BX204" s="120" t="inlineStr">
        <is>
          <t>NUL</t>
        </is>
      </c>
      <c r="BY204" s="120" t="inlineStr">
        <is>
          <t>NUL</t>
        </is>
      </c>
      <c r="CB204" s="111" t="n">
        <v>44027</v>
      </c>
    </row>
    <row r="205" customFormat="1" s="230">
      <c r="A205" s="112" t="n">
        <v>140</v>
      </c>
      <c r="B205" s="342" t="inlineStr">
        <is>
          <t>THALIS</t>
        </is>
      </c>
      <c r="C205" s="108" t="n">
        <v>45767</v>
      </c>
      <c r="D205" s="318" t="n">
        <v>33000</v>
      </c>
      <c r="E205" s="318" t="n">
        <v>33000</v>
      </c>
      <c r="F205" s="206" t="inlineStr">
        <is>
          <t>OCP NUTRI</t>
        </is>
      </c>
      <c r="G205" s="112" t="n">
        <v>1</v>
      </c>
      <c r="H205" s="115" t="inlineStr">
        <is>
          <t>MAP</t>
        </is>
      </c>
      <c r="I205" s="114" t="inlineStr">
        <is>
          <t>MAP 11 52 Special</t>
        </is>
      </c>
      <c r="J205" s="115" t="inlineStr">
        <is>
          <t>CFR/DPU</t>
        </is>
      </c>
      <c r="K205" s="82" t="n">
        <v>660</v>
      </c>
      <c r="L205" s="341">
        <f>D205*K205</f>
        <v/>
      </c>
      <c r="M205" s="14" t="n"/>
      <c r="N205" s="335">
        <f>L205*M205</f>
        <v/>
      </c>
      <c r="Q205" s="115" t="inlineStr">
        <is>
          <t>AMERIQUE LATINE</t>
        </is>
      </c>
      <c r="R205" s="115" t="inlineStr">
        <is>
          <t>BRESIL</t>
        </is>
      </c>
      <c r="S205" s="209" t="n"/>
      <c r="T205" s="113" t="inlineStr">
        <is>
          <t>INSPECTORATE</t>
        </is>
      </c>
      <c r="U205" s="112" t="n">
        <v>186</v>
      </c>
      <c r="V205" s="129">
        <f>IF(U205&lt;130, "Mini Bulker", IF(AND(U205&gt;=130, U205&lt;150), "Handysize", IF(AND(U205&gt;=150, U205&lt;200), "Handymax", IF(AND(U205&gt;=200, U205&lt;230), "Panamax", IF(AND(U205&gt;=230, U205&lt;=270), "Capesize", "Autre")))))</f>
        <v/>
      </c>
      <c r="X205" s="111">
        <f>IF(E205&lt;9999,"1",IF(E205&lt;19999,"2",IF(E205&lt;29999,"3",IF(E205&lt;39999,"4",IF(E205&lt;49999,"5",IF(E205&gt;50000,"6"))))))</f>
        <v/>
      </c>
      <c r="Y205" s="115" t="inlineStr">
        <is>
          <t>1TER</t>
        </is>
      </c>
      <c r="AA205" s="96" t="n">
        <v>45763.00069444445</v>
      </c>
      <c r="AB205" s="96" t="n">
        <v>45763.375</v>
      </c>
      <c r="AC205" s="108" t="n">
        <v>45763</v>
      </c>
      <c r="AD205" s="108" t="n">
        <v>45765</v>
      </c>
      <c r="AE205" s="96" t="n">
        <v>45762.7625</v>
      </c>
      <c r="AF205" s="96" t="n">
        <v>45764.67708333334</v>
      </c>
      <c r="AG205" s="96" t="n">
        <v>45764.80208333334</v>
      </c>
      <c r="AH205" s="96" t="n">
        <v>45764.81944444445</v>
      </c>
      <c r="AI205" s="96" t="n">
        <v>45764.875</v>
      </c>
      <c r="AJ205" s="96" t="n">
        <v>45764.88888888889</v>
      </c>
      <c r="AK205" s="96" t="n">
        <v>45767.79166666666</v>
      </c>
      <c r="AL205" s="96" t="n">
        <v>45767.82986111111</v>
      </c>
      <c r="AM205" s="96" t="n">
        <v>45767.86805555555</v>
      </c>
      <c r="AN205" s="96" t="n">
        <v>45767.89583333334</v>
      </c>
      <c r="AO205" s="96" t="n">
        <v>45767.91944444444</v>
      </c>
      <c r="AP205" s="117">
        <f>(AG205-AF205)*1440</f>
        <v/>
      </c>
      <c r="AQ205" s="117">
        <f>(AG205-AE205)*1440</f>
        <v/>
      </c>
      <c r="AR205" s="117">
        <f>(AH205-AF205)*1440</f>
        <v/>
      </c>
      <c r="AS205" s="117">
        <f>(AI205-AH205)*1440</f>
        <v/>
      </c>
      <c r="AT205" s="117">
        <f>(AJ205-AH205)*1440</f>
        <v/>
      </c>
      <c r="AU205" s="117">
        <f>(AL205-AK205)*1440</f>
        <v/>
      </c>
      <c r="AV205" s="117">
        <f>(AM205-AL205)*1440</f>
        <v/>
      </c>
      <c r="AW205" s="117">
        <f>(AO205-AM205)*1440</f>
        <v/>
      </c>
      <c r="AX205" s="118">
        <f>AP205+AS205+AU205+AV205+AW205</f>
        <v/>
      </c>
      <c r="AY205" s="119">
        <f>(AG205-AA205)</f>
        <v/>
      </c>
      <c r="AZ205" s="119">
        <f>(AK205-AJ205)</f>
        <v/>
      </c>
      <c r="BA205" s="119">
        <f>AO205-AG205</f>
        <v/>
      </c>
      <c r="BB205" s="119">
        <f>(AO205-AA205)-(AP205/1440)-(AW205/1440)</f>
        <v/>
      </c>
      <c r="BC205" s="117">
        <f>E205/AZ205</f>
        <v/>
      </c>
      <c r="BE205" s="117">
        <f>IF(E205&lt;10000,3000,IF(E205&lt;15000,3600,IF(E205&lt;20000,4500,IF(E205&lt;25000,6000,IF(E205&lt;30000,7500,IF(E205&lt;40000,9000,IF(E205&gt;40000,10000)))))))</f>
        <v/>
      </c>
      <c r="BF205" s="322">
        <f>(E205/BE205)+2</f>
        <v/>
      </c>
      <c r="BS205" s="127" t="inlineStr">
        <is>
          <t>NUL</t>
        </is>
      </c>
      <c r="BT205" s="125" t="n">
        <v>0</v>
      </c>
      <c r="BU205" s="125" t="inlineStr">
        <is>
          <t>CLEAN</t>
        </is>
      </c>
      <c r="BV205" s="238" t="inlineStr">
        <is>
          <t>-</t>
        </is>
      </c>
      <c r="BW205" s="323">
        <f>AI205-AH205</f>
        <v/>
      </c>
      <c r="BX205" s="120" t="inlineStr">
        <is>
          <t>NUL</t>
        </is>
      </c>
      <c r="BY205" s="120" t="inlineStr">
        <is>
          <t>NUL</t>
        </is>
      </c>
      <c r="CB205" s="111" t="n">
        <v>22662</v>
      </c>
    </row>
    <row r="206" ht="14.55" customFormat="1" customHeight="1" s="230">
      <c r="A206" s="112" t="n">
        <v>143</v>
      </c>
      <c r="B206" s="342" t="inlineStr">
        <is>
          <t>SEACON BANGKOK</t>
        </is>
      </c>
      <c r="C206" s="108" t="n">
        <v>45769</v>
      </c>
      <c r="D206" s="318" t="n">
        <v>30240</v>
      </c>
      <c r="E206" s="324">
        <f>D207+D206</f>
        <v/>
      </c>
      <c r="F206" s="232" t="n"/>
      <c r="G206" s="112" t="n">
        <v>2</v>
      </c>
      <c r="H206" s="115" t="inlineStr">
        <is>
          <t>MAP</t>
        </is>
      </c>
      <c r="I206" s="114" t="inlineStr">
        <is>
          <t xml:space="preserve">MAP 11 52 SPECIAL </t>
        </is>
      </c>
      <c r="J206" s="115" t="inlineStr">
        <is>
          <t>FOB</t>
        </is>
      </c>
      <c r="K206" s="82" t="n">
        <v>643</v>
      </c>
      <c r="L206" s="341">
        <f>D206*K206</f>
        <v/>
      </c>
      <c r="M206" s="14" t="n"/>
      <c r="N206" s="335">
        <f>L206*M206</f>
        <v/>
      </c>
      <c r="R206" s="115" t="n"/>
      <c r="S206" s="113" t="inlineStr">
        <is>
          <t>AMSPEC</t>
        </is>
      </c>
      <c r="T206" s="113" t="inlineStr">
        <is>
          <t>INSPECTORATE</t>
        </is>
      </c>
      <c r="U206" s="112" t="n">
        <v>183</v>
      </c>
      <c r="V206" s="129">
        <f>IF(U206&lt;130, "Mini Bulker", IF(AND(U206&gt;=130, U206&lt;150), "Handysize", IF(AND(U206&gt;=150, U206&lt;200), "Handymax", IF(AND(U206&gt;=200, U206&lt;230), "Panamax", IF(AND(U206&gt;=230, U206&lt;=270), "Capesize", "Autre")))))</f>
        <v/>
      </c>
      <c r="X206" s="111">
        <f>IF(E206&lt;9999,"1",IF(E206&lt;19999,"2",IF(E206&lt;29999,"3",IF(E206&lt;39999,"4",IF(E206&lt;49999,"5",IF(E206&gt;50000,"6"))))))</f>
        <v/>
      </c>
      <c r="Y206" s="115" t="inlineStr">
        <is>
          <t>6/2BIS/2N</t>
        </is>
      </c>
      <c r="AA206" s="96" t="n">
        <v>45762.16666666666</v>
      </c>
      <c r="AB206" s="96" t="n">
        <v>45762.375</v>
      </c>
      <c r="AC206" s="108" t="n">
        <v>45762</v>
      </c>
      <c r="AD206" s="108" t="n">
        <v>45764</v>
      </c>
      <c r="AE206" s="96" t="n">
        <v>45762.16666666666</v>
      </c>
      <c r="AF206" s="96" t="n">
        <v>45762.47222222222</v>
      </c>
      <c r="AG206" s="96" t="n">
        <v>45762.54583333333</v>
      </c>
      <c r="AH206" s="96" t="n">
        <v>45762.5625</v>
      </c>
      <c r="AI206" s="96" t="n">
        <v>45763.09027777778</v>
      </c>
      <c r="AJ206" s="96" t="n">
        <v>45757.09722222222</v>
      </c>
      <c r="AK206" s="96" t="n">
        <v>45769.75347222222</v>
      </c>
      <c r="AL206" s="96" t="n">
        <v>45769.80208333334</v>
      </c>
      <c r="AM206" s="96" t="n">
        <v>45769.82638888889</v>
      </c>
      <c r="AN206" s="96" t="n">
        <v>45769.875</v>
      </c>
      <c r="AO206" s="96" t="n">
        <v>45769.89236111111</v>
      </c>
      <c r="AP206" s="117">
        <f>(AG206-AF206)*1440</f>
        <v/>
      </c>
      <c r="AQ206" s="117">
        <f>(AG206-AE206)*1440</f>
        <v/>
      </c>
      <c r="AR206" s="117">
        <f>(AH206-AF206)*1440</f>
        <v/>
      </c>
      <c r="AS206" s="117">
        <f>(AI206-AH206)*1440</f>
        <v/>
      </c>
      <c r="AT206" s="117">
        <f>(AJ206-AH206)*1440</f>
        <v/>
      </c>
      <c r="AU206" s="117">
        <f>(AL206-AK206)*1440</f>
        <v/>
      </c>
      <c r="AV206" s="117">
        <f>(AM206-AL206)*1440</f>
        <v/>
      </c>
      <c r="AW206" s="117">
        <f>(AO206-AM206)*1440</f>
        <v/>
      </c>
      <c r="AX206" s="118">
        <f>AP206+AS206+AU206+AV206+AW206</f>
        <v/>
      </c>
      <c r="AY206" s="119">
        <f>(AG206-AA206)</f>
        <v/>
      </c>
      <c r="AZ206" s="119">
        <f>(AK206-AJ206)</f>
        <v/>
      </c>
      <c r="BA206" s="119">
        <f>AO206-AG206</f>
        <v/>
      </c>
      <c r="BB206" s="119">
        <f>(AO206-AA206)-(AP206/1440)-(AW206/1440)</f>
        <v/>
      </c>
      <c r="BC206" s="117">
        <f>E206/AZ206</f>
        <v/>
      </c>
      <c r="BE206" s="117">
        <f>IF(E206&lt;10000,3000,IF(E206&lt;15000,3600,IF(E206&lt;20000,4500,IF(E206&lt;25000,6000,IF(E206&lt;30000,7500,IF(E206&lt;40000,9000,IF(E206&gt;40000,10000)))))))</f>
        <v/>
      </c>
      <c r="BF206" s="322">
        <f>(E206/BE206)+2</f>
        <v/>
      </c>
      <c r="BS206" s="127" t="inlineStr">
        <is>
          <t>CHANGE DU POSTE 6 VERS POSTE 1BIS LE 16/04- 0145 // CHANGE DU POSTE 2BIS VERS LA RADE LE 17/04- 1430 // RE-ACCOSTAGE AU POSTE 2N LE 21/04- (EN COURS)</t>
        </is>
      </c>
      <c r="BT206" s="125" t="n">
        <v>3</v>
      </c>
      <c r="BU206" s="120" t="n"/>
      <c r="BV206" s="238" t="n"/>
      <c r="BW206" s="323">
        <f>AI206-AH206</f>
        <v/>
      </c>
      <c r="BX206" s="150" t="inlineStr">
        <is>
          <t>TBC</t>
        </is>
      </c>
      <c r="BY206" s="125" t="inlineStr">
        <is>
          <t>TBC</t>
        </is>
      </c>
      <c r="CB206" s="111" t="n">
        <v>24992</v>
      </c>
    </row>
    <row r="207" ht="15" customFormat="1" customHeight="1" s="230">
      <c r="B207" s="342" t="inlineStr">
        <is>
          <t>SEACON BANGKOK</t>
        </is>
      </c>
      <c r="C207" s="108" t="n">
        <v>45769</v>
      </c>
      <c r="D207" s="318" t="n">
        <v>7215</v>
      </c>
      <c r="E207" s="325" t="n"/>
      <c r="F207" s="232" t="n"/>
      <c r="G207" s="112" t="n">
        <v>2</v>
      </c>
      <c r="H207" s="115" t="inlineStr">
        <is>
          <t>TSP</t>
        </is>
      </c>
      <c r="I207" s="114" t="inlineStr">
        <is>
          <t xml:space="preserve">TSP SPECIAL JORF </t>
        </is>
      </c>
      <c r="J207" s="115" t="inlineStr">
        <is>
          <t>FOB</t>
        </is>
      </c>
      <c r="K207" s="82" t="n">
        <v>490</v>
      </c>
      <c r="L207" s="341">
        <f>D207*K207</f>
        <v/>
      </c>
      <c r="M207" s="14" t="n"/>
      <c r="N207" s="335">
        <f>L207*M207</f>
        <v/>
      </c>
      <c r="Q207" s="115" t="n"/>
      <c r="R207" s="115" t="n"/>
      <c r="S207" s="113" t="n"/>
      <c r="T207" s="113" t="inlineStr">
        <is>
          <t>INSPECTORATE</t>
        </is>
      </c>
      <c r="U207" s="112" t="n">
        <v>183</v>
      </c>
      <c r="V207" s="129">
        <f>IF(U207&lt;130, "Mini Bulker", IF(AND(U207&gt;=130, U207&lt;150), "Handysize", IF(AND(U207&gt;=150, U207&lt;200), "Handymax", IF(AND(U207&gt;=200, U207&lt;230), "Panamax", IF(AND(U207&gt;=230, U207&lt;=270), "Capesize", "Autre")))))</f>
        <v/>
      </c>
      <c r="X207" s="111">
        <f>IF(E207&lt;9999,"1",IF(E207&lt;19999,"2",IF(E207&lt;29999,"3",IF(E207&lt;39999,"4",IF(E207&lt;49999,"5",IF(E207&gt;50000,"6"))))))</f>
        <v/>
      </c>
      <c r="Y207" s="115" t="inlineStr">
        <is>
          <t>6/2BIS/2N</t>
        </is>
      </c>
      <c r="AA207" s="151" t="n"/>
      <c r="AB207" s="151" t="n"/>
      <c r="AC207" s="151" t="n"/>
      <c r="AD207" s="151" t="n"/>
      <c r="AE207" s="151" t="n"/>
      <c r="AF207" s="151" t="n"/>
      <c r="AG207" s="151" t="n"/>
      <c r="AH207" s="151" t="n"/>
      <c r="AI207" s="151" t="n"/>
      <c r="AJ207" s="151" t="n"/>
      <c r="AK207" s="151" t="n"/>
      <c r="AL207" s="151" t="n"/>
      <c r="AM207" s="151" t="n"/>
      <c r="AN207" s="151" t="n"/>
      <c r="AO207" s="151" t="n"/>
      <c r="AP207" s="151" t="n"/>
      <c r="AQ207" s="151" t="n"/>
      <c r="AR207" s="151" t="n"/>
      <c r="AS207" s="151" t="n"/>
      <c r="AT207" s="151" t="n"/>
      <c r="AU207" s="151" t="n"/>
      <c r="AV207" s="151" t="n"/>
      <c r="AW207" s="151" t="n"/>
      <c r="AX207" s="151" t="n"/>
      <c r="AY207" s="151" t="n"/>
      <c r="AZ207" s="151" t="n"/>
      <c r="BA207" s="151" t="n"/>
      <c r="BB207" s="151" t="n"/>
      <c r="BC207" s="151" t="n"/>
      <c r="BD207" s="151" t="n"/>
      <c r="BE207" s="151" t="n"/>
      <c r="BF207" s="151" t="n"/>
      <c r="BG207" s="98" t="n"/>
      <c r="BH207" s="98" t="n"/>
      <c r="BI207" s="98" t="n"/>
      <c r="BJ207" s="98" t="n"/>
      <c r="BK207" s="98" t="n"/>
      <c r="BL207" s="98" t="n"/>
      <c r="BM207" s="98" t="n"/>
      <c r="BN207" s="98" t="n"/>
      <c r="BO207" s="98" t="n"/>
      <c r="BP207" s="98" t="n"/>
      <c r="BQ207" s="98" t="n"/>
      <c r="BR207" s="98" t="n"/>
      <c r="BS207" s="127" t="inlineStr">
        <is>
          <t>CHANGE DU POSTE 6 VERS POSTE 1BIS LE 16/04- 0145 // CHANGE DU POSTE 2BIS VERS LA RADE LE 17/04- 1430 // RE-ACCOSTAGE AU POSTE 2N LE 21/04- (EN COURS)</t>
        </is>
      </c>
      <c r="BT207" s="125" t="n">
        <v>3</v>
      </c>
      <c r="BU207" s="120" t="n"/>
      <c r="BV207" s="238" t="n"/>
      <c r="BW207" s="323">
        <f>AI207-AH207</f>
        <v/>
      </c>
      <c r="BX207" s="150" t="inlineStr">
        <is>
          <t>TBC</t>
        </is>
      </c>
      <c r="BY207" s="125" t="inlineStr">
        <is>
          <t>TBC</t>
        </is>
      </c>
      <c r="BZ207" s="151" t="n"/>
      <c r="CA207" s="151" t="n"/>
      <c r="CB207" s="111" t="n"/>
      <c r="CC207" s="151" t="n"/>
      <c r="CD207" s="151" t="n"/>
    </row>
    <row r="208" customFormat="1" s="230">
      <c r="A208" s="112" t="n">
        <v>144</v>
      </c>
      <c r="B208" s="342" t="inlineStr">
        <is>
          <t>INDIAN BULKER</t>
        </is>
      </c>
      <c r="C208" s="108" t="n">
        <v>45770</v>
      </c>
      <c r="D208" s="318" t="n">
        <v>35200</v>
      </c>
      <c r="E208" s="318" t="n">
        <v>35200</v>
      </c>
      <c r="F208" s="232" t="n"/>
      <c r="G208" s="112" t="n">
        <v>1</v>
      </c>
      <c r="H208" s="115" t="inlineStr">
        <is>
          <t>TSP</t>
        </is>
      </c>
      <c r="I208" s="114" t="inlineStr">
        <is>
          <t xml:space="preserve">TSP SPECIAL JORF </t>
        </is>
      </c>
      <c r="J208" s="115" t="inlineStr">
        <is>
          <t>CFR</t>
        </is>
      </c>
      <c r="K208" s="306" t="n"/>
      <c r="L208" s="341">
        <f>D208*K208</f>
        <v/>
      </c>
      <c r="M208" s="14" t="n"/>
      <c r="N208" s="335">
        <f>L208*M208</f>
        <v/>
      </c>
      <c r="Q208" s="115" t="inlineStr">
        <is>
          <t>AMERIQUE LATINE</t>
        </is>
      </c>
      <c r="R208" s="115" t="inlineStr">
        <is>
          <t xml:space="preserve">BRAZIL </t>
        </is>
      </c>
      <c r="S208" s="113" t="n"/>
      <c r="T208" s="113" t="inlineStr">
        <is>
          <t>INTERTEK</t>
        </is>
      </c>
      <c r="U208" s="112" t="n">
        <v>180</v>
      </c>
      <c r="V208" s="129">
        <f>IF(U208&lt;130, "Mini Bulker", IF(AND(U208&gt;=130, U208&lt;150), "Handysize", IF(AND(U208&gt;=150, U208&lt;200), "Handymax", IF(AND(U208&gt;=200, U208&lt;230), "Panamax", IF(AND(U208&gt;=230, U208&lt;=270), "Capesize", "Autre")))))</f>
        <v/>
      </c>
      <c r="X208" s="111">
        <f>IF(E208&lt;9999,"1",IF(E208&lt;19999,"2",IF(E208&lt;29999,"3",IF(E208&lt;39999,"4",IF(E208&lt;49999,"5",IF(E208&gt;50000,"6"))))))</f>
        <v/>
      </c>
      <c r="Y208" s="115" t="inlineStr">
        <is>
          <t>2BIS/2N</t>
        </is>
      </c>
      <c r="AA208" s="96" t="n">
        <v>45760.77083333334</v>
      </c>
      <c r="AB208" s="96" t="n">
        <v>45761.375</v>
      </c>
      <c r="AC208" s="108" t="n">
        <v>45761</v>
      </c>
      <c r="AD208" s="108" t="n">
        <v>45763</v>
      </c>
      <c r="AE208" s="96" t="n">
        <v>45757.65833333333</v>
      </c>
      <c r="AF208" s="96" t="n">
        <v>45760.75694444445</v>
      </c>
      <c r="AG208" s="96" t="n">
        <v>45760.8125</v>
      </c>
      <c r="AH208" s="96" t="n">
        <v>45760.82291666666</v>
      </c>
      <c r="AI208" s="96" t="n">
        <v>45760.88541666666</v>
      </c>
      <c r="AJ208" s="96" t="n">
        <v>45761.01388888889</v>
      </c>
      <c r="AK208" s="96" t="n">
        <v>45770.76041666666</v>
      </c>
      <c r="AL208" s="96" t="n">
        <v>45770.79513888889</v>
      </c>
      <c r="AM208" s="96" t="n">
        <v>45770.82638888889</v>
      </c>
      <c r="AN208" s="96" t="n">
        <v>45770.875</v>
      </c>
      <c r="AO208" s="96" t="n">
        <v>45770.89166666667</v>
      </c>
      <c r="AP208" s="117">
        <f>(AG208-AF208)*1440</f>
        <v/>
      </c>
      <c r="AQ208" s="117">
        <f>(AG208-AE208)*1440</f>
        <v/>
      </c>
      <c r="AR208" s="117">
        <f>(AH208-AF208)*1440</f>
        <v/>
      </c>
      <c r="AS208" s="117">
        <f>(AI208-AH208)*1440</f>
        <v/>
      </c>
      <c r="AT208" s="117">
        <f>(AJ208-AH208)*1440</f>
        <v/>
      </c>
      <c r="AU208" s="117">
        <f>(AL208-AK208)*1440</f>
        <v/>
      </c>
      <c r="AV208" s="117">
        <f>(AM208-AL208)*1440</f>
        <v/>
      </c>
      <c r="AW208" s="117">
        <f>(AO208-AM208)*1440</f>
        <v/>
      </c>
      <c r="AX208" s="118">
        <f>AP208+AS208+AU208+AV208+AW208</f>
        <v/>
      </c>
      <c r="AY208" s="119">
        <f>(AG208-AA208)</f>
        <v/>
      </c>
      <c r="AZ208" s="119">
        <f>(AK208-AJ208)</f>
        <v/>
      </c>
      <c r="BA208" s="119">
        <f>AO208-AG208</f>
        <v/>
      </c>
      <c r="BB208" s="119">
        <f>(AO208-AA208)-(AP208/1440)-(AW208/1440)</f>
        <v/>
      </c>
      <c r="BC208" s="117">
        <f>E208/AZ208</f>
        <v/>
      </c>
      <c r="BE208" s="117">
        <f>IF(E208&lt;10000,3000,IF(E208&lt;15000,3600,IF(E208&lt;20000,4500,IF(E208&lt;25000,6000,IF(E208&lt;30000,7500,IF(E208&lt;40000,9000,IF(E208&gt;40000,10000)))))))</f>
        <v/>
      </c>
      <c r="BF208" s="322">
        <f>(E208/BE208)+2</f>
        <v/>
      </c>
      <c r="BS208" s="127" t="inlineStr">
        <is>
          <t>CHANGE DU POSTE 2BIS VERS LA RADE LE 17/04- 1250 // RE-ACCOSTAGE AU POSTE 2N LE 23/04 - 0055</t>
        </is>
      </c>
      <c r="BT208" s="125" t="n">
        <v>2</v>
      </c>
      <c r="BU208" s="120" t="inlineStr">
        <is>
          <t>CLEAN</t>
        </is>
      </c>
      <c r="BV208" s="238" t="inlineStr">
        <is>
          <t>-</t>
        </is>
      </c>
      <c r="BW208" s="323">
        <f>AI208-AH208</f>
        <v/>
      </c>
      <c r="BX208" s="150" t="inlineStr">
        <is>
          <t>TBC</t>
        </is>
      </c>
      <c r="BY208" s="125" t="inlineStr">
        <is>
          <t>TBC</t>
        </is>
      </c>
      <c r="CB208" s="111" t="n">
        <v>23232</v>
      </c>
    </row>
    <row r="209" customFormat="1" s="230">
      <c r="A209" s="112" t="n">
        <v>145</v>
      </c>
      <c r="B209" s="342" t="inlineStr">
        <is>
          <t xml:space="preserve">SUA      </t>
        </is>
      </c>
      <c r="C209" s="108" t="n">
        <v>45770</v>
      </c>
      <c r="D209" s="318" t="n">
        <v>7120</v>
      </c>
      <c r="E209" s="318" t="n">
        <v>7120</v>
      </c>
      <c r="F209" s="232" t="n"/>
      <c r="G209" s="112" t="n">
        <v>1</v>
      </c>
      <c r="H209" s="115" t="inlineStr">
        <is>
          <t>NPK</t>
        </is>
      </c>
      <c r="I209" s="114" t="inlineStr">
        <is>
          <t xml:space="preserve">NPK 10 26 26 Low Cd </t>
        </is>
      </c>
      <c r="J209" s="115" t="inlineStr">
        <is>
          <t>FOB</t>
        </is>
      </c>
      <c r="K209" s="82" t="n">
        <v>525</v>
      </c>
      <c r="L209" s="341">
        <f>D209*K209</f>
        <v/>
      </c>
      <c r="M209" s="14" t="n"/>
      <c r="N209" s="335">
        <f>L209*M209</f>
        <v/>
      </c>
      <c r="Q209" s="115" t="inlineStr">
        <is>
          <t>EUROPE</t>
        </is>
      </c>
      <c r="R209" s="115" t="inlineStr">
        <is>
          <t>LATVIA</t>
        </is>
      </c>
      <c r="S209" s="113" t="n"/>
      <c r="T209" s="113" t="inlineStr">
        <is>
          <t>INSPECTORATE</t>
        </is>
      </c>
      <c r="U209" s="112" t="n">
        <v>120</v>
      </c>
      <c r="V209" s="129">
        <f>IF(U209&lt;130, "Mini Bulker", IF(AND(U209&gt;=130, U209&lt;150), "Handysize", IF(AND(U209&gt;=150, U209&lt;200), "Handymax", IF(AND(U209&gt;=200, U209&lt;230), "Panamax", IF(AND(U209&gt;=230, U209&lt;=270), "Capesize", "Autre")))))</f>
        <v/>
      </c>
      <c r="X209" s="111">
        <f>IF(E209&lt;9999,"1",IF(E209&lt;19999,"2",IF(E209&lt;29999,"3",IF(E209&lt;39999,"4",IF(E209&lt;49999,"5",IF(E209&gt;50000,"6"))))))</f>
        <v/>
      </c>
      <c r="Y209" s="115" t="inlineStr">
        <is>
          <t>1BIS</t>
        </is>
      </c>
      <c r="AA209" s="96" t="n">
        <v>45765.27083333334</v>
      </c>
      <c r="AB209" s="96" t="n">
        <v>45765.375</v>
      </c>
      <c r="AC209" s="108" t="n">
        <v>45766</v>
      </c>
      <c r="AD209" s="108" t="n">
        <v>45768</v>
      </c>
      <c r="AE209" s="96" t="n">
        <v>45765.24166666667</v>
      </c>
      <c r="AF209" s="96" t="n">
        <v>45769.53125</v>
      </c>
      <c r="AG209" s="96" t="n">
        <v>45769.55833333333</v>
      </c>
      <c r="AH209" s="96" t="n">
        <v>45769.57638888889</v>
      </c>
      <c r="AI209" s="96" t="n">
        <v>45769.66666666666</v>
      </c>
      <c r="AJ209" s="96" t="n">
        <v>45769.86111111111</v>
      </c>
      <c r="AK209" s="96" t="n">
        <v>45770.96875</v>
      </c>
      <c r="AL209" s="96" t="n">
        <v>45771.00902777778</v>
      </c>
      <c r="AM209" s="96" t="n">
        <v>45771.03125</v>
      </c>
      <c r="AN209" s="96" t="n">
        <v>45771.07847222222</v>
      </c>
      <c r="AO209" s="96" t="n">
        <v>45771.13611111111</v>
      </c>
      <c r="AP209" s="117">
        <f>(AG209-AF209)*1440</f>
        <v/>
      </c>
      <c r="AQ209" s="117">
        <f>(AG209-AE209)*1440</f>
        <v/>
      </c>
      <c r="AR209" s="117">
        <f>(AH209-AF209)*1440</f>
        <v/>
      </c>
      <c r="AS209" s="117">
        <f>(AI209-AH209)*1440</f>
        <v/>
      </c>
      <c r="AT209" s="117">
        <f>(AJ209-AH209)*1440</f>
        <v/>
      </c>
      <c r="AU209" s="117">
        <f>(AL209-AK209)*1440</f>
        <v/>
      </c>
      <c r="AV209" s="117">
        <f>(AM209-AL209)*1440</f>
        <v/>
      </c>
      <c r="AW209" s="117">
        <f>(AO209-AM209)*1440</f>
        <v/>
      </c>
      <c r="AX209" s="118">
        <f>AP209+AS209+AU209+AV209+AW209</f>
        <v/>
      </c>
      <c r="AY209" s="119">
        <f>(AG209-AA209)</f>
        <v/>
      </c>
      <c r="AZ209" s="119">
        <f>(AK209-AJ209)</f>
        <v/>
      </c>
      <c r="BA209" s="119">
        <f>AO209-AG209</f>
        <v/>
      </c>
      <c r="BB209" s="119">
        <f>(AO209-AA209)-(AP209/1440)-(AW209/1440)</f>
        <v/>
      </c>
      <c r="BC209" s="117">
        <f>E209/AZ209</f>
        <v/>
      </c>
      <c r="BE209" s="117">
        <f>IF(E209&lt;10000,3000,IF(E209&lt;15000,3600,IF(E209&lt;20000,4500,IF(E209&lt;25000,6000,IF(E209&lt;30000,7500,IF(E209&lt;40000,9000,IF(E209&gt;40000,10000)))))))</f>
        <v/>
      </c>
      <c r="BF209" s="322">
        <f>(E209/BE209)+2</f>
        <v/>
      </c>
      <c r="BS209" s="127" t="inlineStr">
        <is>
          <t>NUL</t>
        </is>
      </c>
      <c r="BT209" s="125" t="n">
        <v>0</v>
      </c>
      <c r="BU209" s="120" t="n"/>
      <c r="BV209" s="238" t="n"/>
      <c r="BW209" s="323">
        <f>AI209-AH209</f>
        <v/>
      </c>
      <c r="BX209" s="150" t="inlineStr">
        <is>
          <t>OUI</t>
        </is>
      </c>
      <c r="BY209" s="125" t="n">
        <v>28</v>
      </c>
      <c r="CB209" s="111" t="n">
        <v>5335</v>
      </c>
    </row>
    <row r="210" ht="14.55" customFormat="1" customHeight="1" s="230">
      <c r="A210" s="112" t="n">
        <v>149</v>
      </c>
      <c r="B210" s="342" t="inlineStr">
        <is>
          <t>LADY SEMA</t>
        </is>
      </c>
      <c r="C210" s="108" t="n">
        <v>45772</v>
      </c>
      <c r="D210" s="318" t="n">
        <v>5203</v>
      </c>
      <c r="E210" s="324">
        <f>D211+D210</f>
        <v/>
      </c>
      <c r="F210" s="232" t="n"/>
      <c r="G210" s="112" t="n">
        <v>2</v>
      </c>
      <c r="H210" s="115" t="inlineStr">
        <is>
          <t>TSP</t>
        </is>
      </c>
      <c r="I210" s="114" t="inlineStr">
        <is>
          <t xml:space="preserve">TSP CIV </t>
        </is>
      </c>
      <c r="J210" s="115" t="inlineStr">
        <is>
          <t>FOB</t>
        </is>
      </c>
      <c r="K210" s="195" t="n"/>
      <c r="L210" s="341">
        <f>D210*K210</f>
        <v/>
      </c>
      <c r="M210" s="14" t="n"/>
      <c r="N210" s="335">
        <f>L210*M210</f>
        <v/>
      </c>
      <c r="Q210" s="115" t="inlineStr">
        <is>
          <t>AFRIQUE</t>
        </is>
      </c>
      <c r="R210" s="115" t="inlineStr">
        <is>
          <t>GHANA</t>
        </is>
      </c>
      <c r="S210" s="113" t="n"/>
      <c r="T210" s="113" t="inlineStr">
        <is>
          <t>INSPECTORATE</t>
        </is>
      </c>
      <c r="U210" s="112" t="n">
        <v>137</v>
      </c>
      <c r="V210" s="129">
        <f>IF(U210&lt;130, "Mini Bulker", IF(AND(U210&gt;=130, U210&lt;150), "Handysize", IF(AND(U210&gt;=150, U210&lt;200), "Handymax", IF(AND(U210&gt;=200, U210&lt;230), "Panamax", IF(AND(U210&gt;=230, U210&lt;=270), "Capesize", "Autre")))))</f>
        <v/>
      </c>
      <c r="X210" s="111">
        <f>IF(E210&lt;9999,"1",IF(E210&lt;19999,"2",IF(E210&lt;29999,"3",IF(E210&lt;39999,"4",IF(E210&lt;49999,"5",IF(E210&gt;50000,"6"))))))</f>
        <v/>
      </c>
      <c r="Y210" s="115" t="inlineStr">
        <is>
          <t>2TER</t>
        </is>
      </c>
      <c r="AA210" s="96" t="n">
        <v>45769.70138888889</v>
      </c>
      <c r="AB210" s="96" t="n">
        <v>45769.70138888889</v>
      </c>
      <c r="AC210" s="108" t="n">
        <v>45767</v>
      </c>
      <c r="AD210" s="108" t="n">
        <v>45770</v>
      </c>
      <c r="AE210" s="96" t="n">
        <v>45768.78472222222</v>
      </c>
      <c r="AF210" s="96" t="n">
        <v>45770.64722222222</v>
      </c>
      <c r="AG210" s="96" t="n">
        <v>45770.69444444445</v>
      </c>
      <c r="AH210" s="96" t="n">
        <v>45770.71875</v>
      </c>
      <c r="AI210" s="96" t="n">
        <v>45770.76736111111</v>
      </c>
      <c r="AJ210" s="96" t="n">
        <v>45770.84722222222</v>
      </c>
      <c r="AK210" s="96" t="n">
        <v>45772.95486111111</v>
      </c>
      <c r="AL210" s="96" t="n">
        <v>45772.98611111111</v>
      </c>
      <c r="AM210" s="96" t="n">
        <v>45773.00694444445</v>
      </c>
      <c r="AN210" s="96" t="n">
        <v>45773.03611111111</v>
      </c>
      <c r="AO210" s="96" t="n">
        <v>45773.06944444445</v>
      </c>
      <c r="AP210" s="117">
        <f>(AG210-AF210)*1440</f>
        <v/>
      </c>
      <c r="AQ210" s="117">
        <f>(AG210-AE210)*1440</f>
        <v/>
      </c>
      <c r="AR210" s="117">
        <f>(AH210-AF210)*1440</f>
        <v/>
      </c>
      <c r="AS210" s="117">
        <f>(AI210-AH210)*1440</f>
        <v/>
      </c>
      <c r="AT210" s="117">
        <f>(AJ210-AH210)*1440</f>
        <v/>
      </c>
      <c r="AU210" s="117">
        <f>(AL210-AK210)*1440</f>
        <v/>
      </c>
      <c r="AV210" s="117">
        <f>(AM210-AL210)*1440</f>
        <v/>
      </c>
      <c r="AW210" s="117">
        <f>(AO210-AM210)*1440</f>
        <v/>
      </c>
      <c r="AX210" s="118">
        <f>AP210+AS210+AU210+AV210+AW210</f>
        <v/>
      </c>
      <c r="AY210" s="119">
        <f>(AG210-AA210)</f>
        <v/>
      </c>
      <c r="AZ210" s="119">
        <f>(AK210-AJ210)</f>
        <v/>
      </c>
      <c r="BA210" s="119">
        <f>AO210-AG210</f>
        <v/>
      </c>
      <c r="BB210" s="119">
        <f>(AO210-AA210)-(AP210/1440)-(AW210/1440)</f>
        <v/>
      </c>
      <c r="BC210" s="117">
        <f>E210/AZ210</f>
        <v/>
      </c>
      <c r="BE210" s="117">
        <f>IF(E210&lt;10000,3000,IF(E210&lt;15000,3600,IF(E210&lt;20000,4500,IF(E210&lt;25000,6000,IF(E210&lt;30000,7500,IF(E210&lt;40000,9000,IF(E210&gt;40000,10000)))))))</f>
        <v/>
      </c>
      <c r="BF210" s="322">
        <f>(E210/BE210)+2</f>
        <v/>
      </c>
      <c r="BS210" s="127" t="inlineStr">
        <is>
          <t>NUL</t>
        </is>
      </c>
      <c r="BT210" s="125" t="n">
        <v>0</v>
      </c>
      <c r="BU210" s="120" t="inlineStr">
        <is>
          <t>CLEAN</t>
        </is>
      </c>
      <c r="BV210" s="223" t="n"/>
      <c r="BW210" s="323">
        <f>AI210-AH210</f>
        <v/>
      </c>
      <c r="BX210" s="120" t="n"/>
      <c r="BY210" s="120" t="n">
        <v>30</v>
      </c>
      <c r="CB210" s="111" t="n">
        <v>9978</v>
      </c>
    </row>
    <row r="211" ht="15" customFormat="1" customHeight="1" s="230">
      <c r="B211" s="342" t="inlineStr">
        <is>
          <t>LADY SEMA</t>
        </is>
      </c>
      <c r="C211" s="108" t="n">
        <v>45772</v>
      </c>
      <c r="D211" s="318" t="n">
        <v>10500</v>
      </c>
      <c r="E211" s="325" t="n"/>
      <c r="F211" s="232" t="n"/>
      <c r="G211" s="112" t="n">
        <v>2</v>
      </c>
      <c r="H211" s="115" t="inlineStr">
        <is>
          <t>DAP</t>
        </is>
      </c>
      <c r="I211" s="114" t="inlineStr">
        <is>
          <t xml:space="preserve">DAP STANDARD </t>
        </is>
      </c>
      <c r="J211" s="115" t="inlineStr">
        <is>
          <t>FOB</t>
        </is>
      </c>
      <c r="K211" s="195" t="n"/>
      <c r="L211" s="341">
        <f>D211*K211</f>
        <v/>
      </c>
      <c r="M211" s="14" t="n"/>
      <c r="N211" s="335">
        <f>L211*M211</f>
        <v/>
      </c>
      <c r="Q211" s="115" t="inlineStr">
        <is>
          <t>AFRIQUE</t>
        </is>
      </c>
      <c r="R211" s="115" t="inlineStr">
        <is>
          <t>GHANA</t>
        </is>
      </c>
      <c r="S211" s="113" t="n"/>
      <c r="T211" s="113" t="inlineStr">
        <is>
          <t>INSPECTORATE</t>
        </is>
      </c>
      <c r="U211" s="112" t="n">
        <v>137</v>
      </c>
      <c r="V211" s="129">
        <f>IF(U211&lt;130, "Mini Bulker", IF(AND(U211&gt;=130, U211&lt;150), "Handysize", IF(AND(U211&gt;=150, U211&lt;200), "Handymax", IF(AND(U211&gt;=200, U211&lt;230), "Panamax", IF(AND(U211&gt;=230, U211&lt;=270), "Capesize", "Autre")))))</f>
        <v/>
      </c>
      <c r="X211" s="111">
        <f>IF(E211&lt;9999,"1",IF(E211&lt;19999,"2",IF(E211&lt;29999,"3",IF(E211&lt;39999,"4",IF(E211&lt;49999,"5",IF(E211&gt;50000,"6"))))))</f>
        <v/>
      </c>
      <c r="Y211" s="115" t="inlineStr">
        <is>
          <t>2TER</t>
        </is>
      </c>
      <c r="AA211" s="151" t="n"/>
      <c r="AB211" s="151" t="n"/>
      <c r="AC211" s="151" t="n"/>
      <c r="AD211" s="151" t="n"/>
      <c r="AE211" s="151" t="n"/>
      <c r="AF211" s="151" t="n"/>
      <c r="AG211" s="151" t="n"/>
      <c r="AH211" s="151" t="n"/>
      <c r="AI211" s="151" t="n"/>
      <c r="AJ211" s="151" t="n"/>
      <c r="AK211" s="151" t="n"/>
      <c r="AL211" s="151" t="n"/>
      <c r="AM211" s="151" t="n"/>
      <c r="AN211" s="151" t="n"/>
      <c r="AO211" s="151" t="n"/>
      <c r="AP211" s="151" t="n"/>
      <c r="AQ211" s="151" t="n"/>
      <c r="AR211" s="151" t="n"/>
      <c r="AS211" s="151" t="n"/>
      <c r="AT211" s="151" t="n"/>
      <c r="AU211" s="151" t="n"/>
      <c r="AV211" s="151" t="n"/>
      <c r="AW211" s="151" t="n"/>
      <c r="AX211" s="151" t="n"/>
      <c r="AY211" s="151" t="n"/>
      <c r="AZ211" s="151" t="n"/>
      <c r="BA211" s="151" t="n"/>
      <c r="BB211" s="151" t="n"/>
      <c r="BC211" s="151" t="n"/>
      <c r="BD211" s="151" t="n"/>
      <c r="BE211" s="151" t="n"/>
      <c r="BF211" s="151" t="n"/>
      <c r="BG211" s="98" t="n"/>
      <c r="BH211" s="98" t="n"/>
      <c r="BI211" s="98" t="n"/>
      <c r="BJ211" s="98" t="n"/>
      <c r="BK211" s="98" t="n"/>
      <c r="BL211" s="98" t="n"/>
      <c r="BM211" s="98" t="n"/>
      <c r="BN211" s="98" t="n"/>
      <c r="BO211" s="98" t="n"/>
      <c r="BP211" s="98" t="n"/>
      <c r="BQ211" s="98" t="n"/>
      <c r="BR211" s="98" t="n"/>
      <c r="BS211" s="127" t="inlineStr">
        <is>
          <t>NUL</t>
        </is>
      </c>
      <c r="BT211" s="125" t="n">
        <v>0</v>
      </c>
      <c r="BU211" s="120" t="inlineStr">
        <is>
          <t>CLEAN</t>
        </is>
      </c>
      <c r="BV211" s="223" t="n"/>
      <c r="BW211" s="323">
        <f>AI211-AH211</f>
        <v/>
      </c>
      <c r="BX211" s="120" t="n"/>
      <c r="BY211" s="120" t="n">
        <v>30</v>
      </c>
      <c r="CB211" s="225" t="n"/>
    </row>
    <row r="212" customFormat="1" s="230">
      <c r="A212" s="112" t="n">
        <v>146</v>
      </c>
      <c r="B212" s="342" t="inlineStr">
        <is>
          <t>MEMNUNE K</t>
        </is>
      </c>
      <c r="C212" s="108" t="n">
        <v>45772</v>
      </c>
      <c r="D212" s="318" t="n">
        <v>1200</v>
      </c>
      <c r="E212" s="324">
        <f>D213+D212</f>
        <v/>
      </c>
      <c r="F212" s="232" t="n"/>
      <c r="G212" s="112" t="n">
        <v>2</v>
      </c>
      <c r="H212" s="115" t="inlineStr">
        <is>
          <t>DAP</t>
        </is>
      </c>
      <c r="I212" s="114" t="inlineStr">
        <is>
          <t xml:space="preserve">DAP Euro Low Cd </t>
        </is>
      </c>
      <c r="J212" s="115" t="inlineStr">
        <is>
          <t>CFR</t>
        </is>
      </c>
      <c r="K212" s="195" t="n">
        <v>669</v>
      </c>
      <c r="L212" s="341">
        <f>D212*K212</f>
        <v/>
      </c>
      <c r="M212" s="14" t="n"/>
      <c r="N212" s="335">
        <f>L212*M212</f>
        <v/>
      </c>
      <c r="Q212" s="115" t="inlineStr">
        <is>
          <t>EUROPE</t>
        </is>
      </c>
      <c r="R212" s="115" t="inlineStr">
        <is>
          <t>France</t>
        </is>
      </c>
      <c r="S212" s="113" t="n"/>
      <c r="T212" s="113" t="inlineStr">
        <is>
          <t>INSPECTORATE</t>
        </is>
      </c>
      <c r="U212" s="112" t="n">
        <v>90</v>
      </c>
      <c r="V212" s="129">
        <f>IF(U212&lt;130, "Mini Bulker", IF(AND(U212&gt;=130, U212&lt;150), "Handysize", IF(AND(U212&gt;=150, U212&lt;200), "Handymax", IF(AND(U212&gt;=200, U212&lt;230), "Panamax", IF(AND(U212&gt;=230, U212&lt;=270), "Capesize", "Autre")))))</f>
        <v/>
      </c>
      <c r="X212" s="111">
        <f>IF(E212&lt;9999,"1",IF(E212&lt;19999,"2",IF(E212&lt;29999,"3",IF(E212&lt;39999,"4",IF(E212&lt;49999,"5",IF(E212&gt;50000,"6"))))))</f>
        <v/>
      </c>
      <c r="Y212" s="115" t="inlineStr">
        <is>
          <t>1N/1BIS/1SUD/5/1BIS</t>
        </is>
      </c>
      <c r="AA212" s="96" t="n">
        <v>45765.99305555555</v>
      </c>
      <c r="AB212" s="96" t="n">
        <v>45766.375</v>
      </c>
      <c r="AC212" s="108" t="n">
        <v>45759</v>
      </c>
      <c r="AD212" s="108" t="n">
        <v>45761</v>
      </c>
      <c r="AE212" s="96" t="n">
        <v>45765.99305555555</v>
      </c>
      <c r="AF212" s="96" t="n">
        <v>45767.11805555555</v>
      </c>
      <c r="AG212" s="96" t="n">
        <v>45767.18402777778</v>
      </c>
      <c r="AH212" s="96" t="n">
        <v>45767.19444444445</v>
      </c>
      <c r="AI212" s="96" t="n">
        <v>45767.35069444445</v>
      </c>
      <c r="AJ212" s="96" t="n">
        <v>45767.37847222222</v>
      </c>
      <c r="AK212" s="96" t="n">
        <v>45772.17708333334</v>
      </c>
      <c r="AL212" s="96" t="n">
        <v>45772.21527777778</v>
      </c>
      <c r="AM212" s="96" t="n">
        <v>45772.23958333334</v>
      </c>
      <c r="AN212" s="96" t="n">
        <v>45772.28125</v>
      </c>
      <c r="AO212" s="96" t="n">
        <v>45772.28333333333</v>
      </c>
      <c r="AP212" s="117">
        <f>(AG212-AF212)*1440</f>
        <v/>
      </c>
      <c r="AQ212" s="117">
        <f>(AG212-AE212)*1440</f>
        <v/>
      </c>
      <c r="AR212" s="117">
        <f>(AH212-AF212)*1440</f>
        <v/>
      </c>
      <c r="AS212" s="117">
        <f>(AI212-AH212)*1440</f>
        <v/>
      </c>
      <c r="AT212" s="117">
        <f>(AJ212-AH212)*1440</f>
        <v/>
      </c>
      <c r="AU212" s="117">
        <f>(AL212-AK212)*1440</f>
        <v/>
      </c>
      <c r="AV212" s="117">
        <f>(AM212-AL212)*1440</f>
        <v/>
      </c>
      <c r="AW212" s="117">
        <f>(AO212-AM212)*1440</f>
        <v/>
      </c>
      <c r="AX212" s="118">
        <f>AP212+AS212+AU212+AV212+AW212</f>
        <v/>
      </c>
      <c r="AY212" s="119">
        <f>(AG212-AA212)</f>
        <v/>
      </c>
      <c r="AZ212" s="119">
        <f>(AK212-AJ212)</f>
        <v/>
      </c>
      <c r="BA212" s="119">
        <f>AO212-AG212</f>
        <v/>
      </c>
      <c r="BB212" s="119">
        <f>(AO212-AA212)-(AP212/1440)-(AW212/1440)</f>
        <v/>
      </c>
      <c r="BC212" s="117">
        <f>E212/AZ212</f>
        <v/>
      </c>
      <c r="BE212" s="117">
        <f>IF(E212&lt;10000,3000,IF(E212&lt;15000,3600,IF(E212&lt;20000,4500,IF(E212&lt;25000,6000,IF(E212&lt;30000,7500,IF(E212&lt;40000,9000,IF(E212&gt;40000,10000)))))))</f>
        <v/>
      </c>
      <c r="BF212" s="322">
        <f>(E212/BE212)+2</f>
        <v/>
      </c>
      <c r="BS212" s="127" t="inlineStr">
        <is>
          <t>DEHALAGE VERS L'EXTREMITE LE 20/04- 1345 // CHANGE DU POSTE 1N VERS POSTE 1BIS LE 21/04- 1720 // CHANGE DU POSTE 1BIS AU POSTE 1SUD LE 22/04 - 1245 // CHANGE DU POSTE 1SUD AU POSTE 5S LE 23/04 - 1730 // CHANGE DU POSTE 5S AU POSTE 1BIS LE 24/04 - 0605</t>
        </is>
      </c>
      <c r="BT212" s="125" t="n">
        <v>5</v>
      </c>
      <c r="BU212" s="97" t="inlineStr">
        <is>
          <t>NAVIRE NON PRÊT</t>
        </is>
      </c>
      <c r="BV212" s="120" t="inlineStr">
        <is>
          <t>SEALING AND SEPARATION OF BULK HEAD</t>
        </is>
      </c>
      <c r="BW212" s="323">
        <f>AI212-AH212</f>
        <v/>
      </c>
      <c r="BX212" s="120" t="inlineStr">
        <is>
          <t>NUL</t>
        </is>
      </c>
      <c r="BY212" s="120" t="inlineStr">
        <is>
          <t>NUL</t>
        </is>
      </c>
      <c r="CB212" s="111" t="n">
        <v>2997</v>
      </c>
    </row>
    <row r="213" ht="14.55" customFormat="1" customHeight="1" s="230">
      <c r="B213" s="342" t="inlineStr">
        <is>
          <t>MEMNUNE K</t>
        </is>
      </c>
      <c r="C213" s="108" t="n">
        <v>45772</v>
      </c>
      <c r="D213" s="318" t="n">
        <v>2600</v>
      </c>
      <c r="E213" s="325" t="n"/>
      <c r="F213" s="232" t="n"/>
      <c r="G213" s="112" t="n">
        <v>2</v>
      </c>
      <c r="H213" s="115" t="inlineStr">
        <is>
          <t>MAP</t>
        </is>
      </c>
      <c r="I213" s="114" t="inlineStr">
        <is>
          <t xml:space="preserve">MAP 11 52 Special Low Cd </t>
        </is>
      </c>
      <c r="J213" s="115" t="inlineStr">
        <is>
          <t>CFR</t>
        </is>
      </c>
      <c r="K213" s="82" t="n">
        <v>664</v>
      </c>
      <c r="L213" s="341">
        <f>D213*K213</f>
        <v/>
      </c>
      <c r="M213" s="14" t="n"/>
      <c r="N213" s="335">
        <f>L213*M213</f>
        <v/>
      </c>
      <c r="Q213" s="115" t="inlineStr">
        <is>
          <t>EUROPE</t>
        </is>
      </c>
      <c r="R213" s="115" t="inlineStr">
        <is>
          <t>France</t>
        </is>
      </c>
      <c r="S213" s="113" t="n"/>
      <c r="T213" s="113" t="inlineStr">
        <is>
          <t>INSPECTORATE</t>
        </is>
      </c>
      <c r="U213" s="112" t="n">
        <v>90</v>
      </c>
      <c r="V213" s="129">
        <f>IF(U213&lt;130, "Mini Bulker", IF(AND(U213&gt;=130, U213&lt;150), "Handysize", IF(AND(U213&gt;=150, U213&lt;200), "Handymax", IF(AND(U213&gt;=200, U213&lt;230), "Panamax", IF(AND(U213&gt;=230, U213&lt;=270), "Capesize", "Autre")))))</f>
        <v/>
      </c>
      <c r="X213" s="111">
        <f>IF(E213&lt;9999,"1",IF(E213&lt;19999,"2",IF(E213&lt;29999,"3",IF(E213&lt;39999,"4",IF(E213&lt;49999,"5",IF(E213&gt;50000,"6"))))))</f>
        <v/>
      </c>
      <c r="Y213" s="115" t="inlineStr">
        <is>
          <t>1N/1BIS/1SUD/5/1BIS</t>
        </is>
      </c>
      <c r="AA213" s="217" t="n"/>
      <c r="AB213" s="217" t="n"/>
      <c r="AC213" s="151" t="n"/>
      <c r="AD213" s="151" t="n"/>
      <c r="AE213" s="217" t="n"/>
      <c r="AF213" s="217" t="n"/>
      <c r="AG213" s="217" t="n"/>
      <c r="AH213" s="217" t="n"/>
      <c r="AI213" s="217" t="n"/>
      <c r="AJ213" s="217" t="n"/>
      <c r="AK213" s="217" t="n"/>
      <c r="AL213" s="217" t="n"/>
      <c r="AM213" s="217" t="n"/>
      <c r="AN213" s="217" t="n"/>
      <c r="AO213" s="217" t="n"/>
      <c r="AP213" s="151" t="n"/>
      <c r="AQ213" s="151" t="n"/>
      <c r="AR213" s="151" t="n"/>
      <c r="AS213" s="151" t="n"/>
      <c r="AT213" s="151" t="n"/>
      <c r="AU213" s="151" t="n"/>
      <c r="AV213" s="151" t="n"/>
      <c r="AW213" s="151" t="n"/>
      <c r="AX213" s="151" t="n"/>
      <c r="AY213" s="151" t="n"/>
      <c r="AZ213" s="151" t="n"/>
      <c r="BA213" s="151" t="n"/>
      <c r="BB213" s="151" t="n"/>
      <c r="BC213" s="151" t="n"/>
      <c r="BD213" s="224" t="n"/>
      <c r="BE213" s="151" t="n"/>
      <c r="BF213" s="151" t="n"/>
      <c r="BG213" s="220" t="n"/>
      <c r="BH213" s="220" t="n"/>
      <c r="BI213" s="220" t="n"/>
      <c r="BJ213" s="220" t="n"/>
      <c r="BK213" s="220" t="n"/>
      <c r="BL213" s="220" t="n"/>
      <c r="BM213" s="220" t="n"/>
      <c r="BN213" s="220" t="n"/>
      <c r="BO213" s="220" t="n"/>
      <c r="BP213" s="220" t="n"/>
      <c r="BQ213" s="220" t="n"/>
      <c r="BR213" s="220" t="n"/>
      <c r="BS213" s="127" t="inlineStr">
        <is>
          <t>DEHALAGE VERS L'EXTREMITE LE 20/04- 1345 // CHANGE DU POSTE 1N VERS POSTE 1BIS LE 21/04- 1720 // CHANGE DU POSTE 1BIS AU POSTE 1SUD LE 22/04 - 1245 // CHANGE DU POSTE 1SUD AU POSTE 5S LE 23/04 - 1730 // CHANGE DU POSTE 5S AU POSTE 1BIS LE 24/04 - 0605</t>
        </is>
      </c>
      <c r="BT213" s="125" t="n">
        <v>5</v>
      </c>
      <c r="BU213" s="120" t="n"/>
      <c r="BV213" s="120" t="n"/>
      <c r="BW213" s="323">
        <f>AI213-AH213</f>
        <v/>
      </c>
      <c r="BX213" s="120" t="inlineStr">
        <is>
          <t>NUL</t>
        </is>
      </c>
      <c r="BY213" s="120" t="inlineStr">
        <is>
          <t>NUL</t>
        </is>
      </c>
      <c r="CB213" s="111" t="n"/>
    </row>
    <row r="214" ht="14.55" customFormat="1" customHeight="1" s="230">
      <c r="A214" s="112" t="n">
        <v>148</v>
      </c>
      <c r="B214" s="342" t="inlineStr">
        <is>
          <t xml:space="preserve">UNI BLOSSOM </t>
        </is>
      </c>
      <c r="C214" s="108" t="n">
        <v>45772</v>
      </c>
      <c r="D214" s="318" t="n">
        <v>16500</v>
      </c>
      <c r="E214" s="324">
        <f>D215+D214</f>
        <v/>
      </c>
      <c r="F214" s="232" t="n"/>
      <c r="G214" s="112" t="n">
        <v>2</v>
      </c>
      <c r="H214" s="115" t="inlineStr">
        <is>
          <t>MAP</t>
        </is>
      </c>
      <c r="I214" s="114" t="inlineStr">
        <is>
          <t xml:space="preserve">MAP 11 52 SPECIAL </t>
        </is>
      </c>
      <c r="J214" s="115" t="inlineStr">
        <is>
          <t>FOB</t>
        </is>
      </c>
      <c r="K214" s="82" t="n">
        <v>660</v>
      </c>
      <c r="L214" s="341">
        <f>D214*K214</f>
        <v/>
      </c>
      <c r="M214" s="14" t="n"/>
      <c r="N214" s="335">
        <f>L214*M214</f>
        <v/>
      </c>
      <c r="Q214" s="115" t="inlineStr">
        <is>
          <t>AMERIQUE LATINE</t>
        </is>
      </c>
      <c r="R214" s="115" t="inlineStr">
        <is>
          <t>ARGENTINA</t>
        </is>
      </c>
      <c r="S214" s="113" t="n"/>
      <c r="T214" s="113" t="inlineStr">
        <is>
          <t>INTERTEK</t>
        </is>
      </c>
      <c r="U214" s="112" t="n">
        <v>180</v>
      </c>
      <c r="V214" s="129">
        <f>IF(U214&lt;130, "Mini Bulker", IF(AND(U214&gt;=130, U214&lt;150), "Handysize", IF(AND(U214&gt;=150, U214&lt;200), "Handymax", IF(AND(U214&gt;=200, U214&lt;230), "Panamax", IF(AND(U214&gt;=230, U214&lt;=270), "Capesize", "Autre")))))</f>
        <v/>
      </c>
      <c r="X214" s="111">
        <f>IF(E214&lt;9999,"1",IF(E214&lt;19999,"2",IF(E214&lt;29999,"3",IF(E214&lt;39999,"4",IF(E214&lt;49999,"5",IF(E214&gt;50000,"6"))))))</f>
        <v/>
      </c>
      <c r="Y214" s="115" t="inlineStr">
        <is>
          <t>2BIS</t>
        </is>
      </c>
      <c r="AA214" s="121" t="n">
        <v>45769.0125</v>
      </c>
      <c r="AB214" s="121" t="n">
        <v>45769.375</v>
      </c>
      <c r="AC214" s="108" t="n">
        <v>45772</v>
      </c>
      <c r="AD214" s="108" t="n">
        <v>45777</v>
      </c>
      <c r="AE214" s="121" t="n">
        <v>45768.33333333334</v>
      </c>
      <c r="AF214" s="121" t="n">
        <v>45769.0375</v>
      </c>
      <c r="AG214" s="121" t="n">
        <v>45769.07083333333</v>
      </c>
      <c r="AH214" s="121" t="n">
        <v>45769.07638888889</v>
      </c>
      <c r="AI214" s="121" t="n">
        <v>45769.57638888889</v>
      </c>
      <c r="AJ214" s="121" t="n">
        <v>45769.65972222222</v>
      </c>
      <c r="AK214" s="121" t="n">
        <v>45772.68055555555</v>
      </c>
      <c r="AL214" s="121" t="n">
        <v>45772.73958333334</v>
      </c>
      <c r="AM214" s="121" t="n">
        <v>45772.74305555555</v>
      </c>
      <c r="AN214" s="121" t="n">
        <v>45772.78472222222</v>
      </c>
      <c r="AO214" s="121" t="n">
        <v>45772.8</v>
      </c>
      <c r="AP214" s="117">
        <f>(AG214-AF214)*1440</f>
        <v/>
      </c>
      <c r="AQ214" s="117">
        <f>(AG214-AE214)*1440</f>
        <v/>
      </c>
      <c r="AR214" s="117">
        <f>(AH214-AF214)*1440</f>
        <v/>
      </c>
      <c r="AS214" s="117">
        <f>(AI214-AH214)*1440</f>
        <v/>
      </c>
      <c r="AT214" s="117">
        <f>(AJ214-AH214)*1440</f>
        <v/>
      </c>
      <c r="AU214" s="117">
        <f>(AL214-AK214)*1440</f>
        <v/>
      </c>
      <c r="AV214" s="117">
        <f>(AM214-AL214)*1440</f>
        <v/>
      </c>
      <c r="AW214" s="117">
        <f>(AO214-AM214)*1440</f>
        <v/>
      </c>
      <c r="AX214" s="118">
        <f>AP214+AS214+AU214+AV214+AW214</f>
        <v/>
      </c>
      <c r="AY214" s="119">
        <f>(AG214-AA214)</f>
        <v/>
      </c>
      <c r="AZ214" s="119">
        <f>(AK214-AJ214)</f>
        <v/>
      </c>
      <c r="BA214" s="119">
        <f>AO214-AG214</f>
        <v/>
      </c>
      <c r="BB214" s="119">
        <f>(AO214-AA214)-(AP214/1440)-(AW214/1440)</f>
        <v/>
      </c>
      <c r="BC214" s="117">
        <f>E214/AZ214</f>
        <v/>
      </c>
      <c r="BD214" s="225" t="n"/>
      <c r="BE214" s="117">
        <f>IF(E214&lt;10000,3000,IF(E214&lt;15000,3600,IF(E214&lt;20000,4500,IF(E214&lt;25000,6000,IF(E214&lt;30000,7500,IF(E214&lt;40000,9000,IF(E214&gt;40000,10000)))))))</f>
        <v/>
      </c>
      <c r="BF214" s="322">
        <f>(E214/BE214)+2</f>
        <v/>
      </c>
      <c r="BG214" s="208" t="n"/>
      <c r="BH214" s="208" t="n"/>
      <c r="BI214" s="208" t="n"/>
      <c r="BJ214" s="208" t="n"/>
      <c r="BK214" s="208" t="n"/>
      <c r="BL214" s="208" t="n"/>
      <c r="BM214" s="208" t="n"/>
      <c r="BN214" s="208" t="n"/>
      <c r="BO214" s="208" t="n"/>
      <c r="BP214" s="208" t="n"/>
      <c r="BQ214" s="208" t="n"/>
      <c r="BR214" s="208" t="n"/>
      <c r="BS214" s="127" t="inlineStr">
        <is>
          <t>NUL</t>
        </is>
      </c>
      <c r="BT214" s="125" t="n">
        <v>0</v>
      </c>
      <c r="BU214" s="120" t="n"/>
      <c r="BV214" s="120" t="n"/>
      <c r="BW214" s="323">
        <f>AI214-AH214</f>
        <v/>
      </c>
      <c r="BX214" s="150" t="inlineStr">
        <is>
          <t>NUL</t>
        </is>
      </c>
      <c r="BY214" s="150" t="inlineStr">
        <is>
          <t>NUL</t>
        </is>
      </c>
      <c r="CB214" s="112" t="n">
        <v>23303</v>
      </c>
    </row>
    <row r="215" ht="15" customFormat="1" customHeight="1" s="230">
      <c r="B215" s="342" t="inlineStr">
        <is>
          <t xml:space="preserve">UNI BLOSSOM </t>
        </is>
      </c>
      <c r="C215" s="108" t="n">
        <v>45772</v>
      </c>
      <c r="D215" s="318" t="n">
        <v>16500</v>
      </c>
      <c r="E215" s="325" t="n"/>
      <c r="F215" s="232" t="n"/>
      <c r="G215" s="112" t="n">
        <v>2</v>
      </c>
      <c r="H215" s="115" t="inlineStr">
        <is>
          <t>MAP</t>
        </is>
      </c>
      <c r="I215" s="114" t="inlineStr">
        <is>
          <t xml:space="preserve">MAP 10 50 SPECIAL </t>
        </is>
      </c>
      <c r="J215" s="115" t="inlineStr">
        <is>
          <t>FOB</t>
        </is>
      </c>
      <c r="K215" s="82" t="n">
        <v>635</v>
      </c>
      <c r="L215" s="341">
        <f>D215*K215</f>
        <v/>
      </c>
      <c r="M215" s="14" t="n"/>
      <c r="N215" s="335">
        <f>L215*M215</f>
        <v/>
      </c>
      <c r="Q215" s="115" t="inlineStr">
        <is>
          <t>AMERIQUE LATINE</t>
        </is>
      </c>
      <c r="R215" s="115" t="inlineStr">
        <is>
          <t>ARGENTINA</t>
        </is>
      </c>
      <c r="S215" s="113" t="n"/>
      <c r="T215" s="113" t="inlineStr">
        <is>
          <t>INTERTEK</t>
        </is>
      </c>
      <c r="U215" s="112" t="n">
        <v>180</v>
      </c>
      <c r="V215" s="129">
        <f>IF(U215&lt;130, "Mini Bulker", IF(AND(U215&gt;=130, U215&lt;150), "Handysize", IF(AND(U215&gt;=150, U215&lt;200), "Handymax", IF(AND(U215&gt;=200, U215&lt;230), "Panamax", IF(AND(U215&gt;=230, U215&lt;=270), "Capesize", "Autre")))))</f>
        <v/>
      </c>
      <c r="X215" s="111">
        <f>IF(E215&lt;9999,"1",IF(E215&lt;19999,"2",IF(E215&lt;29999,"3",IF(E215&lt;39999,"4",IF(E215&lt;49999,"5",IF(E215&gt;50000,"6"))))))</f>
        <v/>
      </c>
      <c r="Y215" s="115" t="inlineStr">
        <is>
          <t>2BIS</t>
        </is>
      </c>
      <c r="AA215" s="217" t="n"/>
      <c r="AB215" s="217" t="n"/>
      <c r="AC215" s="151" t="n"/>
      <c r="AD215" s="151" t="n"/>
      <c r="AE215" s="217" t="n"/>
      <c r="AF215" s="217" t="n"/>
      <c r="AG215" s="217" t="n"/>
      <c r="AH215" s="217" t="n"/>
      <c r="AI215" s="217" t="n"/>
      <c r="AJ215" s="217" t="n"/>
      <c r="AK215" s="217" t="n"/>
      <c r="AL215" s="217" t="n"/>
      <c r="AM215" s="217" t="n"/>
      <c r="AN215" s="217" t="n"/>
      <c r="AO215" s="217" t="n"/>
      <c r="AP215" s="151" t="n"/>
      <c r="AQ215" s="151" t="n"/>
      <c r="AR215" s="151" t="n"/>
      <c r="AS215" s="151" t="n"/>
      <c r="AT215" s="151" t="n"/>
      <c r="AU215" s="151" t="n"/>
      <c r="AV215" s="151" t="n"/>
      <c r="AW215" s="151" t="n"/>
      <c r="AX215" s="151" t="n"/>
      <c r="AY215" s="151" t="n"/>
      <c r="AZ215" s="151" t="n"/>
      <c r="BA215" s="151" t="n"/>
      <c r="BB215" s="151" t="n"/>
      <c r="BC215" s="151" t="n"/>
      <c r="BD215" s="224" t="n"/>
      <c r="BE215" s="151" t="n"/>
      <c r="BF215" s="151" t="n"/>
      <c r="BG215" s="220" t="n"/>
      <c r="BH215" s="220" t="n"/>
      <c r="BI215" s="220" t="n"/>
      <c r="BJ215" s="220" t="n"/>
      <c r="BK215" s="220" t="n"/>
      <c r="BL215" s="220" t="n"/>
      <c r="BM215" s="220" t="n"/>
      <c r="BN215" s="220" t="n"/>
      <c r="BO215" s="220" t="n"/>
      <c r="BP215" s="220" t="n"/>
      <c r="BQ215" s="220" t="n"/>
      <c r="BR215" s="220" t="n"/>
      <c r="BS215" s="127" t="inlineStr">
        <is>
          <t>NUL</t>
        </is>
      </c>
      <c r="BT215" s="125" t="n">
        <v>0</v>
      </c>
      <c r="BU215" s="125" t="n"/>
      <c r="BV215" s="125" t="n"/>
      <c r="BW215" s="323">
        <f>AI215-AH215</f>
        <v/>
      </c>
      <c r="BX215" s="150" t="inlineStr">
        <is>
          <t>NUL</t>
        </is>
      </c>
      <c r="BY215" s="150" t="inlineStr">
        <is>
          <t>NUL</t>
        </is>
      </c>
      <c r="CB215" s="225" t="n"/>
    </row>
    <row r="216" ht="15" customFormat="1" customHeight="1" s="230">
      <c r="A216" s="112" t="n">
        <v>147</v>
      </c>
      <c r="B216" s="342" t="inlineStr">
        <is>
          <t>YANGZE 9</t>
        </is>
      </c>
      <c r="C216" s="108" t="n">
        <v>45772</v>
      </c>
      <c r="D216" s="318" t="n">
        <v>58501</v>
      </c>
      <c r="E216" s="318" t="n">
        <v>58501</v>
      </c>
      <c r="F216" s="232" t="n"/>
      <c r="G216" s="112" t="n">
        <v>1</v>
      </c>
      <c r="H216" s="115" t="inlineStr">
        <is>
          <t>DAP</t>
        </is>
      </c>
      <c r="I216" s="114" t="inlineStr">
        <is>
          <t xml:space="preserve">DAP STANDARD </t>
        </is>
      </c>
      <c r="J216" s="115" t="inlineStr">
        <is>
          <t>CFR</t>
        </is>
      </c>
      <c r="K216" s="82" t="n">
        <v>655</v>
      </c>
      <c r="L216" s="341">
        <f>D216*K216</f>
        <v/>
      </c>
      <c r="M216" s="14" t="n"/>
      <c r="N216" s="335">
        <f>L216*M216</f>
        <v/>
      </c>
      <c r="Q216" s="115" t="inlineStr">
        <is>
          <t>ASIE</t>
        </is>
      </c>
      <c r="R216" s="115" t="inlineStr">
        <is>
          <t>INDIA</t>
        </is>
      </c>
      <c r="S216" s="113" t="n"/>
      <c r="T216" s="113" t="inlineStr">
        <is>
          <t>INTERTEK</t>
        </is>
      </c>
      <c r="U216" s="112" t="n">
        <v>200</v>
      </c>
      <c r="V216" s="129">
        <f>IF(U216&lt;130, "Mini Bulker", IF(AND(U216&gt;=130, U216&lt;150), "Handysize", IF(AND(U216&gt;=150, U216&lt;200), "Handymax", IF(AND(U216&gt;=200, U216&lt;230), "Panamax", IF(AND(U216&gt;=230, U216&lt;=270), "Capesize", "Autre")))))</f>
        <v/>
      </c>
      <c r="X216" s="111">
        <f>IF(E216&lt;9999,"1",IF(E216&lt;19999,"2",IF(E216&lt;29999,"3",IF(E216&lt;39999,"4",IF(E216&lt;49999,"5",IF(E216&gt;50000,"6"))))))</f>
        <v/>
      </c>
      <c r="Y216" s="115" t="inlineStr">
        <is>
          <t>1TER/2N</t>
        </is>
      </c>
      <c r="AA216" s="121" t="n">
        <v>45767.16666666666</v>
      </c>
      <c r="AB216" s="121" t="n">
        <v>45768.375</v>
      </c>
      <c r="AC216" s="108" t="n">
        <v>45768</v>
      </c>
      <c r="AD216" s="108" t="n">
        <v>45770</v>
      </c>
      <c r="AE216" s="121" t="n">
        <v>45767.125</v>
      </c>
      <c r="AF216" s="121" t="n">
        <v>45768.36458333334</v>
      </c>
      <c r="AG216" s="121" t="n">
        <v>45768.47083333333</v>
      </c>
      <c r="AH216" s="121" t="n">
        <v>45768.49652777778</v>
      </c>
      <c r="AI216" s="121" t="n">
        <v>45768.54166666666</v>
      </c>
      <c r="AJ216" s="121" t="n">
        <v>45768.55208333334</v>
      </c>
      <c r="AK216" s="121" t="n">
        <v>45772.17361111111</v>
      </c>
      <c r="AL216" s="121" t="n">
        <v>45772.22569444445</v>
      </c>
      <c r="AM216" s="121" t="n">
        <v>45772.30208333334</v>
      </c>
      <c r="AN216" s="121" t="n">
        <v>45772.38611111111</v>
      </c>
      <c r="AO216" s="121" t="n">
        <v>45772.5</v>
      </c>
      <c r="AP216" s="117">
        <f>(AG216-AF216)*1440</f>
        <v/>
      </c>
      <c r="AQ216" s="117">
        <f>(AG216-AE216)*1440</f>
        <v/>
      </c>
      <c r="AR216" s="117">
        <f>(AH216-AF216)*1440</f>
        <v/>
      </c>
      <c r="AS216" s="117">
        <f>(AI216-AH216)*1440</f>
        <v/>
      </c>
      <c r="AT216" s="117">
        <f>(AJ216-AH216)*1440</f>
        <v/>
      </c>
      <c r="AU216" s="117">
        <f>(AL216-AK216)*1440</f>
        <v/>
      </c>
      <c r="AV216" s="117">
        <f>(AM216-AL216)*1440</f>
        <v/>
      </c>
      <c r="AW216" s="117">
        <f>(AO216-AM216)*1440</f>
        <v/>
      </c>
      <c r="AX216" s="118">
        <f>AP216+AS216+AU216+AV216+AW216</f>
        <v/>
      </c>
      <c r="AY216" s="119">
        <f>(AG216-AA216)</f>
        <v/>
      </c>
      <c r="AZ216" s="119">
        <f>(AK216-AJ216)</f>
        <v/>
      </c>
      <c r="BA216" s="119">
        <f>AO216-AG216</f>
        <v/>
      </c>
      <c r="BB216" s="119">
        <f>(AO216-AA216)-(AP216/1440)-(AW216/1440)</f>
        <v/>
      </c>
      <c r="BC216" s="117">
        <f>E216/AZ216</f>
        <v/>
      </c>
      <c r="BD216" s="225" t="n"/>
      <c r="BE216" s="117">
        <f>IF(E216&lt;10000,3000,IF(E216&lt;15000,3600,IF(E216&lt;20000,4500,IF(E216&lt;25000,6000,IF(E216&lt;30000,7500,IF(E216&lt;40000,9000,IF(E216&gt;40000,10000)))))))</f>
        <v/>
      </c>
      <c r="BF216" s="322">
        <f>(E216/BE216)+2</f>
        <v/>
      </c>
      <c r="BG216" s="208" t="n"/>
      <c r="BH216" s="208" t="n"/>
      <c r="BI216" s="208" t="n"/>
      <c r="BJ216" s="208" t="n"/>
      <c r="BK216" s="208" t="n"/>
      <c r="BL216" s="208" t="n"/>
      <c r="BM216" s="208" t="n"/>
      <c r="BN216" s="208" t="n"/>
      <c r="BO216" s="208" t="n"/>
      <c r="BP216" s="208" t="n"/>
      <c r="BQ216" s="208" t="n"/>
      <c r="BR216" s="208" t="n"/>
      <c r="BS216" s="127" t="inlineStr">
        <is>
          <t>CHANGE DU POSTE 1TER AU POSTE 2N LE 24/04 - 0303</t>
        </is>
      </c>
      <c r="BT216" s="125" t="n">
        <v>1</v>
      </c>
      <c r="BU216" s="125" t="n"/>
      <c r="BV216" s="125" t="n"/>
      <c r="BW216" s="323">
        <f>AI216-AH216</f>
        <v/>
      </c>
      <c r="BX216" s="150" t="inlineStr">
        <is>
          <t>NUL</t>
        </is>
      </c>
      <c r="BY216" s="150" t="inlineStr">
        <is>
          <t>NUL</t>
        </is>
      </c>
      <c r="CB216" s="112" t="n">
        <v>34508</v>
      </c>
    </row>
    <row r="217" ht="15" customFormat="1" customHeight="1" s="230">
      <c r="A217" s="112" t="n">
        <v>151</v>
      </c>
      <c r="B217" s="342" t="inlineStr">
        <is>
          <t>MARANT</t>
        </is>
      </c>
      <c r="C217" s="108" t="n">
        <v>45773</v>
      </c>
      <c r="D217" s="318" t="n">
        <v>3300</v>
      </c>
      <c r="E217" s="318" t="n">
        <v>3300</v>
      </c>
      <c r="F217" s="232" t="n"/>
      <c r="G217" s="112" t="n">
        <v>1</v>
      </c>
      <c r="H217" s="115" t="inlineStr">
        <is>
          <t>DAP</t>
        </is>
      </c>
      <c r="I217" s="114" t="inlineStr">
        <is>
          <t xml:space="preserve">DAP HUNGARY </t>
        </is>
      </c>
      <c r="J217" s="115" t="inlineStr">
        <is>
          <t>CFR</t>
        </is>
      </c>
      <c r="K217" s="82" t="n">
        <v>671</v>
      </c>
      <c r="L217" s="341">
        <f>D217*K217</f>
        <v/>
      </c>
      <c r="M217" s="14" t="n"/>
      <c r="N217" s="335">
        <f>L217*M217</f>
        <v/>
      </c>
      <c r="Q217" s="115" t="inlineStr">
        <is>
          <t>EUROPE</t>
        </is>
      </c>
      <c r="R217" s="115" t="inlineStr">
        <is>
          <t>UK</t>
        </is>
      </c>
      <c r="S217" s="115" t="n"/>
      <c r="T217" s="115" t="inlineStr">
        <is>
          <t>INSPECTORATE</t>
        </is>
      </c>
      <c r="U217" s="112" t="n">
        <v>88</v>
      </c>
      <c r="V217" s="129">
        <f>IF(U217&lt;130, "Mini Bulker", IF(AND(U217&gt;=130, U217&lt;150), "Handysize", IF(AND(U217&gt;=150, U217&lt;200), "Handymax", IF(AND(U217&gt;=200, U217&lt;230), "Panamax", IF(AND(U217&gt;=230, U217&lt;=270), "Capesize", "Autre")))))</f>
        <v/>
      </c>
      <c r="X217" s="111">
        <f>IF(E217&lt;9999,"1",IF(E217&lt;19999,"2",IF(E217&lt;29999,"3",IF(E217&lt;39999,"4",IF(E217&lt;49999,"5",IF(E217&gt;50000,"6"))))))</f>
        <v/>
      </c>
      <c r="Y217" s="115" t="inlineStr">
        <is>
          <t>2TER/5/2TER</t>
        </is>
      </c>
      <c r="AA217" s="96" t="n">
        <v>45765.41666666666</v>
      </c>
      <c r="AB217" s="96" t="n">
        <v>45765.41666666666</v>
      </c>
      <c r="AC217" s="108" t="n">
        <v>45761</v>
      </c>
      <c r="AD217" s="108" t="n">
        <v>45763</v>
      </c>
      <c r="AE217" s="96" t="n">
        <v>45765.28125</v>
      </c>
      <c r="AF217" s="96" t="n">
        <v>45765.27638888889</v>
      </c>
      <c r="AG217" s="96" t="n">
        <v>45765.31944444445</v>
      </c>
      <c r="AH217" s="96" t="n">
        <v>45765.32638888889</v>
      </c>
      <c r="AI217" s="96" t="n">
        <v>45765.70833333334</v>
      </c>
      <c r="AJ217" s="96" t="n">
        <v>45773.20833333334</v>
      </c>
      <c r="AK217" s="96" t="n">
        <v>45773.51388888889</v>
      </c>
      <c r="AL217" s="96" t="n">
        <v>45773.54861111111</v>
      </c>
      <c r="AM217" s="96" t="n">
        <v>45773.57291666666</v>
      </c>
      <c r="AN217" s="96" t="n">
        <v>45773.625</v>
      </c>
      <c r="AO217" s="96" t="n">
        <v>45773.63888888889</v>
      </c>
      <c r="AP217" s="117">
        <f>(AG217-AF217)*1440</f>
        <v/>
      </c>
      <c r="AQ217" s="117">
        <f>(AG217-AE217)*1440</f>
        <v/>
      </c>
      <c r="AR217" s="117">
        <f>(AH217-AF217)*1440</f>
        <v/>
      </c>
      <c r="AS217" s="117">
        <f>(AI217-AH217)*1440</f>
        <v/>
      </c>
      <c r="AT217" s="117">
        <f>(AJ217-AH217)*1440</f>
        <v/>
      </c>
      <c r="AU217" s="117">
        <f>(AL217-AK217)*1440</f>
        <v/>
      </c>
      <c r="AV217" s="117">
        <f>(AM217-AL217)*1440</f>
        <v/>
      </c>
      <c r="AW217" s="117">
        <f>(AO217-AM217)*1440</f>
        <v/>
      </c>
      <c r="AX217" s="118">
        <f>AP217+AS217+AU217+AV217+AW217</f>
        <v/>
      </c>
      <c r="AY217" s="119">
        <f>(AG217-AA217)</f>
        <v/>
      </c>
      <c r="AZ217" s="119">
        <f>(AK217-AJ217)</f>
        <v/>
      </c>
      <c r="BA217" s="119">
        <f>AO217-AG217</f>
        <v/>
      </c>
      <c r="BB217" s="119">
        <f>(AO217-AA217)-(AP217/1440)-(AW217/1440)</f>
        <v/>
      </c>
      <c r="BC217" s="117">
        <f>E217/AZ217</f>
        <v/>
      </c>
      <c r="BE217" s="117">
        <f>IF(E217&lt;10000,3000,IF(E217&lt;15000,3600,IF(E217&lt;20000,4500,IF(E217&lt;25000,6000,IF(E217&lt;30000,7500,IF(E217&lt;40000,9000,IF(E217&gt;40000,10000)))))))</f>
        <v/>
      </c>
      <c r="BF217" s="322">
        <f>(E217/BE217)+2</f>
        <v/>
      </c>
      <c r="BS217" s="127" t="inlineStr">
        <is>
          <t>CHANGE DU POSTE 2TER AU POSTE 5N LE 23/04 - 1530 // CHANGE DU POSTE 5 VERS POSTE 2TER LE 26/04 - 0242</t>
        </is>
      </c>
      <c r="BT217" s="125" t="n">
        <v>2</v>
      </c>
      <c r="BU217" s="97" t="inlineStr">
        <is>
          <t>NAVIRE NON PRÊT</t>
        </is>
      </c>
      <c r="BV217" s="125" t="inlineStr">
        <is>
          <t>DEBALLASTING</t>
        </is>
      </c>
      <c r="BW217" s="323">
        <f>AI217-AH217</f>
        <v/>
      </c>
      <c r="BX217" s="150" t="n"/>
      <c r="BY217" s="150" t="n"/>
      <c r="CB217" s="111" t="n">
        <v>2461</v>
      </c>
    </row>
    <row r="218" ht="15" customFormat="1" customHeight="1" s="230">
      <c r="A218" s="112" t="n">
        <v>150</v>
      </c>
      <c r="B218" s="342" t="inlineStr">
        <is>
          <t>SOPHIA I</t>
        </is>
      </c>
      <c r="C218" s="108" t="n">
        <v>45773</v>
      </c>
      <c r="D218" s="318" t="n">
        <v>9350</v>
      </c>
      <c r="E218" s="318" t="n">
        <v>9350</v>
      </c>
      <c r="F218" s="232" t="n"/>
      <c r="G218" s="112" t="n">
        <v>1</v>
      </c>
      <c r="H218" s="115" t="inlineStr">
        <is>
          <t>NPK</t>
        </is>
      </c>
      <c r="I218" s="114" t="inlineStr">
        <is>
          <t xml:space="preserve">NPK 10 26 26 Low Cd </t>
        </is>
      </c>
      <c r="J218" s="115" t="inlineStr">
        <is>
          <t>FOB</t>
        </is>
      </c>
      <c r="K218" s="82" t="n">
        <v>525</v>
      </c>
      <c r="L218" s="341">
        <f>D218*K218</f>
        <v/>
      </c>
      <c r="M218" s="14" t="n"/>
      <c r="N218" s="335">
        <f>L218*M218</f>
        <v/>
      </c>
      <c r="Q218" s="115" t="inlineStr">
        <is>
          <t>EUROPE</t>
        </is>
      </c>
      <c r="R218" s="115" t="inlineStr">
        <is>
          <t>ESTONIA</t>
        </is>
      </c>
      <c r="S218" s="115" t="n"/>
      <c r="T218" s="115" t="inlineStr">
        <is>
          <t>INSPECTORATE</t>
        </is>
      </c>
      <c r="U218" s="112" t="n">
        <v>140</v>
      </c>
      <c r="V218" s="129">
        <f>IF(U218&lt;130, "Mini Bulker", IF(AND(U218&gt;=130, U218&lt;150), "Handysize", IF(AND(U218&gt;=150, U218&lt;200), "Handymax", IF(AND(U218&gt;=200, U218&lt;230), "Panamax", IF(AND(U218&gt;=230, U218&lt;=270), "Capesize", "Autre")))))</f>
        <v/>
      </c>
      <c r="X218" s="111">
        <f>IF(E218&lt;9999,"1",IF(E218&lt;19999,"2",IF(E218&lt;29999,"3",IF(E218&lt;39999,"4",IF(E218&lt;49999,"5",IF(E218&gt;50000,"6"))))))</f>
        <v/>
      </c>
      <c r="Y218" s="115" t="inlineStr">
        <is>
          <t>1BIS</t>
        </is>
      </c>
      <c r="AA218" s="96" t="n">
        <v>45766.71875</v>
      </c>
      <c r="AB218" s="96" t="n">
        <v>45768.375</v>
      </c>
      <c r="AC218" s="108" t="n">
        <v>45768</v>
      </c>
      <c r="AD218" s="108" t="n">
        <v>45770</v>
      </c>
      <c r="AE218" s="96" t="n">
        <v>45766.62152777778</v>
      </c>
      <c r="AF218" s="96" t="n">
        <v>45772.28333333333</v>
      </c>
      <c r="AG218" s="96" t="n">
        <v>45772.43055555555</v>
      </c>
      <c r="AH218" s="96" t="n">
        <v>45772.44444444445</v>
      </c>
      <c r="AI218" s="96" t="n">
        <v>45772.50694444445</v>
      </c>
      <c r="AJ218" s="96" t="n">
        <v>45772.51736111111</v>
      </c>
      <c r="AK218" s="96" t="n">
        <v>45773.38888888889</v>
      </c>
      <c r="AL218" s="96" t="n">
        <v>45773.44791666666</v>
      </c>
      <c r="AM218" s="96" t="n">
        <v>45773.47916666666</v>
      </c>
      <c r="AN218" s="96" t="n">
        <v>45773.54166666666</v>
      </c>
      <c r="AO218" s="96" t="n">
        <v>45773.5625</v>
      </c>
      <c r="AP218" s="117">
        <f>(AG218-AF218)*1440</f>
        <v/>
      </c>
      <c r="AQ218" s="117">
        <f>(AG218-AE218)*1440</f>
        <v/>
      </c>
      <c r="AR218" s="117">
        <f>(AH218-AF218)*1440</f>
        <v/>
      </c>
      <c r="AS218" s="117">
        <f>(AI218-AH218)*1440</f>
        <v/>
      </c>
      <c r="AT218" s="117">
        <f>(AJ218-AH218)*1440</f>
        <v/>
      </c>
      <c r="AU218" s="117">
        <f>(AL218-AK218)*1440</f>
        <v/>
      </c>
      <c r="AV218" s="117">
        <f>(AM218-AL218)*1440</f>
        <v/>
      </c>
      <c r="AW218" s="117">
        <f>(AO218-AM218)*1440</f>
        <v/>
      </c>
      <c r="AX218" s="118">
        <f>AP218+AS218+AU218+AV218+AW218</f>
        <v/>
      </c>
      <c r="AY218" s="119">
        <f>(AG218-AA218)</f>
        <v/>
      </c>
      <c r="AZ218" s="119">
        <f>(AK218-AJ218)</f>
        <v/>
      </c>
      <c r="BA218" s="119">
        <f>AO218-AG218</f>
        <v/>
      </c>
      <c r="BB218" s="119">
        <f>(AO218-AA218)-(AP218/1440)-(AW218/1440)</f>
        <v/>
      </c>
      <c r="BC218" s="117">
        <f>E218/AZ218</f>
        <v/>
      </c>
      <c r="BE218" s="117">
        <f>IF(E218&lt;10000,3000,IF(E218&lt;15000,3600,IF(E218&lt;20000,4500,IF(E218&lt;25000,6000,IF(E218&lt;30000,7500,IF(E218&lt;40000,9000,IF(E218&gt;40000,10000)))))))</f>
        <v/>
      </c>
      <c r="BF218" s="322">
        <f>(E218/BE218)+2</f>
        <v/>
      </c>
      <c r="BS218" s="127" t="inlineStr">
        <is>
          <t>NUL</t>
        </is>
      </c>
      <c r="BT218" s="125" t="n">
        <v>0</v>
      </c>
      <c r="BU218" s="125" t="n"/>
      <c r="BV218" s="125" t="n"/>
      <c r="BW218" s="323">
        <f>AI218-AH218</f>
        <v/>
      </c>
      <c r="BX218" s="150" t="n"/>
      <c r="BY218" s="150" t="n">
        <v>50</v>
      </c>
      <c r="CB218" s="111" t="n">
        <v>7988</v>
      </c>
    </row>
    <row r="219" ht="14.55" customFormat="1" customHeight="1" s="230">
      <c r="A219" s="112" t="n">
        <v>152</v>
      </c>
      <c r="B219" s="342" t="inlineStr">
        <is>
          <t>ALYTUS</t>
        </is>
      </c>
      <c r="C219" s="108" t="n">
        <v>45774</v>
      </c>
      <c r="D219" s="318" t="n">
        <v>30000</v>
      </c>
      <c r="E219" s="324">
        <f>D220+D219</f>
        <v/>
      </c>
      <c r="F219" s="232" t="n"/>
      <c r="G219" s="112" t="n">
        <v>2</v>
      </c>
      <c r="H219" s="115" t="inlineStr">
        <is>
          <t>NPS</t>
        </is>
      </c>
      <c r="I219" s="114" t="inlineStr">
        <is>
          <t xml:space="preserve">NPS 3 30 9S </t>
        </is>
      </c>
      <c r="J219" s="115" t="inlineStr">
        <is>
          <t>CFR</t>
        </is>
      </c>
      <c r="K219" s="82" t="n">
        <v>344</v>
      </c>
      <c r="L219" s="341">
        <f>D219*K219</f>
        <v/>
      </c>
      <c r="M219" s="14" t="n"/>
      <c r="N219" s="335">
        <f>L219*M219</f>
        <v/>
      </c>
      <c r="Q219" s="115" t="inlineStr">
        <is>
          <t>AMERIQUE LATINE</t>
        </is>
      </c>
      <c r="R219" s="115" t="inlineStr">
        <is>
          <t xml:space="preserve">BRAZIL </t>
        </is>
      </c>
      <c r="S219" s="233" t="n"/>
      <c r="T219" s="113" t="inlineStr">
        <is>
          <t>INTERTEK</t>
        </is>
      </c>
      <c r="U219" s="112" t="n">
        <v>186</v>
      </c>
      <c r="V219" s="129">
        <f>IF(U219&lt;130, "Mini Bulker", IF(AND(U219&gt;=130, U219&lt;150), "Handysize", IF(AND(U219&gt;=150, U219&lt;200), "Handymax", IF(AND(U219&gt;=200, U219&lt;230), "Panamax", IF(AND(U219&gt;=230, U219&lt;=270), "Capesize", "Autre")))))</f>
        <v/>
      </c>
      <c r="X219" s="111">
        <f>IF(E219&lt;9999,"1",IF(E219&lt;19999,"2",IF(E219&lt;29999,"3",IF(E219&lt;39999,"4",IF(E219&lt;49999,"5",IF(E219&gt;50000,"6"))))))</f>
        <v/>
      </c>
      <c r="Y219" s="125" t="inlineStr">
        <is>
          <t>2BIS/1N/1BIS/1N</t>
        </is>
      </c>
      <c r="AA219" s="96" t="n">
        <v>45707.6875</v>
      </c>
      <c r="AB219" s="96" t="n">
        <v>45707.6875</v>
      </c>
      <c r="AC219" s="108" t="n">
        <v>45703</v>
      </c>
      <c r="AD219" s="108" t="n">
        <v>45705</v>
      </c>
      <c r="AE219" s="96" t="n">
        <v>45707.67361111111</v>
      </c>
      <c r="AF219" s="96" t="n">
        <v>45723.36111111111</v>
      </c>
      <c r="AG219" s="96" t="n">
        <v>45723.4375</v>
      </c>
      <c r="AH219" s="96" t="n">
        <v>45723.47569444445</v>
      </c>
      <c r="AI219" s="96" t="n">
        <v>45723.53472222222</v>
      </c>
      <c r="AJ219" s="96" t="n">
        <v>45723.5625</v>
      </c>
      <c r="AK219" s="96" t="n">
        <v>45774.79166666666</v>
      </c>
      <c r="AL219" s="96" t="n">
        <v>45774.84375</v>
      </c>
      <c r="AM219" s="96" t="n">
        <v>45774.88194444445</v>
      </c>
      <c r="AN219" s="96" t="n">
        <v>45774.93055555555</v>
      </c>
      <c r="AO219" s="96" t="n">
        <v>45774.96180555555</v>
      </c>
      <c r="AP219" s="117">
        <f>(AG219-AF219)*1440</f>
        <v/>
      </c>
      <c r="AQ219" s="117">
        <f>(AG219-AE219)*1440</f>
        <v/>
      </c>
      <c r="AR219" s="117">
        <f>(AH219-AF219)*1440</f>
        <v/>
      </c>
      <c r="AS219" s="117">
        <f>(AI219-AH219)*1440</f>
        <v/>
      </c>
      <c r="AT219" s="117">
        <f>(AJ219-AH219)*1440</f>
        <v/>
      </c>
      <c r="AU219" s="117">
        <f>(AL219-AK219)*1440</f>
        <v/>
      </c>
      <c r="AV219" s="117">
        <f>(AM219-AL219)*1440</f>
        <v/>
      </c>
      <c r="AW219" s="117">
        <f>(AO219-AM219)*1440</f>
        <v/>
      </c>
      <c r="AX219" s="118">
        <f>AP219+AS219+AU219+AV219+AW219</f>
        <v/>
      </c>
      <c r="AY219" s="119">
        <f>(AG219-AA219)</f>
        <v/>
      </c>
      <c r="AZ219" s="119">
        <f>(AK219-AJ219)</f>
        <v/>
      </c>
      <c r="BA219" s="119">
        <f>AO219-AG219</f>
        <v/>
      </c>
      <c r="BB219" s="119">
        <f>(AO219-AA219)-(AP219/1440)-(AW219/1440)</f>
        <v/>
      </c>
      <c r="BC219" s="117">
        <f>E219/AZ219</f>
        <v/>
      </c>
      <c r="BE219" s="117">
        <f>IF(E219&lt;10000,3000,IF(E219&lt;15000,3600,IF(E219&lt;20000,4500,IF(E219&lt;25000,6000,IF(E219&lt;30000,7500,IF(E219&lt;40000,9000,IF(E219&gt;40000,10000)))))))</f>
        <v/>
      </c>
      <c r="BF219" s="322">
        <f>(E219/BE219)+2</f>
        <v/>
      </c>
      <c r="BS219" s="127" t="inlineStr">
        <is>
          <t>CHANGE DU POSTE 2BIS VERS LA RADE LE 10/03- 1216 / RE-ACCOSTAGE AU POSTE 1N LE 19/03- 1145 // CHANGE DU POSTE 1N VERS LA RADE LE 21/03 - 1435 // RE-ACCOSTAGE AU POSTE 1BIS LE 01/04- 0310 // CHANGE DU POSTE 1BIS VERS LA RADE LE 07/04- 0320 // RE-ACCOSTAGE AU POSTE 1BIS LE 17/04- 1550 // DEHALAGE 20M  VERS USINE LE 17/04- 2000 / CHANGE DU POSTE 1BIS VERS LA RADE LE 19/04- 1442 // RE-ACCOSTAGE AU POSTE 1N L 23/04- 1840</t>
        </is>
      </c>
      <c r="BT219" s="125" t="n">
        <v>9</v>
      </c>
      <c r="BU219" s="125" t="inlineStr">
        <is>
          <t>CLEAN</t>
        </is>
      </c>
      <c r="BV219" s="125" t="n"/>
      <c r="BW219" s="323">
        <f>AI219-AH219</f>
        <v/>
      </c>
      <c r="BX219" s="120" t="inlineStr">
        <is>
          <t>NUL</t>
        </is>
      </c>
      <c r="BY219" s="120" t="inlineStr">
        <is>
          <t>NUL</t>
        </is>
      </c>
      <c r="CB219" s="111" t="n">
        <v>22683</v>
      </c>
    </row>
    <row r="220" customFormat="1" s="230">
      <c r="A220" s="112" t="n"/>
      <c r="B220" s="342" t="inlineStr">
        <is>
          <t>ALYTUS</t>
        </is>
      </c>
      <c r="C220" s="108" t="n">
        <v>45774</v>
      </c>
      <c r="D220" s="318" t="n">
        <v>5020</v>
      </c>
      <c r="E220" s="325" t="n"/>
      <c r="F220" s="232" t="n"/>
      <c r="G220" s="112" t="n">
        <v>2</v>
      </c>
      <c r="H220" s="115" t="inlineStr">
        <is>
          <t>TSP</t>
        </is>
      </c>
      <c r="I220" s="114" t="inlineStr">
        <is>
          <t xml:space="preserve">TSP SPECIAL JORF </t>
        </is>
      </c>
      <c r="J220" s="115" t="inlineStr">
        <is>
          <t>CFR</t>
        </is>
      </c>
      <c r="K220" s="82" t="n">
        <v>475</v>
      </c>
      <c r="L220" s="341">
        <f>D220*K220</f>
        <v/>
      </c>
      <c r="M220" s="14" t="n"/>
      <c r="N220" s="335">
        <f>L220*M220</f>
        <v/>
      </c>
      <c r="Q220" s="115" t="inlineStr">
        <is>
          <t>AMERIQUE LATINE</t>
        </is>
      </c>
      <c r="R220" s="115" t="inlineStr">
        <is>
          <t xml:space="preserve">BRAZIL </t>
        </is>
      </c>
      <c r="S220" s="233" t="n"/>
      <c r="T220" s="113" t="inlineStr">
        <is>
          <t>INTERTEK</t>
        </is>
      </c>
      <c r="U220" s="112" t="n">
        <v>186</v>
      </c>
      <c r="V220" s="129">
        <f>IF(U220&lt;130, "Mini Bulker", IF(AND(U220&gt;=130, U220&lt;150), "Handysize", IF(AND(U220&gt;=150, U220&lt;200), "Handymax", IF(AND(U220&gt;=200, U220&lt;230), "Panamax", IF(AND(U220&gt;=230, U220&lt;=270), "Capesize", "Autre")))))</f>
        <v/>
      </c>
      <c r="X220" s="111">
        <f>IF(E220&lt;9999,"1",IF(E220&lt;19999,"2",IF(E220&lt;29999,"3",IF(E220&lt;39999,"4",IF(E220&lt;49999,"5",IF(E220&gt;50000,"6"))))))</f>
        <v/>
      </c>
      <c r="Y220" s="125" t="inlineStr">
        <is>
          <t>2BIS/1N/1BIS/1N</t>
        </is>
      </c>
      <c r="AA220" s="151" t="n"/>
      <c r="AB220" s="151" t="n"/>
      <c r="AC220" s="151" t="n"/>
      <c r="AD220" s="151" t="n"/>
      <c r="AE220" s="151" t="n"/>
      <c r="AF220" s="151" t="n"/>
      <c r="AG220" s="151" t="n"/>
      <c r="AH220" s="151" t="n"/>
      <c r="AI220" s="151" t="n"/>
      <c r="AJ220" s="151" t="n"/>
      <c r="AK220" s="151" t="n"/>
      <c r="AL220" s="151" t="n"/>
      <c r="AM220" s="151" t="n"/>
      <c r="AN220" s="151" t="n"/>
      <c r="AO220" s="151" t="n"/>
      <c r="AP220" s="151" t="n"/>
      <c r="AQ220" s="151" t="n"/>
      <c r="AR220" s="151" t="n"/>
      <c r="AS220" s="151" t="n"/>
      <c r="AT220" s="151" t="n"/>
      <c r="AU220" s="151" t="n"/>
      <c r="AV220" s="151" t="n"/>
      <c r="AW220" s="151" t="n"/>
      <c r="AX220" s="151" t="n"/>
      <c r="AY220" s="151" t="n"/>
      <c r="AZ220" s="151" t="n"/>
      <c r="BA220" s="151" t="n"/>
      <c r="BB220" s="151" t="n"/>
      <c r="BC220" s="151" t="n"/>
      <c r="BD220" s="151" t="n"/>
      <c r="BE220" s="151" t="n"/>
      <c r="BF220" s="151" t="n"/>
      <c r="BG220" s="98" t="n"/>
      <c r="BH220" s="98" t="n"/>
      <c r="BI220" s="98" t="n"/>
      <c r="BJ220" s="98" t="n"/>
      <c r="BK220" s="98" t="n"/>
      <c r="BL220" s="98" t="n"/>
      <c r="BM220" s="98" t="n"/>
      <c r="BN220" s="98" t="n"/>
      <c r="BO220" s="98" t="n"/>
      <c r="BP220" s="98" t="n"/>
      <c r="BQ220" s="98" t="n"/>
      <c r="BR220" s="98" t="n"/>
      <c r="BS220" s="127" t="inlineStr">
        <is>
          <t>CHANGE DU POSTE 2BIS VERS LA RADE LE 10/03- 1216 / RE-ACCOSTAGE AU POSTE 1N LE 19/03- 1145 // CHANGE DU POSTE 1N VERS LA RADE LE 21/03 - 1435 // RE-ACCOSTAGE AU POSTE 1BIS LE 01/04- 0310 // CHANGE DU POSTE 1BIS VERS LA RADE LE 07/04- 0320 // RE-ACCOSTAGE AU POSTE 1BIS LE 17/04- 1550 // DEHALAGE 20M  VERS USINE LE 17/04- 2000 / CHANGE DU POSTE 1BIS VERS LA RADE LE 19/04- 1442 // RE-ACCOSTAGE AU POSTE 1N L 23/04- 1840</t>
        </is>
      </c>
      <c r="BT220" s="125" t="n">
        <v>9</v>
      </c>
      <c r="BU220" s="125" t="inlineStr">
        <is>
          <t>CLEAN</t>
        </is>
      </c>
      <c r="BV220" s="125" t="n"/>
      <c r="BW220" s="323">
        <f>AI220-AH220</f>
        <v/>
      </c>
      <c r="BX220" s="120" t="inlineStr">
        <is>
          <t>NUL</t>
        </is>
      </c>
      <c r="BY220" s="120" t="inlineStr">
        <is>
          <t>NUL</t>
        </is>
      </c>
    </row>
    <row r="221" ht="14.55" customFormat="1" customHeight="1" s="230">
      <c r="A221" s="112" t="n">
        <v>153</v>
      </c>
      <c r="B221" s="342" t="inlineStr">
        <is>
          <t xml:space="preserve">ABDULLAH </t>
        </is>
      </c>
      <c r="C221" s="108" t="n">
        <v>45776</v>
      </c>
      <c r="D221" s="318" t="n">
        <v>36000</v>
      </c>
      <c r="E221" s="324">
        <f>D222+D221</f>
        <v/>
      </c>
      <c r="F221" s="232" t="n"/>
      <c r="G221" s="112" t="n">
        <v>2</v>
      </c>
      <c r="H221" s="115" t="inlineStr">
        <is>
          <t>DAP</t>
        </is>
      </c>
      <c r="I221" s="114" t="inlineStr">
        <is>
          <t xml:space="preserve">DAP STANDARD </t>
        </is>
      </c>
      <c r="J221" s="115" t="inlineStr">
        <is>
          <t>CFR</t>
        </is>
      </c>
      <c r="K221" s="82" t="n">
        <v>700</v>
      </c>
      <c r="L221" s="341">
        <f>D221*K221</f>
        <v/>
      </c>
      <c r="M221" s="14" t="n"/>
      <c r="N221" s="335">
        <f>L221*M221</f>
        <v/>
      </c>
      <c r="Q221" s="115" t="inlineStr">
        <is>
          <t>ASIE</t>
        </is>
      </c>
      <c r="R221" s="115" t="inlineStr">
        <is>
          <t>PAKISTAN</t>
        </is>
      </c>
      <c r="S221" s="115" t="inlineStr">
        <is>
          <t>INSPECTORATE &amp; BUREAU VERITAS</t>
        </is>
      </c>
      <c r="T221" s="115" t="inlineStr">
        <is>
          <t>INTERTEK</t>
        </is>
      </c>
      <c r="U221" s="112" t="n">
        <v>189</v>
      </c>
      <c r="V221" s="129">
        <f>IF(U221&lt;130, "Mini Bulker", IF(AND(U221&gt;=130, U221&lt;150), "Handysize", IF(AND(U221&gt;=150, U221&lt;200), "Handymax", IF(AND(U221&gt;=200, U221&lt;230), "Panamax", IF(AND(U221&gt;=230, U221&lt;=270), "Capesize", "Autre")))))</f>
        <v/>
      </c>
      <c r="X221" s="111">
        <f>IF(E221&lt;9999,"1",IF(E221&lt;19999,"2",IF(E221&lt;29999,"3",IF(E221&lt;39999,"4",IF(E221&lt;49999,"5",IF(E221&gt;50000,"6"))))))</f>
        <v/>
      </c>
      <c r="Y221" s="125" t="inlineStr">
        <is>
          <t>2BIS/2TER</t>
        </is>
      </c>
      <c r="AA221" s="96" t="n">
        <v>45772.2375</v>
      </c>
      <c r="AB221" s="96" t="n">
        <v>45772.375</v>
      </c>
      <c r="AC221" s="108" t="n">
        <v>45770</v>
      </c>
      <c r="AD221" s="108" t="n">
        <v>45772</v>
      </c>
      <c r="AE221" s="96" t="n">
        <v>45772.16666666666</v>
      </c>
      <c r="AF221" s="96" t="n">
        <v>45772.8</v>
      </c>
      <c r="AG221" s="96" t="n">
        <v>45772.89583333334</v>
      </c>
      <c r="AH221" s="96" t="n">
        <v>45772.91666666666</v>
      </c>
      <c r="AI221" s="96" t="n">
        <v>45773.13194444445</v>
      </c>
      <c r="AJ221" s="96" t="n">
        <v>45773.14583333334</v>
      </c>
      <c r="AK221" s="96" t="n">
        <v>45776.05902777778</v>
      </c>
      <c r="AL221" s="96" t="n">
        <v>45776.125</v>
      </c>
      <c r="AM221" s="96" t="n">
        <v>45776.15972222222</v>
      </c>
      <c r="AN221" s="96" t="n">
        <v>45776.22916666666</v>
      </c>
      <c r="AO221" s="96" t="n">
        <v>45776.28819444445</v>
      </c>
      <c r="AP221" s="117">
        <f>(AG221-AF221)*1440</f>
        <v/>
      </c>
      <c r="AQ221" s="117">
        <f>(AG221-AE221)*1440</f>
        <v/>
      </c>
      <c r="AR221" s="117">
        <f>(AH221-AF221)*1440</f>
        <v/>
      </c>
      <c r="AS221" s="117">
        <f>(AI221-AH221)*1440</f>
        <v/>
      </c>
      <c r="AT221" s="117">
        <f>(AJ221-AH221)*1440</f>
        <v/>
      </c>
      <c r="AU221" s="117">
        <f>(AL221-AK221)*1440</f>
        <v/>
      </c>
      <c r="AV221" s="117">
        <f>(AM221-AL221)*1440</f>
        <v/>
      </c>
      <c r="AW221" s="117">
        <f>(AO221-AM221)*1440</f>
        <v/>
      </c>
      <c r="AX221" s="118">
        <f>AP221+AS221+AU221+AV221+AW221</f>
        <v/>
      </c>
      <c r="AY221" s="119">
        <f>(AG221-AA221)</f>
        <v/>
      </c>
      <c r="AZ221" s="119">
        <f>(AK221-AJ221)</f>
        <v/>
      </c>
      <c r="BA221" s="119">
        <f>AO221-AG221</f>
        <v/>
      </c>
      <c r="BB221" s="119">
        <f>(AO221-AA221)-(AP221/1440)-(AW221/1440)</f>
        <v/>
      </c>
      <c r="BC221" s="117">
        <f>E221/AZ221</f>
        <v/>
      </c>
      <c r="BE221" s="117">
        <f>IF(E221&lt;10000,3000,IF(E221&lt;15000,3600,IF(E221&lt;20000,4500,IF(E221&lt;25000,6000,IF(E221&lt;30000,7500,IF(E221&lt;40000,9000,IF(E221&gt;40000,10000)))))))</f>
        <v/>
      </c>
      <c r="BF221" s="322">
        <f>(E221/BE221)+2</f>
        <v/>
      </c>
      <c r="BS221" s="127" t="inlineStr">
        <is>
          <t>CHANGE DU POSTE 2BIS VERS POSTE 2TER LE 28/04- 0540</t>
        </is>
      </c>
      <c r="BT221" s="125" t="n">
        <v>1</v>
      </c>
      <c r="BU221" s="125" t="inlineStr">
        <is>
          <t>NON CLEAN</t>
        </is>
      </c>
      <c r="BV221" s="125" t="inlineStr">
        <is>
          <t>LAST CARGO/GRAIN</t>
        </is>
      </c>
      <c r="BW221" s="323">
        <f>AI221-AH221</f>
        <v/>
      </c>
      <c r="CB221" s="111" t="n">
        <v>32714</v>
      </c>
    </row>
    <row r="222" ht="15" customFormat="1" customHeight="1" s="230">
      <c r="B222" s="342" t="inlineStr">
        <is>
          <t xml:space="preserve">ABDULLAH </t>
        </is>
      </c>
      <c r="C222" s="108" t="n">
        <v>45776</v>
      </c>
      <c r="D222" s="318" t="n">
        <v>7193</v>
      </c>
      <c r="E222" s="325" t="n"/>
      <c r="F222" s="232" t="n"/>
      <c r="G222" s="112" t="n">
        <v>2</v>
      </c>
      <c r="H222" s="115" t="inlineStr">
        <is>
          <t>TSP</t>
        </is>
      </c>
      <c r="I222" s="114" t="inlineStr">
        <is>
          <t xml:space="preserve">TSP PAKISTAN </t>
        </is>
      </c>
      <c r="J222" s="115" t="inlineStr">
        <is>
          <t>CFR</t>
        </is>
      </c>
      <c r="K222" s="82" t="n">
        <v>530</v>
      </c>
      <c r="L222" s="341">
        <f>D222*K222</f>
        <v/>
      </c>
      <c r="M222" s="14" t="n"/>
      <c r="N222" s="335">
        <f>L222*M222</f>
        <v/>
      </c>
      <c r="Q222" s="115" t="inlineStr">
        <is>
          <t>ASIE</t>
        </is>
      </c>
      <c r="R222" s="115" t="inlineStr">
        <is>
          <t>PAKISTAN</t>
        </is>
      </c>
      <c r="S222" s="115" t="inlineStr">
        <is>
          <t>INSPECTORATE &amp; BUREAU VERITAS</t>
        </is>
      </c>
      <c r="T222" s="115" t="inlineStr">
        <is>
          <t>INTERTEK</t>
        </is>
      </c>
      <c r="U222" s="112" t="n">
        <v>189</v>
      </c>
      <c r="V222" s="129">
        <f>IF(U222&lt;130, "Mini Bulker", IF(AND(U222&gt;=130, U222&lt;150), "Handysize", IF(AND(U222&gt;=150, U222&lt;200), "Handymax", IF(AND(U222&gt;=200, U222&lt;230), "Panamax", IF(AND(U222&gt;=230, U222&lt;=270), "Capesize", "Autre")))))</f>
        <v/>
      </c>
      <c r="X222" s="111">
        <f>IF(E222&lt;9999,"1",IF(E222&lt;19999,"2",IF(E222&lt;29999,"3",IF(E222&lt;39999,"4",IF(E222&lt;49999,"5",IF(E222&gt;50000,"6"))))))</f>
        <v/>
      </c>
      <c r="Y222" s="125" t="inlineStr">
        <is>
          <t>2BIS/2TER</t>
        </is>
      </c>
      <c r="AA222" s="151" t="n"/>
      <c r="AB222" s="151" t="n"/>
      <c r="AC222" s="151" t="n"/>
      <c r="AD222" s="151" t="n"/>
      <c r="AE222" s="151" t="n"/>
      <c r="AF222" s="151" t="n"/>
      <c r="AG222" s="151" t="n"/>
      <c r="AH222" s="151" t="n"/>
      <c r="AI222" s="151" t="n"/>
      <c r="AJ222" s="151" t="n"/>
      <c r="AK222" s="151" t="n"/>
      <c r="AL222" s="151" t="n"/>
      <c r="AM222" s="151" t="n"/>
      <c r="AN222" s="151" t="n"/>
      <c r="AO222" s="151" t="n"/>
      <c r="AP222" s="151" t="n"/>
      <c r="AQ222" s="151" t="n"/>
      <c r="AR222" s="151" t="n"/>
      <c r="AS222" s="151" t="n"/>
      <c r="AT222" s="151" t="n"/>
      <c r="AU222" s="151" t="n"/>
      <c r="AV222" s="151" t="n"/>
      <c r="AW222" s="151" t="n"/>
      <c r="AX222" s="151" t="n"/>
      <c r="AY222" s="151" t="n"/>
      <c r="AZ222" s="151" t="n"/>
      <c r="BA222" s="151" t="n"/>
      <c r="BB222" s="151" t="n"/>
      <c r="BC222" s="151" t="n"/>
      <c r="BD222" s="151" t="n"/>
      <c r="BE222" s="151" t="n"/>
      <c r="BF222" s="151" t="n"/>
      <c r="BG222" s="98" t="n"/>
      <c r="BH222" s="98" t="n"/>
      <c r="BI222" s="98" t="n"/>
      <c r="BJ222" s="98" t="n"/>
      <c r="BK222" s="98" t="n"/>
      <c r="BL222" s="98" t="n"/>
      <c r="BM222" s="98" t="n"/>
      <c r="BN222" s="98" t="n"/>
      <c r="BO222" s="98" t="n"/>
      <c r="BP222" s="98" t="n"/>
      <c r="BQ222" s="98" t="n"/>
      <c r="BR222" s="98" t="n"/>
      <c r="BS222" s="127" t="inlineStr">
        <is>
          <t>CHANGE DU POSTE 2BIS VERS POSTE 2TER LE 28/04- 0540</t>
        </is>
      </c>
      <c r="BT222" s="125" t="n">
        <v>1</v>
      </c>
      <c r="BU222" s="125" t="inlineStr">
        <is>
          <t>NON CLEAN</t>
        </is>
      </c>
      <c r="BV222" s="125" t="inlineStr">
        <is>
          <t>LAST CARGO/GRAIN</t>
        </is>
      </c>
      <c r="BW222" s="323">
        <f>AI222-AH222</f>
        <v/>
      </c>
      <c r="CB222" s="111" t="n"/>
    </row>
    <row r="223" customFormat="1" s="230">
      <c r="A223" s="112" t="n">
        <v>154</v>
      </c>
      <c r="B223" s="342" t="inlineStr">
        <is>
          <t>SAMENTHA</t>
        </is>
      </c>
      <c r="C223" s="108" t="n">
        <v>45776</v>
      </c>
      <c r="D223" s="318" t="n">
        <v>16000</v>
      </c>
      <c r="E223" s="318" t="n">
        <v>16000</v>
      </c>
      <c r="F223" s="232" t="n"/>
      <c r="G223" s="112" t="n">
        <v>1</v>
      </c>
      <c r="H223" s="115" t="inlineStr">
        <is>
          <t>DAP</t>
        </is>
      </c>
      <c r="I223" s="114" t="inlineStr">
        <is>
          <t xml:space="preserve">DAP Euro Low Cd </t>
        </is>
      </c>
      <c r="J223" s="115" t="inlineStr">
        <is>
          <t>FOB</t>
        </is>
      </c>
      <c r="K223" s="82" t="n">
        <v>625</v>
      </c>
      <c r="L223" s="341">
        <f>D223*K223</f>
        <v/>
      </c>
      <c r="M223" s="14" t="n"/>
      <c r="N223" s="335">
        <f>L223*M223</f>
        <v/>
      </c>
      <c r="Q223" s="115" t="inlineStr">
        <is>
          <t>EUROPE</t>
        </is>
      </c>
      <c r="R223" s="115" t="inlineStr">
        <is>
          <t>Bulgarie</t>
        </is>
      </c>
      <c r="S223" s="115" t="n"/>
      <c r="T223" s="115" t="inlineStr">
        <is>
          <t>INTERTEK</t>
        </is>
      </c>
      <c r="U223" s="112" t="n">
        <v>144</v>
      </c>
      <c r="V223" s="129">
        <f>IF(U223&lt;130, "Mini Bulker", IF(AND(U223&gt;=130, U223&lt;150), "Handysize", IF(AND(U223&gt;=150, U223&lt;200), "Handymax", IF(AND(U223&gt;=200, U223&lt;230), "Panamax", IF(AND(U223&gt;=230, U223&lt;=270), "Capesize", "Autre")))))</f>
        <v/>
      </c>
      <c r="X223" s="111">
        <f>IF(E223&lt;9999,"1",IF(E223&lt;19999,"2",IF(E223&lt;29999,"3",IF(E223&lt;39999,"4",IF(E223&lt;49999,"5",IF(E223&gt;50000,"6"))))))</f>
        <v/>
      </c>
      <c r="Y223" s="125" t="inlineStr">
        <is>
          <t>1BIS/1SUD/2N/1SUD</t>
        </is>
      </c>
      <c r="AA223" s="96" t="n">
        <v>45762.72916666666</v>
      </c>
      <c r="AB223" s="96" t="n">
        <v>45763.375</v>
      </c>
      <c r="AC223" s="108" t="n">
        <v>45762</v>
      </c>
      <c r="AD223" s="108" t="n">
        <v>45764</v>
      </c>
      <c r="AE223" s="96" t="n">
        <v>45762.72916666666</v>
      </c>
      <c r="AF223" s="96" t="n">
        <v>45766.6125</v>
      </c>
      <c r="AG223" s="96" t="n">
        <v>45766.67013888889</v>
      </c>
      <c r="AH223" s="96" t="n">
        <v>45766.6875</v>
      </c>
      <c r="AI223" s="96" t="n">
        <v>45766.75694444445</v>
      </c>
      <c r="AJ223" s="96" t="n">
        <v>45766.79166666666</v>
      </c>
      <c r="AK223" s="96" t="n">
        <v>45776.18055555555</v>
      </c>
      <c r="AL223" s="96" t="n">
        <v>45776.23958333334</v>
      </c>
      <c r="AM223" s="96" t="n">
        <v>45776.27777777778</v>
      </c>
      <c r="AN223" s="96" t="n">
        <v>45776.33125</v>
      </c>
      <c r="AO223" s="96" t="n">
        <v>45776.35416666666</v>
      </c>
      <c r="AP223" s="117">
        <f>(AG223-AF223)*1440</f>
        <v/>
      </c>
      <c r="AQ223" s="117">
        <f>(AG223-AE223)*1440</f>
        <v/>
      </c>
      <c r="AR223" s="117">
        <f>(AH223-AF223)*1440</f>
        <v/>
      </c>
      <c r="AS223" s="117">
        <f>(AI223-AH223)*1440</f>
        <v/>
      </c>
      <c r="AT223" s="117">
        <f>(AJ223-AH223)*1440</f>
        <v/>
      </c>
      <c r="AU223" s="117">
        <f>(AL223-AK223)*1440</f>
        <v/>
      </c>
      <c r="AV223" s="117">
        <f>(AM223-AL223)*1440</f>
        <v/>
      </c>
      <c r="AW223" s="117">
        <f>(AO223-AM223)*1440</f>
        <v/>
      </c>
      <c r="AX223" s="118">
        <f>AP223+AS223+AU223+AV223+AW223</f>
        <v/>
      </c>
      <c r="AY223" s="119">
        <f>(AG223-AA223)</f>
        <v/>
      </c>
      <c r="AZ223" s="119">
        <f>(AK223-AJ223)</f>
        <v/>
      </c>
      <c r="BA223" s="119">
        <f>AO223-AG223</f>
        <v/>
      </c>
      <c r="BB223" s="119">
        <f>(AO223-AA223)-(AP223/1440)-(AW223/1440)</f>
        <v/>
      </c>
      <c r="BC223" s="117">
        <f>E223/AZ223</f>
        <v/>
      </c>
      <c r="BE223" s="117">
        <f>IF(E223&lt;10000,3000,IF(E223&lt;15000,3600,IF(E223&lt;20000,4500,IF(E223&lt;25000,6000,IF(E223&lt;30000,7500,IF(E223&lt;40000,9000,IF(E223&gt;40000,10000)))))))</f>
        <v/>
      </c>
      <c r="BF223" s="322">
        <f>(E223/BE223)+2</f>
        <v/>
      </c>
      <c r="BS223" s="127" t="inlineStr">
        <is>
          <t>DEHALAGE DU POSTE 1BIS VERS POSTE 1SUD LE 20/04- 1455 // CHANGE DU POSTE 1SUD VERS LA RADE LE 21/04- 1641// RE-ACC AU POSTE 2N LE 25/04- 1500 // CHANGE DU POSTE 2N VERS LA RADE LE 28/04- 1135 / RE-ACC AU POSTE 1SUD LE 28/04- 2237</t>
        </is>
      </c>
      <c r="BT223" s="125" t="n">
        <v>5</v>
      </c>
      <c r="BU223" s="125" t="inlineStr">
        <is>
          <t>CLEAN</t>
        </is>
      </c>
      <c r="BV223" s="125" t="n"/>
      <c r="BW223" s="323">
        <f>AI223-AH223</f>
        <v/>
      </c>
      <c r="CB223" s="111" t="n">
        <v>10490</v>
      </c>
    </row>
    <row r="224" ht="14.55" customFormat="1" customHeight="1" s="230">
      <c r="A224" s="112" t="n">
        <v>155</v>
      </c>
      <c r="B224" s="342" t="inlineStr">
        <is>
          <t>GANT YRIA</t>
        </is>
      </c>
      <c r="C224" s="108" t="n">
        <v>45777</v>
      </c>
      <c r="D224" s="318" t="n">
        <v>18700</v>
      </c>
      <c r="E224" s="324">
        <f>D225+D224</f>
        <v/>
      </c>
      <c r="F224" s="232" t="n"/>
      <c r="G224" s="112" t="n">
        <v>2</v>
      </c>
      <c r="H224" s="115" t="inlineStr">
        <is>
          <t>MAP</t>
        </is>
      </c>
      <c r="I224" s="114" t="inlineStr">
        <is>
          <t xml:space="preserve">MAP 11 52 SPECIAL </t>
        </is>
      </c>
      <c r="J224" s="115" t="inlineStr">
        <is>
          <t>CFR</t>
        </is>
      </c>
      <c r="K224" s="82" t="n">
        <v>670</v>
      </c>
      <c r="L224" s="341">
        <f>D224*K224</f>
        <v/>
      </c>
      <c r="M224" s="14" t="n"/>
      <c r="N224" s="335">
        <f>L224*M224</f>
        <v/>
      </c>
      <c r="Q224" s="115" t="inlineStr">
        <is>
          <t>AMERIQUE LATINE</t>
        </is>
      </c>
      <c r="R224" s="115" t="inlineStr">
        <is>
          <t xml:space="preserve">BRAZIL </t>
        </is>
      </c>
      <c r="S224" s="115" t="n"/>
      <c r="T224" s="115" t="inlineStr">
        <is>
          <t>INSPECTORATE</t>
        </is>
      </c>
      <c r="U224" s="112" t="n">
        <v>181</v>
      </c>
      <c r="V224" s="129">
        <f>IF(U224&lt;130, "Mini Bulker", IF(AND(U224&gt;=130, U224&lt;150), "Handysize", IF(AND(U224&gt;=150, U224&lt;200), "Handymax", IF(AND(U224&gt;=200, U224&lt;230), "Panamax", IF(AND(U224&gt;=230, U224&lt;=270), "Capesize", "Autre")))))</f>
        <v/>
      </c>
      <c r="X224" s="111">
        <f>IF(E224&lt;9999,"1",IF(E224&lt;19999,"2",IF(E224&lt;29999,"3",IF(E224&lt;39999,"4",IF(E224&lt;49999,"5",IF(E224&gt;50000,"6"))))))</f>
        <v/>
      </c>
      <c r="Y224" s="125" t="inlineStr">
        <is>
          <t>1TER/2TER</t>
        </is>
      </c>
      <c r="AA224" s="96" t="n">
        <v>45770.8125</v>
      </c>
      <c r="AB224" s="96" t="n">
        <v>45771.375</v>
      </c>
      <c r="AC224" s="108" t="n">
        <v>45768</v>
      </c>
      <c r="AD224" s="108" t="n">
        <v>45772</v>
      </c>
      <c r="AE224" s="96" t="n">
        <v>45770.8125</v>
      </c>
      <c r="AF224" s="96" t="n">
        <v>45771.11805555555</v>
      </c>
      <c r="AG224" s="96" t="n">
        <v>45771.23611111111</v>
      </c>
      <c r="AH224" s="96" t="n">
        <v>45771.26388888889</v>
      </c>
      <c r="AI224" s="96" t="n">
        <v>45771.31944444445</v>
      </c>
      <c r="AJ224" s="96" t="n">
        <v>45771.36111111111</v>
      </c>
      <c r="AK224" s="96" t="n">
        <v>45777.82291666666</v>
      </c>
      <c r="AL224" s="96" t="n">
        <v>45777.86111111111</v>
      </c>
      <c r="AM224" s="96" t="n">
        <v>45777.88541666666</v>
      </c>
      <c r="AN224" s="96" t="n">
        <v>45777.93263888889</v>
      </c>
      <c r="AO224" s="96" t="n">
        <v>45777.95208333333</v>
      </c>
      <c r="AP224" s="117">
        <f>(AG224-AF224)*1440</f>
        <v/>
      </c>
      <c r="AQ224" s="117">
        <f>(AG224-AE224)*1440</f>
        <v/>
      </c>
      <c r="AR224" s="117">
        <f>(AH224-AF224)*1440</f>
        <v/>
      </c>
      <c r="AS224" s="117">
        <f>(AI224-AH224)*1440</f>
        <v/>
      </c>
      <c r="AT224" s="117">
        <f>(AJ224-AH224)*1440</f>
        <v/>
      </c>
      <c r="AU224" s="117">
        <f>(AL224-AK224)*1440</f>
        <v/>
      </c>
      <c r="AV224" s="117">
        <f>(AM224-AL224)*1440</f>
        <v/>
      </c>
      <c r="AW224" s="117">
        <f>(AO224-AM224)*1440</f>
        <v/>
      </c>
      <c r="AX224" s="118">
        <f>AP224+AS224+AU224+AV224+AW224</f>
        <v/>
      </c>
      <c r="AY224" s="119">
        <f>(AG224-AA224)</f>
        <v/>
      </c>
      <c r="AZ224" s="119">
        <f>(AK224-AJ224)</f>
        <v/>
      </c>
      <c r="BA224" s="119">
        <f>AO224-AG224</f>
        <v/>
      </c>
      <c r="BB224" s="119">
        <f>(AO224-AA224)-(AP224/1440)-(AW224/1440)</f>
        <v/>
      </c>
      <c r="BC224" s="117">
        <f>E224/AZ224</f>
        <v/>
      </c>
      <c r="BE224" s="117">
        <f>IF(E224&lt;10000,3000,IF(E224&lt;15000,3600,IF(E224&lt;20000,4500,IF(E224&lt;25000,6000,IF(E224&lt;30000,7500,IF(E224&lt;40000,9000,IF(E224&gt;40000,10000)))))))</f>
        <v/>
      </c>
      <c r="BF224" s="322">
        <f>(E224/BE224)+2</f>
        <v/>
      </c>
      <c r="BS224" s="127" t="inlineStr">
        <is>
          <t>CHANGE DU POSTE 1TER VERS LA RADE LE 27/04- 1435 / RE-ACCOSTAGE AU POSTE 2TER LE 29/04- 2320</t>
        </is>
      </c>
      <c r="BT224" s="125" t="n">
        <v>5</v>
      </c>
      <c r="BU224" s="125" t="n"/>
      <c r="BV224" s="125" t="n"/>
      <c r="BW224" s="323">
        <f>AI224-AH224</f>
        <v/>
      </c>
      <c r="CB224" s="111" t="n">
        <v>23741</v>
      </c>
    </row>
    <row r="225" ht="15" customFormat="1" customHeight="1" s="230">
      <c r="B225" s="342" t="inlineStr">
        <is>
          <t>GANT YRIA</t>
        </is>
      </c>
      <c r="C225" s="108" t="n">
        <v>45777</v>
      </c>
      <c r="D225" s="318" t="n">
        <v>14300</v>
      </c>
      <c r="E225" s="325" t="n"/>
      <c r="F225" s="232" t="n"/>
      <c r="G225" s="112" t="n">
        <v>2</v>
      </c>
      <c r="H225" s="115" t="inlineStr">
        <is>
          <t>TSP</t>
        </is>
      </c>
      <c r="I225" s="114" t="inlineStr">
        <is>
          <t xml:space="preserve">TSP SPECIAL JORF </t>
        </is>
      </c>
      <c r="J225" s="115" t="inlineStr">
        <is>
          <t>CFR</t>
        </is>
      </c>
      <c r="K225" s="82" t="n">
        <v>515</v>
      </c>
      <c r="L225" s="341">
        <f>D225*K225</f>
        <v/>
      </c>
      <c r="M225" s="14" t="n"/>
      <c r="N225" s="335">
        <f>L225*M225</f>
        <v/>
      </c>
      <c r="Q225" s="115" t="inlineStr">
        <is>
          <t>AMERIQUE LATINE</t>
        </is>
      </c>
      <c r="R225" s="115" t="inlineStr">
        <is>
          <t xml:space="preserve">BRAZIL </t>
        </is>
      </c>
      <c r="S225" s="115" t="n"/>
      <c r="T225" s="115" t="inlineStr">
        <is>
          <t>INSPECTORATE</t>
        </is>
      </c>
      <c r="U225" s="112" t="n">
        <v>181</v>
      </c>
      <c r="V225" s="129">
        <f>IF(U225&lt;130, "Mini Bulker", IF(AND(U225&gt;=130, U225&lt;150), "Handysize", IF(AND(U225&gt;=150, U225&lt;200), "Handymax", IF(AND(U225&gt;=200, U225&lt;230), "Panamax", IF(AND(U225&gt;=230, U225&lt;=270), "Capesize", "Autre")))))</f>
        <v/>
      </c>
      <c r="X225" s="111">
        <f>IF(E225&lt;9999,"1",IF(E225&lt;19999,"2",IF(E225&lt;29999,"3",IF(E225&lt;39999,"4",IF(E225&lt;49999,"5",IF(E225&gt;50000,"6"))))))</f>
        <v/>
      </c>
      <c r="Y225" s="125" t="inlineStr">
        <is>
          <t>1TER/2TER</t>
        </is>
      </c>
      <c r="AA225" s="151" t="n"/>
      <c r="AB225" s="151" t="n"/>
      <c r="AC225" s="151" t="n"/>
      <c r="AD225" s="151" t="n"/>
      <c r="AE225" s="151" t="n"/>
      <c r="AF225" s="151" t="n"/>
      <c r="AG225" s="151" t="n"/>
      <c r="AH225" s="151" t="n"/>
      <c r="AI225" s="151" t="n"/>
      <c r="AJ225" s="151" t="n"/>
      <c r="AK225" s="151" t="n"/>
      <c r="AL225" s="151" t="n"/>
      <c r="AM225" s="151" t="n"/>
      <c r="AN225" s="151" t="n"/>
      <c r="AO225" s="151" t="n"/>
      <c r="AP225" s="151" t="n"/>
      <c r="AQ225" s="151" t="n"/>
      <c r="AR225" s="151" t="n"/>
      <c r="AS225" s="151" t="n"/>
      <c r="AT225" s="151" t="n"/>
      <c r="AU225" s="151" t="n"/>
      <c r="AV225" s="151" t="n"/>
      <c r="AW225" s="151" t="n"/>
      <c r="AX225" s="151" t="n"/>
      <c r="AY225" s="151" t="n"/>
      <c r="AZ225" s="151" t="n"/>
      <c r="BA225" s="151" t="n"/>
      <c r="BB225" s="151" t="n"/>
      <c r="BC225" s="151" t="n"/>
      <c r="BD225" s="151" t="n"/>
      <c r="BE225" s="151" t="n"/>
      <c r="BF225" s="151" t="n"/>
      <c r="BG225" s="98" t="n"/>
      <c r="BH225" s="98" t="n"/>
      <c r="BI225" s="98" t="n"/>
      <c r="BJ225" s="98" t="n"/>
      <c r="BK225" s="98" t="n"/>
      <c r="BL225" s="98" t="n"/>
      <c r="BM225" s="98" t="n"/>
      <c r="BN225" s="98" t="n"/>
      <c r="BO225" s="98" t="n"/>
      <c r="BP225" s="98" t="n"/>
      <c r="BQ225" s="98" t="n"/>
      <c r="BR225" s="98" t="n"/>
      <c r="BS225" s="127" t="inlineStr">
        <is>
          <t>CHANGE DU POSTE 1TER VERS LA RADE LE 27/04- 1435 / RE-ACCOSTAGE AU POSTE 2TER LE 29/04- 2320</t>
        </is>
      </c>
      <c r="BT225" s="125" t="n">
        <v>2</v>
      </c>
      <c r="BU225" s="125" t="n"/>
      <c r="BV225" s="125" t="n"/>
      <c r="BW225" s="323">
        <f>AI226-AH226</f>
        <v/>
      </c>
      <c r="CB225" s="111" t="n"/>
    </row>
    <row r="226" ht="14.55" customHeight="1" s="70">
      <c r="A226" s="81" t="n">
        <v>157</v>
      </c>
      <c r="B226" s="343" t="inlineStr">
        <is>
          <t>SANTA VENERA</t>
        </is>
      </c>
      <c r="C226" s="15" t="n">
        <v>45779</v>
      </c>
      <c r="D226" s="329" t="n">
        <v>11000</v>
      </c>
      <c r="E226" s="333">
        <f>D226+D227+D228</f>
        <v/>
      </c>
      <c r="F226" s="142" t="inlineStr">
        <is>
          <t>OCP NUTRI</t>
        </is>
      </c>
      <c r="G226" s="81" t="n">
        <v>3</v>
      </c>
      <c r="H226" s="75" t="inlineStr">
        <is>
          <t>TSP</t>
        </is>
      </c>
      <c r="I226" s="306" t="inlineStr">
        <is>
          <t xml:space="preserve">TSP SPECIAL JORF </t>
        </is>
      </c>
      <c r="J226" s="75" t="inlineStr">
        <is>
          <t>CFR</t>
        </is>
      </c>
      <c r="K226" s="82" t="n"/>
      <c r="L226" s="341">
        <f>D226*K226</f>
        <v/>
      </c>
      <c r="M226" s="14" t="n"/>
      <c r="N226" s="335">
        <f>L226*M226</f>
        <v/>
      </c>
      <c r="Q226" s="75" t="inlineStr">
        <is>
          <t>AMERIQUE</t>
        </is>
      </c>
      <c r="R226" s="75" t="inlineStr">
        <is>
          <t>BRESIL</t>
        </is>
      </c>
      <c r="S226" s="75" t="n"/>
      <c r="T226" s="75" t="inlineStr">
        <is>
          <t>INSPECTORATE</t>
        </is>
      </c>
      <c r="U226" s="81" t="n">
        <v>180</v>
      </c>
      <c r="V226" s="53">
        <f>IF(U226&lt;130, "Mini Bulker", IF(AND(U226&gt;=130, U226&lt;150), "Handysize", IF(AND(U226&gt;=150, U226&lt;200), "Handymax", IF(AND(U226&gt;=200, U226&lt;230), "Panamax", IF(AND(U226&gt;=230, U226&lt;=270), "Capesize", "Autre")))))</f>
        <v/>
      </c>
      <c r="X226" s="14">
        <f>IF(E226&lt;9999,"1",IF(E226&lt;19999,"2",IF(E226&lt;29999,"3",IF(E226&lt;39999,"4",IF(E226&lt;49999,"5",IF(E226&gt;50000,"6"))))))</f>
        <v/>
      </c>
      <c r="Y226" s="99" t="inlineStr">
        <is>
          <t>1BIS/2BIS</t>
        </is>
      </c>
      <c r="AA226" s="26" t="n">
        <v>45774.05</v>
      </c>
      <c r="AB226" s="26" t="n">
        <v>45774.375</v>
      </c>
      <c r="AC226" s="15" t="n">
        <v>45772</v>
      </c>
      <c r="AD226" s="15" t="n">
        <v>45774</v>
      </c>
      <c r="AE226" s="26" t="n">
        <v>45773.9875</v>
      </c>
      <c r="AF226" s="26" t="n">
        <v>45774.375</v>
      </c>
      <c r="AG226" s="26" t="n">
        <v>45774.6875</v>
      </c>
      <c r="AH226" s="26" t="n">
        <v>45774.70138888889</v>
      </c>
      <c r="AI226" s="26" t="n">
        <v>45774.75694444445</v>
      </c>
      <c r="AJ226" s="26" t="n">
        <v>45774.78472222222</v>
      </c>
      <c r="AK226" s="26" t="n">
        <v>45779.80555555555</v>
      </c>
      <c r="AL226" s="26" t="n">
        <v>45779.86388888889</v>
      </c>
      <c r="AM226" s="26" t="n">
        <v>45779.88194444445</v>
      </c>
      <c r="AN226" s="26" t="n">
        <v>45779.91388888889</v>
      </c>
      <c r="AO226" s="26" t="n">
        <v>45779.93055555555</v>
      </c>
      <c r="AP226" s="20">
        <f>(AG226-AF226)*1440</f>
        <v/>
      </c>
      <c r="AQ226" s="20">
        <f>(AG226-AE226)*1440</f>
        <v/>
      </c>
      <c r="AR226" s="20">
        <f>(AH226-AF226)*1440</f>
        <v/>
      </c>
      <c r="AS226" s="20">
        <f>(AI226-AH226)*1440</f>
        <v/>
      </c>
      <c r="AT226" s="20">
        <f>(AJ226-AH226)*1440</f>
        <v/>
      </c>
      <c r="AU226" s="20">
        <f>(AL226-AK226)*1440</f>
        <v/>
      </c>
      <c r="AV226" s="20">
        <f>(AM226-AL226)*1440</f>
        <v/>
      </c>
      <c r="AW226" s="20">
        <f>(AO226-AM226)*1440</f>
        <v/>
      </c>
      <c r="AX226" s="19">
        <f>AP226+AS226+AU226+AV226+AW226</f>
        <v/>
      </c>
      <c r="AY226" s="18">
        <f>(AG226-AA226)</f>
        <v/>
      </c>
      <c r="AZ226" s="18">
        <f>(AK226-AJ226)</f>
        <v/>
      </c>
      <c r="BA226" s="18">
        <f>AO226-AG226</f>
        <v/>
      </c>
      <c r="BB226" s="18">
        <f>(AO226-AA226)-(AP226/1440)-(AW226/1440)</f>
        <v/>
      </c>
      <c r="BC226" s="20">
        <f>E226/AZ226</f>
        <v/>
      </c>
      <c r="BE226" s="20">
        <f>IF(E226&lt;10000,3000,IF(E226&lt;15000,3600,IF(E226&lt;20000,4500,IF(E226&lt;25000,6000,IF(E226&lt;30000,7500,IF(E226&lt;40000,9000,IF(E226&gt;40000,10000)))))))</f>
        <v/>
      </c>
      <c r="BF226" s="334">
        <f>(E226/BE226)+2</f>
        <v/>
      </c>
      <c r="BS226" s="97" t="inlineStr">
        <is>
          <t>CHANGE DU POSTE 1BIS VERAS LA RADE LE 30/04- 1210 // RE-ACCOSTAGE AU POSTE 2BIS LE 01/05- 0315</t>
        </is>
      </c>
      <c r="BT226" s="99" t="n">
        <v>2</v>
      </c>
      <c r="BU226" s="99" t="n"/>
      <c r="BV226" s="99" t="n"/>
      <c r="BW226" s="332">
        <f>AI229-AH229</f>
        <v/>
      </c>
      <c r="CB226" s="14" t="n"/>
    </row>
    <row r="227" ht="14.55" customHeight="1" s="70">
      <c r="B227" s="343" t="inlineStr">
        <is>
          <t>SANTA VENERA</t>
        </is>
      </c>
      <c r="C227" s="15" t="n">
        <v>45779</v>
      </c>
      <c r="D227" s="329" t="n">
        <v>11000</v>
      </c>
      <c r="E227" s="330" t="n"/>
      <c r="F227" s="142" t="inlineStr">
        <is>
          <t>OCP NUTRI</t>
        </is>
      </c>
      <c r="G227" s="81" t="n">
        <v>3</v>
      </c>
      <c r="H227" s="75" t="inlineStr">
        <is>
          <t>MAP</t>
        </is>
      </c>
      <c r="I227" s="306" t="inlineStr">
        <is>
          <t xml:space="preserve">MAP 11 52 SPECIAL </t>
        </is>
      </c>
      <c r="J227" s="75" t="inlineStr">
        <is>
          <t>CFR</t>
        </is>
      </c>
      <c r="K227" s="82" t="n"/>
      <c r="L227" s="341">
        <f>D227*K227</f>
        <v/>
      </c>
      <c r="M227" s="14" t="n"/>
      <c r="N227" s="335">
        <f>L227*M227</f>
        <v/>
      </c>
      <c r="Q227" s="75" t="inlineStr">
        <is>
          <t>AMERIQUE</t>
        </is>
      </c>
      <c r="R227" s="75" t="inlineStr">
        <is>
          <t>BRESIL</t>
        </is>
      </c>
      <c r="S227" s="75" t="n"/>
      <c r="T227" s="75" t="inlineStr">
        <is>
          <t>INSPECTORATE</t>
        </is>
      </c>
      <c r="U227" s="81" t="n">
        <v>180</v>
      </c>
      <c r="V227" s="53">
        <f>IF(U227&lt;130, "Mini Bulker", IF(AND(U227&gt;=130, U227&lt;150), "Handysize", IF(AND(U227&gt;=150, U227&lt;200), "Handymax", IF(AND(U227&gt;=200, U227&lt;230), "Panamax", IF(AND(U227&gt;=230, U227&lt;=270), "Capesize", "Autre")))))</f>
        <v/>
      </c>
      <c r="X227" s="14">
        <f>IF(E227&lt;9999,"1",IF(E227&lt;19999,"2",IF(E227&lt;29999,"3",IF(E227&lt;39999,"4",IF(E227&lt;49999,"5",IF(E227&gt;50000,"6"))))))</f>
        <v/>
      </c>
      <c r="Y227" s="99" t="inlineStr">
        <is>
          <t>1BIS/2BIS</t>
        </is>
      </c>
      <c r="AA227" s="218" t="n"/>
      <c r="AB227" s="218" t="n"/>
      <c r="AC227" s="98" t="n"/>
      <c r="AD227" s="98" t="n"/>
      <c r="AE227" s="218" t="n"/>
      <c r="AF227" s="218" t="n"/>
      <c r="AG227" s="218" t="n"/>
      <c r="AH227" s="218" t="n"/>
      <c r="AI227" s="218" t="n"/>
      <c r="AJ227" s="218" t="n"/>
      <c r="AK227" s="218" t="n"/>
      <c r="AL227" s="218" t="n"/>
      <c r="AM227" s="218" t="n"/>
      <c r="AN227" s="218" t="n"/>
      <c r="AO227" s="218" t="n"/>
      <c r="AP227" s="98" t="n"/>
      <c r="AQ227" s="98" t="n"/>
      <c r="AR227" s="98" t="n"/>
      <c r="AS227" s="98" t="n"/>
      <c r="AT227" s="98" t="n"/>
      <c r="AU227" s="98" t="n"/>
      <c r="AV227" s="98" t="n"/>
      <c r="AW227" s="98" t="n"/>
      <c r="AX227" s="98" t="n"/>
      <c r="AY227" s="98" t="n"/>
      <c r="AZ227" s="98" t="n"/>
      <c r="BA227" s="98" t="n"/>
      <c r="BB227" s="98" t="n"/>
      <c r="BC227" s="98" t="n"/>
      <c r="BD227" s="220" t="n"/>
      <c r="BE227" s="98" t="n"/>
      <c r="BF227" s="98" t="n"/>
      <c r="BG227" s="220" t="n"/>
      <c r="BH227" s="220" t="n"/>
      <c r="BI227" s="220" t="n"/>
      <c r="BJ227" s="220" t="n"/>
      <c r="BK227" s="220" t="n"/>
      <c r="BL227" s="220" t="n"/>
      <c r="BM227" s="220" t="n"/>
      <c r="BN227" s="220" t="n"/>
      <c r="BO227" s="220" t="n"/>
      <c r="BP227" s="220" t="n"/>
      <c r="BQ227" s="220" t="n"/>
      <c r="BR227" s="220" t="n"/>
      <c r="BS227" s="97" t="inlineStr">
        <is>
          <t>CHANGE DU POSTE 1BIS VERAS LA RADE LE 30/04- 1210 // RE-ACCOSTAGE AU POSTE 2BIS LE 01/05- 0316</t>
        </is>
      </c>
      <c r="BT227" s="99" t="n">
        <v>2</v>
      </c>
      <c r="BU227" s="99" t="n"/>
      <c r="BV227" s="99" t="n"/>
      <c r="BW227" s="332" t="n"/>
      <c r="CB227" s="14" t="n"/>
    </row>
    <row r="228" ht="15" customHeight="1" s="70">
      <c r="B228" s="343" t="inlineStr">
        <is>
          <t>SANTA VENERA</t>
        </is>
      </c>
      <c r="C228" s="15" t="n">
        <v>45779</v>
      </c>
      <c r="D228" s="329" t="n">
        <v>5500</v>
      </c>
      <c r="E228" s="330" t="n"/>
      <c r="F228" s="142" t="inlineStr">
        <is>
          <t>OCP NUTRI</t>
        </is>
      </c>
      <c r="G228" s="81" t="n">
        <v>3</v>
      </c>
      <c r="H228" s="75" t="inlineStr">
        <is>
          <t>DAP</t>
        </is>
      </c>
      <c r="I228" s="306" t="inlineStr">
        <is>
          <t xml:space="preserve">DAP SPECIAL </t>
        </is>
      </c>
      <c r="J228" s="75" t="inlineStr">
        <is>
          <t>CFR</t>
        </is>
      </c>
      <c r="K228" s="82" t="n"/>
      <c r="L228" s="341">
        <f>D228*K228</f>
        <v/>
      </c>
      <c r="M228" s="14" t="n"/>
      <c r="N228" s="335">
        <f>L228*M228</f>
        <v/>
      </c>
      <c r="Q228" s="75" t="inlineStr">
        <is>
          <t>AMERIQUE</t>
        </is>
      </c>
      <c r="R228" s="75" t="inlineStr">
        <is>
          <t>BRESIL</t>
        </is>
      </c>
      <c r="S228" s="75" t="n"/>
      <c r="T228" s="75" t="inlineStr">
        <is>
          <t>INSPECTORATE</t>
        </is>
      </c>
      <c r="U228" s="81" t="n">
        <v>180</v>
      </c>
      <c r="V228" s="53">
        <f>IF(U228&lt;130, "Mini Bulker", IF(AND(U228&gt;=130, U228&lt;150), "Handysize", IF(AND(U228&gt;=150, U228&lt;200), "Handymax", IF(AND(U228&gt;=200, U228&lt;230), "Panamax", IF(AND(U228&gt;=230, U228&lt;=270), "Capesize", "Autre")))))</f>
        <v/>
      </c>
      <c r="X228" s="14">
        <f>IF(E228&lt;9999,"1",IF(E228&lt;19999,"2",IF(E228&lt;29999,"3",IF(E228&lt;39999,"4",IF(E228&lt;49999,"5",IF(E228&gt;50000,"6"))))))</f>
        <v/>
      </c>
      <c r="Y228" s="99" t="inlineStr">
        <is>
          <t>1BIS/2BIS</t>
        </is>
      </c>
      <c r="AA228" s="98" t="n"/>
      <c r="AB228" s="98" t="n"/>
      <c r="AC228" s="98" t="n"/>
      <c r="AD228" s="98" t="n"/>
      <c r="AE228" s="98" t="n"/>
      <c r="AF228" s="98" t="n"/>
      <c r="AG228" s="98" t="n"/>
      <c r="AH228" s="98" t="n"/>
      <c r="AI228" s="98" t="n"/>
      <c r="AJ228" s="98" t="n"/>
      <c r="AK228" s="98" t="n"/>
      <c r="AL228" s="98" t="n"/>
      <c r="AM228" s="98" t="n"/>
      <c r="AN228" s="98" t="n"/>
      <c r="AO228" s="98" t="n"/>
      <c r="AP228" s="98" t="n"/>
      <c r="AQ228" s="98" t="n"/>
      <c r="AR228" s="98" t="n"/>
      <c r="AS228" s="98" t="n"/>
      <c r="AT228" s="98" t="n"/>
      <c r="AU228" s="98" t="n"/>
      <c r="AV228" s="98" t="n"/>
      <c r="AW228" s="98" t="n"/>
      <c r="AX228" s="98" t="n"/>
      <c r="AY228" s="98" t="n"/>
      <c r="AZ228" s="98" t="n"/>
      <c r="BA228" s="98" t="n"/>
      <c r="BB228" s="98" t="n"/>
      <c r="BC228" s="98" t="n"/>
      <c r="BD228" s="98" t="n"/>
      <c r="BE228" s="98" t="n"/>
      <c r="BF228" s="98" t="n"/>
      <c r="BG228" s="98" t="n"/>
      <c r="BH228" s="98" t="n"/>
      <c r="BI228" s="98" t="n"/>
      <c r="BJ228" s="98" t="n"/>
      <c r="BK228" s="98" t="n"/>
      <c r="BL228" s="98" t="n"/>
      <c r="BM228" s="98" t="n"/>
      <c r="BN228" s="98" t="n"/>
      <c r="BO228" s="98" t="n"/>
      <c r="BP228" s="98" t="n"/>
      <c r="BQ228" s="98" t="n"/>
      <c r="BR228" s="98" t="n"/>
      <c r="BS228" s="97" t="inlineStr">
        <is>
          <t>CHANGE DU POSTE 1BIS VERAS LA RADE LE 30/04- 1210 // RE-ACCOSTAGE AU POSTE 2BIS LE 01/05- 0317</t>
        </is>
      </c>
      <c r="BT228" s="99" t="n">
        <v>2</v>
      </c>
      <c r="BU228" s="99" t="n"/>
      <c r="BV228" s="99" t="n"/>
      <c r="BW228" s="332" t="n"/>
      <c r="CB228" s="14" t="n"/>
    </row>
    <row r="229" ht="15" customHeight="1" s="70">
      <c r="A229" s="81" t="inlineStr">
        <is>
          <t xml:space="preserve">                  </t>
        </is>
      </c>
      <c r="B229" s="343" t="inlineStr">
        <is>
          <t>TAURUS HONOR</t>
        </is>
      </c>
      <c r="C229" s="15" t="n">
        <v>45779</v>
      </c>
      <c r="D229" s="329" t="n">
        <v>44000</v>
      </c>
      <c r="E229" s="329" t="n">
        <v>44000</v>
      </c>
      <c r="F229" s="142" t="inlineStr">
        <is>
          <t>JFC1</t>
        </is>
      </c>
      <c r="G229" s="81" t="n">
        <v>1</v>
      </c>
      <c r="H229" s="75" t="inlineStr">
        <is>
          <t>DAP</t>
        </is>
      </c>
      <c r="I229" s="306" t="inlineStr">
        <is>
          <t>DAP STANDARD</t>
        </is>
      </c>
      <c r="J229" s="75" t="inlineStr">
        <is>
          <t>FOB</t>
        </is>
      </c>
      <c r="K229" s="82" t="n"/>
      <c r="L229" s="341">
        <f>D229*K229</f>
        <v/>
      </c>
      <c r="M229" s="14" t="n"/>
      <c r="N229" s="335">
        <f>L229*M229</f>
        <v/>
      </c>
      <c r="Q229" s="75" t="inlineStr">
        <is>
          <t>ASIE</t>
        </is>
      </c>
      <c r="R229" s="75" t="inlineStr">
        <is>
          <t>BANGLADESH</t>
        </is>
      </c>
      <c r="S229" s="75" t="n"/>
      <c r="T229" s="75" t="inlineStr">
        <is>
          <t>INSPECTORATE</t>
        </is>
      </c>
      <c r="U229" s="81" t="n">
        <v>190</v>
      </c>
      <c r="V229" s="53">
        <f>IF(U229&lt;130, "Mini Bulker", IF(AND(U229&gt;=130, U229&lt;150), "Handysize", IF(AND(U229&gt;=150, U229&lt;200), "Handymax", IF(AND(U229&gt;=200, U229&lt;230), "Panamax", IF(AND(U229&gt;=230, U229&lt;=270), "Capesize", "Autre")))))</f>
        <v/>
      </c>
      <c r="X229" s="14">
        <f>IF(E229&lt;9999,"1",IF(E229&lt;19999,"2",IF(E229&lt;29999,"3",IF(E229&lt;39999,"4",IF(E229&lt;49999,"5",IF(E229&gt;50000,"6"))))))</f>
        <v/>
      </c>
      <c r="Y229" s="99" t="inlineStr">
        <is>
          <t xml:space="preserve">1N/2N </t>
        </is>
      </c>
      <c r="AA229" s="17" t="n">
        <v>45775.00069444445</v>
      </c>
      <c r="AB229" s="17" t="n">
        <v>45775.375</v>
      </c>
      <c r="AC229" s="15" t="n">
        <v>45775</v>
      </c>
      <c r="AD229" s="15" t="n">
        <v>45777</v>
      </c>
      <c r="AE229" s="17" t="n">
        <v>45774.7875</v>
      </c>
      <c r="AF229" s="17" t="n">
        <v>45775.00069444445</v>
      </c>
      <c r="AG229" s="17" t="n">
        <v>45775.08333333334</v>
      </c>
      <c r="AH229" s="17" t="n">
        <v>45775.09722222222</v>
      </c>
      <c r="AI229" s="17" t="n">
        <v>45775.16666666666</v>
      </c>
      <c r="AJ229" s="17" t="n">
        <v>45775.22222222222</v>
      </c>
      <c r="AK229" s="17" t="n">
        <v>45779.43055555555</v>
      </c>
      <c r="AL229" s="17" t="n">
        <v>45779.47847222222</v>
      </c>
      <c r="AM229" s="17" t="n">
        <v>45779.52083333334</v>
      </c>
      <c r="AN229" s="17" t="n">
        <v>45779.49236111111</v>
      </c>
      <c r="AO229" s="17" t="n">
        <v>45779.53472222222</v>
      </c>
      <c r="AP229" s="20">
        <f>(AG229-AF229)*1440</f>
        <v/>
      </c>
      <c r="AQ229" s="20">
        <f>(AG229-AE229)*1440</f>
        <v/>
      </c>
      <c r="AR229" s="20">
        <f>(AH229-AF229)*1440</f>
        <v/>
      </c>
      <c r="AS229" s="20">
        <f>(AI229-AH229)*1440</f>
        <v/>
      </c>
      <c r="AT229" s="20">
        <f>(AJ229-AH229)*1440</f>
        <v/>
      </c>
      <c r="AU229" s="20">
        <f>(AL229-AK229)*1440</f>
        <v/>
      </c>
      <c r="AV229" s="20">
        <f>(AM229-AL229)*1440</f>
        <v/>
      </c>
      <c r="AW229" s="20">
        <f>(AO229-AM229)*1440</f>
        <v/>
      </c>
      <c r="AX229" s="19">
        <f>AP229+AS229+AU229+AV229+AW229</f>
        <v/>
      </c>
      <c r="AY229" s="18">
        <f>(AG229-AA229)</f>
        <v/>
      </c>
      <c r="AZ229" s="18">
        <f>(AK229-AJ229)</f>
        <v/>
      </c>
      <c r="BA229" s="18">
        <f>AO229-AG229</f>
        <v/>
      </c>
      <c r="BB229" s="18">
        <f>(AO229-AA229)-(AP229/1440)-(AW229/1440)</f>
        <v/>
      </c>
      <c r="BC229" s="20">
        <f>E229/AZ229</f>
        <v/>
      </c>
      <c r="BD229" s="208" t="n"/>
      <c r="BE229" s="20">
        <f>IF(E229&lt;10000,3000,IF(E229&lt;15000,3600,IF(E229&lt;20000,4500,IF(E229&lt;25000,6000,IF(E229&lt;30000,7500,IF(E229&lt;40000,9000,IF(E229&gt;40000,10000)))))))</f>
        <v/>
      </c>
      <c r="BF229" s="334">
        <f>(E229/BE229)+2</f>
        <v/>
      </c>
      <c r="BG229" s="208" t="n"/>
      <c r="BH229" s="208" t="n"/>
      <c r="BI229" s="208" t="n"/>
      <c r="BJ229" s="208" t="n"/>
      <c r="BK229" s="208" t="n"/>
      <c r="BL229" s="208" t="n"/>
      <c r="BM229" s="208" t="n"/>
      <c r="BN229" s="208" t="n"/>
      <c r="BO229" s="208" t="n"/>
      <c r="BP229" s="208" t="n"/>
      <c r="BQ229" s="208" t="n"/>
      <c r="BR229" s="208" t="n"/>
      <c r="BS229" s="97" t="inlineStr">
        <is>
          <t>CHANGE DU POSTE 1N VERS POSTE 2N LE 28/04- 2120</t>
        </is>
      </c>
      <c r="BT229" s="99" t="n">
        <v>1</v>
      </c>
      <c r="BU229" s="99" t="n"/>
      <c r="BV229" s="99" t="n"/>
      <c r="BW229" s="332">
        <f>AI230-AH230</f>
        <v/>
      </c>
      <c r="CB229" s="14" t="n"/>
    </row>
    <row r="230" ht="14.55" customHeight="1" s="70">
      <c r="A230" s="81" t="n">
        <v>158</v>
      </c>
      <c r="B230" s="343" t="inlineStr">
        <is>
          <t>OCEAN BREEZE</t>
        </is>
      </c>
      <c r="C230" s="15" t="n">
        <v>45780</v>
      </c>
      <c r="D230" s="329" t="n">
        <v>10340</v>
      </c>
      <c r="E230" s="333">
        <f>D230+D231</f>
        <v/>
      </c>
      <c r="F230" s="142" t="inlineStr">
        <is>
          <t xml:space="preserve">OCP NUTRICROPS </t>
        </is>
      </c>
      <c r="G230" s="81" t="n">
        <v>2</v>
      </c>
      <c r="H230" s="75" t="inlineStr">
        <is>
          <t>DAP</t>
        </is>
      </c>
      <c r="I230" s="306" t="inlineStr">
        <is>
          <t xml:space="preserve">DAP STANDARD </t>
        </is>
      </c>
      <c r="J230" s="75" t="inlineStr">
        <is>
          <t xml:space="preserve">FOB </t>
        </is>
      </c>
      <c r="K230" s="82" t="n"/>
      <c r="L230" s="341">
        <f>D230*K230</f>
        <v/>
      </c>
      <c r="M230" s="14" t="n"/>
      <c r="N230" s="335">
        <f>L230*M230</f>
        <v/>
      </c>
      <c r="Q230" s="75" t="inlineStr">
        <is>
          <t>AFRIQUE</t>
        </is>
      </c>
      <c r="R230" s="75" t="inlineStr">
        <is>
          <t>COTE D'IVOIRE</t>
        </is>
      </c>
      <c r="S230" s="75" t="n"/>
      <c r="T230" s="75" t="inlineStr">
        <is>
          <t>INSPECTORATE</t>
        </is>
      </c>
      <c r="U230" s="81" t="n">
        <v>138</v>
      </c>
      <c r="V230" s="53">
        <f>IF(U230&lt;130, "Mini Bulker", IF(AND(U230&gt;=130, U230&lt;150), "Handysize", IF(AND(U230&gt;=150, U230&lt;200), "Handymax", IF(AND(U230&gt;=200, U230&lt;230), "Panamax", IF(AND(U230&gt;=230, U230&lt;=270), "Capesize", "Autre")))))</f>
        <v/>
      </c>
      <c r="X230" s="14">
        <f>IF(E230&lt;9999,"1",IF(E230&lt;19999,"2",IF(E230&lt;29999,"3",IF(E230&lt;39999,"4",IF(E230&lt;49999,"5",IF(E230&gt;50000,"6"))))))</f>
        <v/>
      </c>
      <c r="Y230" s="99" t="inlineStr">
        <is>
          <t>1TER/2BIS</t>
        </is>
      </c>
      <c r="AA230" s="26" t="n">
        <v>45775.89583333334</v>
      </c>
      <c r="AB230" s="26" t="n">
        <v>45775.89583333334</v>
      </c>
      <c r="AC230" s="15" t="n">
        <v>45776</v>
      </c>
      <c r="AD230" s="15" t="n">
        <v>45778</v>
      </c>
      <c r="AE230" s="26" t="n">
        <v>45775.89583333334</v>
      </c>
      <c r="AF230" s="26" t="n">
        <v>45775.89583333334</v>
      </c>
      <c r="AG230" s="26" t="n">
        <v>45775.99583333333</v>
      </c>
      <c r="AH230" s="26" t="n">
        <v>45776.01388888889</v>
      </c>
      <c r="AI230" s="26" t="n">
        <v>45776.06944444445</v>
      </c>
      <c r="AJ230" s="26" t="n">
        <v>45806.07638888889</v>
      </c>
      <c r="AK230" s="26" t="n">
        <v>45780.78125</v>
      </c>
      <c r="AL230" s="26" t="n">
        <v>45780.82291666666</v>
      </c>
      <c r="AM230" s="26" t="n">
        <v>45780.83333333334</v>
      </c>
      <c r="AN230" s="26" t="n">
        <v>45780.84652777778</v>
      </c>
      <c r="AO230" s="26" t="n">
        <v>45780.90625</v>
      </c>
      <c r="AP230" s="20">
        <f>(AG230-AF230)*1440</f>
        <v/>
      </c>
      <c r="AQ230" s="20">
        <f>(AG230-AE230)*1440</f>
        <v/>
      </c>
      <c r="AR230" s="20">
        <f>(AH230-AF230)*1440</f>
        <v/>
      </c>
      <c r="AS230" s="20">
        <f>(AI230-AH230)*1440</f>
        <v/>
      </c>
      <c r="AT230" s="20">
        <f>(AJ230-AH230)*1440</f>
        <v/>
      </c>
      <c r="AU230" s="20">
        <f>(AL230-AK230)*1440</f>
        <v/>
      </c>
      <c r="AV230" s="20">
        <f>(AM230-AL230)*1440</f>
        <v/>
      </c>
      <c r="AW230" s="20">
        <f>(AO230-AM230)*1440</f>
        <v/>
      </c>
      <c r="AX230" s="19">
        <f>AP230+AS230+AU230+AV230+AW230</f>
        <v/>
      </c>
      <c r="AY230" s="18">
        <f>(AG230-AA230)</f>
        <v/>
      </c>
      <c r="AZ230" s="18">
        <f>(AK230-AJ230)</f>
        <v/>
      </c>
      <c r="BA230" s="18">
        <f>AO230-AG230</f>
        <v/>
      </c>
      <c r="BB230" s="18">
        <f>(AO230-AA230)-(AP230/1440)-(AW230/1440)</f>
        <v/>
      </c>
      <c r="BC230" s="20">
        <f>E230/AZ230</f>
        <v/>
      </c>
      <c r="BE230" s="20">
        <f>IF(E230&lt;10000,3000,IF(E230&lt;15000,3600,IF(E230&lt;20000,4500,IF(E230&lt;25000,6000,IF(E230&lt;30000,7500,IF(E230&lt;40000,9000,IF(E230&gt;40000,10000)))))))</f>
        <v/>
      </c>
      <c r="BF230" s="334">
        <f>(E230/BE230)+2</f>
        <v/>
      </c>
      <c r="BS230" s="97" t="inlineStr">
        <is>
          <t>CHANGE DU POSTE 1TER  VERS LA RADE LE 01/05- 0005 // RE-ACC AU POSTE 2BIS LE 02/05- 2337</t>
        </is>
      </c>
      <c r="BT230" s="99" t="n">
        <v>2</v>
      </c>
      <c r="BU230" s="99" t="n"/>
      <c r="BV230" s="99" t="n"/>
      <c r="BW230" s="332">
        <f>AI232-AH232</f>
        <v/>
      </c>
      <c r="CB230" s="14" t="n"/>
    </row>
    <row r="231" ht="15" customHeight="1" s="70">
      <c r="B231" s="343" t="inlineStr">
        <is>
          <t>OCEAN BREEZE</t>
        </is>
      </c>
      <c r="C231" s="15" t="n">
        <v>45780</v>
      </c>
      <c r="D231" s="329" t="n">
        <v>6600</v>
      </c>
      <c r="E231" s="330" t="n"/>
      <c r="F231" s="142" t="inlineStr">
        <is>
          <t>JFC 5</t>
        </is>
      </c>
      <c r="G231" s="81" t="n">
        <v>2</v>
      </c>
      <c r="H231" s="75" t="inlineStr">
        <is>
          <t>TSP</t>
        </is>
      </c>
      <c r="I231" s="306" t="inlineStr">
        <is>
          <t xml:space="preserve">TSP CIV </t>
        </is>
      </c>
      <c r="J231" s="75" t="inlineStr">
        <is>
          <t xml:space="preserve">FOB </t>
        </is>
      </c>
      <c r="K231" s="82" t="n"/>
      <c r="L231" s="341">
        <f>D231*K231</f>
        <v/>
      </c>
      <c r="M231" s="14" t="n"/>
      <c r="N231" s="335">
        <f>L231*M231</f>
        <v/>
      </c>
      <c r="Q231" s="75" t="inlineStr">
        <is>
          <t>AFRIQUE</t>
        </is>
      </c>
      <c r="R231" s="75" t="inlineStr">
        <is>
          <t>COTE D'IVOIRE</t>
        </is>
      </c>
      <c r="S231" s="75" t="n"/>
      <c r="T231" s="75" t="inlineStr">
        <is>
          <t>INSPECTORATE</t>
        </is>
      </c>
      <c r="U231" s="81" t="n">
        <v>138</v>
      </c>
      <c r="V231" s="53">
        <f>IF(U231&lt;130, "Mini Bulker", IF(AND(U231&gt;=130, U231&lt;150), "Handysize", IF(AND(U231&gt;=150, U231&lt;200), "Handymax", IF(AND(U231&gt;=200, U231&lt;230), "Panamax", IF(AND(U231&gt;=230, U231&lt;=270), "Capesize", "Autre")))))</f>
        <v/>
      </c>
      <c r="X231" s="14">
        <f>IF(E231&lt;9999,"1",IF(E231&lt;19999,"2",IF(E231&lt;29999,"3",IF(E231&lt;39999,"4",IF(E231&lt;49999,"5",IF(E231&gt;50000,"6"))))))</f>
        <v/>
      </c>
      <c r="Y231" s="99" t="inlineStr">
        <is>
          <t>1TER/2BIS</t>
        </is>
      </c>
      <c r="AA231" s="98" t="n"/>
      <c r="AB231" s="98" t="n"/>
      <c r="AC231" s="98" t="n"/>
      <c r="AD231" s="98" t="n"/>
      <c r="AE231" s="98" t="n"/>
      <c r="AF231" s="98" t="n"/>
      <c r="AG231" s="98" t="n"/>
      <c r="AH231" s="98" t="n"/>
      <c r="AI231" s="98" t="n"/>
      <c r="AJ231" s="98" t="n"/>
      <c r="AK231" s="98" t="n"/>
      <c r="AL231" s="98" t="n"/>
      <c r="AM231" s="98" t="n"/>
      <c r="AN231" s="98" t="n"/>
      <c r="AO231" s="98" t="n"/>
      <c r="AP231" s="98" t="n"/>
      <c r="AQ231" s="98" t="n"/>
      <c r="AR231" s="98" t="n"/>
      <c r="AS231" s="98" t="n"/>
      <c r="AT231" s="98" t="n"/>
      <c r="AU231" s="98" t="n"/>
      <c r="AV231" s="98" t="n"/>
      <c r="AW231" s="98" t="n"/>
      <c r="AX231" s="98" t="n"/>
      <c r="AY231" s="98" t="n"/>
      <c r="AZ231" s="98" t="n"/>
      <c r="BA231" s="98" t="n"/>
      <c r="BB231" s="98" t="n"/>
      <c r="BC231" s="98" t="n"/>
      <c r="BD231" s="98" t="n"/>
      <c r="BE231" s="98" t="n"/>
      <c r="BF231" s="98" t="n"/>
      <c r="BG231" s="98" t="n"/>
      <c r="BH231" s="98" t="n"/>
      <c r="BI231" s="98" t="n"/>
      <c r="BJ231" s="98" t="n"/>
      <c r="BK231" s="98" t="n"/>
      <c r="BL231" s="98" t="n"/>
      <c r="BM231" s="98" t="n"/>
      <c r="BN231" s="98" t="n"/>
      <c r="BO231" s="98" t="n"/>
      <c r="BP231" s="98" t="n"/>
      <c r="BQ231" s="98" t="n"/>
      <c r="BR231" s="98" t="n"/>
      <c r="BS231" s="97" t="inlineStr">
        <is>
          <t>CHANGE DU POSTE 1TER  VERS LA RADE LE 01/05- 0005 // RE-ACC AU POSTE 2BIS LE 02/05- 2338</t>
        </is>
      </c>
      <c r="BT231" s="99" t="n">
        <v>2</v>
      </c>
      <c r="BU231" s="99" t="n"/>
      <c r="BV231" s="99" t="n"/>
      <c r="BW231" s="332" t="n"/>
      <c r="CB231" s="14" t="n"/>
    </row>
    <row r="232" ht="14.55" customHeight="1" s="70">
      <c r="A232" s="81" t="n">
        <v>160</v>
      </c>
      <c r="B232" s="343" t="inlineStr">
        <is>
          <t>ARKLOW FIELD</t>
        </is>
      </c>
      <c r="C232" s="15" t="n">
        <v>45781</v>
      </c>
      <c r="D232" s="329" t="n">
        <v>3214</v>
      </c>
      <c r="E232" s="333">
        <f>D232+D233</f>
        <v/>
      </c>
      <c r="F232" s="142" t="inlineStr">
        <is>
          <t xml:space="preserve">OCP NUTRICROPS </t>
        </is>
      </c>
      <c r="G232" s="81" t="n">
        <v>2</v>
      </c>
      <c r="H232" s="75" t="inlineStr">
        <is>
          <t>DAP</t>
        </is>
      </c>
      <c r="I232" s="306" t="inlineStr">
        <is>
          <t xml:space="preserve">DAP Euro Low Cd </t>
        </is>
      </c>
      <c r="J232" s="75" t="inlineStr">
        <is>
          <t>CFR</t>
        </is>
      </c>
      <c r="K232" s="82" t="n"/>
      <c r="L232" s="341">
        <f>D232*K232</f>
        <v/>
      </c>
      <c r="M232" s="14" t="n"/>
      <c r="N232" s="335">
        <f>L232*M232</f>
        <v/>
      </c>
      <c r="Q232" s="75" t="inlineStr">
        <is>
          <t>EUROPE</t>
        </is>
      </c>
      <c r="R232" s="75" t="inlineStr">
        <is>
          <t>Espagne</t>
        </is>
      </c>
      <c r="S232" s="75" t="n"/>
      <c r="T232" s="75" t="inlineStr">
        <is>
          <t>INTERTEK</t>
        </is>
      </c>
      <c r="U232" s="81" t="n">
        <v>89</v>
      </c>
      <c r="V232" s="53">
        <f>IF(U232&lt;130, "Mini Bulker", IF(AND(U232&gt;=130, U232&lt;150), "Handysize", IF(AND(U232&gt;=150, U232&lt;200), "Handymax", IF(AND(U232&gt;=200, U232&lt;230), "Panamax", IF(AND(U232&gt;=230, U232&lt;=270), "Capesize", "Autre")))))</f>
        <v/>
      </c>
      <c r="X232" s="14">
        <f>IF(E232&lt;9999,"1",IF(E232&lt;19999,"2",IF(E232&lt;29999,"3",IF(E232&lt;39999,"4",IF(E232&lt;49999,"5",IF(E232&gt;50000,"6"))))))</f>
        <v/>
      </c>
      <c r="Y232" s="99" t="inlineStr">
        <is>
          <t xml:space="preserve">2TER/7/1N/1S </t>
        </is>
      </c>
      <c r="AA232" s="26" t="n">
        <v>45771.76041666666</v>
      </c>
      <c r="AB232" s="26" t="n">
        <v>45772.375</v>
      </c>
      <c r="AC232" s="15" t="n">
        <v>45774</v>
      </c>
      <c r="AD232" s="15" t="n">
        <v>45775</v>
      </c>
      <c r="AE232" s="26" t="n">
        <v>45771.76041666666</v>
      </c>
      <c r="AF232" s="26" t="n">
        <v>45773.63888888889</v>
      </c>
      <c r="AG232" s="26" t="n">
        <v>45773.83333333334</v>
      </c>
      <c r="AH232" s="26" t="n">
        <v>45773.84375</v>
      </c>
      <c r="AI232" s="26" t="n">
        <v>45774.09375</v>
      </c>
      <c r="AJ232" s="26" t="n">
        <v>45774.09375</v>
      </c>
      <c r="AK232" s="26" t="n">
        <v>45781.21527777778</v>
      </c>
      <c r="AL232" s="26" t="n">
        <v>45781.25694444445</v>
      </c>
      <c r="AM232" s="26" t="n">
        <v>45781.28472222222</v>
      </c>
      <c r="AN232" s="26" t="n">
        <v>45781.30555555555</v>
      </c>
      <c r="AO232" s="26" t="n">
        <v>45781.325</v>
      </c>
      <c r="AP232" s="20">
        <f>(AG232-AF232)*1440</f>
        <v/>
      </c>
      <c r="AQ232" s="20">
        <f>(AG232-AE232)*1440</f>
        <v/>
      </c>
      <c r="AR232" s="20">
        <f>(AH232-AF232)*1440</f>
        <v/>
      </c>
      <c r="AS232" s="20">
        <f>(AI232-AH232)*1440</f>
        <v/>
      </c>
      <c r="AT232" s="20">
        <f>(AJ232-AH232)*1440</f>
        <v/>
      </c>
      <c r="AU232" s="20">
        <f>(AL232-AK232)*1440</f>
        <v/>
      </c>
      <c r="AV232" s="20">
        <f>(AM232-AL232)*1440</f>
        <v/>
      </c>
      <c r="AW232" s="20">
        <f>(AO232-AM232)*1440</f>
        <v/>
      </c>
      <c r="AX232" s="19">
        <f>AP232+AS232+AU232+AV232+AW232</f>
        <v/>
      </c>
      <c r="AY232" s="18">
        <f>(AG232-AA232)</f>
        <v/>
      </c>
      <c r="AZ232" s="18">
        <f>(AK232-AJ232)</f>
        <v/>
      </c>
      <c r="BA232" s="18">
        <f>AO232-AG232</f>
        <v/>
      </c>
      <c r="BB232" s="18">
        <f>(AO232-AA232)-(AP232/1440)-(AW232/1440)</f>
        <v/>
      </c>
      <c r="BC232" s="20">
        <f>E232/AZ232</f>
        <v/>
      </c>
      <c r="BE232" s="20">
        <f>IF(E232&lt;10000,3000,IF(E232&lt;15000,3600,IF(E232&lt;20000,4500,IF(E232&lt;25000,6000,IF(E232&lt;30000,7500,IF(E232&lt;40000,9000,IF(E232&gt;40000,10000)))))))</f>
        <v/>
      </c>
      <c r="BF232" s="334">
        <f>(E232/BE232)+2</f>
        <v/>
      </c>
      <c r="BS232" s="97" t="inlineStr">
        <is>
          <t>CHANGE DU POSTE 2TER VERS POSTE 7 LE 28/04- 0410 / CHANGE DU POSTE 7 VERS POSTE 1N LE 28/04-2300 / CHANGE DU POSTE 1N VERS LE POSTE 1SUD LE 29/04- 1550</t>
        </is>
      </c>
      <c r="BT232" s="99" t="n">
        <v>4</v>
      </c>
      <c r="BU232" s="99" t="n"/>
      <c r="BV232" s="99" t="n"/>
      <c r="BW232" s="332">
        <f>AI234-AH234</f>
        <v/>
      </c>
      <c r="CB232" s="14" t="n"/>
    </row>
    <row r="233" ht="15" customHeight="1" s="70">
      <c r="B233" s="343" t="inlineStr">
        <is>
          <t>ARKLOW FIELD</t>
        </is>
      </c>
      <c r="C233" s="15" t="n">
        <v>45781</v>
      </c>
      <c r="D233" s="329" t="n">
        <v>1353</v>
      </c>
      <c r="E233" s="330" t="n"/>
      <c r="F233" s="142" t="inlineStr">
        <is>
          <t xml:space="preserve">OCP NUTRICROPS </t>
        </is>
      </c>
      <c r="G233" s="81" t="n">
        <v>2</v>
      </c>
      <c r="H233" s="75" t="inlineStr">
        <is>
          <t>MAP</t>
        </is>
      </c>
      <c r="I233" s="306" t="inlineStr">
        <is>
          <t xml:space="preserve">MAP 11 52 Special Low Cd </t>
        </is>
      </c>
      <c r="J233" s="75" t="inlineStr">
        <is>
          <t>CFR</t>
        </is>
      </c>
      <c r="K233" s="82" t="n"/>
      <c r="L233" s="341">
        <f>D233*K233</f>
        <v/>
      </c>
      <c r="M233" s="14" t="n"/>
      <c r="N233" s="335">
        <f>L233*M233</f>
        <v/>
      </c>
      <c r="Q233" s="75" t="inlineStr">
        <is>
          <t>EUROPE</t>
        </is>
      </c>
      <c r="R233" s="75" t="inlineStr">
        <is>
          <t>Espagne</t>
        </is>
      </c>
      <c r="S233" s="75" t="n"/>
      <c r="T233" s="75" t="inlineStr">
        <is>
          <t>INTERTEK</t>
        </is>
      </c>
      <c r="U233" s="81" t="n">
        <v>90</v>
      </c>
      <c r="V233" s="53">
        <f>IF(U233&lt;130, "Mini Bulker", IF(AND(U233&gt;=130, U233&lt;150), "Handysize", IF(AND(U233&gt;=150, U233&lt;200), "Handymax", IF(AND(U233&gt;=200, U233&lt;230), "Panamax", IF(AND(U233&gt;=230, U233&lt;=270), "Capesize", "Autre")))))</f>
        <v/>
      </c>
      <c r="X233" s="14">
        <f>IF(E233&lt;9999,"1",IF(E233&lt;19999,"2",IF(E233&lt;29999,"3",IF(E233&lt;39999,"4",IF(E233&lt;49999,"5",IF(E233&gt;50000,"6"))))))</f>
        <v/>
      </c>
      <c r="Y233" s="99" t="inlineStr">
        <is>
          <t xml:space="preserve">2TER/7/1N/1S </t>
        </is>
      </c>
      <c r="AA233" s="98" t="n"/>
      <c r="AB233" s="98" t="n"/>
      <c r="AC233" s="98" t="n"/>
      <c r="AD233" s="98" t="n"/>
      <c r="AE233" s="98" t="n"/>
      <c r="AF233" s="98" t="n"/>
      <c r="AG233" s="98" t="n"/>
      <c r="AH233" s="98" t="n"/>
      <c r="AI233" s="98" t="n"/>
      <c r="AJ233" s="98" t="n"/>
      <c r="AK233" s="98" t="n"/>
      <c r="AL233" s="98" t="n"/>
      <c r="AM233" s="98" t="n"/>
      <c r="AN233" s="98" t="n"/>
      <c r="AO233" s="98" t="n"/>
      <c r="AP233" s="98" t="n"/>
      <c r="AQ233" s="98" t="n"/>
      <c r="AR233" s="98" t="n"/>
      <c r="AS233" s="98" t="n"/>
      <c r="AT233" s="98" t="n"/>
      <c r="AU233" s="98" t="n"/>
      <c r="AV233" s="98" t="n"/>
      <c r="AW233" s="98" t="n"/>
      <c r="AX233" s="98" t="n"/>
      <c r="AY233" s="98" t="n"/>
      <c r="AZ233" s="98" t="n"/>
      <c r="BA233" s="98" t="n"/>
      <c r="BB233" s="98" t="n"/>
      <c r="BC233" s="98" t="n"/>
      <c r="BD233" s="98" t="n"/>
      <c r="BE233" s="98" t="n"/>
      <c r="BF233" s="98" t="n"/>
      <c r="BG233" s="98" t="n"/>
      <c r="BH233" s="98" t="n"/>
      <c r="BI233" s="98" t="n"/>
      <c r="BJ233" s="98" t="n"/>
      <c r="BK233" s="98" t="n"/>
      <c r="BL233" s="98" t="n"/>
      <c r="BM233" s="98" t="n"/>
      <c r="BN233" s="98" t="n"/>
      <c r="BO233" s="98" t="n"/>
      <c r="BP233" s="98" t="n"/>
      <c r="BQ233" s="98" t="n"/>
      <c r="BR233" s="98" t="n"/>
      <c r="BS233" s="97" t="inlineStr">
        <is>
          <t>CHANGE DU POSTE 2TER VERS POSTE 7 LE 28/04- 0410 / CHANGE DU POSTE 7 VERS POSTE 1N LE 28/04-2300 / CHANGE DU POSTE 1N VERS LE POSTE 1SUD LE 29/04- 1551</t>
        </is>
      </c>
      <c r="BT233" s="99" t="n">
        <v>5</v>
      </c>
      <c r="BU233" s="99" t="n"/>
      <c r="BV233" s="99" t="n"/>
      <c r="BW233" s="332" t="n"/>
      <c r="CB233" s="14" t="n"/>
    </row>
    <row r="234" ht="14.55" customHeight="1" s="70">
      <c r="A234" s="81" t="n">
        <v>161</v>
      </c>
      <c r="B234" s="343" t="inlineStr">
        <is>
          <t xml:space="preserve">ATAYAL MARINER  </t>
        </is>
      </c>
      <c r="C234" s="15" t="n">
        <v>45781</v>
      </c>
      <c r="D234" s="329" t="n">
        <v>12600</v>
      </c>
      <c r="E234" s="329" t="n">
        <v>12600</v>
      </c>
      <c r="F234" s="142" t="inlineStr">
        <is>
          <t xml:space="preserve">OCP NUTRICROPS </t>
        </is>
      </c>
      <c r="G234" s="81" t="n">
        <v>1</v>
      </c>
      <c r="H234" s="75" t="inlineStr">
        <is>
          <t>MAP</t>
        </is>
      </c>
      <c r="I234" s="306" t="inlineStr">
        <is>
          <t xml:space="preserve">MAP 11 57 </t>
        </is>
      </c>
      <c r="J234" s="75" t="inlineStr">
        <is>
          <t>FOB</t>
        </is>
      </c>
      <c r="K234" s="82" t="n"/>
      <c r="L234" s="341">
        <f>D234*K234</f>
        <v/>
      </c>
      <c r="M234" s="14" t="n"/>
      <c r="N234" s="335">
        <f>L234*M234</f>
        <v/>
      </c>
      <c r="Q234" s="75" t="inlineStr">
        <is>
          <t>AMERIQUE</t>
        </is>
      </c>
      <c r="R234" s="75" t="inlineStr">
        <is>
          <t>MEXICO</t>
        </is>
      </c>
      <c r="S234" s="75" t="n"/>
      <c r="T234" s="75" t="inlineStr">
        <is>
          <t>INSPECTORATE</t>
        </is>
      </c>
      <c r="U234" s="81" t="n">
        <v>135</v>
      </c>
      <c r="V234" s="53">
        <f>IF(U234&lt;130, "Mini Bulker", IF(AND(U234&gt;=130, U234&lt;150), "Handysize", IF(AND(U234&gt;=150, U234&lt;200), "Handymax", IF(AND(U234&gt;=200, U234&lt;230), "Panamax", IF(AND(U234&gt;=230, U234&lt;=270), "Capesize", "Autre")))))</f>
        <v/>
      </c>
      <c r="X234" s="14">
        <f>IF(E234&lt;9999,"1",IF(E234&lt;19999,"2",IF(E234&lt;29999,"3",IF(E234&lt;39999,"4",IF(E234&lt;49999,"5",IF(E234&gt;50000,"6"))))))</f>
        <v/>
      </c>
      <c r="Y234" s="99" t="inlineStr">
        <is>
          <t>2BIS/2TER</t>
        </is>
      </c>
      <c r="AA234" s="26" t="n">
        <v>45754.75</v>
      </c>
      <c r="AB234" s="26" t="n">
        <v>45755.375</v>
      </c>
      <c r="AC234" s="15" t="n">
        <v>45752</v>
      </c>
      <c r="AD234" s="15" t="n">
        <v>45757</v>
      </c>
      <c r="AE234" s="26" t="n">
        <v>45754.625</v>
      </c>
      <c r="AF234" s="26" t="n">
        <v>45768.38958333333</v>
      </c>
      <c r="AG234" s="26" t="n">
        <v>45768.49861111111</v>
      </c>
      <c r="AH234" s="26" t="n">
        <v>45768.52777777778</v>
      </c>
      <c r="AI234" s="26" t="n">
        <v>45768.56944444445</v>
      </c>
      <c r="AJ234" s="26" t="n">
        <v>45768.57986111111</v>
      </c>
      <c r="AK234" s="26" t="n">
        <v>45781.28472222222</v>
      </c>
      <c r="AL234" s="26" t="n">
        <v>45781.32708333333</v>
      </c>
      <c r="AM234" s="26" t="n">
        <v>45781.34583333333</v>
      </c>
      <c r="AN234" s="26" t="n">
        <v>45781.35902777778</v>
      </c>
      <c r="AO234" s="26" t="n">
        <v>45781.4</v>
      </c>
      <c r="AP234" s="20">
        <f>(AG234-AF234)*1440</f>
        <v/>
      </c>
      <c r="AQ234" s="20">
        <f>(AG234-AE234)*1440</f>
        <v/>
      </c>
      <c r="AR234" s="20">
        <f>(AH234-AF234)*1440</f>
        <v/>
      </c>
      <c r="AS234" s="20">
        <f>(AI234-AH234)*1440</f>
        <v/>
      </c>
      <c r="AT234" s="20">
        <f>(AJ234-AH234)*1440</f>
        <v/>
      </c>
      <c r="AU234" s="20">
        <f>(AL234-AK234)*1440</f>
        <v/>
      </c>
      <c r="AV234" s="20">
        <f>(AM234-AL234)*1440</f>
        <v/>
      </c>
      <c r="AW234" s="20">
        <f>(AO234-AM234)*1440</f>
        <v/>
      </c>
      <c r="AX234" s="19">
        <f>AP234+AS234+AU234+AV234+AW234</f>
        <v/>
      </c>
      <c r="AY234" s="18">
        <f>(AG234-AA234)</f>
        <v/>
      </c>
      <c r="AZ234" s="18">
        <f>(AK234-AJ234)</f>
        <v/>
      </c>
      <c r="BA234" s="18">
        <f>AO234-AG234</f>
        <v/>
      </c>
      <c r="BB234" s="18">
        <f>(AO234-AA234)-(AP234/1440)-(AW234/1440)</f>
        <v/>
      </c>
      <c r="BC234" s="20">
        <f>E234/AZ234</f>
        <v/>
      </c>
      <c r="BE234" s="20">
        <f>IF(E234&lt;10000,3000,IF(E234&lt;15000,3600,IF(E234&lt;20000,4500,IF(E234&lt;25000,6000,IF(E234&lt;30000,7500,IF(E234&lt;40000,9000,IF(E234&gt;40000,10000)))))))</f>
        <v/>
      </c>
      <c r="BF234" s="334">
        <f>(E234/BE234)+2</f>
        <v/>
      </c>
      <c r="BS234" s="97" t="inlineStr">
        <is>
          <t>CHANGE DU POSTE 2BIS VERS LA RADE LE 21/04- 2148 // RE-ACCOSTAGE AU POSTE 2TER LE 01/05- 0013</t>
        </is>
      </c>
      <c r="BT234" s="99" t="n">
        <v>2</v>
      </c>
      <c r="BU234" s="99" t="n"/>
      <c r="BV234" s="99" t="n"/>
      <c r="BW234" s="332">
        <f>AI235-AH235</f>
        <v/>
      </c>
      <c r="CB234" s="14" t="n"/>
    </row>
    <row r="235" ht="15" customHeight="1" s="70">
      <c r="A235" s="81" t="n">
        <v>159</v>
      </c>
      <c r="B235" s="343" t="inlineStr">
        <is>
          <t>FRIDA BULKER</t>
        </is>
      </c>
      <c r="C235" s="15" t="n">
        <v>45781</v>
      </c>
      <c r="D235" s="329" t="n">
        <v>28802</v>
      </c>
      <c r="E235" s="333">
        <f>D235+D236</f>
        <v/>
      </c>
      <c r="F235" s="142" t="inlineStr">
        <is>
          <t xml:space="preserve">OCP NUTRICROPS </t>
        </is>
      </c>
      <c r="G235" s="81" t="n">
        <v>2</v>
      </c>
      <c r="H235" s="75" t="inlineStr">
        <is>
          <t>MAP</t>
        </is>
      </c>
      <c r="I235" s="306" t="inlineStr">
        <is>
          <t xml:space="preserve">MAP 11 52 SPECIAL </t>
        </is>
      </c>
      <c r="J235" s="75" t="inlineStr">
        <is>
          <t>CFR</t>
        </is>
      </c>
      <c r="K235" s="82" t="n"/>
      <c r="L235" s="341">
        <f>D235*K235</f>
        <v/>
      </c>
      <c r="M235" s="14" t="n"/>
      <c r="N235" s="335">
        <f>L235*M235</f>
        <v/>
      </c>
      <c r="Q235" s="75" t="inlineStr">
        <is>
          <t>AMERIQUE</t>
        </is>
      </c>
      <c r="R235" s="75" t="inlineStr">
        <is>
          <t>BRESIL</t>
        </is>
      </c>
      <c r="S235" s="75" t="n"/>
      <c r="T235" s="75" t="inlineStr">
        <is>
          <t>INTERTEK</t>
        </is>
      </c>
      <c r="U235" s="81" t="n">
        <v>182</v>
      </c>
      <c r="V235" s="53">
        <f>IF(U235&lt;130, "Mini Bulker", IF(AND(U235&gt;=130, U235&lt;150), "Handysize", IF(AND(U235&gt;=150, U235&lt;200), "Handymax", IF(AND(U235&gt;=200, U235&lt;230), "Panamax", IF(AND(U235&gt;=230, U235&lt;=270), "Capesize", "Autre")))))</f>
        <v/>
      </c>
      <c r="X235" s="14">
        <f>IF(E235&lt;9999,"1",IF(E235&lt;19999,"2",IF(E235&lt;29999,"3",IF(E235&lt;39999,"4",IF(E235&lt;49999,"5",IF(E235&gt;50000,"6"))))))</f>
        <v/>
      </c>
      <c r="Y235" s="99" t="inlineStr">
        <is>
          <t xml:space="preserve">1N </t>
        </is>
      </c>
      <c r="AA235" s="17" t="n">
        <v>45776.64583333334</v>
      </c>
      <c r="AB235" s="17" t="n">
        <v>45776.64583333334</v>
      </c>
      <c r="AC235" s="15" t="n">
        <v>45778</v>
      </c>
      <c r="AD235" s="15" t="n">
        <v>45780</v>
      </c>
      <c r="AE235" s="17" t="n">
        <v>45775.69791666666</v>
      </c>
      <c r="AF235" s="17" t="n">
        <v>45776.64583333334</v>
      </c>
      <c r="AG235" s="17" t="n">
        <v>45776.73263888889</v>
      </c>
      <c r="AH235" s="17" t="n">
        <v>45776.75</v>
      </c>
      <c r="AI235" s="17" t="n">
        <v>45776.8125</v>
      </c>
      <c r="AJ235" s="17" t="n">
        <v>45776.84027777778</v>
      </c>
      <c r="AK235" s="17" t="n">
        <v>45781.09027777778</v>
      </c>
      <c r="AL235" s="17" t="n">
        <v>45781.14236111111</v>
      </c>
      <c r="AM235" s="17" t="n">
        <v>45781.16666666666</v>
      </c>
      <c r="AN235" s="17" t="n">
        <v>45781.18055555555</v>
      </c>
      <c r="AO235" s="17" t="n">
        <v>45781.26736111111</v>
      </c>
      <c r="AP235" s="20">
        <f>(AG235-AF235)*1440</f>
        <v/>
      </c>
      <c r="AQ235" s="20">
        <f>(AG235-AE235)*1440</f>
        <v/>
      </c>
      <c r="AR235" s="20">
        <f>(AH235-AF235)*1440</f>
        <v/>
      </c>
      <c r="AS235" s="20">
        <f>(AI235-AH235)*1440</f>
        <v/>
      </c>
      <c r="AT235" s="20">
        <f>(AJ235-AH235)*1440</f>
        <v/>
      </c>
      <c r="AU235" s="20">
        <f>(AL235-AK235)*1440</f>
        <v/>
      </c>
      <c r="AV235" s="20">
        <f>(AM235-AL235)*1440</f>
        <v/>
      </c>
      <c r="AW235" s="20">
        <f>(AO235-AM235)*1440</f>
        <v/>
      </c>
      <c r="AX235" s="19">
        <f>AP235+AS235+AU235+AV235+AW235</f>
        <v/>
      </c>
      <c r="AY235" s="18">
        <f>(AG235-AA235)</f>
        <v/>
      </c>
      <c r="AZ235" s="18">
        <f>(AK235-AJ235)</f>
        <v/>
      </c>
      <c r="BA235" s="18">
        <f>AO235-AG235</f>
        <v/>
      </c>
      <c r="BB235" s="18">
        <f>(AO235-AA235)-(AP235/1440)-(AW235/1440)</f>
        <v/>
      </c>
      <c r="BC235" s="20">
        <f>E235/AZ235</f>
        <v/>
      </c>
      <c r="BD235" s="208" t="n"/>
      <c r="BE235" s="20">
        <f>IF(E235&lt;10000,3000,IF(E235&lt;15000,3600,IF(E235&lt;20000,4500,IF(E235&lt;25000,6000,IF(E235&lt;30000,7500,IF(E235&lt;40000,9000,IF(E235&gt;40000,10000)))))))</f>
        <v/>
      </c>
      <c r="BF235" s="334">
        <f>(E235/BE235)+2</f>
        <v/>
      </c>
      <c r="BG235" s="208" t="n"/>
      <c r="BH235" s="208" t="n"/>
      <c r="BI235" s="208" t="n"/>
      <c r="BJ235" s="208" t="n"/>
      <c r="BK235" s="208" t="n"/>
      <c r="BL235" s="208" t="n"/>
      <c r="BM235" s="208" t="n"/>
      <c r="BN235" s="208" t="n"/>
      <c r="BO235" s="208" t="n"/>
      <c r="BP235" s="208" t="n"/>
      <c r="BQ235" s="208" t="n"/>
      <c r="BR235" s="208" t="n"/>
      <c r="BS235" s="97" t="inlineStr">
        <is>
          <t>NUL</t>
        </is>
      </c>
      <c r="BT235" s="99" t="n">
        <v>0</v>
      </c>
      <c r="BU235" s="99" t="n"/>
      <c r="BV235" s="99" t="n"/>
      <c r="BW235" s="332">
        <f>AI237-AH237</f>
        <v/>
      </c>
      <c r="CB235" s="14" t="n"/>
    </row>
    <row r="236" ht="14.55" customHeight="1" s="70">
      <c r="B236" s="343" t="inlineStr">
        <is>
          <t>FRIDA BULKER</t>
        </is>
      </c>
      <c r="C236" s="15" t="n">
        <v>45781</v>
      </c>
      <c r="D236" s="329" t="n">
        <v>6600</v>
      </c>
      <c r="E236" s="330" t="n"/>
      <c r="F236" s="142" t="inlineStr">
        <is>
          <t xml:space="preserve">OCP NUTRICROPS </t>
        </is>
      </c>
      <c r="G236" s="81" t="n">
        <v>2</v>
      </c>
      <c r="H236" s="75" t="inlineStr">
        <is>
          <t>DAP</t>
        </is>
      </c>
      <c r="I236" s="306" t="inlineStr">
        <is>
          <t xml:space="preserve">DAP SPECIAL </t>
        </is>
      </c>
      <c r="J236" s="75" t="inlineStr">
        <is>
          <t>CFR</t>
        </is>
      </c>
      <c r="K236" s="82" t="n"/>
      <c r="L236" s="341">
        <f>D236*K236</f>
        <v/>
      </c>
      <c r="M236" s="14" t="n"/>
      <c r="N236" s="335">
        <f>L236*M236</f>
        <v/>
      </c>
      <c r="Q236" s="75" t="inlineStr">
        <is>
          <t>AMERIQUE</t>
        </is>
      </c>
      <c r="R236" s="75" t="inlineStr">
        <is>
          <t>BRESIL</t>
        </is>
      </c>
      <c r="S236" s="75" t="n"/>
      <c r="T236" s="75" t="inlineStr">
        <is>
          <t>INTERTEK</t>
        </is>
      </c>
      <c r="U236" s="81" t="n">
        <v>182</v>
      </c>
      <c r="V236" s="53">
        <f>IF(U236&lt;130, "Mini Bulker", IF(AND(U236&gt;=130, U236&lt;150), "Handysize", IF(AND(U236&gt;=150, U236&lt;200), "Handymax", IF(AND(U236&gt;=200, U236&lt;230), "Panamax", IF(AND(U236&gt;=230, U236&lt;=270), "Capesize", "Autre")))))</f>
        <v/>
      </c>
      <c r="X236" s="14">
        <f>IF(E236&lt;9999,"1",IF(E236&lt;19999,"2",IF(E236&lt;29999,"3",IF(E236&lt;39999,"4",IF(E236&lt;49999,"5",IF(E236&gt;50000,"6"))))))</f>
        <v/>
      </c>
      <c r="Y236" s="99" t="inlineStr">
        <is>
          <t xml:space="preserve">1N </t>
        </is>
      </c>
      <c r="AA236" s="218" t="n"/>
      <c r="AB236" s="218" t="n"/>
      <c r="AC236" s="98" t="n"/>
      <c r="AD236" s="98" t="n"/>
      <c r="AE236" s="218" t="n"/>
      <c r="AF236" s="218" t="n"/>
      <c r="AG236" s="218" t="n"/>
      <c r="AH236" s="218" t="n"/>
      <c r="AI236" s="218" t="n"/>
      <c r="AJ236" s="218" t="n"/>
      <c r="AK236" s="218" t="n"/>
      <c r="AL236" s="218" t="n"/>
      <c r="AM236" s="218" t="n"/>
      <c r="AN236" s="218" t="n"/>
      <c r="AO236" s="218" t="n"/>
      <c r="AP236" s="98" t="n"/>
      <c r="AQ236" s="98" t="n"/>
      <c r="AR236" s="98" t="n"/>
      <c r="AS236" s="98" t="n"/>
      <c r="AT236" s="98" t="n"/>
      <c r="AU236" s="98" t="n"/>
      <c r="AV236" s="98" t="n"/>
      <c r="AW236" s="98" t="n"/>
      <c r="AX236" s="98" t="n"/>
      <c r="AY236" s="98" t="n"/>
      <c r="AZ236" s="98" t="n"/>
      <c r="BA236" s="98" t="n"/>
      <c r="BB236" s="98" t="n"/>
      <c r="BC236" s="98" t="n"/>
      <c r="BD236" s="220" t="n"/>
      <c r="BE236" s="98" t="n"/>
      <c r="BF236" s="98" t="n"/>
      <c r="BG236" s="220" t="n"/>
      <c r="BH236" s="220" t="n"/>
      <c r="BI236" s="220" t="n"/>
      <c r="BJ236" s="220" t="n"/>
      <c r="BK236" s="220" t="n"/>
      <c r="BL236" s="220" t="n"/>
      <c r="BM236" s="220" t="n"/>
      <c r="BN236" s="220" t="n"/>
      <c r="BO236" s="220" t="n"/>
      <c r="BP236" s="220" t="n"/>
      <c r="BQ236" s="220" t="n"/>
      <c r="BR236" s="220" t="n"/>
      <c r="BS236" s="97" t="inlineStr">
        <is>
          <t>NUL</t>
        </is>
      </c>
      <c r="BT236" s="99" t="n">
        <v>0</v>
      </c>
      <c r="BU236" s="99" t="n"/>
      <c r="BV236" s="99" t="n"/>
      <c r="BW236" s="332" t="n"/>
      <c r="CB236" s="14" t="n"/>
    </row>
    <row r="237" ht="14.55" customHeight="1" s="70">
      <c r="A237" s="81" t="n">
        <v>162</v>
      </c>
      <c r="B237" s="343" t="inlineStr">
        <is>
          <t>LADY MARY</t>
        </is>
      </c>
      <c r="C237" s="15" t="n">
        <v>45782</v>
      </c>
      <c r="D237" s="344" t="n">
        <v>17600</v>
      </c>
      <c r="E237" s="333">
        <f>D237+D238</f>
        <v/>
      </c>
      <c r="F237" s="142" t="inlineStr">
        <is>
          <t xml:space="preserve">JFC 5 </t>
        </is>
      </c>
      <c r="G237" s="81" t="n">
        <v>2</v>
      </c>
      <c r="H237" s="75" t="inlineStr">
        <is>
          <t xml:space="preserve">TSP </t>
        </is>
      </c>
      <c r="I237" s="306" t="inlineStr">
        <is>
          <t xml:space="preserve">TSP CIV </t>
        </is>
      </c>
      <c r="J237" s="75" t="inlineStr">
        <is>
          <t xml:space="preserve">FOB </t>
        </is>
      </c>
      <c r="K237" s="82" t="n"/>
      <c r="L237" s="341">
        <f>D237*K237</f>
        <v/>
      </c>
      <c r="M237" s="14" t="n"/>
      <c r="N237" s="335">
        <f>L237*M237</f>
        <v/>
      </c>
      <c r="Q237" s="75" t="inlineStr">
        <is>
          <t>AFRIQUE</t>
        </is>
      </c>
      <c r="R237" s="75" t="inlineStr">
        <is>
          <t xml:space="preserve">COTE D IVOIRE </t>
        </is>
      </c>
      <c r="S237" s="75" t="n"/>
      <c r="T237" s="75" t="inlineStr">
        <is>
          <t>INTERTEK</t>
        </is>
      </c>
      <c r="U237" s="81" t="n">
        <v>90</v>
      </c>
      <c r="V237" s="53">
        <f>IF(U237&lt;130, "Mini Bulker", IF(AND(U237&gt;=130, U237&lt;150), "Handysize", IF(AND(U237&gt;=150, U237&lt;200), "Handymax", IF(AND(U237&gt;=200, U237&lt;230), "Panamax", IF(AND(U237&gt;=230, U237&lt;=270), "Capesize", "Autre")))))</f>
        <v/>
      </c>
      <c r="X237" s="14">
        <f>IF(E237&lt;9999,"1",IF(E237&lt;19999,"2",IF(E237&lt;29999,"3",IF(E237&lt;39999,"4",IF(E237&lt;49999,"5",IF(E237&gt;50000,"6"))))))</f>
        <v/>
      </c>
      <c r="Y237" s="99" t="inlineStr">
        <is>
          <t>2BIS/1N/1TER</t>
        </is>
      </c>
      <c r="AA237" s="26" t="n">
        <v>45758.33333333334</v>
      </c>
      <c r="AB237" s="26" t="n">
        <v>45758.375</v>
      </c>
      <c r="AC237" s="15" t="n">
        <v>45757</v>
      </c>
      <c r="AD237" s="15" t="n">
        <v>45760</v>
      </c>
      <c r="AE237" s="26" t="n">
        <v>45758.20833333334</v>
      </c>
      <c r="AF237" s="26" t="n">
        <v>45758.97222222222</v>
      </c>
      <c r="AG237" s="26" t="n">
        <v>45759.10416666666</v>
      </c>
      <c r="AH237" s="26" t="n">
        <v>45759.14930555555</v>
      </c>
      <c r="AI237" s="26" t="n">
        <v>45759.30555555555</v>
      </c>
      <c r="AJ237" s="26" t="n">
        <v>45759.36805555555</v>
      </c>
      <c r="AK237" s="26" t="n">
        <v>45782.55902777778</v>
      </c>
      <c r="AL237" s="26" t="n">
        <v>45782.60416666666</v>
      </c>
      <c r="AM237" s="26" t="n">
        <v>45782.625</v>
      </c>
      <c r="AN237" s="26" t="n">
        <v>45782.66388888889</v>
      </c>
      <c r="AO237" s="26" t="n">
        <v>45782.7375</v>
      </c>
      <c r="AP237" s="20">
        <f>(AG237-AF237)*1440</f>
        <v/>
      </c>
      <c r="AQ237" s="20">
        <f>(AG237-AE237)*1440</f>
        <v/>
      </c>
      <c r="AR237" s="20">
        <f>(AH237-AF237)*1440</f>
        <v/>
      </c>
      <c r="AS237" s="20">
        <f>(AI237-AH237)*1440</f>
        <v/>
      </c>
      <c r="AT237" s="20">
        <f>(AJ237-AH237)*1440</f>
        <v/>
      </c>
      <c r="AU237" s="20">
        <f>(AL237-AK237)*1440</f>
        <v/>
      </c>
      <c r="AV237" s="20">
        <f>(AM237-AL237)*1440</f>
        <v/>
      </c>
      <c r="AW237" s="20">
        <f>(AO237-AM237)*1440</f>
        <v/>
      </c>
      <c r="AX237" s="19">
        <f>AP237+AS237+AU237+AV237+AW237</f>
        <v/>
      </c>
      <c r="AY237" s="18">
        <f>(AG237-AA237)</f>
        <v/>
      </c>
      <c r="AZ237" s="18">
        <f>(AK237-AJ237)</f>
        <v/>
      </c>
      <c r="BA237" s="18">
        <f>AO237-AG237</f>
        <v/>
      </c>
      <c r="BB237" s="18">
        <f>(AO237-AA237)-(AP237/1440)-(AW237/1440)</f>
        <v/>
      </c>
      <c r="BC237" s="20">
        <f>E237/AZ237</f>
        <v/>
      </c>
      <c r="BE237" s="20">
        <f>IF(E237&lt;10000,3000,IF(E237&lt;15000,3600,IF(E237&lt;20000,4500,IF(E237&lt;25000,6000,IF(E237&lt;30000,7500,IF(E237&lt;40000,9000,IF(E237&gt;40000,10000)))))))</f>
        <v/>
      </c>
      <c r="BF237" s="334">
        <f>(E237/BE237)+2</f>
        <v/>
      </c>
      <c r="BS237" s="97" t="inlineStr">
        <is>
          <t>CHANGE DU POSTE 2BIS VERS LA RADE LE 13/04- 1810 // RE-ACCOSTAGE AU POSTE 1N LE 21/04- 1843 // CHANGE DU POSTE 1N VERS LA RADE LE 23/04- 1435 // RE-ACC AU POSTE 1TER LE 02/05- 2045</t>
        </is>
      </c>
      <c r="BT237" s="99" t="n">
        <v>4</v>
      </c>
      <c r="BU237" s="99" t="n"/>
      <c r="BV237" s="99" t="n"/>
      <c r="BW237" s="332">
        <f>AI239-AH239</f>
        <v/>
      </c>
      <c r="CB237" s="14" t="n"/>
    </row>
    <row r="238" ht="15" customHeight="1" s="70">
      <c r="B238" s="343" t="inlineStr">
        <is>
          <t>LADY MARY</t>
        </is>
      </c>
      <c r="C238" s="15" t="n">
        <v>45782</v>
      </c>
      <c r="D238" s="329" t="n">
        <v>7700</v>
      </c>
      <c r="E238" s="330" t="n"/>
      <c r="F238" s="142" t="inlineStr">
        <is>
          <t xml:space="preserve">JFC 3 </t>
        </is>
      </c>
      <c r="G238" s="81" t="n">
        <v>2</v>
      </c>
      <c r="H238" s="75" t="inlineStr">
        <is>
          <t xml:space="preserve">DAP </t>
        </is>
      </c>
      <c r="I238" s="306" t="inlineStr">
        <is>
          <t xml:space="preserve">DAP STANDARD </t>
        </is>
      </c>
      <c r="J238" s="75" t="inlineStr">
        <is>
          <t xml:space="preserve">FOB </t>
        </is>
      </c>
      <c r="K238" s="82" t="n"/>
      <c r="L238" s="341">
        <f>D238*K238</f>
        <v/>
      </c>
      <c r="M238" s="14" t="n"/>
      <c r="N238" s="335">
        <f>L238*M238</f>
        <v/>
      </c>
      <c r="Q238" s="75" t="inlineStr">
        <is>
          <t>AFRIQUE</t>
        </is>
      </c>
      <c r="R238" s="75" t="inlineStr">
        <is>
          <t xml:space="preserve">CAMEROUN </t>
        </is>
      </c>
      <c r="S238" s="75" t="n"/>
      <c r="T238" s="75" t="inlineStr">
        <is>
          <t>INTERTEK</t>
        </is>
      </c>
      <c r="U238" s="81" t="n">
        <v>90</v>
      </c>
      <c r="V238" s="53">
        <f>IF(U238&lt;130, "Mini Bulker", IF(AND(U238&gt;=130, U238&lt;150), "Handysize", IF(AND(U238&gt;=150, U238&lt;200), "Handymax", IF(AND(U238&gt;=200, U238&lt;230), "Panamax", IF(AND(U238&gt;=230, U238&lt;=270), "Capesize", "Autre")))))</f>
        <v/>
      </c>
      <c r="X238" s="14">
        <f>IF(E238&lt;9999,"1",IF(E238&lt;19999,"2",IF(E238&lt;29999,"3",IF(E238&lt;39999,"4",IF(E238&lt;49999,"5",IF(E238&gt;50000,"6"))))))</f>
        <v/>
      </c>
      <c r="Y238" s="99" t="inlineStr">
        <is>
          <t>2BIS/1N/1TER</t>
        </is>
      </c>
      <c r="AA238" s="98" t="n"/>
      <c r="AB238" s="98" t="n"/>
      <c r="AC238" s="98" t="n"/>
      <c r="AD238" s="98" t="n"/>
      <c r="AE238" s="98" t="n"/>
      <c r="AF238" s="98" t="n"/>
      <c r="AG238" s="98" t="n"/>
      <c r="AH238" s="98" t="n"/>
      <c r="AI238" s="98" t="n"/>
      <c r="AJ238" s="98" t="n"/>
      <c r="AK238" s="98" t="n"/>
      <c r="AL238" s="98" t="n"/>
      <c r="AM238" s="98" t="n"/>
      <c r="AN238" s="98" t="n"/>
      <c r="AO238" s="98" t="n"/>
      <c r="AP238" s="98" t="n"/>
      <c r="AQ238" s="98" t="n"/>
      <c r="AR238" s="98" t="n"/>
      <c r="AS238" s="98" t="n"/>
      <c r="AT238" s="98" t="n"/>
      <c r="AU238" s="98" t="n"/>
      <c r="AV238" s="98" t="n"/>
      <c r="AW238" s="98" t="n"/>
      <c r="AX238" s="98" t="n"/>
      <c r="AY238" s="98" t="n"/>
      <c r="AZ238" s="98" t="n"/>
      <c r="BA238" s="98" t="n"/>
      <c r="BB238" s="98" t="n"/>
      <c r="BC238" s="98" t="n"/>
      <c r="BD238" s="98" t="n"/>
      <c r="BE238" s="98" t="n"/>
      <c r="BF238" s="98" t="n"/>
      <c r="BG238" s="98" t="n"/>
      <c r="BH238" s="98" t="n"/>
      <c r="BI238" s="98" t="n"/>
      <c r="BJ238" s="98" t="n"/>
      <c r="BK238" s="98" t="n"/>
      <c r="BL238" s="98" t="n"/>
      <c r="BM238" s="98" t="n"/>
      <c r="BN238" s="98" t="n"/>
      <c r="BO238" s="98" t="n"/>
      <c r="BP238" s="98" t="n"/>
      <c r="BQ238" s="98" t="n"/>
      <c r="BR238" s="98" t="n"/>
      <c r="BS238" s="97" t="inlineStr">
        <is>
          <t>CHANGE DU POSTE 2BIS VERS LA RADE LE 13/04- 1810 // RE-ACCOSTAGE AU POSTE 1N LE 21/04- 1843 // CHANGE DU POSTE 1N VERS LA RADE LE 23/04- 1435 // RE-ACC AU POSTE 1TER LE 02/05- 2046</t>
        </is>
      </c>
      <c r="BT238" s="99" t="n">
        <v>4</v>
      </c>
      <c r="BU238" s="99" t="n"/>
      <c r="BV238" s="99" t="n"/>
      <c r="BW238" s="332" t="n"/>
      <c r="CB238" s="14" t="n"/>
    </row>
    <row r="239" ht="14.55" customHeight="1" s="70">
      <c r="A239" s="81" t="n">
        <v>163</v>
      </c>
      <c r="B239" s="343" t="inlineStr">
        <is>
          <t>WONDERFUL WORLD</t>
        </is>
      </c>
      <c r="C239" s="15" t="n">
        <v>45782</v>
      </c>
      <c r="D239" s="329" t="n">
        <v>12487</v>
      </c>
      <c r="E239" s="333">
        <f>D239+D240</f>
        <v/>
      </c>
      <c r="F239" s="142" t="inlineStr">
        <is>
          <t>JFC 1 /JFC 4</t>
        </is>
      </c>
      <c r="G239" s="81" t="n">
        <v>2</v>
      </c>
      <c r="H239" s="75" t="inlineStr">
        <is>
          <t>DAP</t>
        </is>
      </c>
      <c r="I239" s="306" t="inlineStr">
        <is>
          <t>DAP SPECIAL DARK JAPAN/DAP JAPAN</t>
        </is>
      </c>
      <c r="J239" s="75" t="inlineStr">
        <is>
          <t>FOB</t>
        </is>
      </c>
      <c r="K239" s="82" t="n"/>
      <c r="L239" s="341">
        <f>D239*K239</f>
        <v/>
      </c>
      <c r="M239" s="14" t="n"/>
      <c r="N239" s="335">
        <f>L239*M239</f>
        <v/>
      </c>
      <c r="Q239" s="75" t="inlineStr">
        <is>
          <t>ASIE</t>
        </is>
      </c>
      <c r="R239" s="75" t="inlineStr">
        <is>
          <t>JAPON</t>
        </is>
      </c>
      <c r="S239" s="75" t="n"/>
      <c r="T239" s="75" t="inlineStr">
        <is>
          <t>INSPECTORATE</t>
        </is>
      </c>
      <c r="U239" s="81" t="n">
        <v>180</v>
      </c>
      <c r="V239" s="53">
        <f>IF(U239&lt;130, "Mini Bulker", IF(AND(U239&gt;=130, U239&lt;150), "Handysize", IF(AND(U239&gt;=150, U239&lt;200), "Handymax", IF(AND(U239&gt;=200, U239&lt;230), "Panamax", IF(AND(U239&gt;=230, U239&lt;=270), "Capesize", "Autre")))))</f>
        <v/>
      </c>
      <c r="X239" s="14">
        <f>IF(E239&lt;9999,"1",IF(E239&lt;19999,"2",IF(E239&lt;29999,"3",IF(E239&lt;39999,"4",IF(E239&lt;49999,"5",IF(E239&gt;50000,"6"))))))</f>
        <v/>
      </c>
      <c r="Y239" s="99" t="inlineStr">
        <is>
          <t xml:space="preserve">2N/1N </t>
        </is>
      </c>
      <c r="AA239" s="26" t="n">
        <v>45748.88333333333</v>
      </c>
      <c r="AB239" s="26" t="n">
        <v>45779.375</v>
      </c>
      <c r="AC239" s="15" t="n">
        <v>45780</v>
      </c>
      <c r="AD239" s="15" t="n">
        <v>45783</v>
      </c>
      <c r="AE239" s="26" t="n">
        <v>45778.83333333334</v>
      </c>
      <c r="AF239" s="26" t="n">
        <v>45779.53472222222</v>
      </c>
      <c r="AG239" s="26" t="n">
        <v>45779.9125</v>
      </c>
      <c r="AH239" s="26" t="n">
        <v>45779.94444444445</v>
      </c>
      <c r="AI239" s="26" t="n">
        <v>45780.00347222222</v>
      </c>
      <c r="AJ239" s="26" t="n">
        <v>45780.06597222222</v>
      </c>
      <c r="AK239" s="26" t="n">
        <v>45782.70833333334</v>
      </c>
      <c r="AL239" s="26" t="n">
        <v>45782.73611111111</v>
      </c>
      <c r="AM239" s="26" t="n">
        <v>45782.75</v>
      </c>
      <c r="AN239" s="26" t="n">
        <v>45782.75833333333</v>
      </c>
      <c r="AO239" s="26" t="n">
        <v>45782.825</v>
      </c>
      <c r="AP239" s="20">
        <f>(AG239-AF239)*1440</f>
        <v/>
      </c>
      <c r="AQ239" s="20">
        <f>(AG239-AE239)*1440</f>
        <v/>
      </c>
      <c r="AR239" s="20">
        <f>(AH239-AF239)*1440</f>
        <v/>
      </c>
      <c r="AS239" s="20">
        <f>(AI239-AH239)*1440</f>
        <v/>
      </c>
      <c r="AT239" s="20">
        <f>(AJ239-AH239)*1440</f>
        <v/>
      </c>
      <c r="AU239" s="20">
        <f>(AL239-AK239)*1440</f>
        <v/>
      </c>
      <c r="AV239" s="20">
        <f>(AM239-AL239)*1440</f>
        <v/>
      </c>
      <c r="AW239" s="20">
        <f>(AO239-AM239)*1440</f>
        <v/>
      </c>
      <c r="AX239" s="19">
        <f>AP239+AS239+AU239+AV239+AW239</f>
        <v/>
      </c>
      <c r="AY239" s="18">
        <f>(AG239-AA239)</f>
        <v/>
      </c>
      <c r="AZ239" s="18">
        <f>(AK239-AJ239)</f>
        <v/>
      </c>
      <c r="BA239" s="18">
        <f>AO239-AG239</f>
        <v/>
      </c>
      <c r="BB239" s="18">
        <f>(AO239-AA239)-(AP239/1440)-(AW239/1440)</f>
        <v/>
      </c>
      <c r="BC239" s="20">
        <f>E239/AZ239</f>
        <v/>
      </c>
      <c r="BE239" s="20">
        <f>IF(E239&lt;10000,3000,IF(E239&lt;15000,3600,IF(E239&lt;20000,4500,IF(E239&lt;25000,6000,IF(E239&lt;30000,7500,IF(E239&lt;40000,9000,IF(E239&gt;40000,10000)))))))</f>
        <v/>
      </c>
      <c r="BF239" s="334">
        <f>(E239/BE239)+2</f>
        <v/>
      </c>
      <c r="BS239" s="97" t="inlineStr">
        <is>
          <t>CHANGE DU POTE 2N VERS POSTE 1N LE 04/05 0722</t>
        </is>
      </c>
      <c r="BT239" s="99" t="n">
        <v>2</v>
      </c>
      <c r="BU239" s="99" t="n"/>
      <c r="BV239" s="99" t="n"/>
      <c r="BW239" s="332">
        <f>AI241-AH241</f>
        <v/>
      </c>
      <c r="CB239" s="14" t="n"/>
    </row>
    <row r="240" ht="15" customHeight="1" s="70">
      <c r="B240" s="343" t="inlineStr">
        <is>
          <t>WONDERFUL WORLD</t>
        </is>
      </c>
      <c r="C240" s="15" t="n">
        <v>45782</v>
      </c>
      <c r="D240" s="329" t="n">
        <v>7008</v>
      </c>
      <c r="E240" s="330" t="n"/>
      <c r="F240" s="142" t="inlineStr">
        <is>
          <t>JFC 4</t>
        </is>
      </c>
      <c r="G240" s="81" t="n">
        <v>2</v>
      </c>
      <c r="H240" s="75" t="inlineStr">
        <is>
          <t>MAP</t>
        </is>
      </c>
      <c r="I240" s="306" t="inlineStr">
        <is>
          <t>MAP 11 52 JAPAN</t>
        </is>
      </c>
      <c r="J240" s="75" t="inlineStr">
        <is>
          <t>FOB</t>
        </is>
      </c>
      <c r="K240" s="82" t="n"/>
      <c r="L240" s="341">
        <f>D240*K240</f>
        <v/>
      </c>
      <c r="M240" s="14" t="n"/>
      <c r="N240" s="335">
        <f>L240*M240</f>
        <v/>
      </c>
      <c r="Q240" s="75" t="inlineStr">
        <is>
          <t>ASIE</t>
        </is>
      </c>
      <c r="R240" s="75" t="inlineStr">
        <is>
          <t>JAPON</t>
        </is>
      </c>
      <c r="S240" s="75" t="n"/>
      <c r="T240" s="75" t="inlineStr">
        <is>
          <t>INSPECTORATE</t>
        </is>
      </c>
      <c r="U240" s="81" t="n">
        <v>180</v>
      </c>
      <c r="V240" s="53">
        <f>IF(U240&lt;130, "Mini Bulker", IF(AND(U240&gt;=130, U240&lt;150), "Handysize", IF(AND(U240&gt;=150, U240&lt;200), "Handymax", IF(AND(U240&gt;=200, U240&lt;230), "Panamax", IF(AND(U240&gt;=230, U240&lt;=270), "Capesize", "Autre")))))</f>
        <v/>
      </c>
      <c r="X240" s="14">
        <f>IF(E240&lt;9999,"1",IF(E240&lt;19999,"2",IF(E240&lt;29999,"3",IF(E240&lt;39999,"4",IF(E240&lt;49999,"5",IF(E240&gt;50000,"6"))))))</f>
        <v/>
      </c>
      <c r="Y240" s="99" t="inlineStr">
        <is>
          <t xml:space="preserve">2N/1N </t>
        </is>
      </c>
      <c r="AA240" s="98" t="n"/>
      <c r="AB240" s="98" t="n"/>
      <c r="AC240" s="98" t="n"/>
      <c r="AD240" s="98" t="n"/>
      <c r="AE240" s="98" t="n"/>
      <c r="AF240" s="98" t="n"/>
      <c r="AG240" s="98" t="n"/>
      <c r="AH240" s="98" t="n"/>
      <c r="AI240" s="98" t="n"/>
      <c r="AJ240" s="98" t="n"/>
      <c r="AK240" s="98" t="n"/>
      <c r="AL240" s="98" t="n"/>
      <c r="AM240" s="98" t="n"/>
      <c r="AN240" s="98" t="n"/>
      <c r="AO240" s="98" t="n"/>
      <c r="AP240" s="98" t="n"/>
      <c r="AQ240" s="98" t="n"/>
      <c r="AR240" s="98" t="n"/>
      <c r="AS240" s="98" t="n"/>
      <c r="AT240" s="98" t="n"/>
      <c r="AU240" s="98" t="n"/>
      <c r="AV240" s="98" t="n"/>
      <c r="AW240" s="98" t="n"/>
      <c r="AX240" s="98" t="n"/>
      <c r="AY240" s="98" t="n"/>
      <c r="AZ240" s="98" t="n"/>
      <c r="BA240" s="98" t="n"/>
      <c r="BB240" s="98" t="n"/>
      <c r="BC240" s="98" t="n"/>
      <c r="BD240" s="98" t="n"/>
      <c r="BE240" s="98" t="n"/>
      <c r="BF240" s="98" t="n"/>
      <c r="BG240" s="98" t="n"/>
      <c r="BH240" s="98" t="n"/>
      <c r="BI240" s="98" t="n"/>
      <c r="BJ240" s="98" t="n"/>
      <c r="BK240" s="98" t="n"/>
      <c r="BL240" s="98" t="n"/>
      <c r="BM240" s="98" t="n"/>
      <c r="BN240" s="98" t="n"/>
      <c r="BO240" s="98" t="n"/>
      <c r="BP240" s="98" t="n"/>
      <c r="BQ240" s="98" t="n"/>
      <c r="BR240" s="98" t="n"/>
      <c r="BS240" s="97" t="inlineStr">
        <is>
          <t>CHANGE DU POTE 2N VERS POSTE 1N LE 04/05 0723</t>
        </is>
      </c>
      <c r="BT240" s="99" t="n">
        <v>2</v>
      </c>
      <c r="BU240" s="99" t="n"/>
      <c r="BV240" s="99" t="n"/>
      <c r="BW240" s="332" t="n"/>
      <c r="CB240" s="14" t="n"/>
    </row>
    <row r="241" ht="14.55" customHeight="1" s="70">
      <c r="A241" s="81" t="n">
        <v>165</v>
      </c>
      <c r="B241" s="343" t="inlineStr">
        <is>
          <t>MARK D</t>
        </is>
      </c>
      <c r="C241" s="15" t="n">
        <v>45783</v>
      </c>
      <c r="D241" s="329" t="n">
        <v>3338</v>
      </c>
      <c r="E241" s="329" t="n">
        <v>3338</v>
      </c>
      <c r="F241" s="142" t="inlineStr">
        <is>
          <t xml:space="preserve">OCP NUTRICROPS </t>
        </is>
      </c>
      <c r="G241" s="81" t="n">
        <v>1</v>
      </c>
      <c r="H241" s="75" t="inlineStr">
        <is>
          <t>DAP</t>
        </is>
      </c>
      <c r="I241" s="306" t="inlineStr">
        <is>
          <t>DAP Special Dark</t>
        </is>
      </c>
      <c r="J241" s="75" t="inlineStr">
        <is>
          <t>CFR</t>
        </is>
      </c>
      <c r="K241" s="82" t="n"/>
      <c r="L241" s="341">
        <f>D241*K241</f>
        <v/>
      </c>
      <c r="M241" s="14" t="n"/>
      <c r="N241" s="335">
        <f>L241*M241</f>
        <v/>
      </c>
      <c r="Q241" s="75" t="inlineStr">
        <is>
          <t>EUROPE</t>
        </is>
      </c>
      <c r="R241" s="75" t="inlineStr">
        <is>
          <t>ROYAUME UNI</t>
        </is>
      </c>
      <c r="S241" s="75" t="n"/>
      <c r="T241" s="75" t="inlineStr">
        <is>
          <t>INTERTEK</t>
        </is>
      </c>
      <c r="U241" s="81" t="n">
        <v>88</v>
      </c>
      <c r="V241" s="53">
        <f>IF(U241&lt;130, "Mini Bulker", IF(AND(U241&gt;=130, U241&lt;150), "Handysize", IF(AND(U241&gt;=150, U241&lt;200), "Handymax", IF(AND(U241&gt;=200, U241&lt;230), "Panamax", IF(AND(U241&gt;=230, U241&lt;=270), "Capesize", "Autre")))))</f>
        <v/>
      </c>
      <c r="X241" s="14">
        <f>IF(E241&lt;9999,"1",IF(E241&lt;19999,"2",IF(E241&lt;29999,"3",IF(E241&lt;39999,"4",IF(E241&lt;49999,"5",IF(E241&gt;50000,"6"))))))</f>
        <v/>
      </c>
      <c r="Y241" s="99" t="inlineStr">
        <is>
          <t xml:space="preserve">2TER </t>
        </is>
      </c>
      <c r="AA241" s="26" t="n">
        <v>45776.67708333334</v>
      </c>
      <c r="AB241" s="26" t="n">
        <v>45777.375</v>
      </c>
      <c r="AC241" s="15" t="n">
        <v>45776</v>
      </c>
      <c r="AD241" s="15" t="n">
        <v>45777</v>
      </c>
      <c r="AE241" s="26" t="n">
        <v>45776.66666666666</v>
      </c>
      <c r="AF241" s="26" t="n">
        <v>45781.4</v>
      </c>
      <c r="AG241" s="26" t="n">
        <v>45781.42708333334</v>
      </c>
      <c r="AH241" s="26" t="n">
        <v>45781.4375</v>
      </c>
      <c r="AI241" s="26" t="n">
        <v>45781.5</v>
      </c>
      <c r="AJ241" s="26" t="n">
        <v>45781.55208333334</v>
      </c>
      <c r="AK241" s="26" t="n">
        <v>45783.59375</v>
      </c>
      <c r="AL241" s="26" t="n">
        <v>45783.64583333334</v>
      </c>
      <c r="AM241" s="26" t="n">
        <v>45783.66666666666</v>
      </c>
      <c r="AN241" s="26" t="n">
        <v>45783.69097222222</v>
      </c>
      <c r="AO241" s="26" t="n">
        <v>45783.76736111111</v>
      </c>
      <c r="AP241" s="20">
        <f>(AG241-AF241)*1440</f>
        <v/>
      </c>
      <c r="AQ241" s="20">
        <f>(AG241-AE241)*1440</f>
        <v/>
      </c>
      <c r="AR241" s="20">
        <f>(AH241-AF241)*1440</f>
        <v/>
      </c>
      <c r="AS241" s="20">
        <f>(AI241-AH241)*1440</f>
        <v/>
      </c>
      <c r="AT241" s="20">
        <f>(AJ241-AH241)*1440</f>
        <v/>
      </c>
      <c r="AU241" s="20">
        <f>(AL241-AK241)*1440</f>
        <v/>
      </c>
      <c r="AV241" s="20">
        <f>(AM241-AL241)*1440</f>
        <v/>
      </c>
      <c r="AW241" s="20">
        <f>(AO241-AM241)*1440</f>
        <v/>
      </c>
      <c r="AX241" s="19">
        <f>AP241+AS241+AU241+AV241+AW241</f>
        <v/>
      </c>
      <c r="AY241" s="18">
        <f>(AG241-AA241)</f>
        <v/>
      </c>
      <c r="AZ241" s="18">
        <f>(AK241-AJ241)</f>
        <v/>
      </c>
      <c r="BA241" s="18">
        <f>AO241-AG241</f>
        <v/>
      </c>
      <c r="BB241" s="18">
        <f>(AO241-AA241)-(AP241/1440)-(AW241/1440)</f>
        <v/>
      </c>
      <c r="BC241" s="20">
        <f>E241/AZ241</f>
        <v/>
      </c>
      <c r="BE241" s="20">
        <f>IF(E241&lt;10000,3000,IF(E241&lt;15000,3600,IF(E241&lt;20000,4500,IF(E241&lt;25000,6000,IF(E241&lt;30000,7500,IF(E241&lt;40000,9000,IF(E241&gt;40000,10000)))))))</f>
        <v/>
      </c>
      <c r="BF241" s="334">
        <f>(E241/BE241)+2</f>
        <v/>
      </c>
      <c r="BS241" s="97" t="inlineStr">
        <is>
          <t>NUL</t>
        </is>
      </c>
      <c r="BT241" s="99" t="n">
        <v>0</v>
      </c>
      <c r="BU241" s="99" t="n"/>
      <c r="BV241" s="99" t="n"/>
      <c r="BW241" s="332">
        <f>AI242-AH242</f>
        <v/>
      </c>
      <c r="CB241" s="14" t="n"/>
    </row>
    <row r="242" ht="14.55" customHeight="1" s="70">
      <c r="A242" s="81" t="n">
        <v>164</v>
      </c>
      <c r="B242" s="343" t="inlineStr">
        <is>
          <t>OCMIS ADVENTURE</t>
        </is>
      </c>
      <c r="C242" s="15" t="n">
        <v>45783</v>
      </c>
      <c r="D242" s="329" t="n">
        <v>4919</v>
      </c>
      <c r="E242" s="329" t="n">
        <v>4919</v>
      </c>
      <c r="F242" s="142" t="inlineStr">
        <is>
          <t>-</t>
        </is>
      </c>
      <c r="G242" s="81" t="n">
        <v>1</v>
      </c>
      <c r="H242" s="75" t="inlineStr">
        <is>
          <t>DAP</t>
        </is>
      </c>
      <c r="I242" s="306" t="inlineStr">
        <is>
          <t>DAP Special Dark</t>
        </is>
      </c>
      <c r="J242" s="75" t="inlineStr">
        <is>
          <t>CFR</t>
        </is>
      </c>
      <c r="K242" s="82" t="n"/>
      <c r="L242" s="341">
        <f>D242*K242</f>
        <v/>
      </c>
      <c r="M242" s="14" t="n"/>
      <c r="N242" s="335">
        <f>L242*M242</f>
        <v/>
      </c>
      <c r="Q242" s="75" t="inlineStr">
        <is>
          <t>AFRIQUE</t>
        </is>
      </c>
      <c r="R242" s="75" t="inlineStr">
        <is>
          <t>LYBIE</t>
        </is>
      </c>
      <c r="S242" s="75" t="n"/>
      <c r="T242" s="75" t="inlineStr">
        <is>
          <t>INSPECTORATE</t>
        </is>
      </c>
      <c r="U242" s="81" t="n">
        <v>111</v>
      </c>
      <c r="V242" s="53">
        <f>IF(U242&lt;130, "Mini Bulker", IF(AND(U242&gt;=130, U242&lt;150), "Handysize", IF(AND(U242&gt;=150, U242&lt;200), "Handymax", IF(AND(U242&gt;=200, U242&lt;230), "Panamax", IF(AND(U242&gt;=230, U242&lt;=270), "Capesize", "Autre")))))</f>
        <v/>
      </c>
      <c r="X242" s="14">
        <f>IF(E242&lt;9999,"1",IF(E242&lt;19999,"2",IF(E242&lt;29999,"3",IF(E242&lt;39999,"4",IF(E242&lt;49999,"5",IF(E242&gt;50000,"6"))))))</f>
        <v/>
      </c>
      <c r="Y242" s="99" t="inlineStr">
        <is>
          <t xml:space="preserve">2N/1N </t>
        </is>
      </c>
      <c r="AA242" s="26" t="n">
        <v>45781.47222222222</v>
      </c>
      <c r="AB242" s="26" t="n">
        <v>45781.47222222222</v>
      </c>
      <c r="AC242" s="15" t="n">
        <v>45772</v>
      </c>
      <c r="AD242" s="15" t="n">
        <v>45776</v>
      </c>
      <c r="AE242" s="26" t="n">
        <v>45781.47222222222</v>
      </c>
      <c r="AF242" s="26" t="n">
        <v>45781.30694444444</v>
      </c>
      <c r="AG242" s="26" t="n">
        <v>45781.79513888889</v>
      </c>
      <c r="AH242" s="26" t="n">
        <v>45781.81944444445</v>
      </c>
      <c r="AI242" s="26" t="n">
        <v>45781.91666666666</v>
      </c>
      <c r="AJ242" s="26" t="n">
        <v>45782.35763888889</v>
      </c>
      <c r="AK242" s="26" t="n">
        <v>45783.375</v>
      </c>
      <c r="AL242" s="26" t="n">
        <v>45783.51180555556</v>
      </c>
      <c r="AM242" s="26" t="n">
        <v>45783.51388888889</v>
      </c>
      <c r="AN242" s="26" t="n">
        <v>45783.52569444444</v>
      </c>
      <c r="AO242" s="26" t="n">
        <v>45783.57777777778</v>
      </c>
      <c r="AP242" s="20">
        <f>(AG242-AF242)*1440</f>
        <v/>
      </c>
      <c r="AQ242" s="20">
        <f>(AG242-AE242)*1440</f>
        <v/>
      </c>
      <c r="AR242" s="20">
        <f>(AH242-AF242)*1440</f>
        <v/>
      </c>
      <c r="AS242" s="20">
        <f>(AI242-AH242)*1440</f>
        <v/>
      </c>
      <c r="AT242" s="20">
        <f>(AJ242-AH242)*1440</f>
        <v/>
      </c>
      <c r="AU242" s="20">
        <f>(AL242-AK242)*1440</f>
        <v/>
      </c>
      <c r="AV242" s="20">
        <f>(AM242-AL242)*1440</f>
        <v/>
      </c>
      <c r="AW242" s="20">
        <f>(AO242-AM242)*1440</f>
        <v/>
      </c>
      <c r="AX242" s="19">
        <f>AP242+AS242+AU242+AV242+AW242</f>
        <v/>
      </c>
      <c r="AY242" s="18">
        <f>(AG242-AA242)</f>
        <v/>
      </c>
      <c r="AZ242" s="18">
        <f>(AK242-AJ242)</f>
        <v/>
      </c>
      <c r="BA242" s="18">
        <f>AO242-AG242</f>
        <v/>
      </c>
      <c r="BB242" s="18">
        <f>(AO242-AA242)-(AP242/1440)-(AW242/1440)</f>
        <v/>
      </c>
      <c r="BC242" s="20">
        <f>E241/AZ242</f>
        <v/>
      </c>
      <c r="BE242" s="20">
        <f>IF(E241&lt;10000,3000,IF(E241&lt;15000,3600,IF(E241&lt;20000,4500,IF(E241&lt;25000,6000,IF(E241&lt;30000,7500,IF(E241&lt;40000,9000,IF(E241&gt;40000,10000)))))))</f>
        <v/>
      </c>
      <c r="BF242" s="334">
        <f>(E241/BE242)+2</f>
        <v/>
      </c>
      <c r="BS242" s="137" t="inlineStr">
        <is>
          <t>CHANGE DU POSTE 2N VERS POSTE 1N LE 05/05- 2040</t>
        </is>
      </c>
      <c r="BT242" s="99" t="n">
        <v>1</v>
      </c>
      <c r="BU242" s="99" t="n"/>
      <c r="BV242" s="99" t="n"/>
      <c r="BW242" s="332">
        <f>AI243-AH243</f>
        <v/>
      </c>
      <c r="CB242" s="14" t="n"/>
    </row>
    <row r="243" ht="14.55" customHeight="1" s="70">
      <c r="A243" s="81" t="n">
        <v>166</v>
      </c>
      <c r="B243" s="343" t="inlineStr">
        <is>
          <t>ABU AL ABYAD</t>
        </is>
      </c>
      <c r="C243" s="15" t="n">
        <v>45785</v>
      </c>
      <c r="D243" s="329" t="n">
        <v>44000</v>
      </c>
      <c r="E243" s="329" t="n">
        <v>44000</v>
      </c>
      <c r="F243" s="142" t="inlineStr">
        <is>
          <t>JFC 4</t>
        </is>
      </c>
      <c r="G243" s="81" t="n">
        <v>1</v>
      </c>
      <c r="H243" s="75" t="inlineStr">
        <is>
          <t>DAP</t>
        </is>
      </c>
      <c r="I243" s="306" t="inlineStr">
        <is>
          <t xml:space="preserve">DAP SPECIAL DARK </t>
        </is>
      </c>
      <c r="J243" s="75" t="inlineStr">
        <is>
          <t>CFR</t>
        </is>
      </c>
      <c r="K243" s="82" t="n"/>
      <c r="L243" s="341">
        <f>D243*K243</f>
        <v/>
      </c>
      <c r="M243" s="14" t="n"/>
      <c r="N243" s="335">
        <f>L243*M243</f>
        <v/>
      </c>
      <c r="Q243" s="75" t="inlineStr">
        <is>
          <t>ASIE</t>
        </is>
      </c>
      <c r="R243" s="75" t="inlineStr">
        <is>
          <t>PAKISTAN</t>
        </is>
      </c>
      <c r="S243" s="75" t="n"/>
      <c r="T243" s="75" t="inlineStr">
        <is>
          <t>INTERTEK</t>
        </is>
      </c>
      <c r="U243" s="81" t="n">
        <v>190</v>
      </c>
      <c r="V243" s="53">
        <f>IF(U243&lt;130, "Mini Bulker", IF(AND(U243&gt;=130, U243&lt;150), "Handysize", IF(AND(U243&gt;=150, U243&lt;200), "Handymax", IF(AND(U243&gt;=200, U243&lt;230), "Panamax", IF(AND(U243&gt;=230, U243&lt;=270), "Capesize", "Autre")))))</f>
        <v/>
      </c>
      <c r="X243" s="14">
        <f>IF(E243&lt;9999,"1",IF(E243&lt;19999,"2",IF(E243&lt;29999,"3",IF(E243&lt;39999,"4",IF(E243&lt;49999,"5",IF(E243&gt;50000,"6"))))))</f>
        <v/>
      </c>
      <c r="Y243" s="99" t="inlineStr">
        <is>
          <t xml:space="preserve">2BIS/2N/1N </t>
        </is>
      </c>
      <c r="AA243" s="26" t="n">
        <v>45764.80416666667</v>
      </c>
      <c r="AB243" s="26" t="n">
        <v>45765.375</v>
      </c>
      <c r="AC243" s="15" t="n">
        <v>45772</v>
      </c>
      <c r="AD243" s="15" t="n">
        <v>45774</v>
      </c>
      <c r="AE243" s="26" t="n">
        <v>45774.80416666667</v>
      </c>
      <c r="AF243" s="26" t="n">
        <v>45775.23611111111</v>
      </c>
      <c r="AG243" s="26" t="n">
        <v>45775.29166666666</v>
      </c>
      <c r="AH243" s="26" t="n">
        <v>45775.30208333334</v>
      </c>
      <c r="AI243" s="26" t="n">
        <v>45775.36805555555</v>
      </c>
      <c r="AJ243" s="26" t="n">
        <v>45775.4375</v>
      </c>
      <c r="AK243" s="26" t="n">
        <v>45785.04861111111</v>
      </c>
      <c r="AL243" s="26" t="n">
        <v>45785.09027777778</v>
      </c>
      <c r="AM243" s="26" t="n">
        <v>45785.11041666667</v>
      </c>
      <c r="AN243" s="26" t="n">
        <v>45785.10763888889</v>
      </c>
      <c r="AO243" s="26" t="n">
        <v>45785.24375</v>
      </c>
      <c r="AP243" s="20">
        <f>(AG243-AF243)*1440</f>
        <v/>
      </c>
      <c r="AQ243" s="20">
        <f>(AG243-AE243)*1440</f>
        <v/>
      </c>
      <c r="AR243" s="20">
        <f>(AH243-AF243)*1440</f>
        <v/>
      </c>
      <c r="AS243" s="20">
        <f>(AI243-AH243)*1440</f>
        <v/>
      </c>
      <c r="AT243" s="20">
        <f>(AJ243-AH243)*1440</f>
        <v/>
      </c>
      <c r="AU243" s="20">
        <f>(AL243-AK243)*1440</f>
        <v/>
      </c>
      <c r="AV243" s="20">
        <f>(AM243-AL243)*1440</f>
        <v/>
      </c>
      <c r="AW243" s="20">
        <f>(AO243-AM243)*1440</f>
        <v/>
      </c>
      <c r="AX243" s="19">
        <f>AP243+AS243+AU243+AV243+AW243</f>
        <v/>
      </c>
      <c r="AY243" s="18">
        <f>(AG243-AA243)</f>
        <v/>
      </c>
      <c r="AZ243" s="18">
        <f>(AK243-AJ243)</f>
        <v/>
      </c>
      <c r="BA243" s="18">
        <f>AO243-AG243</f>
        <v/>
      </c>
      <c r="BB243" s="18">
        <f>(AO243-AA243)-(AP243/1440)-(AW243/1440)</f>
        <v/>
      </c>
      <c r="BC243" s="20">
        <f>E243/AZ243</f>
        <v/>
      </c>
      <c r="BE243" s="20">
        <f>IF(E243&lt;10000,3000,IF(E243&lt;15000,3600,IF(E243&lt;20000,4500,IF(E243&lt;25000,6000,IF(E243&lt;30000,7500,IF(E243&lt;40000,9000,IF(E243&gt;40000,10000)))))))</f>
        <v/>
      </c>
      <c r="BF243" s="334">
        <f>(E243/BE243)+2</f>
        <v/>
      </c>
      <c r="BS243" s="97" t="inlineStr">
        <is>
          <t>CHANGE DU POSTE 2BIS  VERS LA RADE LE 01/05- 0150 / RE-ACC AU POSTE 2N LE 05/05- 2215 / CHANGE DU POSTE 2N VERS 1N LE 06/05 - 1454</t>
        </is>
      </c>
      <c r="BT243" s="99" t="n">
        <v>3</v>
      </c>
      <c r="BU243" s="99" t="n"/>
      <c r="BV243" s="99" t="n"/>
      <c r="BW243" s="332">
        <f>AI244-AH244</f>
        <v/>
      </c>
      <c r="CB243" s="14" t="n"/>
    </row>
    <row r="244" ht="14.55" customHeight="1" s="70">
      <c r="A244" s="81" t="n">
        <v>167</v>
      </c>
      <c r="B244" s="343" t="inlineStr">
        <is>
          <t>SIFTERI</t>
        </is>
      </c>
      <c r="C244" s="15" t="n">
        <v>45785</v>
      </c>
      <c r="D244" s="329" t="n">
        <v>10200</v>
      </c>
      <c r="E244" s="329" t="n">
        <v>10200</v>
      </c>
      <c r="F244" s="142" t="inlineStr">
        <is>
          <t xml:space="preserve">OCP NUTRICROPS </t>
        </is>
      </c>
      <c r="G244" s="81" t="n">
        <v>1</v>
      </c>
      <c r="H244" s="75" t="inlineStr">
        <is>
          <t>DAP</t>
        </is>
      </c>
      <c r="I244" s="306" t="inlineStr">
        <is>
          <t>DAP EURO Low Cd</t>
        </is>
      </c>
      <c r="J244" s="75" t="inlineStr">
        <is>
          <t>FOB</t>
        </is>
      </c>
      <c r="K244" s="82" t="n"/>
      <c r="L244" s="341">
        <f>D244*K244</f>
        <v/>
      </c>
      <c r="M244" s="14" t="n"/>
      <c r="N244" s="335">
        <f>L244*M244</f>
        <v/>
      </c>
      <c r="Q244" s="75" t="inlineStr">
        <is>
          <t>EUROPE</t>
        </is>
      </c>
      <c r="R244" s="75" t="inlineStr">
        <is>
          <t xml:space="preserve">TURQUIE </t>
        </is>
      </c>
      <c r="S244" s="75" t="n"/>
      <c r="T244" s="75" t="inlineStr">
        <is>
          <t>INTERTEK</t>
        </is>
      </c>
      <c r="U244" s="81" t="n">
        <v>131</v>
      </c>
      <c r="V244" s="53">
        <f>IF(U244&lt;130, "Mini Bulker", IF(AND(U244&gt;=130, U244&lt;150), "Handysize", IF(AND(U244&gt;=150, U244&lt;200), "Handymax", IF(AND(U244&gt;=200, U244&lt;230), "Panamax", IF(AND(U244&gt;=230, U244&lt;=270), "Capesize", "Autre")))))</f>
        <v/>
      </c>
      <c r="X244" s="14">
        <f>IF(E244&lt;9999,"1",IF(E244&lt;19999,"2",IF(E244&lt;29999,"3",IF(E244&lt;39999,"4",IF(E244&lt;49999,"5",IF(E244&gt;50000,"6"))))))</f>
        <v/>
      </c>
      <c r="Y244" s="99" t="inlineStr">
        <is>
          <t xml:space="preserve">1BIS/2TER </t>
        </is>
      </c>
      <c r="AA244" s="26" t="n">
        <v>45781.00069444445</v>
      </c>
      <c r="AB244" s="26" t="n">
        <v>45781.375</v>
      </c>
      <c r="AC244" s="15" t="n">
        <v>45781</v>
      </c>
      <c r="AD244" s="15" t="n">
        <v>45784</v>
      </c>
      <c r="AE244" s="26" t="n">
        <v>45778.69097222222</v>
      </c>
      <c r="AF244" s="26" t="n">
        <v>45782.52222222222</v>
      </c>
      <c r="AG244" s="26" t="n">
        <v>45782.57986111111</v>
      </c>
      <c r="AH244" s="26" t="n">
        <v>45782.59375</v>
      </c>
      <c r="AI244" s="26" t="n">
        <v>45782.66666666666</v>
      </c>
      <c r="AJ244" s="26" t="n">
        <v>45782.70833333334</v>
      </c>
      <c r="AK244" s="26" t="n">
        <v>45785.35416666666</v>
      </c>
      <c r="AL244" s="26" t="n">
        <v>45785.38541666666</v>
      </c>
      <c r="AM244" s="26" t="n">
        <v>45786.41180555556</v>
      </c>
      <c r="AN244" s="26" t="n">
        <v>45785.42916666667</v>
      </c>
      <c r="AO244" s="26" t="n">
        <v>45785.48958333334</v>
      </c>
      <c r="AP244" s="20">
        <f>(AG244-AF244)*1440</f>
        <v/>
      </c>
      <c r="AQ244" s="20">
        <f>(AG244-AE244)*1440</f>
        <v/>
      </c>
      <c r="AR244" s="20">
        <f>(AH244-AF244)*1440</f>
        <v/>
      </c>
      <c r="AS244" s="20">
        <f>(AI244-AH244)*1440</f>
        <v/>
      </c>
      <c r="AT244" s="20">
        <f>(AJ244-AH244)*1440</f>
        <v/>
      </c>
      <c r="AU244" s="20">
        <f>(AL244-AK244)*1440</f>
        <v/>
      </c>
      <c r="AV244" s="20">
        <f>(AM244-AL244)*1440</f>
        <v/>
      </c>
      <c r="AW244" s="20">
        <f>(AO244-AM244)*1440</f>
        <v/>
      </c>
      <c r="AX244" s="19">
        <f>AP244+AS244+AU244+AV244+AW244</f>
        <v/>
      </c>
      <c r="AY244" s="18">
        <f>(AG244-AA244)</f>
        <v/>
      </c>
      <c r="AZ244" s="18">
        <f>(AK244-AJ244)</f>
        <v/>
      </c>
      <c r="BA244" s="18">
        <f>AO244-AG244</f>
        <v/>
      </c>
      <c r="BB244" s="18">
        <f>(AO244-AA244)-(AP244/1440)-(AW244/1440)</f>
        <v/>
      </c>
      <c r="BC244" s="20">
        <f>E244/AZ244</f>
        <v/>
      </c>
      <c r="BE244" s="20">
        <f>IF(E244&lt;10000,3000,IF(E244&lt;15000,3600,IF(E244&lt;20000,4500,IF(E244&lt;25000,6000,IF(E244&lt;30000,7500,IF(E244&lt;40000,9000,IF(E244&gt;40000,10000)))))))</f>
        <v/>
      </c>
      <c r="BF244" s="334">
        <f>(E244/BE244)+2</f>
        <v/>
      </c>
      <c r="BS244" s="97" t="inlineStr">
        <is>
          <t>NOR RECU LE 04/05- 0001 / CHANGE DU POSTE 1BIS VERS 2TER LE 06/05 - 2130</t>
        </is>
      </c>
      <c r="BT244" s="99" t="n">
        <v>1</v>
      </c>
      <c r="BU244" s="99" t="n"/>
      <c r="BV244" s="99" t="n"/>
      <c r="BW244" s="332">
        <f>AI245-AH245</f>
        <v/>
      </c>
      <c r="CB244" s="14" t="n"/>
    </row>
    <row r="245" ht="14.55" customHeight="1" s="70">
      <c r="A245" s="81" t="n">
        <v>170</v>
      </c>
      <c r="B245" s="343" t="inlineStr">
        <is>
          <t xml:space="preserve">GENCO ENTERPRISE </t>
        </is>
      </c>
      <c r="C245" s="15" t="n">
        <v>45786</v>
      </c>
      <c r="D245" s="329" t="n">
        <v>60500</v>
      </c>
      <c r="E245" s="329" t="n">
        <v>60500</v>
      </c>
      <c r="F245" s="142" t="inlineStr">
        <is>
          <t xml:space="preserve">OCP NUTRICROPS </t>
        </is>
      </c>
      <c r="G245" s="81" t="n">
        <v>1</v>
      </c>
      <c r="H245" s="75" t="inlineStr">
        <is>
          <t>TSP</t>
        </is>
      </c>
      <c r="I245" s="306" t="inlineStr">
        <is>
          <t>TSP CIV</t>
        </is>
      </c>
      <c r="J245" s="75" t="inlineStr">
        <is>
          <t>CFR</t>
        </is>
      </c>
      <c r="K245" s="82" t="n">
        <v>470</v>
      </c>
      <c r="L245" s="341">
        <f>D245*K245</f>
        <v/>
      </c>
      <c r="M245" s="14" t="n"/>
      <c r="N245" s="335">
        <f>L245*M245</f>
        <v/>
      </c>
      <c r="Q245" s="75" t="inlineStr">
        <is>
          <t>ASIE</t>
        </is>
      </c>
      <c r="R245" s="75" t="inlineStr">
        <is>
          <t>INDIA</t>
        </is>
      </c>
      <c r="S245" s="75" t="n"/>
      <c r="T245" s="75" t="inlineStr">
        <is>
          <t>INTERTEK</t>
        </is>
      </c>
      <c r="U245" s="81" t="n">
        <v>200</v>
      </c>
      <c r="V245" s="53">
        <f>IF(U245&lt;130, "Mini Bulker", IF(AND(U245&gt;=130, U245&lt;150), "Handysize", IF(AND(U245&gt;=150, U245&lt;200), "Handymax", IF(AND(U245&gt;=200, U245&lt;230), "Panamax", IF(AND(U245&gt;=230, U245&lt;=270), "Capesize", "Autre")))))</f>
        <v/>
      </c>
      <c r="X245" s="14">
        <f>IF(E245&lt;9999,"1",IF(E245&lt;19999,"2",IF(E245&lt;29999,"3",IF(E245&lt;39999,"4",IF(E245&lt;49999,"5",IF(E245&gt;50000,"6"))))))</f>
        <v/>
      </c>
      <c r="Y245" s="99" t="inlineStr">
        <is>
          <t>1BIS/2N/2BIS</t>
        </is>
      </c>
      <c r="AA245" s="26" t="n">
        <v>45777.25694444445</v>
      </c>
      <c r="AB245" s="26" t="n">
        <v>45777.375</v>
      </c>
      <c r="AC245" s="15" t="n">
        <v>45774</v>
      </c>
      <c r="AD245" s="15" t="n">
        <v>45777</v>
      </c>
      <c r="AE245" s="26" t="n">
        <v>45777.13333333333</v>
      </c>
      <c r="AF245" s="26" t="n">
        <v>45777.50694444445</v>
      </c>
      <c r="AG245" s="26" t="n">
        <v>45777.575</v>
      </c>
      <c r="AH245" s="26" t="n">
        <v>45777.59722222222</v>
      </c>
      <c r="AI245" s="26" t="n">
        <v>45777.66666666666</v>
      </c>
      <c r="AJ245" s="26" t="n">
        <v>45777.70486111111</v>
      </c>
      <c r="AK245" s="26" t="n">
        <v>45786.79861111111</v>
      </c>
      <c r="AL245" s="26" t="n">
        <v>45786.83333333334</v>
      </c>
      <c r="AM245" s="26" t="n">
        <v>45786.85416666666</v>
      </c>
      <c r="AN245" s="26" t="n">
        <v>45786.9375</v>
      </c>
      <c r="AO245" s="26" t="n">
        <v>45786.96527777778</v>
      </c>
      <c r="AP245" s="20">
        <f>(AG245-AF245)*1440</f>
        <v/>
      </c>
      <c r="AQ245" s="20">
        <f>(AG245-AE245)*1440</f>
        <v/>
      </c>
      <c r="AR245" s="20">
        <f>(AH245-AF245)*1440</f>
        <v/>
      </c>
      <c r="AS245" s="20">
        <f>(AI245-AH245)*1440</f>
        <v/>
      </c>
      <c r="AT245" s="20">
        <f>(AJ245-AH245)*1440</f>
        <v/>
      </c>
      <c r="AU245" s="20">
        <f>(AL245-AK245)*1440</f>
        <v/>
      </c>
      <c r="AV245" s="20">
        <f>(AM245-AL245)*1440</f>
        <v/>
      </c>
      <c r="AW245" s="20">
        <f>(AO245-AM245)*1440</f>
        <v/>
      </c>
      <c r="AX245" s="19">
        <f>AP245+AS245+AU245+AV245+AW245</f>
        <v/>
      </c>
      <c r="AY245" s="18">
        <f>(AG245-AA245)</f>
        <v/>
      </c>
      <c r="AZ245" s="18">
        <f>(AK245-AJ245)</f>
        <v/>
      </c>
      <c r="BA245" s="18">
        <f>AO245-AG245</f>
        <v/>
      </c>
      <c r="BB245" s="18">
        <f>(AO245-AA245)-(AP245/1440)-(AW245/1440)</f>
        <v/>
      </c>
      <c r="BC245" s="20">
        <f>E245/AZ245</f>
        <v/>
      </c>
      <c r="BE245" s="20">
        <f>IF(E245&lt;10000,3000,IF(E245&lt;15000,3600,IF(E245&lt;20000,4500,IF(E245&lt;25000,6000,IF(E245&lt;30000,7500,IF(E245&lt;40000,9000,IF(E245&gt;40000,10000)))))))</f>
        <v/>
      </c>
      <c r="BF245" s="334">
        <f>(E245/BE245)+2</f>
        <v/>
      </c>
      <c r="BS245" s="97" t="inlineStr">
        <is>
          <t>CHANGE DU POSTE 1BIS VERS LA RADE LE05/05- 1232 // RE-ACC AU POSTE 2N LE 06/05- 1622 // CHANGE DU POSTE 2N VERS POSTE 2BIS LE 08/05- 0150</t>
        </is>
      </c>
      <c r="BT245" s="99" t="n">
        <v>3</v>
      </c>
      <c r="BU245" s="99" t="n"/>
      <c r="BV245" s="99" t="n"/>
      <c r="BW245" s="332">
        <f>AI246-AH246</f>
        <v/>
      </c>
      <c r="CB245" s="14" t="n">
        <v>36280</v>
      </c>
    </row>
    <row r="246" ht="14.55" customHeight="1" s="70">
      <c r="A246" s="81" t="n">
        <v>169</v>
      </c>
      <c r="B246" s="343" t="inlineStr">
        <is>
          <t>MAJESTIC VERA</t>
        </is>
      </c>
      <c r="C246" s="15" t="n">
        <v>45786</v>
      </c>
      <c r="D246" s="329" t="n">
        <v>33000</v>
      </c>
      <c r="E246" s="329" t="n">
        <v>33000</v>
      </c>
      <c r="F246" s="142" t="inlineStr">
        <is>
          <t xml:space="preserve">OCP NUTRICROPS </t>
        </is>
      </c>
      <c r="G246" s="81" t="n">
        <v>1</v>
      </c>
      <c r="H246" s="75" t="inlineStr">
        <is>
          <t>TSP</t>
        </is>
      </c>
      <c r="I246" s="306" t="inlineStr">
        <is>
          <t xml:space="preserve">TSP-JORF </t>
        </is>
      </c>
      <c r="J246" s="75" t="inlineStr">
        <is>
          <t>FOB</t>
        </is>
      </c>
      <c r="K246" s="82" t="n">
        <v>445</v>
      </c>
      <c r="L246" s="341">
        <f>D246*K246</f>
        <v/>
      </c>
      <c r="M246" s="14" t="n"/>
      <c r="N246" s="335">
        <f>L246*M246</f>
        <v/>
      </c>
      <c r="Q246" s="75" t="inlineStr">
        <is>
          <t>ASIE</t>
        </is>
      </c>
      <c r="R246" s="75" t="inlineStr">
        <is>
          <t>BANGLADESH</t>
        </is>
      </c>
      <c r="S246" s="75" t="n"/>
      <c r="T246" s="75" t="inlineStr">
        <is>
          <t>INSPECTORATE</t>
        </is>
      </c>
      <c r="U246" s="81" t="n">
        <v>180</v>
      </c>
      <c r="V246" s="53">
        <f>IF(U246&lt;130, "Mini Bulker", IF(AND(U246&gt;=130, U246&lt;150), "Handysize", IF(AND(U246&gt;=150, U246&lt;200), "Handymax", IF(AND(U246&gt;=200, U246&lt;230), "Panamax", IF(AND(U246&gt;=230, U246&lt;=270), "Capesize", "Autre")))))</f>
        <v/>
      </c>
      <c r="X246" s="14">
        <f>IF(E246&lt;9999,"1",IF(E246&lt;19999,"2",IF(E246&lt;29999,"3",IF(E246&lt;39999,"4",IF(E246&lt;49999,"5",IF(E246&gt;50000,"6"))))))</f>
        <v/>
      </c>
      <c r="Y246" s="99" t="inlineStr">
        <is>
          <t>2BIS/1N</t>
        </is>
      </c>
      <c r="AA246" s="26" t="n">
        <v>45779.47569444445</v>
      </c>
      <c r="AB246" s="26" t="n">
        <v>45779.47569444445</v>
      </c>
      <c r="AC246" s="15" t="n">
        <v>45780</v>
      </c>
      <c r="AD246" s="15" t="n">
        <v>45782</v>
      </c>
      <c r="AE246" s="26" t="n">
        <v>45779.47569444445</v>
      </c>
      <c r="AF246" s="26" t="n">
        <v>45780.90625</v>
      </c>
      <c r="AG246" s="26" t="n">
        <v>45781.01527777778</v>
      </c>
      <c r="AH246" s="26" t="n">
        <v>45781.02777777778</v>
      </c>
      <c r="AI246" s="26" t="n">
        <v>45781.08680555555</v>
      </c>
      <c r="AJ246" s="26" t="n">
        <v>45781.35416666666</v>
      </c>
      <c r="AK246" s="26" t="n">
        <v>45786.625</v>
      </c>
      <c r="AL246" s="26" t="n">
        <v>45786.66319444445</v>
      </c>
      <c r="AM246" s="26" t="n">
        <v>45786.6875</v>
      </c>
      <c r="AN246" s="26" t="n">
        <v>45786.72916666666</v>
      </c>
      <c r="AO246" s="26" t="n">
        <v>45786.79861111111</v>
      </c>
      <c r="AP246" s="20">
        <f>(AG246-AF246)*1440</f>
        <v/>
      </c>
      <c r="AQ246" s="20">
        <f>(AG246-AE246)*1440</f>
        <v/>
      </c>
      <c r="AR246" s="20">
        <f>(AH246-AF246)*1440</f>
        <v/>
      </c>
      <c r="AS246" s="20">
        <f>(AI246-AH246)*1440</f>
        <v/>
      </c>
      <c r="AT246" s="20">
        <f>(AJ246-AH246)*1440</f>
        <v/>
      </c>
      <c r="AU246" s="20">
        <f>(AL246-AK246)*1440</f>
        <v/>
      </c>
      <c r="AV246" s="20">
        <f>(AM246-AL246)*1440</f>
        <v/>
      </c>
      <c r="AW246" s="20">
        <f>(AO246-AM246)*1440</f>
        <v/>
      </c>
      <c r="AX246" s="19">
        <f>AP246+AS246+AU246+AV246+AW246</f>
        <v/>
      </c>
      <c r="AY246" s="18">
        <f>(AG246-AA246)</f>
        <v/>
      </c>
      <c r="AZ246" s="18">
        <f>(AK246-AJ246)</f>
        <v/>
      </c>
      <c r="BA246" s="18">
        <f>AO246-AG246</f>
        <v/>
      </c>
      <c r="BB246" s="18">
        <f>(AO246-AA246)-(AP246/1440)-(AW246/1440)</f>
        <v/>
      </c>
      <c r="BC246" s="20">
        <f>E246/AZ246</f>
        <v/>
      </c>
      <c r="BE246" s="20">
        <f>IF(E246&lt;10000,3000,IF(E246&lt;15000,3600,IF(E246&lt;20000,4500,IF(E246&lt;25000,6000,IF(E246&lt;30000,7500,IF(E246&lt;40000,9000,IF(E246&gt;40000,10000)))))))</f>
        <v/>
      </c>
      <c r="BF246" s="334">
        <f>(E246/BE246)+2</f>
        <v/>
      </c>
      <c r="BS246" s="97" t="inlineStr">
        <is>
          <t>CHANGE DU POSTE 2BIS VERS POSTE 1N LE 08/05 - 1252</t>
        </is>
      </c>
      <c r="BT246" s="99" t="n">
        <v>1</v>
      </c>
      <c r="BU246" s="99" t="n"/>
      <c r="BV246" s="99" t="n"/>
      <c r="BW246" s="332">
        <f>AI247-AH247</f>
        <v/>
      </c>
      <c r="CB246" s="14" t="n">
        <v>23432</v>
      </c>
    </row>
    <row r="247" ht="14.55" customHeight="1" s="70">
      <c r="A247" s="81" t="n">
        <v>168</v>
      </c>
      <c r="B247" s="343" t="inlineStr">
        <is>
          <t>NAVA ULYSSES</t>
        </is>
      </c>
      <c r="C247" s="15" t="n">
        <v>45786</v>
      </c>
      <c r="D247" s="329" t="n">
        <v>32995</v>
      </c>
      <c r="E247" s="329" t="n">
        <v>32995</v>
      </c>
      <c r="F247" s="142" t="inlineStr">
        <is>
          <t xml:space="preserve">OCP NUTRICROPS </t>
        </is>
      </c>
      <c r="G247" s="81" t="n">
        <v>1</v>
      </c>
      <c r="H247" s="75" t="inlineStr">
        <is>
          <t>MAP</t>
        </is>
      </c>
      <c r="I247" s="306" t="inlineStr">
        <is>
          <t>MAP SPECIAL 11 52</t>
        </is>
      </c>
      <c r="J247" s="75" t="inlineStr">
        <is>
          <t>FOB</t>
        </is>
      </c>
      <c r="K247" s="82" t="n">
        <v>685</v>
      </c>
      <c r="L247" s="341">
        <f>D247*K247</f>
        <v/>
      </c>
      <c r="M247" s="14" t="n"/>
      <c r="N247" s="335">
        <f>L247*M247</f>
        <v/>
      </c>
      <c r="Q247" s="75" t="inlineStr">
        <is>
          <t>AMERIQUE LATINE</t>
        </is>
      </c>
      <c r="R247" s="75" t="inlineStr">
        <is>
          <t>Argentina</t>
        </is>
      </c>
      <c r="S247" s="75" t="n"/>
      <c r="T247" s="75" t="inlineStr">
        <is>
          <t>OCP</t>
        </is>
      </c>
      <c r="U247" s="81" t="n">
        <v>180</v>
      </c>
      <c r="V247" s="53">
        <f>IF(U247&lt;130, "Mini Bulker", IF(AND(U247&gt;=130, U247&lt;150), "Handysize", IF(AND(U247&gt;=150, U247&lt;200), "Handymax", IF(AND(U247&gt;=200, U247&lt;230), "Panamax", IF(AND(U247&gt;=230, U247&lt;=270), "Capesize", "Autre")))))</f>
        <v/>
      </c>
      <c r="X247" s="14">
        <f>IF(E247&lt;9999,"1",IF(E247&lt;19999,"2",IF(E247&lt;29999,"3",IF(E247&lt;39999,"4",IF(E247&lt;49999,"5",IF(E247&gt;50000,"6"))))))</f>
        <v/>
      </c>
      <c r="Y247" s="99" t="inlineStr">
        <is>
          <t>1TER</t>
        </is>
      </c>
      <c r="AA247" s="26" t="n">
        <v>45779.75</v>
      </c>
      <c r="AB247" s="26" t="n">
        <v>45780.375</v>
      </c>
      <c r="AC247" s="15" t="n">
        <v>45779</v>
      </c>
      <c r="AD247" s="15" t="n">
        <v>45786</v>
      </c>
      <c r="AE247" s="26" t="n">
        <v>45780.375</v>
      </c>
      <c r="AF247" s="26" t="n">
        <v>45782.7375</v>
      </c>
      <c r="AG247" s="26" t="n">
        <v>45782.82986111111</v>
      </c>
      <c r="AH247" s="26" t="n">
        <v>45782.84375</v>
      </c>
      <c r="AI247" s="26" t="n">
        <v>45782.90277777778</v>
      </c>
      <c r="AJ247" s="26" t="n">
        <v>45783.03472222222</v>
      </c>
      <c r="AK247" s="26" t="n">
        <v>45786.52430555555</v>
      </c>
      <c r="AL247" s="26" t="n">
        <v>45786.58472222222</v>
      </c>
      <c r="AM247" s="26" t="n">
        <v>45786.62152777778</v>
      </c>
      <c r="AN247" s="26" t="n">
        <v>45786.66319444445</v>
      </c>
      <c r="AO247" s="26" t="n">
        <v>45786.70486111111</v>
      </c>
      <c r="AP247" s="20">
        <f>(AG247-AF247)*1440</f>
        <v/>
      </c>
      <c r="AQ247" s="20">
        <f>(AG247-AE247)*1440</f>
        <v/>
      </c>
      <c r="AR247" s="20">
        <f>(AH247-AF247)*1440</f>
        <v/>
      </c>
      <c r="AS247" s="20">
        <f>(AI247-AH247)*1440</f>
        <v/>
      </c>
      <c r="AT247" s="20">
        <f>(AJ247-AH247)*1440</f>
        <v/>
      </c>
      <c r="AU247" s="20">
        <f>(AL247-AK247)*1440</f>
        <v/>
      </c>
      <c r="AV247" s="20">
        <f>(AM247-AL247)*1440</f>
        <v/>
      </c>
      <c r="AW247" s="20">
        <f>(AO247-AM247)*1440</f>
        <v/>
      </c>
      <c r="AX247" s="19">
        <f>AP247+AS247+AU247+AV247+AW247</f>
        <v/>
      </c>
      <c r="AY247" s="18">
        <f>(AG247-AA247)</f>
        <v/>
      </c>
      <c r="AZ247" s="18">
        <f>(AK247-AJ247)</f>
        <v/>
      </c>
      <c r="BA247" s="18">
        <f>AO247-AG247</f>
        <v/>
      </c>
      <c r="BB247" s="18">
        <f>(AO247-AA247)-(AP247/1440)-(AW247/1440)</f>
        <v/>
      </c>
      <c r="BC247" s="20">
        <f>E247/AZ247</f>
        <v/>
      </c>
      <c r="BE247" s="20">
        <f>IF(E247&lt;10000,3000,IF(E247&lt;15000,3600,IF(E247&lt;20000,4500,IF(E247&lt;25000,6000,IF(E247&lt;30000,7500,IF(E247&lt;40000,9000,IF(E247&gt;40000,10000)))))))</f>
        <v/>
      </c>
      <c r="BF247" s="334">
        <f>(E247/BE247)+2</f>
        <v/>
      </c>
      <c r="BS247" s="97" t="inlineStr">
        <is>
          <t>NUL</t>
        </is>
      </c>
      <c r="BT247" s="99" t="n">
        <v>0</v>
      </c>
      <c r="BU247" s="99" t="n"/>
      <c r="BV247" s="99" t="n"/>
      <c r="BW247" s="332">
        <f>AI248-AH248</f>
        <v/>
      </c>
      <c r="CB247" s="14" t="n">
        <v>24187</v>
      </c>
    </row>
    <row r="248" ht="14.55" customHeight="1" s="70">
      <c r="A248" s="81" t="n">
        <v>171</v>
      </c>
      <c r="B248" s="343" t="inlineStr">
        <is>
          <t>KAROLI</t>
        </is>
      </c>
      <c r="C248" s="15" t="n">
        <v>45788</v>
      </c>
      <c r="D248" s="329" t="n">
        <v>3300</v>
      </c>
      <c r="E248" s="333">
        <f>D248+D249</f>
        <v/>
      </c>
      <c r="F248" s="142" t="inlineStr">
        <is>
          <t xml:space="preserve">OCP NUTRICROPS </t>
        </is>
      </c>
      <c r="G248" s="81" t="n">
        <v>2</v>
      </c>
      <c r="H248" s="75" t="inlineStr">
        <is>
          <t>NPK</t>
        </is>
      </c>
      <c r="I248" s="306" t="inlineStr">
        <is>
          <t xml:space="preserve">NPK 15 15 15 Low Cd </t>
        </is>
      </c>
      <c r="J248" s="75" t="inlineStr">
        <is>
          <t>FOB</t>
        </is>
      </c>
      <c r="K248" s="82" t="n">
        <v>440</v>
      </c>
      <c r="L248" s="341">
        <f>D248*K248</f>
        <v/>
      </c>
      <c r="M248" s="14" t="n"/>
      <c r="N248" s="335">
        <f>L248*M248</f>
        <v/>
      </c>
      <c r="Q248" s="75" t="inlineStr">
        <is>
          <t>EUROPE</t>
        </is>
      </c>
      <c r="R248" s="75" t="inlineStr">
        <is>
          <t>DANEMARK</t>
        </is>
      </c>
      <c r="S248" s="75" t="n"/>
      <c r="T248" s="75" t="inlineStr">
        <is>
          <t>INSPECTORATE</t>
        </is>
      </c>
      <c r="U248" s="81" t="n">
        <v>101</v>
      </c>
      <c r="V248" s="53">
        <f>IF(U248&lt;130, "Mini Bulker", IF(AND(U248&gt;=130, U248&lt;150), "Handysize", IF(AND(U248&gt;=150, U248&lt;200), "Handymax", IF(AND(U248&gt;=200, U248&lt;230), "Panamax", IF(AND(U248&gt;=230, U248&lt;=270), "Capesize", "Autre")))))</f>
        <v/>
      </c>
      <c r="X248" s="14">
        <f>IF(E248&lt;9999,"1",IF(E248&lt;19999,"2",IF(E248&lt;29999,"3",IF(E248&lt;39999,"4",IF(E248&lt;49999,"5",IF(E248&gt;50000,"6"))))))</f>
        <v/>
      </c>
      <c r="Y248" s="99" t="inlineStr">
        <is>
          <t>1TER</t>
        </is>
      </c>
      <c r="AA248" s="26" t="n">
        <v>45785.89583333334</v>
      </c>
      <c r="AB248" s="26" t="n">
        <v>45786.375</v>
      </c>
      <c r="AC248" s="15" t="n">
        <v>45791</v>
      </c>
      <c r="AD248" s="15" t="n">
        <v>45793</v>
      </c>
      <c r="AE248" s="26" t="n">
        <v>45785.89583333334</v>
      </c>
      <c r="AF248" s="26" t="n">
        <v>45786.70486111111</v>
      </c>
      <c r="AG248" s="26" t="n">
        <v>45786.86111111111</v>
      </c>
      <c r="AH248" s="26" t="n">
        <v>45786.87152777778</v>
      </c>
      <c r="AI248" s="26" t="n">
        <v>45787.3125</v>
      </c>
      <c r="AJ248" s="26" t="n">
        <v>45787.35</v>
      </c>
      <c r="AK248" s="26" t="n">
        <v>45788.59375</v>
      </c>
      <c r="AL248" s="26" t="n">
        <v>45788.62916666667</v>
      </c>
      <c r="AM248" s="26" t="n">
        <v>45788.65277777778</v>
      </c>
      <c r="AN248" s="26" t="n">
        <v>45788.66319444445</v>
      </c>
      <c r="AO248" s="26" t="n">
        <v>45788.72569444445</v>
      </c>
      <c r="AP248" s="20">
        <f>(AG248-AF248)*1440</f>
        <v/>
      </c>
      <c r="AQ248" s="20">
        <f>(AG248-AE248)*1440</f>
        <v/>
      </c>
      <c r="AR248" s="20">
        <f>(AH248-AF248)*1440</f>
        <v/>
      </c>
      <c r="AS248" s="20">
        <f>(AI248-AH248)*1440</f>
        <v/>
      </c>
      <c r="AT248" s="20">
        <f>(AJ248-AH248)*1440</f>
        <v/>
      </c>
      <c r="AU248" s="20">
        <f>(AL248-AK248)*1440</f>
        <v/>
      </c>
      <c r="AV248" s="20">
        <f>(AM248-AL248)*1440</f>
        <v/>
      </c>
      <c r="AW248" s="20">
        <f>(AO248-AM248)*1440</f>
        <v/>
      </c>
      <c r="AX248" s="19">
        <f>AP248+AS248+AU248+AV248+AW248</f>
        <v/>
      </c>
      <c r="AY248" s="18">
        <f>(AG248-AA248)</f>
        <v/>
      </c>
      <c r="AZ248" s="18">
        <f>(AK248-AJ248)</f>
        <v/>
      </c>
      <c r="BA248" s="18">
        <f>AO248-AG248</f>
        <v/>
      </c>
      <c r="BB248" s="18">
        <f>(AO248-AA248)-(AP248/1440)-(AW248/1440)</f>
        <v/>
      </c>
      <c r="BC248" s="20">
        <f>E248/AZ248</f>
        <v/>
      </c>
      <c r="BE248" s="20">
        <f>IF(E248&lt;10000,3000,IF(E248&lt;15000,3600,IF(E248&lt;20000,4500,IF(E248&lt;25000,6000,IF(E248&lt;30000,7500,IF(E248&lt;40000,9000,IF(E248&gt;40000,10000)))))))</f>
        <v/>
      </c>
      <c r="BF248" s="334">
        <f>(E248/BE248)+2</f>
        <v/>
      </c>
      <c r="BS248" s="97" t="inlineStr">
        <is>
          <t>NUL</t>
        </is>
      </c>
      <c r="BT248" s="99" t="n">
        <v>0</v>
      </c>
      <c r="BU248" s="97" t="inlineStr">
        <is>
          <t>NAVIRE NON PRÊT</t>
        </is>
      </c>
      <c r="BV248" s="99" t="inlineStr">
        <is>
          <t>BULK HEAD (6 HEURS)</t>
        </is>
      </c>
      <c r="BW248" s="332">
        <f>AI249-AH249</f>
        <v/>
      </c>
      <c r="CB248" s="14" t="n">
        <v>3954</v>
      </c>
    </row>
    <row r="249" ht="14.55" customHeight="1" s="70">
      <c r="A249" s="81" t="n"/>
      <c r="B249" s="343" t="inlineStr">
        <is>
          <t>KAROLI</t>
        </is>
      </c>
      <c r="C249" s="15" t="n">
        <v>45788</v>
      </c>
      <c r="D249" s="329" t="n">
        <v>2200</v>
      </c>
      <c r="E249" s="330" t="n"/>
      <c r="F249" s="142" t="inlineStr">
        <is>
          <t xml:space="preserve">OCP NUTRICROPS </t>
        </is>
      </c>
      <c r="G249" s="81" t="n">
        <v>2</v>
      </c>
      <c r="H249" s="75" t="inlineStr">
        <is>
          <t>DAP</t>
        </is>
      </c>
      <c r="I249" s="306" t="inlineStr">
        <is>
          <t xml:space="preserve">DAP Euro Low Cd </t>
        </is>
      </c>
      <c r="J249" s="75" t="inlineStr">
        <is>
          <t>FOB</t>
        </is>
      </c>
      <c r="K249" s="82" t="n">
        <v>675</v>
      </c>
      <c r="L249" s="341">
        <f>D249*K249</f>
        <v/>
      </c>
      <c r="M249" s="14" t="n"/>
      <c r="N249" s="335">
        <f>L249*M249</f>
        <v/>
      </c>
      <c r="Q249" s="75" t="inlineStr">
        <is>
          <t>EUROPE</t>
        </is>
      </c>
      <c r="R249" s="75" t="inlineStr">
        <is>
          <t>DANEMARK</t>
        </is>
      </c>
      <c r="S249" s="75" t="n"/>
      <c r="T249" s="75" t="inlineStr">
        <is>
          <t>INSPECTORATE</t>
        </is>
      </c>
      <c r="U249" s="81" t="n">
        <v>101</v>
      </c>
      <c r="V249" s="53">
        <f>IF(U249&lt;130, "Mini Bulker", IF(AND(U249&gt;=130, U249&lt;150), "Handysize", IF(AND(U249&gt;=150, U249&lt;200), "Handymax", IF(AND(U249&gt;=200, U249&lt;230), "Panamax", IF(AND(U249&gt;=230, U249&lt;=270), "Capesize", "Autre")))))</f>
        <v/>
      </c>
      <c r="X249" s="14">
        <f>IF(E249&lt;9999,"1",IF(E249&lt;19999,"2",IF(E249&lt;29999,"3",IF(E249&lt;39999,"4",IF(E249&lt;49999,"5",IF(E249&gt;50000,"6"))))))</f>
        <v/>
      </c>
      <c r="Y249" s="99" t="inlineStr">
        <is>
          <t>1TER</t>
        </is>
      </c>
      <c r="AA249" s="98" t="n"/>
      <c r="AB249" s="98" t="n"/>
      <c r="AC249" s="98" t="n"/>
      <c r="AD249" s="98" t="n"/>
      <c r="AE249" s="98" t="n"/>
      <c r="AF249" s="98" t="n"/>
      <c r="AG249" s="98" t="n"/>
      <c r="AH249" s="98" t="n"/>
      <c r="AI249" s="98" t="n"/>
      <c r="AJ249" s="98" t="n"/>
      <c r="AK249" s="98" t="n"/>
      <c r="AL249" s="98" t="n"/>
      <c r="AM249" s="98" t="n"/>
      <c r="AN249" s="98" t="n"/>
      <c r="AO249" s="98" t="n"/>
      <c r="AP249" s="98" t="n"/>
      <c r="AQ249" s="98" t="n"/>
      <c r="AR249" s="98" t="n"/>
      <c r="AS249" s="98" t="n"/>
      <c r="AT249" s="98" t="n"/>
      <c r="AU249" s="98" t="n"/>
      <c r="AV249" s="98" t="n"/>
      <c r="AW249" s="98" t="n"/>
      <c r="AX249" s="98" t="n"/>
      <c r="AY249" s="98" t="n"/>
      <c r="AZ249" s="98" t="n"/>
      <c r="BA249" s="98" t="n"/>
      <c r="BB249" s="98" t="n"/>
      <c r="BC249" s="98" t="n"/>
      <c r="BD249" s="98" t="n"/>
      <c r="BE249" s="98" t="n"/>
      <c r="BF249" s="98" t="n"/>
      <c r="BG249" s="98" t="n"/>
      <c r="BH249" s="98" t="n"/>
      <c r="BI249" s="98" t="n"/>
      <c r="BJ249" s="98" t="n"/>
      <c r="BK249" s="98" t="n"/>
      <c r="BL249" s="98" t="n"/>
      <c r="BM249" s="98" t="n"/>
      <c r="BN249" s="98" t="n"/>
      <c r="BO249" s="98" t="n"/>
      <c r="BP249" s="98" t="n"/>
      <c r="BQ249" s="98" t="n"/>
      <c r="BR249" s="98" t="n"/>
      <c r="BS249" s="97" t="inlineStr">
        <is>
          <t>NUL</t>
        </is>
      </c>
      <c r="BT249" s="99" t="n">
        <v>0</v>
      </c>
      <c r="BU249" s="99" t="n"/>
      <c r="BV249" s="99" t="n"/>
      <c r="BW249" s="332">
        <f>AI250-AH250</f>
        <v/>
      </c>
      <c r="CB249" s="14" t="n">
        <v>3954</v>
      </c>
    </row>
    <row r="250" ht="14.55" customHeight="1" s="70">
      <c r="A250" s="81" t="n">
        <v>172</v>
      </c>
      <c r="B250" s="343" t="inlineStr">
        <is>
          <t>SEAHORSE</t>
        </is>
      </c>
      <c r="C250" s="15" t="n">
        <v>45788</v>
      </c>
      <c r="D250" s="329" t="n">
        <v>10049</v>
      </c>
      <c r="E250" s="329" t="n">
        <v>10049</v>
      </c>
      <c r="F250" s="142" t="inlineStr">
        <is>
          <t>JFC4</t>
        </is>
      </c>
      <c r="G250" s="81" t="n">
        <v>1</v>
      </c>
      <c r="H250" s="75" t="inlineStr">
        <is>
          <t>NPS</t>
        </is>
      </c>
      <c r="I250" s="306" t="inlineStr">
        <is>
          <t xml:space="preserve">NPS 11 46 10S </t>
        </is>
      </c>
      <c r="J250" s="75" t="inlineStr">
        <is>
          <t>CFR</t>
        </is>
      </c>
      <c r="K250" s="82" t="n">
        <v>665</v>
      </c>
      <c r="L250" s="341">
        <f>D250*K250</f>
        <v/>
      </c>
      <c r="M250" s="14" t="n"/>
      <c r="N250" s="335">
        <f>L250*M250</f>
        <v/>
      </c>
      <c r="Q250" s="75" t="inlineStr">
        <is>
          <t>AMERIQUE LATINE</t>
        </is>
      </c>
      <c r="R250" s="75" t="inlineStr">
        <is>
          <t>BRESIL</t>
        </is>
      </c>
      <c r="S250" s="75" t="n"/>
      <c r="T250" s="75" t="inlineStr">
        <is>
          <t>INTERTEK</t>
        </is>
      </c>
      <c r="U250" s="81" t="n">
        <v>100</v>
      </c>
      <c r="V250" s="53">
        <f>IF(U250&lt;130, "Mini Bulker", IF(AND(U250&gt;=130, U250&lt;150), "Handysize", IF(AND(U250&gt;=150, U250&lt;200), "Handymax", IF(AND(U250&gt;=200, U250&lt;230), "Panamax", IF(AND(U250&gt;=230, U250&lt;=270), "Capesize", "Autre")))))</f>
        <v/>
      </c>
      <c r="X250" s="14">
        <f>IF(E250&lt;9999,"1",IF(E250&lt;19999,"2",IF(E250&lt;29999,"3",IF(E250&lt;39999,"4",IF(E250&lt;49999,"5",IF(E250&gt;50000,"6"))))))</f>
        <v/>
      </c>
      <c r="Y250" s="99" t="inlineStr">
        <is>
          <t>2BIS</t>
        </is>
      </c>
      <c r="AA250" s="26" t="n">
        <v>45787.86111111111</v>
      </c>
      <c r="AB250" s="26" t="n">
        <v>45789.375</v>
      </c>
      <c r="AC250" s="15" t="n">
        <v>45780</v>
      </c>
      <c r="AD250" s="15" t="n">
        <v>45781</v>
      </c>
      <c r="AE250" s="26" t="n">
        <v>45787.80416666667</v>
      </c>
      <c r="AF250" s="26" t="n">
        <v>45787.83472222222</v>
      </c>
      <c r="AG250" s="26" t="n">
        <v>45787.90625</v>
      </c>
      <c r="AH250" s="26" t="n">
        <v>45787.9375</v>
      </c>
      <c r="AI250" s="26" t="n">
        <v>45787.98958333334</v>
      </c>
      <c r="AJ250" s="26" t="n">
        <v>45788.05555555555</v>
      </c>
      <c r="AK250" s="26" t="n">
        <v>45788.85416666666</v>
      </c>
      <c r="AL250" s="26" t="n">
        <v>45788.92222222222</v>
      </c>
      <c r="AM250" s="26" t="n">
        <v>45788.95833333334</v>
      </c>
      <c r="AN250" s="26" t="n">
        <v>45789.00208333333</v>
      </c>
      <c r="AO250" s="26" t="n">
        <v>45789.04166666666</v>
      </c>
      <c r="AP250" s="20">
        <f>(AG250-AF250)*1440</f>
        <v/>
      </c>
      <c r="AQ250" s="20">
        <f>(AG250-AE250)*1440</f>
        <v/>
      </c>
      <c r="AR250" s="20">
        <f>(AH250-AF250)*1440</f>
        <v/>
      </c>
      <c r="AS250" s="20">
        <f>(AI250-AH250)*1440</f>
        <v/>
      </c>
      <c r="AT250" s="20">
        <f>(AJ250-AH250)*1440</f>
        <v/>
      </c>
      <c r="AU250" s="20">
        <f>(AL250-AK250)*1440</f>
        <v/>
      </c>
      <c r="AV250" s="20">
        <f>(AM250-AL250)*1440</f>
        <v/>
      </c>
      <c r="AW250" s="20">
        <f>(AO250-AM250)*1440</f>
        <v/>
      </c>
      <c r="AX250" s="19">
        <f>AP250+AS250+AU250+AV250+AW250</f>
        <v/>
      </c>
      <c r="AY250" s="18">
        <f>(AG250-AA250)</f>
        <v/>
      </c>
      <c r="AZ250" s="18">
        <f>(AK250-AJ250)</f>
        <v/>
      </c>
      <c r="BA250" s="18">
        <f>AO250-AG250</f>
        <v/>
      </c>
      <c r="BB250" s="18">
        <f>(AO250-AA250)-(AP250/1440)-(AW250/1440)</f>
        <v/>
      </c>
      <c r="BC250" s="20">
        <f>E250/AZ250</f>
        <v/>
      </c>
      <c r="BE250" s="20">
        <f>IF(E250&lt;10000,3000,IF(E250&lt;15000,3600,IF(E250&lt;20000,4500,IF(E250&lt;25000,6000,IF(E250&lt;30000,7500,IF(E250&lt;40000,9000,IF(E250&gt;40000,10000)))))))</f>
        <v/>
      </c>
      <c r="BF250" s="334">
        <f>(E250/BE250)+2</f>
        <v/>
      </c>
      <c r="BG250" s="26" t="n"/>
      <c r="BH250" s="26" t="n"/>
      <c r="BI250" s="26" t="n"/>
      <c r="BJ250" s="26" t="n"/>
      <c r="BK250" s="26" t="n"/>
      <c r="BL250" s="26" t="n"/>
      <c r="BM250" s="26" t="n"/>
      <c r="BN250" s="26" t="n"/>
      <c r="BO250" s="26" t="n"/>
      <c r="BP250" s="26" t="n"/>
      <c r="BQ250" s="26" t="n"/>
      <c r="BR250" s="26" t="n"/>
      <c r="BS250" s="97" t="inlineStr">
        <is>
          <t>NUL</t>
        </is>
      </c>
      <c r="BT250" s="99" t="n">
        <v>0</v>
      </c>
      <c r="BU250" s="99" t="n"/>
      <c r="BV250" s="99" t="n"/>
      <c r="BW250" s="332">
        <f>AI251-AH251</f>
        <v/>
      </c>
      <c r="CB250" s="14" t="n">
        <v>6058</v>
      </c>
    </row>
    <row r="251" ht="14.55" customHeight="1" s="70">
      <c r="A251" s="81" t="n">
        <v>173</v>
      </c>
      <c r="B251" s="343" t="inlineStr">
        <is>
          <t>TOMINI LEVANT</t>
        </is>
      </c>
      <c r="C251" s="15" t="n">
        <v>45789</v>
      </c>
      <c r="D251" s="329" t="n">
        <v>25300</v>
      </c>
      <c r="E251" s="333">
        <f>D251+D252+D253</f>
        <v/>
      </c>
      <c r="F251" s="142" t="inlineStr">
        <is>
          <t xml:space="preserve">OCP NUTRICROPS </t>
        </is>
      </c>
      <c r="G251" s="81" t="n">
        <v>3</v>
      </c>
      <c r="H251" s="75" t="inlineStr">
        <is>
          <t>NPK</t>
        </is>
      </c>
      <c r="I251" s="306" t="inlineStr">
        <is>
          <t xml:space="preserve">NPK 10 26 26 Low Cd </t>
        </is>
      </c>
      <c r="J251" s="75" t="inlineStr">
        <is>
          <t>FOB</t>
        </is>
      </c>
      <c r="K251" s="82" t="n">
        <v>524</v>
      </c>
      <c r="L251" s="341">
        <f>D251*K251</f>
        <v/>
      </c>
      <c r="M251" s="14" t="n"/>
      <c r="N251" s="335">
        <f>L251*M251</f>
        <v/>
      </c>
      <c r="Q251" s="75" t="inlineStr">
        <is>
          <t>EUROPE</t>
        </is>
      </c>
      <c r="R251" s="75" t="inlineStr">
        <is>
          <t>LITHUANIA</t>
        </is>
      </c>
      <c r="S251" s="75" t="n"/>
      <c r="T251" s="75" t="inlineStr">
        <is>
          <t>INSPECTORATE</t>
        </is>
      </c>
      <c r="U251" s="81" t="n">
        <v>180</v>
      </c>
      <c r="V251" s="53">
        <f>IF(U251&lt;130, "Mini Bulker", IF(AND(U251&gt;=130, U251&lt;150), "Handysize", IF(AND(U251&gt;=150, U251&lt;200), "Handymax", IF(AND(U251&gt;=200, U251&lt;230), "Panamax", IF(AND(U251&gt;=230, U251&lt;=270), "Capesize", "Autre")))))</f>
        <v/>
      </c>
      <c r="X251" s="14">
        <f>IF(E251&lt;9999,"1",IF(E251&lt;19999,"2",IF(E251&lt;29999,"3",IF(E251&lt;39999,"4",IF(E251&lt;49999,"5",IF(E251&gt;50000,"6"))))))</f>
        <v/>
      </c>
      <c r="Y251" s="99" t="inlineStr">
        <is>
          <t>1BIS/1TER/1BIS/1N</t>
        </is>
      </c>
      <c r="AA251" s="26" t="n">
        <v>45771.66666666666</v>
      </c>
      <c r="AB251" s="26" t="n">
        <v>45771.66666666666</v>
      </c>
      <c r="AC251" s="15" t="n">
        <v>45770</v>
      </c>
      <c r="AD251" s="15" t="n">
        <v>45772</v>
      </c>
      <c r="AE251" s="26" t="n">
        <v>45769.925</v>
      </c>
      <c r="AF251" s="26" t="n">
        <v>45773.5625</v>
      </c>
      <c r="AG251" s="26" t="n">
        <v>45773.61666666667</v>
      </c>
      <c r="AH251" s="26" t="n">
        <v>45773.63888888889</v>
      </c>
      <c r="AI251" s="26" t="n">
        <v>45773.69097222222</v>
      </c>
      <c r="AJ251" s="26" t="n">
        <v>45773.69097222222</v>
      </c>
      <c r="AK251" s="26" t="n">
        <v>45789.56944444445</v>
      </c>
      <c r="AL251" s="26" t="n">
        <v>45789.61111111111</v>
      </c>
      <c r="AM251" s="26" t="n">
        <v>45789.66666666666</v>
      </c>
      <c r="AN251" s="26" t="n">
        <v>45789.69166666667</v>
      </c>
      <c r="AO251" s="26" t="n">
        <v>45789.72222222222</v>
      </c>
      <c r="AP251" s="20">
        <f>(AG251-AF251)*1440</f>
        <v/>
      </c>
      <c r="AQ251" s="20">
        <f>(AG251-AE251)*1440</f>
        <v/>
      </c>
      <c r="AR251" s="20">
        <f>(AH251-AF251)*1440</f>
        <v/>
      </c>
      <c r="AS251" s="20">
        <f>(AI251-AH251)*1440</f>
        <v/>
      </c>
      <c r="AT251" s="20">
        <f>(AJ251-AH251)*1440</f>
        <v/>
      </c>
      <c r="AU251" s="20">
        <f>(AL251-AK251)*1440</f>
        <v/>
      </c>
      <c r="AV251" s="20">
        <f>(AM251-AL251)*1440</f>
        <v/>
      </c>
      <c r="AW251" s="20">
        <f>(AO251-AM251)*1440</f>
        <v/>
      </c>
      <c r="AX251" s="19">
        <f>AP251+AS251+AU251+AV251+AW251</f>
        <v/>
      </c>
      <c r="AY251" s="18">
        <f>(AG251-AA251)</f>
        <v/>
      </c>
      <c r="AZ251" s="18">
        <f>(AK251-AJ251)</f>
        <v/>
      </c>
      <c r="BA251" s="18">
        <f>AO251-AG251</f>
        <v/>
      </c>
      <c r="BB251" s="18">
        <f>(AO251-AA251)-(AP251/1440)-(AW251/1440)</f>
        <v/>
      </c>
      <c r="BC251" s="20">
        <f>E251/AZ251</f>
        <v/>
      </c>
      <c r="BE251" s="20">
        <f>IF(E251&lt;10000,3000,IF(E251&lt;15000,3600,IF(E251&lt;20000,4500,IF(E251&lt;25000,6000,IF(E251&lt;30000,7500,IF(E251&lt;40000,9000,IF(E251&gt;40000,10000)))))))</f>
        <v/>
      </c>
      <c r="BF251" s="334">
        <f>(E251/BE251)+2</f>
        <v/>
      </c>
      <c r="BG251" s="26" t="n"/>
      <c r="BH251" s="26" t="n"/>
      <c r="BI251" s="26" t="n"/>
      <c r="BJ251" s="26" t="n"/>
      <c r="BK251" s="26" t="n"/>
      <c r="BL251" s="26" t="n"/>
      <c r="BM251" s="26" t="n"/>
      <c r="BN251" s="26" t="n"/>
      <c r="BO251" s="26" t="n"/>
      <c r="BP251" s="26" t="n"/>
      <c r="BQ251" s="26" t="n"/>
      <c r="BR251" s="26" t="n"/>
      <c r="BS251" s="97" t="inlineStr">
        <is>
          <t>CHANGE DU POSTE 1BIS VERS POSTE 
1TER LE 27/04- 1530 // CHANGE DU POSTE 1TER VERS LA RADE LE 28/04- 2054 // RE-ACCOSTAGE AU POSTE 1TER LE 01/05- 0130 // CHANGE DU POSTE 1TER VERS LA RADE LE 02/05 - 0210 / RE-ACC AU POSTE 1BIS LE 06/05 - 2327 // CHANGE DU POSTE 1BIS VERS LA RADE LE 08/05 - 1840 // RE-ACC AU POSTE 1N LE 11/05- 1925</t>
        </is>
      </c>
      <c r="BT251" s="99" t="n">
        <v>7</v>
      </c>
      <c r="BU251" s="99" t="n"/>
      <c r="BV251" s="99" t="n"/>
      <c r="BW251" s="332">
        <f>AI252-AH252</f>
        <v/>
      </c>
      <c r="CB251" s="14" t="n">
        <v>25546</v>
      </c>
    </row>
    <row r="252" ht="14.55" customHeight="1" s="70">
      <c r="A252" s="81" t="n"/>
      <c r="B252" s="343" t="inlineStr">
        <is>
          <t>TOMINI LEVANT</t>
        </is>
      </c>
      <c r="C252" s="15" t="n">
        <v>45789</v>
      </c>
      <c r="D252" s="329" t="n">
        <v>5500</v>
      </c>
      <c r="E252" s="330" t="n"/>
      <c r="F252" s="142" t="inlineStr">
        <is>
          <t xml:space="preserve">OCP NUTRICROPS </t>
        </is>
      </c>
      <c r="G252" s="81" t="n">
        <v>3</v>
      </c>
      <c r="H252" s="75" t="inlineStr">
        <is>
          <t>MAP</t>
        </is>
      </c>
      <c r="I252" s="306" t="inlineStr">
        <is>
          <t xml:space="preserve">MAP 11 52 HUNGARY </t>
        </is>
      </c>
      <c r="J252" s="75" t="inlineStr">
        <is>
          <t>FOB</t>
        </is>
      </c>
      <c r="K252" s="82" t="n">
        <v>655</v>
      </c>
      <c r="L252" s="341">
        <f>D252*K252</f>
        <v/>
      </c>
      <c r="M252" s="14" t="n"/>
      <c r="N252" s="335">
        <f>L252*M252</f>
        <v/>
      </c>
      <c r="Q252" s="75" t="inlineStr">
        <is>
          <t>EUROPE</t>
        </is>
      </c>
      <c r="R252" s="75" t="inlineStr">
        <is>
          <t>LITHUANIA</t>
        </is>
      </c>
      <c r="S252" s="75" t="n"/>
      <c r="T252" s="75" t="inlineStr">
        <is>
          <t>INSPECTORATE</t>
        </is>
      </c>
      <c r="U252" s="81" t="n">
        <v>180</v>
      </c>
      <c r="V252" s="53">
        <f>IF(U252&lt;130, "Mini Bulker", IF(AND(U252&gt;=130, U252&lt;150), "Handysize", IF(AND(U252&gt;=150, U252&lt;200), "Handymax", IF(AND(U252&gt;=200, U252&lt;230), "Panamax", IF(AND(U252&gt;=230, U252&lt;=270), "Capesize", "Autre")))))</f>
        <v/>
      </c>
      <c r="X252" s="14">
        <f>IF(E252&lt;9999,"1",IF(E252&lt;19999,"2",IF(E252&lt;29999,"3",IF(E252&lt;39999,"4",IF(E252&lt;49999,"5",IF(E252&gt;50000,"6"))))))</f>
        <v/>
      </c>
      <c r="Y252" s="99" t="inlineStr">
        <is>
          <t>1BIS/1TER/1BIS/1N</t>
        </is>
      </c>
      <c r="AA252" s="98" t="n"/>
      <c r="AB252" s="98" t="n"/>
      <c r="AC252" s="98" t="n"/>
      <c r="AD252" s="98" t="n"/>
      <c r="AE252" s="98" t="n"/>
      <c r="AF252" s="98" t="n"/>
      <c r="AG252" s="98" t="n"/>
      <c r="AH252" s="98" t="n"/>
      <c r="AI252" s="98" t="n"/>
      <c r="AJ252" s="98" t="n"/>
      <c r="AK252" s="98" t="n"/>
      <c r="AL252" s="98" t="n"/>
      <c r="AM252" s="98" t="n"/>
      <c r="AN252" s="98" t="n"/>
      <c r="AO252" s="98" t="n"/>
      <c r="AP252" s="98" t="n"/>
      <c r="AQ252" s="98" t="n"/>
      <c r="AR252" s="98" t="n"/>
      <c r="AS252" s="98" t="n"/>
      <c r="AT252" s="98" t="n"/>
      <c r="AU252" s="98" t="n"/>
      <c r="AV252" s="98" t="n"/>
      <c r="AW252" s="98" t="n"/>
      <c r="AX252" s="98" t="n"/>
      <c r="AY252" s="98" t="n"/>
      <c r="AZ252" s="98" t="n"/>
      <c r="BA252" s="98" t="n"/>
      <c r="BB252" s="98" t="n"/>
      <c r="BC252" s="98" t="n"/>
      <c r="BD252" s="98" t="n"/>
      <c r="BE252" s="98" t="n"/>
      <c r="BF252" s="98" t="n"/>
      <c r="BG252" s="98" t="n"/>
      <c r="BH252" s="98" t="n"/>
      <c r="BI252" s="98" t="n"/>
      <c r="BJ252" s="98" t="n"/>
      <c r="BK252" s="98" t="n"/>
      <c r="BL252" s="98" t="n"/>
      <c r="BM252" s="98" t="n"/>
      <c r="BN252" s="98" t="n"/>
      <c r="BO252" s="98" t="n"/>
      <c r="BP252" s="98" t="n"/>
      <c r="BQ252" s="98" t="n"/>
      <c r="BR252" s="98" t="n"/>
      <c r="BS252" s="97" t="inlineStr">
        <is>
          <t>CHANGE DU POSTE 1BIS VERS POSTE 
1TER LE 27/04- 1530 // CHANGE DU POSTE 1TER VERS LA RADE LE 28/04- 2054 // RE-ACCOSTAGE AU POSTE 1TER LE 01/05- 0130 // CHANGE DU POSTE 1TER VERS LA RADE LE 02/05 - 0210 / RE-ACC AU POSTE 1BIS LE 06/05 - 2327 // CHANGE DU POSTE 1BIS VERS LA RADE LE 08/05 - 1840 // RE-ACC AU POSTE 1N LE 11/05- 1926</t>
        </is>
      </c>
      <c r="BT252" s="99" t="n">
        <v>7</v>
      </c>
      <c r="BU252" s="99" t="n"/>
      <c r="BV252" s="99" t="n"/>
      <c r="BW252" s="332">
        <f>AI253-AH253</f>
        <v/>
      </c>
      <c r="CB252" s="14" t="n">
        <v>25546</v>
      </c>
    </row>
    <row r="253" ht="14.55" customHeight="1" s="70">
      <c r="A253" s="81" t="n"/>
      <c r="B253" s="343" t="inlineStr">
        <is>
          <t>TOMINI LEVANT</t>
        </is>
      </c>
      <c r="C253" s="15" t="n">
        <v>45789</v>
      </c>
      <c r="D253" s="329" t="n">
        <v>5500</v>
      </c>
      <c r="E253" s="330" t="n"/>
      <c r="F253" s="142" t="inlineStr">
        <is>
          <t xml:space="preserve">OCP NUTRICROPS </t>
        </is>
      </c>
      <c r="G253" s="81" t="n">
        <v>3</v>
      </c>
      <c r="H253" s="75" t="inlineStr">
        <is>
          <t>TSP</t>
        </is>
      </c>
      <c r="I253" s="306" t="inlineStr">
        <is>
          <t xml:space="preserve">TSP EURO </t>
        </is>
      </c>
      <c r="J253" s="75" t="inlineStr">
        <is>
          <t>FOB</t>
        </is>
      </c>
      <c r="K253" s="82" t="n">
        <v>505</v>
      </c>
      <c r="L253" s="341">
        <f>D253*K253</f>
        <v/>
      </c>
      <c r="M253" s="14" t="n"/>
      <c r="N253" s="335">
        <f>L253*M253</f>
        <v/>
      </c>
      <c r="Q253" s="75" t="inlineStr">
        <is>
          <t>EUROPE</t>
        </is>
      </c>
      <c r="R253" s="75" t="inlineStr">
        <is>
          <t>LITHUANIA</t>
        </is>
      </c>
      <c r="S253" s="75" t="n"/>
      <c r="T253" s="75" t="inlineStr">
        <is>
          <t>INSPECTORATE</t>
        </is>
      </c>
      <c r="U253" s="81" t="n">
        <v>180</v>
      </c>
      <c r="V253" s="53">
        <f>IF(U253&lt;130, "Mini Bulker", IF(AND(U253&gt;=130, U253&lt;150), "Handysize", IF(AND(U253&gt;=150, U253&lt;200), "Handymax", IF(AND(U253&gt;=200, U253&lt;230), "Panamax", IF(AND(U253&gt;=230, U253&lt;=270), "Capesize", "Autre")))))</f>
        <v/>
      </c>
      <c r="X253" s="14">
        <f>IF(E253&lt;9999,"1",IF(E253&lt;19999,"2",IF(E253&lt;29999,"3",IF(E253&lt;39999,"4",IF(E253&lt;49999,"5",IF(E253&gt;50000,"6"))))))</f>
        <v/>
      </c>
      <c r="Y253" s="99" t="inlineStr">
        <is>
          <t>1BIS/1TER/1BIS/1N</t>
        </is>
      </c>
      <c r="AA253" s="98" t="n"/>
      <c r="AB253" s="98" t="n"/>
      <c r="AC253" s="98" t="n"/>
      <c r="AD253" s="98" t="n"/>
      <c r="AE253" s="98" t="n"/>
      <c r="AF253" s="98" t="n"/>
      <c r="AG253" s="98" t="n"/>
      <c r="AH253" s="98" t="n"/>
      <c r="AI253" s="98" t="n"/>
      <c r="AJ253" s="98" t="n"/>
      <c r="AK253" s="98" t="n"/>
      <c r="AL253" s="98" t="n"/>
      <c r="AM253" s="98" t="n"/>
      <c r="AN253" s="98" t="n"/>
      <c r="AO253" s="98" t="n"/>
      <c r="AP253" s="98" t="n"/>
      <c r="AQ253" s="98" t="n"/>
      <c r="AR253" s="98" t="n"/>
      <c r="AS253" s="98" t="n"/>
      <c r="AT253" s="98" t="n"/>
      <c r="AU253" s="98" t="n"/>
      <c r="AV253" s="98" t="n"/>
      <c r="AW253" s="98" t="n"/>
      <c r="AX253" s="98" t="n"/>
      <c r="AY253" s="98" t="n"/>
      <c r="AZ253" s="98" t="n"/>
      <c r="BA253" s="98" t="n"/>
      <c r="BB253" s="98" t="n"/>
      <c r="BC253" s="98" t="n"/>
      <c r="BD253" s="98" t="n"/>
      <c r="BE253" s="98" t="n"/>
      <c r="BF253" s="98" t="n"/>
      <c r="BG253" s="98" t="n"/>
      <c r="BH253" s="98" t="n"/>
      <c r="BI253" s="98" t="n"/>
      <c r="BJ253" s="98" t="n"/>
      <c r="BK253" s="98" t="n"/>
      <c r="BL253" s="98" t="n"/>
      <c r="BM253" s="98" t="n"/>
      <c r="BN253" s="98" t="n"/>
      <c r="BO253" s="98" t="n"/>
      <c r="BP253" s="98" t="n"/>
      <c r="BQ253" s="98" t="n"/>
      <c r="BR253" s="98" t="n"/>
      <c r="BS253" s="97" t="inlineStr">
        <is>
          <t>CHANGE DU POSTE 1BIS VERS POSTE 
1TER LE 27/04- 1530 // CHANGE DU POSTE 1TER VERS LA RADE LE 28/04- 2054 // RE-ACCOSTAGE AU POSTE 1TER LE 01/05- 0130 // CHANGE DU POSTE 1TER VERS LA RADE LE 02/05 - 0210 / RE-ACC AU POSTE 1BIS LE 06/05 - 2327 // CHANGE DU POSTE 1BIS VERS LA RADE LE 08/05 - 1840 // RE-ACC AU POSTE 1N LE 11/05- 1927</t>
        </is>
      </c>
      <c r="BT253" s="99" t="n">
        <v>7</v>
      </c>
      <c r="BU253" s="99" t="n"/>
      <c r="BV253" s="99" t="n"/>
      <c r="BW253" s="332">
        <f>AI254-AH254</f>
        <v/>
      </c>
      <c r="CB253" s="14" t="n">
        <v>25546</v>
      </c>
    </row>
    <row r="254" ht="14.55" customHeight="1" s="70">
      <c r="A254" s="81" t="n">
        <v>175</v>
      </c>
      <c r="B254" s="343" t="inlineStr">
        <is>
          <t>CS CALLA</t>
        </is>
      </c>
      <c r="C254" s="15" t="n">
        <v>45791</v>
      </c>
      <c r="D254" s="329" t="n">
        <v>25309</v>
      </c>
      <c r="E254" s="333">
        <f>D254+D255</f>
        <v/>
      </c>
      <c r="F254" s="142" t="inlineStr">
        <is>
          <t xml:space="preserve">OCP NUTRICROPS </t>
        </is>
      </c>
      <c r="G254" s="81" t="n">
        <v>2</v>
      </c>
      <c r="H254" s="75" t="inlineStr">
        <is>
          <t>MAP</t>
        </is>
      </c>
      <c r="I254" s="306" t="inlineStr">
        <is>
          <t xml:space="preserve">MAP 11 52 SPECIAL </t>
        </is>
      </c>
      <c r="J254" s="75" t="inlineStr">
        <is>
          <t>CFR</t>
        </is>
      </c>
      <c r="K254" s="82" t="n"/>
      <c r="L254" s="341">
        <f>D254*K254</f>
        <v/>
      </c>
      <c r="M254" s="14" t="n"/>
      <c r="N254" s="335">
        <f>L254*M254</f>
        <v/>
      </c>
      <c r="Q254" s="75" t="inlineStr">
        <is>
          <t>AMERIQUE LATINE</t>
        </is>
      </c>
      <c r="R254" s="75" t="inlineStr">
        <is>
          <t>BRAZIL</t>
        </is>
      </c>
      <c r="S254" s="75" t="n"/>
      <c r="T254" s="75" t="inlineStr">
        <is>
          <t>INSPECTORATE</t>
        </is>
      </c>
      <c r="U254" s="81" t="n">
        <v>190</v>
      </c>
      <c r="V254" s="53">
        <f>IF(U254&lt;130, "Mini Bulker", IF(AND(U254&gt;=130, U254&lt;150), "Handysize", IF(AND(U254&gt;=150, U254&lt;200), "Handymax", IF(AND(U254&gt;=200, U254&lt;230), "Panamax", IF(AND(U254&gt;=230, U254&lt;=270), "Capesize", "Autre")))))</f>
        <v/>
      </c>
      <c r="X254" s="14">
        <f>IF(E254&lt;9999,"1",IF(E254&lt;19999,"2",IF(E254&lt;29999,"3",IF(E254&lt;39999,"4",IF(E254&lt;49999,"5",IF(E254&gt;50000,"6"))))))</f>
        <v/>
      </c>
      <c r="Y254" s="99" t="inlineStr">
        <is>
          <t>1BIS/1TER</t>
        </is>
      </c>
      <c r="AA254" s="26" t="n">
        <v>45783.00069444445</v>
      </c>
      <c r="AB254" s="26" t="n">
        <v>45783.375</v>
      </c>
      <c r="AC254" s="15" t="n">
        <v>45783</v>
      </c>
      <c r="AD254" s="15" t="n">
        <v>45785</v>
      </c>
      <c r="AE254" s="26" t="n">
        <v>45783.00069444445</v>
      </c>
      <c r="AF254" s="26" t="n">
        <v>45786.82986111111</v>
      </c>
      <c r="AG254" s="26" t="n">
        <v>45786.92083333333</v>
      </c>
      <c r="AH254" s="26" t="n">
        <v>45786.9375</v>
      </c>
      <c r="AI254" s="26" t="n">
        <v>45787</v>
      </c>
      <c r="AJ254" s="26" t="n">
        <v>45787.09375</v>
      </c>
      <c r="AK254" s="26" t="n">
        <v>45791.93055555555</v>
      </c>
      <c r="AL254" s="26" t="n">
        <v>45791.99305555555</v>
      </c>
      <c r="AM254" s="26" t="n">
        <v>45792.02083333334</v>
      </c>
      <c r="AN254" s="26" t="n">
        <v>45792.07152777778</v>
      </c>
      <c r="AO254" s="26" t="n">
        <v>45792.125</v>
      </c>
      <c r="AP254" s="20">
        <f>(AG254-AF254)*1440</f>
        <v/>
      </c>
      <c r="AQ254" s="20">
        <f>(AG254-AE254)*1440</f>
        <v/>
      </c>
      <c r="AR254" s="20">
        <f>(AH254-AF254)*1440</f>
        <v/>
      </c>
      <c r="AS254" s="20">
        <f>(AI254-AH254)*1440</f>
        <v/>
      </c>
      <c r="AT254" s="20">
        <f>(AJ254-AH254)*1440</f>
        <v/>
      </c>
      <c r="AU254" s="20">
        <f>(AL254-AK254)*1440</f>
        <v/>
      </c>
      <c r="AV254" s="20">
        <f>(AM254-AL254)*1440</f>
        <v/>
      </c>
      <c r="AW254" s="20">
        <f>(AO254-AM254)*1440</f>
        <v/>
      </c>
      <c r="AX254" s="19">
        <f>AP254+AS254+AU254+AV254+AW254</f>
        <v/>
      </c>
      <c r="AY254" s="18">
        <f>(AG254-AA254)</f>
        <v/>
      </c>
      <c r="AZ254" s="18">
        <f>(AK254-AJ254)</f>
        <v/>
      </c>
      <c r="BA254" s="18">
        <f>AO254-AG254</f>
        <v/>
      </c>
      <c r="BB254" s="18">
        <f>(AO254-AA254)-(AP254/1440)-(AW254/1440)</f>
        <v/>
      </c>
      <c r="BC254" s="20">
        <f>E254/AZ254</f>
        <v/>
      </c>
      <c r="BD254" s="222" t="n"/>
      <c r="BE254" s="20">
        <f>IF(E254&lt;10000,3000,IF(E254&lt;15000,3600,IF(E254&lt;20000,4500,IF(E254&lt;25000,6000,IF(E254&lt;30000,7500,IF(E254&lt;40000,9000,IF(E254&gt;40000,10000)))))))</f>
        <v/>
      </c>
      <c r="BF254" s="334">
        <f>(E254/BE254)+2</f>
        <v/>
      </c>
      <c r="BG254" s="222" t="n"/>
      <c r="BH254" s="222" t="n"/>
      <c r="BI254" s="222" t="n"/>
      <c r="BJ254" s="222" t="n"/>
      <c r="BK254" s="222" t="n"/>
      <c r="BL254" s="222" t="n"/>
      <c r="BM254" s="222" t="n"/>
      <c r="BN254" s="222" t="n"/>
      <c r="BO254" s="222" t="n"/>
      <c r="BP254" s="222" t="n"/>
      <c r="BQ254" s="222" t="n"/>
      <c r="BR254" s="222" t="n"/>
      <c r="BS254" s="97" t="inlineStr">
        <is>
          <t>CHANGE DU POSTE 1BIS VERS POSTE 1TER LE 11/05- 1900</t>
        </is>
      </c>
      <c r="BT254" s="99" t="n">
        <v>1</v>
      </c>
      <c r="BU254" s="99" t="n"/>
      <c r="BV254" s="99" t="n"/>
      <c r="BW254" s="332">
        <f>AI255-AH255</f>
        <v/>
      </c>
      <c r="CB254" s="14" t="n">
        <v>24065</v>
      </c>
    </row>
    <row r="255" ht="14.55" customHeight="1" s="70">
      <c r="A255" s="81" t="n"/>
      <c r="B255" s="343" t="inlineStr">
        <is>
          <t>CS CALLA</t>
        </is>
      </c>
      <c r="C255" s="15" t="n">
        <v>45791</v>
      </c>
      <c r="D255" s="329" t="n">
        <v>7700</v>
      </c>
      <c r="E255" s="330" t="n"/>
      <c r="F255" s="142" t="inlineStr">
        <is>
          <t xml:space="preserve">OCP NUTRICROPS </t>
        </is>
      </c>
      <c r="G255" s="81" t="n">
        <v>2</v>
      </c>
      <c r="H255" s="75" t="inlineStr">
        <is>
          <t>TSP</t>
        </is>
      </c>
      <c r="I255" s="306" t="inlineStr">
        <is>
          <t xml:space="preserve">TSP-JORF </t>
        </is>
      </c>
      <c r="J255" s="75" t="inlineStr">
        <is>
          <t>CFR</t>
        </is>
      </c>
      <c r="K255" s="82" t="n"/>
      <c r="L255" s="341">
        <f>D255*K255</f>
        <v/>
      </c>
      <c r="M255" s="14" t="n"/>
      <c r="N255" s="335">
        <f>L255*M255</f>
        <v/>
      </c>
      <c r="Q255" s="75" t="inlineStr">
        <is>
          <t>AMERIQUE LATINE</t>
        </is>
      </c>
      <c r="R255" s="75" t="inlineStr">
        <is>
          <t>BRAZIL</t>
        </is>
      </c>
      <c r="S255" s="75" t="n"/>
      <c r="T255" s="75" t="inlineStr">
        <is>
          <t>INSPECTORATE</t>
        </is>
      </c>
      <c r="U255" s="81" t="n">
        <v>190</v>
      </c>
      <c r="V255" s="53">
        <f>IF(U255&lt;130, "Mini Bulker", IF(AND(U255&gt;=130, U255&lt;150), "Handysize", IF(AND(U255&gt;=150, U255&lt;200), "Handymax", IF(AND(U255&gt;=200, U255&lt;230), "Panamax", IF(AND(U255&gt;=230, U255&lt;=270), "Capesize", "Autre")))))</f>
        <v/>
      </c>
      <c r="X255" s="14">
        <f>IF(E255&lt;9999,"1",IF(E255&lt;19999,"2",IF(E255&lt;29999,"3",IF(E255&lt;39999,"4",IF(E255&lt;49999,"5",IF(E255&gt;50000,"6"))))))</f>
        <v/>
      </c>
      <c r="Y255" s="99" t="inlineStr">
        <is>
          <t>1BIS/1TER</t>
        </is>
      </c>
      <c r="AA255" s="98" t="n"/>
      <c r="AB255" s="98" t="n"/>
      <c r="AC255" s="98" t="n"/>
      <c r="AD255" s="98" t="n"/>
      <c r="AE255" s="98" t="n"/>
      <c r="AF255" s="98" t="n"/>
      <c r="AG255" s="98" t="n"/>
      <c r="AH255" s="98" t="n"/>
      <c r="AI255" s="98" t="n"/>
      <c r="AJ255" s="98" t="n"/>
      <c r="AK255" s="98" t="n"/>
      <c r="AL255" s="98" t="n"/>
      <c r="AM255" s="98" t="n"/>
      <c r="AN255" s="98" t="n"/>
      <c r="AO255" s="98" t="n"/>
      <c r="AP255" s="98" t="n"/>
      <c r="AQ255" s="98" t="n"/>
      <c r="AR255" s="98" t="n"/>
      <c r="AS255" s="98" t="n"/>
      <c r="AT255" s="98" t="n"/>
      <c r="AU255" s="98" t="n"/>
      <c r="AV255" s="98" t="n"/>
      <c r="AW255" s="98" t="n"/>
      <c r="AX255" s="98" t="n"/>
      <c r="AY255" s="98" t="n"/>
      <c r="AZ255" s="98" t="n"/>
      <c r="BA255" s="98" t="n"/>
      <c r="BB255" s="98" t="n"/>
      <c r="BC255" s="98" t="n"/>
      <c r="BD255" s="98" t="n"/>
      <c r="BE255" s="98" t="n"/>
      <c r="BF255" s="98" t="n"/>
      <c r="BG255" s="98" t="n"/>
      <c r="BH255" s="98" t="n"/>
      <c r="BI255" s="98" t="n"/>
      <c r="BJ255" s="98" t="n"/>
      <c r="BK255" s="98" t="n"/>
      <c r="BL255" s="98" t="n"/>
      <c r="BM255" s="98" t="n"/>
      <c r="BN255" s="98" t="n"/>
      <c r="BO255" s="98" t="n"/>
      <c r="BP255" s="98" t="n"/>
      <c r="BQ255" s="98" t="n"/>
      <c r="BR255" s="98" t="n"/>
      <c r="BS255" s="97" t="inlineStr">
        <is>
          <t>CHANGE DU POSTE 1BIS VERS POSTE 1TER LE 11/05- 1900</t>
        </is>
      </c>
      <c r="BT255" s="99" t="n">
        <v>1</v>
      </c>
      <c r="BU255" s="99" t="n"/>
      <c r="BV255" s="99" t="n"/>
      <c r="BW255" s="332">
        <f>AI256-AH256</f>
        <v/>
      </c>
      <c r="CB255" s="14" t="n"/>
    </row>
    <row r="256" ht="14.55" customHeight="1" s="70">
      <c r="A256" s="81" t="n">
        <v>174</v>
      </c>
      <c r="B256" s="343" t="inlineStr">
        <is>
          <t>KRISTELLA</t>
        </is>
      </c>
      <c r="C256" s="15" t="n">
        <v>45791</v>
      </c>
      <c r="D256" s="329" t="n">
        <v>6000</v>
      </c>
      <c r="E256" s="333">
        <f>D256+D257</f>
        <v/>
      </c>
      <c r="F256" s="142" t="inlineStr">
        <is>
          <t xml:space="preserve">OCP NUTRICROPS </t>
        </is>
      </c>
      <c r="G256" s="81" t="n">
        <v>2</v>
      </c>
      <c r="H256" s="75" t="inlineStr">
        <is>
          <t>NPK</t>
        </is>
      </c>
      <c r="I256" s="306" t="inlineStr">
        <is>
          <t xml:space="preserve">NPK 15 15 15 Low Cd </t>
        </is>
      </c>
      <c r="J256" s="75" t="inlineStr">
        <is>
          <t>FOB</t>
        </is>
      </c>
      <c r="K256" s="82" t="n"/>
      <c r="L256" s="341">
        <f>D256*K256</f>
        <v/>
      </c>
      <c r="M256" s="14" t="n"/>
      <c r="N256" s="335">
        <f>L256*M256</f>
        <v/>
      </c>
      <c r="Q256" s="75" t="inlineStr">
        <is>
          <t>EUROPE</t>
        </is>
      </c>
      <c r="R256" s="75" t="inlineStr">
        <is>
          <t>DANEMARK</t>
        </is>
      </c>
      <c r="S256" s="75" t="inlineStr">
        <is>
          <t>INTERTEK</t>
        </is>
      </c>
      <c r="T256" s="75" t="inlineStr">
        <is>
          <t>INSPECTORATE</t>
        </is>
      </c>
      <c r="U256" s="81" t="n">
        <v>118</v>
      </c>
      <c r="V256" s="53">
        <f>IF(U256&lt;130, "Mini Bulker", IF(AND(U256&gt;=130, U256&lt;150), "Handysize", IF(AND(U256&gt;=150, U256&lt;200), "Handymax", IF(AND(U256&gt;=200, U256&lt;230), "Panamax", IF(AND(U256&gt;=230, U256&lt;=270), "Capesize", "Autre")))))</f>
        <v/>
      </c>
      <c r="X256" s="14">
        <f>IF(E256&lt;9999,"1",IF(E256&lt;19999,"2",IF(E256&lt;29999,"3",IF(E256&lt;39999,"4",IF(E256&lt;49999,"5",IF(E256&gt;50000,"6"))))))</f>
        <v/>
      </c>
      <c r="Y256" s="99" t="inlineStr">
        <is>
          <t>2BIS/1N</t>
        </is>
      </c>
      <c r="AA256" s="26" t="n">
        <v>45787.70138888889</v>
      </c>
      <c r="AB256" s="26" t="n">
        <v>45789.375</v>
      </c>
      <c r="AC256" s="15" t="n">
        <v>45791</v>
      </c>
      <c r="AD256" s="15" t="n">
        <v>45793</v>
      </c>
      <c r="AE256" s="26" t="n">
        <v>45787.70138888889</v>
      </c>
      <c r="AF256" s="26" t="n">
        <v>45789.52777777778</v>
      </c>
      <c r="AG256" s="26" t="n">
        <v>45789.60069444445</v>
      </c>
      <c r="AH256" s="26" t="n">
        <v>45789.625</v>
      </c>
      <c r="AI256" s="26" t="n">
        <v>45789.86805555555</v>
      </c>
      <c r="AJ256" s="26" t="n">
        <v>45789.88888888889</v>
      </c>
      <c r="AK256" s="26" t="n">
        <v>45791.875</v>
      </c>
      <c r="AL256" s="26" t="n">
        <v>45791.92013888889</v>
      </c>
      <c r="AM256" s="26" t="n">
        <v>45791.94444444445</v>
      </c>
      <c r="AN256" s="26" t="n">
        <v>45792</v>
      </c>
      <c r="AO256" s="26" t="n">
        <v>45792.01388888889</v>
      </c>
      <c r="AP256" s="20">
        <f>(AG256-AF256)*1440</f>
        <v/>
      </c>
      <c r="AQ256" s="20">
        <f>(AG256-AE256)*1440</f>
        <v/>
      </c>
      <c r="AR256" s="20">
        <f>(AH256-AF256)*1440</f>
        <v/>
      </c>
      <c r="AS256" s="20">
        <f>(AI256-AH256)*1440</f>
        <v/>
      </c>
      <c r="AT256" s="20">
        <f>(AJ256-AH256)*1440</f>
        <v/>
      </c>
      <c r="AU256" s="20">
        <f>(AL256-AK256)*1440</f>
        <v/>
      </c>
      <c r="AV256" s="20">
        <f>(AM256-AL256)*1440</f>
        <v/>
      </c>
      <c r="AW256" s="20">
        <f>(AO256-AM256)*1440</f>
        <v/>
      </c>
      <c r="AX256" s="19">
        <f>AP256+AS256+AU256+AV256+AW256</f>
        <v/>
      </c>
      <c r="AY256" s="18">
        <f>(AG256-AA256)</f>
        <v/>
      </c>
      <c r="AZ256" s="18">
        <f>(AK256-AJ256)</f>
        <v/>
      </c>
      <c r="BA256" s="18">
        <f>AO256-AG256</f>
        <v/>
      </c>
      <c r="BB256" s="18">
        <f>(AO256-AA256)-(AP256/1440)-(AW256/1440)</f>
        <v/>
      </c>
      <c r="BC256" s="20">
        <f>E256/AZ256</f>
        <v/>
      </c>
      <c r="BD256" s="216" t="n"/>
      <c r="BE256" s="20">
        <f>IF(E256&lt;10000,3000,IF(E256&lt;15000,3600,IF(E256&lt;20000,4500,IF(E256&lt;25000,6000,IF(E256&lt;30000,7500,IF(E256&lt;40000,9000,IF(E256&gt;40000,10000)))))))</f>
        <v/>
      </c>
      <c r="BF256" s="334">
        <f>(E256/BE256)+2</f>
        <v/>
      </c>
      <c r="BG256" s="216" t="n"/>
      <c r="BH256" s="216" t="n"/>
      <c r="BI256" s="216" t="n"/>
      <c r="BJ256" s="216" t="n"/>
      <c r="BK256" s="216" t="n"/>
      <c r="BL256" s="216" t="n"/>
      <c r="BM256" s="216" t="n"/>
      <c r="BN256" s="216" t="n"/>
      <c r="BO256" s="216" t="n"/>
      <c r="BP256" s="216" t="n"/>
      <c r="BQ256" s="216" t="n"/>
      <c r="BR256" s="216" t="n"/>
      <c r="BS256" s="97" t="inlineStr">
        <is>
          <t>CHANGE DU POSTE 2BIS VERS 
POSTE 1N LE 12/05- 1807 // CHANGE 20 METRES VERS LE NORD LE 13/05- 1130</t>
        </is>
      </c>
      <c r="BT256" s="99" t="n">
        <v>2</v>
      </c>
      <c r="BU256" s="99" t="n"/>
      <c r="BV256" s="99" t="inlineStr">
        <is>
          <t>BULK HEAD</t>
        </is>
      </c>
      <c r="BW256" s="332">
        <f>AI257-AH257</f>
        <v/>
      </c>
      <c r="CB256" s="14" t="n">
        <v>4871</v>
      </c>
    </row>
    <row r="257" ht="14.55" customHeight="1" s="70">
      <c r="A257" s="81" t="n"/>
      <c r="B257" s="343" t="inlineStr">
        <is>
          <t>KRISTELLA</t>
        </is>
      </c>
      <c r="C257" s="15" t="n">
        <v>45791</v>
      </c>
      <c r="D257" s="329" t="n">
        <v>1100</v>
      </c>
      <c r="E257" s="330" t="n"/>
      <c r="F257" s="142" t="inlineStr">
        <is>
          <t xml:space="preserve">OCP NUTRICROPS </t>
        </is>
      </c>
      <c r="G257" s="81" t="n">
        <v>2</v>
      </c>
      <c r="H257" s="75" t="inlineStr">
        <is>
          <t>DAP</t>
        </is>
      </c>
      <c r="I257" s="306" t="inlineStr">
        <is>
          <t xml:space="preserve">DAP Euro Low Cd </t>
        </is>
      </c>
      <c r="J257" s="75" t="inlineStr">
        <is>
          <t>FOB</t>
        </is>
      </c>
      <c r="K257" s="82" t="n"/>
      <c r="L257" s="341">
        <f>D257*K257</f>
        <v/>
      </c>
      <c r="M257" s="14" t="n"/>
      <c r="N257" s="335">
        <f>L257*M257</f>
        <v/>
      </c>
      <c r="Q257" s="75" t="inlineStr">
        <is>
          <t>EUROPE</t>
        </is>
      </c>
      <c r="R257" s="75" t="inlineStr">
        <is>
          <t>DANEMARK</t>
        </is>
      </c>
      <c r="S257" s="75" t="inlineStr">
        <is>
          <t>INTERTEK</t>
        </is>
      </c>
      <c r="T257" s="75" t="inlineStr">
        <is>
          <t>INSPECTORATE</t>
        </is>
      </c>
      <c r="U257" s="81" t="n">
        <v>118</v>
      </c>
      <c r="V257" s="53">
        <f>IF(U257&lt;130, "Mini Bulker", IF(AND(U257&gt;=130, U257&lt;150), "Handysize", IF(AND(U257&gt;=150, U257&lt;200), "Handymax", IF(AND(U257&gt;=200, U257&lt;230), "Panamax", IF(AND(U257&gt;=230, U257&lt;=270), "Capesize", "Autre")))))</f>
        <v/>
      </c>
      <c r="X257" s="14">
        <f>IF(E257&lt;9999,"1",IF(E257&lt;19999,"2",IF(E257&lt;29999,"3",IF(E257&lt;39999,"4",IF(E257&lt;49999,"5",IF(E257&gt;50000,"6"))))))</f>
        <v/>
      </c>
      <c r="Y257" s="99" t="inlineStr">
        <is>
          <t>2BIS/1N</t>
        </is>
      </c>
      <c r="AA257" s="98" t="n"/>
      <c r="AB257" s="98" t="n"/>
      <c r="AC257" s="98" t="n"/>
      <c r="AD257" s="98" t="n"/>
      <c r="AE257" s="98" t="n"/>
      <c r="AF257" s="98" t="n"/>
      <c r="AG257" s="98" t="n"/>
      <c r="AH257" s="98" t="n"/>
      <c r="AI257" s="98" t="n"/>
      <c r="AJ257" s="98" t="n"/>
      <c r="AK257" s="98" t="n"/>
      <c r="AL257" s="98" t="n"/>
      <c r="AM257" s="98" t="n"/>
      <c r="AN257" s="98" t="n"/>
      <c r="AO257" s="98" t="n"/>
      <c r="AP257" s="98" t="n"/>
      <c r="AQ257" s="98" t="n"/>
      <c r="AR257" s="98" t="n"/>
      <c r="AS257" s="98" t="n"/>
      <c r="AT257" s="98" t="n"/>
      <c r="AU257" s="98" t="n"/>
      <c r="AV257" s="98" t="n"/>
      <c r="AW257" s="98" t="n"/>
      <c r="AX257" s="98" t="n"/>
      <c r="AY257" s="98" t="n"/>
      <c r="AZ257" s="98" t="n"/>
      <c r="BA257" s="98" t="n"/>
      <c r="BB257" s="98" t="n"/>
      <c r="BC257" s="98" t="n"/>
      <c r="BD257" s="98" t="n"/>
      <c r="BE257" s="98" t="n"/>
      <c r="BF257" s="98" t="n"/>
      <c r="BG257" s="98" t="n"/>
      <c r="BH257" s="98" t="n"/>
      <c r="BI257" s="98" t="n"/>
      <c r="BJ257" s="98" t="n"/>
      <c r="BK257" s="98" t="n"/>
      <c r="BL257" s="98" t="n"/>
      <c r="BM257" s="98" t="n"/>
      <c r="BN257" s="98" t="n"/>
      <c r="BO257" s="98" t="n"/>
      <c r="BP257" s="98" t="n"/>
      <c r="BQ257" s="98" t="n"/>
      <c r="BR257" s="98" t="n"/>
      <c r="BS257" s="97" t="inlineStr">
        <is>
          <t>CHANGE DU POSTE 2BIS VERS 
POSTE 1N LE 12/05- 1807 // CHANGE 20 METRES VERS LE NORD LE 13/05- 1131</t>
        </is>
      </c>
      <c r="BT257" s="99" t="n">
        <v>2</v>
      </c>
      <c r="BU257" s="99" t="n"/>
      <c r="BV257" s="99" t="n"/>
      <c r="BW257" s="332">
        <f>AI258-AH258</f>
        <v/>
      </c>
      <c r="CB257" s="14" t="n"/>
    </row>
    <row r="258" ht="14.55" customHeight="1" s="70">
      <c r="A258" s="81" t="n">
        <v>178</v>
      </c>
      <c r="B258" s="343" t="inlineStr">
        <is>
          <t>ALITHIA</t>
        </is>
      </c>
      <c r="C258" s="15" t="n">
        <v>45792</v>
      </c>
      <c r="D258" s="329" t="n">
        <v>16500</v>
      </c>
      <c r="E258" s="333">
        <f>D258+D259</f>
        <v/>
      </c>
      <c r="F258" s="142" t="inlineStr">
        <is>
          <t xml:space="preserve">OCP NUTRICROPS </t>
        </is>
      </c>
      <c r="G258" s="81" t="n">
        <v>2</v>
      </c>
      <c r="H258" s="75" t="inlineStr">
        <is>
          <t>MAP</t>
        </is>
      </c>
      <c r="I258" s="306" t="inlineStr">
        <is>
          <t xml:space="preserve">MAP 11 52 SPECIAL </t>
        </is>
      </c>
      <c r="J258" s="75" t="inlineStr">
        <is>
          <t>FOB</t>
        </is>
      </c>
      <c r="K258" s="82" t="n"/>
      <c r="L258" s="341">
        <f>D258*K258</f>
        <v/>
      </c>
      <c r="M258" s="14" t="n"/>
      <c r="N258" s="335">
        <f>L258*M258</f>
        <v/>
      </c>
      <c r="Q258" s="75" t="inlineStr">
        <is>
          <t>AMERIQUE LATINE</t>
        </is>
      </c>
      <c r="R258" s="75" t="inlineStr">
        <is>
          <t>ARGENTINE</t>
        </is>
      </c>
      <c r="S258" s="75" t="n"/>
      <c r="T258" s="75" t="inlineStr">
        <is>
          <t>INTERTEK</t>
        </is>
      </c>
      <c r="U258" s="81" t="n">
        <v>180</v>
      </c>
      <c r="V258" s="53">
        <f>IF(U258&lt;130, "Mini Bulker", IF(AND(U258&gt;=130, U258&lt;150), "Handysize", IF(AND(U258&gt;=150, U258&lt;200), "Handymax", IF(AND(U258&gt;=200, U258&lt;230), "Panamax", IF(AND(U258&gt;=230, U258&lt;=270), "Capesize", "Autre")))))</f>
        <v/>
      </c>
      <c r="X258" s="14">
        <f>IF(E258&lt;9999,"1",IF(E258&lt;19999,"2",IF(E258&lt;29999,"3",IF(E258&lt;39999,"4",IF(E258&lt;49999,"5",IF(E258&gt;50000,"6"))))))</f>
        <v/>
      </c>
      <c r="Y258" s="99" t="inlineStr">
        <is>
          <t>2N</t>
        </is>
      </c>
      <c r="AA258" s="26" t="n">
        <v>45784.33333333334</v>
      </c>
      <c r="AB258" s="26" t="n">
        <v>45784.375</v>
      </c>
      <c r="AC258" s="15" t="n">
        <v>45783</v>
      </c>
      <c r="AD258" s="15" t="n">
        <v>45787</v>
      </c>
      <c r="AE258" s="26" t="n">
        <v>45783.95833333334</v>
      </c>
      <c r="AF258" s="26" t="n">
        <v>45786.6875</v>
      </c>
      <c r="AG258" s="26" t="n">
        <v>45786.76388888889</v>
      </c>
      <c r="AH258" s="26" t="n">
        <v>45786.77083333334</v>
      </c>
      <c r="AI258" s="26" t="n">
        <v>45786.81944444445</v>
      </c>
      <c r="AJ258" s="26" t="n">
        <v>45786.95138888889</v>
      </c>
      <c r="AK258" s="26" t="n">
        <v>45792.90972222222</v>
      </c>
      <c r="AL258" s="26" t="n">
        <v>45792.95486111111</v>
      </c>
      <c r="AM258" s="26" t="n">
        <v>45792.96180555555</v>
      </c>
      <c r="AN258" s="26" t="n">
        <v>45793.00347222222</v>
      </c>
      <c r="AO258" s="26" t="n">
        <v>45793.04166666666</v>
      </c>
      <c r="AP258" s="20">
        <f>(AG258-AF258)*1440</f>
        <v/>
      </c>
      <c r="AQ258" s="20">
        <f>(AG258-AE258)*1440</f>
        <v/>
      </c>
      <c r="AR258" s="20">
        <f>(AH258-AF258)*1440</f>
        <v/>
      </c>
      <c r="AS258" s="20">
        <f>(AI258-AH258)*1440</f>
        <v/>
      </c>
      <c r="AT258" s="20">
        <f>(AJ258-AH258)*1440</f>
        <v/>
      </c>
      <c r="AU258" s="20">
        <f>(AL258-AK258)*1440</f>
        <v/>
      </c>
      <c r="AV258" s="20">
        <f>(AM258-AL258)*1440</f>
        <v/>
      </c>
      <c r="AW258" s="20">
        <f>(AO258-AM258)*1440</f>
        <v/>
      </c>
      <c r="AX258" s="19">
        <f>AP258+AS258+AU258+AV258+AW258</f>
        <v/>
      </c>
      <c r="AY258" s="18">
        <f>(AG258-AA258)</f>
        <v/>
      </c>
      <c r="AZ258" s="18">
        <f>(AK258-AJ258)</f>
        <v/>
      </c>
      <c r="BA258" s="18">
        <f>AO258-AG258</f>
        <v/>
      </c>
      <c r="BB258" s="18">
        <f>(AO258-AA258)-(AP258/1440)-(AW258/1440)</f>
        <v/>
      </c>
      <c r="BC258" s="20">
        <f>E258/AZ258</f>
        <v/>
      </c>
      <c r="BE258" s="20">
        <f>IF(E258&lt;10000,3000,IF(E258&lt;15000,3600,IF(E258&lt;20000,4500,IF(E258&lt;25000,6000,IF(E258&lt;30000,7500,IF(E258&lt;40000,9000,IF(E258&gt;40000,10000)))))))</f>
        <v/>
      </c>
      <c r="BF258" s="334">
        <f>(E258/BE258)+2</f>
        <v/>
      </c>
      <c r="BS258" s="97" t="inlineStr">
        <is>
          <t>DEHALAGE 50M VERS POSTE 1BIS LE 14/05- 2000</t>
        </is>
      </c>
      <c r="BT258" s="99" t="n">
        <v>1</v>
      </c>
      <c r="BU258" s="99" t="n"/>
      <c r="BV258" s="99" t="n"/>
      <c r="BW258" s="332">
        <f>AI259-AH259</f>
        <v/>
      </c>
      <c r="CB258" s="14" t="n">
        <v>22223</v>
      </c>
    </row>
    <row r="259" ht="14.55" customHeight="1" s="70">
      <c r="A259" s="81" t="n"/>
      <c r="B259" s="343" t="inlineStr">
        <is>
          <t>ALITHIA</t>
        </is>
      </c>
      <c r="C259" s="15" t="n">
        <v>45792</v>
      </c>
      <c r="D259" s="329" t="n">
        <v>16500</v>
      </c>
      <c r="E259" s="330" t="n"/>
      <c r="F259" s="204" t="inlineStr">
        <is>
          <t>JFC1</t>
        </is>
      </c>
      <c r="G259" s="81" t="n">
        <v>2</v>
      </c>
      <c r="H259" s="75" t="inlineStr">
        <is>
          <t>MAP</t>
        </is>
      </c>
      <c r="I259" s="306" t="inlineStr">
        <is>
          <t xml:space="preserve">MAP 10 50 SPECIAL </t>
        </is>
      </c>
      <c r="J259" s="75" t="inlineStr">
        <is>
          <t>FOB</t>
        </is>
      </c>
      <c r="K259" s="82" t="n"/>
      <c r="L259" s="341">
        <f>D259*K259</f>
        <v/>
      </c>
      <c r="M259" s="14" t="n"/>
      <c r="N259" s="335">
        <f>L259*M259</f>
        <v/>
      </c>
      <c r="Q259" s="75" t="inlineStr">
        <is>
          <t>AMERIQUE LATINE</t>
        </is>
      </c>
      <c r="R259" s="75" t="inlineStr">
        <is>
          <t>ARGENTINE</t>
        </is>
      </c>
      <c r="S259" s="75" t="n"/>
      <c r="T259" s="75" t="inlineStr">
        <is>
          <t>INTERTEK</t>
        </is>
      </c>
      <c r="U259" s="81" t="n">
        <v>180</v>
      </c>
      <c r="V259" s="53">
        <f>IF(U259&lt;130, "Mini Bulker", IF(AND(U259&gt;=130, U259&lt;150), "Handysize", IF(AND(U259&gt;=150, U259&lt;200), "Handymax", IF(AND(U259&gt;=200, U259&lt;230), "Panamax", IF(AND(U259&gt;=230, U259&lt;=270), "Capesize", "Autre")))))</f>
        <v/>
      </c>
      <c r="X259" s="14">
        <f>IF(E259&lt;9999,"1",IF(E259&lt;19999,"2",IF(E259&lt;29999,"3",IF(E259&lt;39999,"4",IF(E259&lt;49999,"5",IF(E259&gt;50000,"6"))))))</f>
        <v/>
      </c>
      <c r="Y259" s="99" t="inlineStr">
        <is>
          <t>2N</t>
        </is>
      </c>
      <c r="AA259" s="218" t="n"/>
      <c r="AB259" s="218" t="n"/>
      <c r="AC259" s="98" t="n"/>
      <c r="AD259" s="98" t="n"/>
      <c r="AE259" s="218" t="n"/>
      <c r="AF259" s="218" t="n"/>
      <c r="AG259" s="218" t="n"/>
      <c r="AH259" s="218" t="n"/>
      <c r="AI259" s="218" t="n"/>
      <c r="AJ259" s="218" t="n"/>
      <c r="AK259" s="218" t="n"/>
      <c r="AL259" s="218" t="n"/>
      <c r="AM259" s="218" t="n"/>
      <c r="AN259" s="218" t="n"/>
      <c r="AO259" s="218" t="n"/>
      <c r="AP259" s="98" t="n"/>
      <c r="AQ259" s="98" t="n"/>
      <c r="AR259" s="98" t="n"/>
      <c r="AS259" s="98" t="n"/>
      <c r="AT259" s="98" t="n"/>
      <c r="AU259" s="98" t="n"/>
      <c r="AV259" s="98" t="n"/>
      <c r="AW259" s="98" t="n"/>
      <c r="AX259" s="98" t="n"/>
      <c r="AY259" s="98" t="n"/>
      <c r="AZ259" s="98" t="n"/>
      <c r="BA259" s="98" t="n"/>
      <c r="BB259" s="98" t="n"/>
      <c r="BC259" s="98" t="n"/>
      <c r="BD259" s="220" t="n"/>
      <c r="BE259" s="98" t="n"/>
      <c r="BF259" s="98" t="n"/>
      <c r="BG259" s="220" t="n"/>
      <c r="BH259" s="220" t="n"/>
      <c r="BI259" s="220" t="n"/>
      <c r="BJ259" s="220" t="n"/>
      <c r="BK259" s="220" t="n"/>
      <c r="BL259" s="220" t="n"/>
      <c r="BM259" s="220" t="n"/>
      <c r="BN259" s="220" t="n"/>
      <c r="BO259" s="220" t="n"/>
      <c r="BP259" s="220" t="n"/>
      <c r="BQ259" s="220" t="n"/>
      <c r="BR259" s="220" t="n"/>
      <c r="BS259" s="97" t="inlineStr">
        <is>
          <t>DEHALAGE 50M VERS POSTE 1BIS LE 14/05- 2000</t>
        </is>
      </c>
      <c r="BT259" s="99" t="n">
        <v>1</v>
      </c>
      <c r="BU259" s="99" t="n"/>
      <c r="BV259" s="99" t="n"/>
      <c r="BW259" s="332">
        <f>AI260-AH260</f>
        <v/>
      </c>
      <c r="CB259" s="14" t="n"/>
    </row>
    <row r="260" ht="14.55" customHeight="1" s="70">
      <c r="A260" s="81" t="n">
        <v>176</v>
      </c>
      <c r="B260" s="343" t="inlineStr">
        <is>
          <t xml:space="preserve">DAY BLUE </t>
        </is>
      </c>
      <c r="C260" s="15" t="n">
        <v>45792</v>
      </c>
      <c r="D260" s="329" t="n">
        <v>4350</v>
      </c>
      <c r="E260" s="329" t="n">
        <v>4350</v>
      </c>
      <c r="F260" s="142" t="inlineStr">
        <is>
          <t xml:space="preserve">OCP NUTRICROPS </t>
        </is>
      </c>
      <c r="G260" s="81" t="n">
        <v>1</v>
      </c>
      <c r="H260" s="75" t="inlineStr">
        <is>
          <t>NPK</t>
        </is>
      </c>
      <c r="I260" s="306" t="inlineStr">
        <is>
          <t xml:space="preserve">NPK 15 15 15 Low Cd </t>
        </is>
      </c>
      <c r="J260" s="75" t="inlineStr">
        <is>
          <t>FOB</t>
        </is>
      </c>
      <c r="K260" s="82" t="n">
        <v>440</v>
      </c>
      <c r="L260" s="341">
        <f>D260*K260</f>
        <v/>
      </c>
      <c r="M260" s="14" t="n"/>
      <c r="N260" s="335">
        <f>L260*M260</f>
        <v/>
      </c>
      <c r="Q260" s="75" t="inlineStr">
        <is>
          <t>EUROPE</t>
        </is>
      </c>
      <c r="R260" s="75" t="inlineStr">
        <is>
          <t>Suède</t>
        </is>
      </c>
      <c r="S260" s="75" t="n"/>
      <c r="T260" s="75" t="inlineStr">
        <is>
          <t>INSPECTORATE</t>
        </is>
      </c>
      <c r="U260" s="81" t="n">
        <v>90</v>
      </c>
      <c r="V260" s="53">
        <f>IF(U260&lt;130, "Mini Bulker", IF(AND(U260&gt;=130, U260&lt;150), "Handysize", IF(AND(U260&gt;=150, U260&lt;200), "Handymax", IF(AND(U260&gt;=200, U260&lt;230), "Panamax", IF(AND(U260&gt;=230, U260&lt;=270), "Capesize", "Autre")))))</f>
        <v/>
      </c>
      <c r="X260" s="14">
        <f>IF(E260&lt;9999,"1",IF(E260&lt;19999,"2",IF(E260&lt;29999,"3",IF(E260&lt;39999,"4",IF(E260&lt;49999,"5",IF(E260&gt;50000,"6"))))))</f>
        <v/>
      </c>
      <c r="Y260" s="99" t="inlineStr">
        <is>
          <t>1SUD</t>
        </is>
      </c>
      <c r="AA260" s="26" t="n">
        <v>45789.91666666666</v>
      </c>
      <c r="AB260" s="26" t="n">
        <v>45790.375</v>
      </c>
      <c r="AC260" s="15" t="n">
        <v>45787</v>
      </c>
      <c r="AD260" s="15" t="n">
        <v>45789</v>
      </c>
      <c r="AE260" s="26" t="n">
        <v>45789.91666666666</v>
      </c>
      <c r="AF260" s="26" t="n">
        <v>45790.47638888889</v>
      </c>
      <c r="AG260" s="26" t="n">
        <v>45790.55902777778</v>
      </c>
      <c r="AH260" s="26" t="n">
        <v>45790.57638888889</v>
      </c>
      <c r="AI260" s="26" t="n">
        <v>45790.63194444445</v>
      </c>
      <c r="AJ260" s="26" t="n">
        <v>45790.71527777778</v>
      </c>
      <c r="AK260" s="26" t="n">
        <v>45792.0625</v>
      </c>
      <c r="AL260" s="26" t="n">
        <v>45792.10416666666</v>
      </c>
      <c r="AM260" s="26" t="n">
        <v>45792.11111111111</v>
      </c>
      <c r="AN260" s="26" t="n">
        <v>45792.17291666667</v>
      </c>
      <c r="AO260" s="26" t="n">
        <v>45792.22291666667</v>
      </c>
      <c r="AP260" s="20">
        <f>(AG260-AF260)*1440</f>
        <v/>
      </c>
      <c r="AQ260" s="20">
        <f>(AG260-AE260)*1440</f>
        <v/>
      </c>
      <c r="AR260" s="20">
        <f>(AH260-AF260)*1440</f>
        <v/>
      </c>
      <c r="AS260" s="20">
        <f>(AI260-AH260)*1440</f>
        <v/>
      </c>
      <c r="AT260" s="20">
        <f>(AJ260-AH260)*1440</f>
        <v/>
      </c>
      <c r="AU260" s="20">
        <f>(AL260-AK260)*1440</f>
        <v/>
      </c>
      <c r="AV260" s="20">
        <f>(AM260-AL260)*1440</f>
        <v/>
      </c>
      <c r="AW260" s="20">
        <f>(AO260-AM260)*1440</f>
        <v/>
      </c>
      <c r="AX260" s="19">
        <f>AP260+AS260+AU260+AV260+AW260</f>
        <v/>
      </c>
      <c r="AY260" s="18">
        <f>(AG260-AA260)</f>
        <v/>
      </c>
      <c r="AZ260" s="18">
        <f>(AK260-AJ260)</f>
        <v/>
      </c>
      <c r="BA260" s="18">
        <f>AO260-AG260</f>
        <v/>
      </c>
      <c r="BB260" s="18">
        <f>(AO260-AA260)-(AP260/1440)-(AW260/1440)</f>
        <v/>
      </c>
      <c r="BC260" s="20">
        <f>E260/AZ260</f>
        <v/>
      </c>
      <c r="BE260" s="20">
        <f>IF(E260&lt;10000,3000,IF(E260&lt;15000,3600,IF(E260&lt;20000,4500,IF(E260&lt;25000,6000,IF(E260&lt;30000,7500,IF(E260&lt;40000,9000,IF(E260&gt;40000,10000)))))))</f>
        <v/>
      </c>
      <c r="BF260" s="334">
        <f>(E260/BE260)+2</f>
        <v/>
      </c>
      <c r="BS260" s="97" t="inlineStr">
        <is>
          <t>NUL</t>
        </is>
      </c>
      <c r="BT260" s="99" t="n">
        <v>0</v>
      </c>
      <c r="BU260" s="99" t="n"/>
      <c r="BV260" s="99" t="n"/>
      <c r="BW260" s="332">
        <f>AI261-AH261</f>
        <v/>
      </c>
      <c r="CB260" s="14" t="n">
        <v>2834</v>
      </c>
    </row>
    <row r="261" ht="14.55" customHeight="1" s="70">
      <c r="A261" s="81" t="n">
        <v>177</v>
      </c>
      <c r="B261" s="343" t="inlineStr">
        <is>
          <t>SEA MOON</t>
        </is>
      </c>
      <c r="C261" s="15" t="n">
        <v>45792</v>
      </c>
      <c r="D261" s="329" t="n">
        <v>23000</v>
      </c>
      <c r="E261" s="329" t="n">
        <v>23000</v>
      </c>
      <c r="F261" s="205" t="n"/>
      <c r="G261" s="81" t="n">
        <v>1</v>
      </c>
      <c r="H261" s="75" t="inlineStr">
        <is>
          <t>NPK</t>
        </is>
      </c>
      <c r="I261" s="306" t="inlineStr">
        <is>
          <t>NPK 15 15 15 Special</t>
        </is>
      </c>
      <c r="J261" s="75" t="inlineStr">
        <is>
          <t>FOB</t>
        </is>
      </c>
      <c r="K261" s="82" t="n"/>
      <c r="L261" s="341">
        <f>D261*K261</f>
        <v/>
      </c>
      <c r="M261" s="14" t="n"/>
      <c r="N261" s="335">
        <f>L261*M261</f>
        <v/>
      </c>
      <c r="Q261" s="75" t="inlineStr">
        <is>
          <t>AFRIQUE</t>
        </is>
      </c>
      <c r="R261" s="75" t="inlineStr">
        <is>
          <t>TOGO</t>
        </is>
      </c>
      <c r="S261" s="75" t="n"/>
      <c r="T261" s="75" t="inlineStr">
        <is>
          <t>INTERTEK</t>
        </is>
      </c>
      <c r="U261" s="81" t="n">
        <v>170</v>
      </c>
      <c r="V261" s="53">
        <f>IF(U261&lt;130, "Mini Bulker", IF(AND(U261&gt;=130, U261&lt;150), "Handysize", IF(AND(U261&gt;=150, U261&lt;200), "Handymax", IF(AND(U261&gt;=200, U261&lt;230), "Panamax", IF(AND(U261&gt;=230, U261&lt;=270), "Capesize", "Autre")))))</f>
        <v/>
      </c>
      <c r="X261" s="14">
        <f>IF(E261&lt;9999,"1",IF(E261&lt;19999,"2",IF(E261&lt;29999,"3",IF(E261&lt;39999,"4",IF(E261&lt;49999,"5",IF(E261&gt;50000,"6"))))))</f>
        <v/>
      </c>
      <c r="Y261" s="99" t="inlineStr">
        <is>
          <t>1BIS/1N</t>
        </is>
      </c>
      <c r="AA261" s="17" t="n">
        <v>45784.51041666666</v>
      </c>
      <c r="AB261" s="17" t="n">
        <v>45784.51041666666</v>
      </c>
      <c r="AC261" s="15" t="n">
        <v>45783</v>
      </c>
      <c r="AD261" s="15" t="n">
        <v>45785</v>
      </c>
      <c r="AE261" s="17" t="n">
        <v>45784.47916666666</v>
      </c>
      <c r="AF261" s="17" t="n">
        <v>45785.90277777778</v>
      </c>
      <c r="AG261" s="17" t="n">
        <v>45785.93611111111</v>
      </c>
      <c r="AH261" s="17" t="n">
        <v>45785.95138888889</v>
      </c>
      <c r="AI261" s="17" t="n">
        <v>45786.60416666666</v>
      </c>
      <c r="AJ261" s="17" t="n">
        <v>45786.65625</v>
      </c>
      <c r="AK261" s="17" t="n">
        <v>45792.76388888889</v>
      </c>
      <c r="AL261" s="17" t="n">
        <v>45792.82291666666</v>
      </c>
      <c r="AM261" s="17" t="n">
        <v>45792.875</v>
      </c>
      <c r="AN261" s="17" t="n">
        <v>45792.91666666666</v>
      </c>
      <c r="AO261" s="17" t="n">
        <v>45792.90972222222</v>
      </c>
      <c r="AP261" s="20">
        <f>(AG261-AF261)*1440</f>
        <v/>
      </c>
      <c r="AQ261" s="20">
        <f>(AG261-AE261)*1440</f>
        <v/>
      </c>
      <c r="AR261" s="20">
        <f>(AH261-AF261)*1440</f>
        <v/>
      </c>
      <c r="AS261" s="20">
        <f>(AI261-AH261)*1440</f>
        <v/>
      </c>
      <c r="AT261" s="20">
        <f>(AJ261-AH261)*1440</f>
        <v/>
      </c>
      <c r="AU261" s="20">
        <f>(AL261-AK261)*1440</f>
        <v/>
      </c>
      <c r="AV261" s="20">
        <f>(AM261-AL261)*1440</f>
        <v/>
      </c>
      <c r="AW261" s="20">
        <f>(AO261-AM261)*1440</f>
        <v/>
      </c>
      <c r="AX261" s="19">
        <f>AP261+AS261+AU261+AV261+AW261</f>
        <v/>
      </c>
      <c r="AY261" s="18">
        <f>(AG261-AA261)</f>
        <v/>
      </c>
      <c r="AZ261" s="18">
        <f>(AK261-AJ261)</f>
        <v/>
      </c>
      <c r="BA261" s="18">
        <f>AO261-AG261</f>
        <v/>
      </c>
      <c r="BB261" s="18">
        <f>(AO261-AA261)-(AP261/1440)-(AW261/1440)</f>
        <v/>
      </c>
      <c r="BC261" s="20">
        <f>E261/AZ261</f>
        <v/>
      </c>
      <c r="BD261" s="208" t="n"/>
      <c r="BE261" s="20">
        <f>IF(E261&lt;10000,3000,IF(E261&lt;15000,3600,IF(E261&lt;20000,4500,IF(E261&lt;25000,6000,IF(E261&lt;30000,7500,IF(E261&lt;40000,9000,IF(E261&gt;40000,10000)))))))</f>
        <v/>
      </c>
      <c r="BF261" s="334">
        <f>(E261/BE261)+2</f>
        <v/>
      </c>
      <c r="BG261" s="208" t="n"/>
      <c r="BH261" s="208" t="n"/>
      <c r="BI261" s="208" t="n"/>
      <c r="BJ261" s="208" t="n"/>
      <c r="BK261" s="208" t="n"/>
      <c r="BL261" s="208" t="n"/>
      <c r="BM261" s="208" t="n"/>
      <c r="BN261" s="208" t="n"/>
      <c r="BO261" s="208" t="n"/>
      <c r="BP261" s="208" t="n"/>
      <c r="BQ261" s="208" t="n"/>
      <c r="BR261" s="208" t="n"/>
      <c r="BS261" s="97" t="inlineStr">
        <is>
          <t>CHANGE DU POSTE 1BIS VERS POSTE 1N LE 09/05 - 1955 // CHANGE DU POSTE 1N VERS LA RADE LE 11/05- 1740 / RE-ACC AU POSTE 1N LE 15/05- 0630</t>
        </is>
      </c>
      <c r="BT261" s="99" t="n">
        <v>3</v>
      </c>
      <c r="BU261" s="99" t="n"/>
      <c r="BV261" s="99" t="n"/>
      <c r="BW261" s="332">
        <f>AI262-AH262</f>
        <v/>
      </c>
      <c r="CB261" s="14" t="n">
        <v>17431</v>
      </c>
    </row>
    <row r="262" ht="14.55" customHeight="1" s="70">
      <c r="A262" s="81" t="n">
        <v>179</v>
      </c>
      <c r="B262" s="343" t="inlineStr">
        <is>
          <t>TRIPLE S</t>
        </is>
      </c>
      <c r="C262" s="15" t="n">
        <v>45793</v>
      </c>
      <c r="D262" s="329" t="n">
        <v>4400</v>
      </c>
      <c r="E262" s="329" t="n">
        <v>4400</v>
      </c>
      <c r="G262" s="81" t="n">
        <v>1</v>
      </c>
      <c r="H262" s="75" t="inlineStr">
        <is>
          <t>DAP</t>
        </is>
      </c>
      <c r="I262" s="306" t="inlineStr">
        <is>
          <t xml:space="preserve">DAP Euro Low Cd </t>
        </is>
      </c>
      <c r="J262" s="75" t="inlineStr">
        <is>
          <t>DAT</t>
        </is>
      </c>
      <c r="K262" s="82" t="n"/>
      <c r="L262" s="341">
        <f>D262*K262</f>
        <v/>
      </c>
      <c r="M262" s="14" t="n"/>
      <c r="N262" s="335">
        <f>L262*M262</f>
        <v/>
      </c>
      <c r="Q262" s="75" t="inlineStr">
        <is>
          <t>EUROPE</t>
        </is>
      </c>
      <c r="R262" s="75" t="inlineStr">
        <is>
          <t>Espagne</t>
        </is>
      </c>
      <c r="S262" s="75" t="n"/>
      <c r="T262" s="75" t="inlineStr">
        <is>
          <t>INSPECTORATE</t>
        </is>
      </c>
      <c r="U262" s="81" t="n">
        <v>90</v>
      </c>
      <c r="V262" s="53">
        <f>IF(U262&lt;130, "Mini Bulker", IF(AND(U262&gt;=130, U262&lt;150), "Handysize", IF(AND(U262&gt;=150, U262&lt;200), "Handymax", IF(AND(U262&gt;=200, U262&lt;230), "Panamax", IF(AND(U262&gt;=230, U262&lt;=270), "Capesize", "Autre")))))</f>
        <v/>
      </c>
      <c r="X262" s="14">
        <f>IF(E262&lt;9999,"1",IF(E262&lt;19999,"2",IF(E262&lt;29999,"3",IF(E262&lt;39999,"4",IF(E262&lt;49999,"5",IF(E262&gt;50000,"6"))))))</f>
        <v/>
      </c>
      <c r="Y262" s="99" t="inlineStr">
        <is>
          <t>1SUD</t>
        </is>
      </c>
      <c r="AA262" s="26" t="n">
        <v>45784.47916666666</v>
      </c>
      <c r="AB262" s="26" t="n">
        <v>45784.47916666666</v>
      </c>
      <c r="AC262" s="15" t="n">
        <v>45788</v>
      </c>
      <c r="AD262" s="15" t="n">
        <v>45790</v>
      </c>
      <c r="AE262" s="26" t="n">
        <v>45784.47916666666</v>
      </c>
      <c r="AF262" s="26" t="n">
        <v>45792.88263888889</v>
      </c>
      <c r="AG262" s="26" t="n">
        <v>45792.94791666666</v>
      </c>
      <c r="AH262" s="26" t="n">
        <v>45792.96180555555</v>
      </c>
      <c r="AI262" s="26" t="n">
        <v>45793.01041666666</v>
      </c>
      <c r="AJ262" s="26" t="n">
        <v>45793.05208333334</v>
      </c>
      <c r="AK262" s="26" t="n">
        <v>45793.77083333334</v>
      </c>
      <c r="AL262" s="26" t="n">
        <v>45793.8125</v>
      </c>
      <c r="AM262" s="26" t="n">
        <v>45793.84027777778</v>
      </c>
      <c r="AN262" s="26" t="n">
        <v>45793.92013888889</v>
      </c>
      <c r="AO262" s="26" t="n">
        <v>45793.88888888889</v>
      </c>
      <c r="AP262" s="20">
        <f>(AG262-AF262)*1440</f>
        <v/>
      </c>
      <c r="AQ262" s="20">
        <f>(AG262-AE262)*1440</f>
        <v/>
      </c>
      <c r="AR262" s="20">
        <f>(AH262-AF262)*1440</f>
        <v/>
      </c>
      <c r="AS262" s="20">
        <f>(AI262-AH262)*1440</f>
        <v/>
      </c>
      <c r="AT262" s="20">
        <f>(AJ262-AH262)*1440</f>
        <v/>
      </c>
      <c r="AU262" s="20">
        <f>(AL262-AK262)*1440</f>
        <v/>
      </c>
      <c r="AV262" s="20">
        <f>(AM262-AL262)*1440</f>
        <v/>
      </c>
      <c r="AW262" s="20">
        <f>(AO262-AM262)*1440</f>
        <v/>
      </c>
      <c r="AX262" s="19">
        <f>AP262+AS262+AU262+AV262+AW262</f>
        <v/>
      </c>
      <c r="AY262" s="18">
        <f>(AG262-AA262)</f>
        <v/>
      </c>
      <c r="AZ262" s="18">
        <f>(AK262-AJ262)</f>
        <v/>
      </c>
      <c r="BA262" s="18">
        <f>AO262-AG262</f>
        <v/>
      </c>
      <c r="BB262" s="18">
        <f>(AO262-AA262)-(AP262/1440)-(AW262/1440)</f>
        <v/>
      </c>
      <c r="BC262" s="20">
        <f>E262/AZ262</f>
        <v/>
      </c>
      <c r="BE262" s="20">
        <f>IF(E262&lt;10000,3000,IF(E262&lt;15000,3600,IF(E262&lt;20000,4500,IF(E262&lt;25000,6000,IF(E262&lt;30000,7500,IF(E262&lt;40000,9000,IF(E262&gt;40000,10000)))))))</f>
        <v/>
      </c>
      <c r="BF262" s="334">
        <f>(E262/BE262)+2</f>
        <v/>
      </c>
      <c r="BS262" s="97" t="inlineStr">
        <is>
          <t>NUL</t>
        </is>
      </c>
      <c r="BT262" s="99" t="n">
        <v>0</v>
      </c>
      <c r="BU262" s="99" t="n"/>
      <c r="BV262" s="99" t="n"/>
      <c r="BW262" s="332">
        <f>AI263-AH263</f>
        <v/>
      </c>
      <c r="CB262" s="14" t="n"/>
    </row>
    <row r="263" ht="14.55" customHeight="1" s="70">
      <c r="A263" s="81" t="n">
        <v>181</v>
      </c>
      <c r="B263" s="343" t="inlineStr">
        <is>
          <t>AZZARO</t>
        </is>
      </c>
      <c r="C263" s="15" t="n">
        <v>45795</v>
      </c>
      <c r="D263" s="329" t="n">
        <v>7150</v>
      </c>
      <c r="E263" s="329" t="n">
        <v>7150</v>
      </c>
      <c r="F263" s="142" t="n"/>
      <c r="G263" s="81" t="n">
        <v>1</v>
      </c>
      <c r="H263" s="75" t="inlineStr">
        <is>
          <t>NPK</t>
        </is>
      </c>
      <c r="I263" s="306" t="inlineStr">
        <is>
          <t>NPK 10 26 26 Low Cd</t>
        </is>
      </c>
      <c r="J263" s="75" t="inlineStr">
        <is>
          <t>FOB</t>
        </is>
      </c>
      <c r="K263" s="82" t="n"/>
      <c r="L263" s="341">
        <f>D263*K263</f>
        <v/>
      </c>
      <c r="M263" s="14" t="n"/>
      <c r="N263" s="335">
        <f>L263*M263</f>
        <v/>
      </c>
      <c r="Q263" s="75" t="inlineStr">
        <is>
          <t>EUROPE</t>
        </is>
      </c>
      <c r="R263" s="75" t="inlineStr">
        <is>
          <t>LITHUANIA</t>
        </is>
      </c>
      <c r="S263" s="75" t="n"/>
      <c r="T263" s="75" t="inlineStr">
        <is>
          <t>INSPECTORATE</t>
        </is>
      </c>
      <c r="U263" s="81" t="n">
        <v>132</v>
      </c>
      <c r="V263" s="53">
        <f>IF(U263&lt;130, "Mini Bulker", IF(AND(U263&gt;=130, U263&lt;150), "Handysize", IF(AND(U263&gt;=150, U263&lt;200), "Handymax", IF(AND(U263&gt;=200, U263&lt;230), "Panamax", IF(AND(U263&gt;=230, U263&lt;=270), "Capesize", "Autre")))))</f>
        <v/>
      </c>
      <c r="X263" s="14">
        <f>IF(E263&lt;9999,"1",IF(E263&lt;19999,"2",IF(E263&lt;29999,"3",IF(E263&lt;39999,"4",IF(E263&lt;49999,"5",IF(E263&gt;50000,"6"))))))</f>
        <v/>
      </c>
      <c r="Y263" s="99" t="inlineStr">
        <is>
          <t>1SUD</t>
        </is>
      </c>
      <c r="AA263" s="26" t="n">
        <v>45789.53125</v>
      </c>
      <c r="AB263" s="26" t="n">
        <v>45789.53125</v>
      </c>
      <c r="AC263" s="15" t="n">
        <v>45795</v>
      </c>
      <c r="AD263" s="15" t="n">
        <v>45797</v>
      </c>
      <c r="AE263" s="26" t="n">
        <v>45789.375</v>
      </c>
      <c r="AF263" s="26" t="n">
        <v>45794.06319444445</v>
      </c>
      <c r="AG263" s="26" t="n">
        <v>45794.125</v>
      </c>
      <c r="AH263" s="26" t="n">
        <v>45794.14930555555</v>
      </c>
      <c r="AI263" s="26" t="n">
        <v>45794.22222222222</v>
      </c>
      <c r="AJ263" s="26" t="n">
        <v>45794.28819444445</v>
      </c>
      <c r="AK263" s="26" t="n">
        <v>45795.54513888889</v>
      </c>
      <c r="AL263" s="26" t="n">
        <v>45795.58333333334</v>
      </c>
      <c r="AM263" s="26" t="n">
        <v>45795.61458333334</v>
      </c>
      <c r="AN263" s="26" t="n">
        <v>45795.65833333333</v>
      </c>
      <c r="AO263" s="26" t="n">
        <v>45795.67013888889</v>
      </c>
      <c r="AP263" s="20">
        <f>(AG263-AF263)*1440</f>
        <v/>
      </c>
      <c r="AQ263" s="20">
        <f>(AG263-AE263)*1440</f>
        <v/>
      </c>
      <c r="AR263" s="20">
        <f>(AH263-AF263)*1440</f>
        <v/>
      </c>
      <c r="AS263" s="20">
        <f>(AI263-AH263)*1440</f>
        <v/>
      </c>
      <c r="AT263" s="20">
        <f>(AJ263-AH263)*1440</f>
        <v/>
      </c>
      <c r="AU263" s="20">
        <f>(AL263-AK263)*1440</f>
        <v/>
      </c>
      <c r="AV263" s="20">
        <f>(AM263-AL263)*1440</f>
        <v/>
      </c>
      <c r="AW263" s="20">
        <f>(AO263-AM263)*1440</f>
        <v/>
      </c>
      <c r="AX263" s="19">
        <f>AP263+AS263+AU263+AV263+AW263</f>
        <v/>
      </c>
      <c r="AY263" s="18">
        <f>(AG263-AA263)</f>
        <v/>
      </c>
      <c r="AZ263" s="18">
        <f>(AK263-AJ263)</f>
        <v/>
      </c>
      <c r="BA263" s="18">
        <f>AO263-AG263</f>
        <v/>
      </c>
      <c r="BB263" s="18">
        <f>(AO263-AA263)-(AP263/1440)-(AW263/1440)</f>
        <v/>
      </c>
      <c r="BC263" s="20">
        <f>E263/AZ263</f>
        <v/>
      </c>
      <c r="BE263" s="20">
        <f>IF(E263&lt;10000,3000,IF(E263&lt;15000,3600,IF(E263&lt;20000,4500,IF(E263&lt;25000,6000,IF(E263&lt;30000,7500,IF(E263&lt;40000,9000,IF(E263&gt;40000,10000)))))))</f>
        <v/>
      </c>
      <c r="BF263" s="334">
        <f>(E263/BE263)+2</f>
        <v/>
      </c>
      <c r="BS263" s="97" t="inlineStr">
        <is>
          <t>NUL</t>
        </is>
      </c>
      <c r="BT263" s="99" t="n">
        <v>0</v>
      </c>
      <c r="BU263" s="99" t="n"/>
      <c r="BV263" s="99" t="n"/>
      <c r="BW263" s="332">
        <f>AI264-AH264</f>
        <v/>
      </c>
      <c r="CB263" s="14" t="n">
        <v>6154</v>
      </c>
    </row>
    <row r="264" ht="14.55" customHeight="1" s="70">
      <c r="A264" s="81" t="n">
        <v>180</v>
      </c>
      <c r="B264" s="343" t="inlineStr">
        <is>
          <t>JANET</t>
        </is>
      </c>
      <c r="C264" s="15" t="n">
        <v>45795</v>
      </c>
      <c r="D264" s="329" t="n">
        <v>4020</v>
      </c>
      <c r="E264" s="329" t="n">
        <v>4020</v>
      </c>
      <c r="F264" s="142" t="n"/>
      <c r="G264" s="81" t="n">
        <v>1</v>
      </c>
      <c r="H264" s="75" t="inlineStr">
        <is>
          <t>DAP</t>
        </is>
      </c>
      <c r="I264" s="306" t="inlineStr">
        <is>
          <t xml:space="preserve">DAP Euro Low Cd </t>
        </is>
      </c>
      <c r="J264" s="75" t="inlineStr">
        <is>
          <t>DAT</t>
        </is>
      </c>
      <c r="K264" s="82" t="n"/>
      <c r="L264" s="341">
        <f>D264*K264</f>
        <v/>
      </c>
      <c r="M264" s="14" t="n"/>
      <c r="N264" s="335">
        <f>L264*M264</f>
        <v/>
      </c>
      <c r="Q264" s="75" t="inlineStr">
        <is>
          <t>EUROPE</t>
        </is>
      </c>
      <c r="R264" s="75" t="inlineStr">
        <is>
          <t>Espagne</t>
        </is>
      </c>
      <c r="S264" s="75" t="n"/>
      <c r="T264" s="75" t="inlineStr">
        <is>
          <t>INTERTEK</t>
        </is>
      </c>
      <c r="U264" s="81" t="n">
        <v>90</v>
      </c>
      <c r="V264" s="53">
        <f>IF(U264&lt;130, "Mini Bulker", IF(AND(U264&gt;=130, U264&lt;150), "Handysize", IF(AND(U264&gt;=150, U264&lt;200), "Handymax", IF(AND(U264&gt;=200, U264&lt;230), "Panamax", IF(AND(U264&gt;=230, U264&lt;=270), "Capesize", "Autre")))))</f>
        <v/>
      </c>
      <c r="X264" s="14">
        <f>IF(E264&lt;9999,"1",IF(E264&lt;19999,"2",IF(E264&lt;29999,"3",IF(E264&lt;39999,"4",IF(E264&lt;49999,"5",IF(E264&gt;50000,"6"))))))</f>
        <v/>
      </c>
      <c r="Y264" s="99" t="inlineStr">
        <is>
          <t>1N</t>
        </is>
      </c>
      <c r="AA264" s="26" t="n">
        <v>45784.41666666666</v>
      </c>
      <c r="AB264" s="26" t="n">
        <v>45784.41666666666</v>
      </c>
      <c r="AC264" s="15" t="n">
        <v>45786</v>
      </c>
      <c r="AD264" s="15" t="n">
        <v>45788</v>
      </c>
      <c r="AE264" s="26" t="n">
        <v>45784.47916666666</v>
      </c>
      <c r="AF264" s="26" t="n">
        <v>45792.90972222222</v>
      </c>
      <c r="AG264" s="26" t="n">
        <v>45792.96527777778</v>
      </c>
      <c r="AH264" s="26" t="n">
        <v>45792.97569444445</v>
      </c>
      <c r="AI264" s="26" t="n">
        <v>45793.03472222222</v>
      </c>
      <c r="AJ264" s="26" t="n">
        <v>45793.79513888889</v>
      </c>
      <c r="AK264" s="26" t="n">
        <v>45795.19791666666</v>
      </c>
      <c r="AL264" s="26" t="n">
        <v>45795.25902777778</v>
      </c>
      <c r="AM264" s="26" t="n">
        <v>45795.28472222222</v>
      </c>
      <c r="AN264" s="26" t="n">
        <v>45795.33611111111</v>
      </c>
      <c r="AO264" s="26" t="n">
        <v>45795.39236111111</v>
      </c>
      <c r="AP264" s="20">
        <f>(AG264-AF264)*1440</f>
        <v/>
      </c>
      <c r="AQ264" s="20">
        <f>(AG264-AE264)*1440</f>
        <v/>
      </c>
      <c r="AR264" s="20">
        <f>(AH264-AF264)*1440</f>
        <v/>
      </c>
      <c r="AS264" s="20">
        <f>(AI264-AH264)*1440</f>
        <v/>
      </c>
      <c r="AT264" s="20">
        <f>(AJ264-AH264)*1440</f>
        <v/>
      </c>
      <c r="AU264" s="20">
        <f>(AL264-AK264)*1440</f>
        <v/>
      </c>
      <c r="AV264" s="20">
        <f>(AM264-AL264)*1440</f>
        <v/>
      </c>
      <c r="AW264" s="20">
        <f>(AO264-AM264)*1440</f>
        <v/>
      </c>
      <c r="AX264" s="19">
        <f>AP264+AS264+AU264+AV264+AW264</f>
        <v/>
      </c>
      <c r="AY264" s="18">
        <f>(AG264-AA264)</f>
        <v/>
      </c>
      <c r="AZ264" s="18">
        <f>(AK264-AJ264)</f>
        <v/>
      </c>
      <c r="BA264" s="18">
        <f>AO264-AG264</f>
        <v/>
      </c>
      <c r="BB264" s="18">
        <f>(AO264-AA264)-(AP264/1440)-(AW264/1440)</f>
        <v/>
      </c>
      <c r="BC264" s="20">
        <f>E264/AZ264</f>
        <v/>
      </c>
      <c r="BE264" s="20">
        <f>IF(E264&lt;10000,3000,IF(E264&lt;15000,3600,IF(E264&lt;20000,4500,IF(E264&lt;25000,6000,IF(E264&lt;30000,7500,IF(E264&lt;40000,9000,IF(E264&gt;40000,10000)))))))</f>
        <v/>
      </c>
      <c r="BF264" s="334">
        <f>(E264/BE264)+2</f>
        <v/>
      </c>
      <c r="BS264" s="97" t="inlineStr">
        <is>
          <t>NUL</t>
        </is>
      </c>
      <c r="BT264" s="99" t="n">
        <v>0</v>
      </c>
      <c r="BU264" s="99" t="n"/>
      <c r="BV264" s="99" t="n"/>
      <c r="BW264" s="332">
        <f>AI265-AH265</f>
        <v/>
      </c>
      <c r="CB264" s="14" t="n">
        <v>2748</v>
      </c>
    </row>
    <row r="265" ht="14.55" customHeight="1" s="70">
      <c r="A265" s="81" t="n">
        <v>183</v>
      </c>
      <c r="B265" s="343" t="inlineStr">
        <is>
          <t>MARAS</t>
        </is>
      </c>
      <c r="C265" s="15" t="n">
        <v>45796</v>
      </c>
      <c r="D265" s="329" t="n">
        <v>4300</v>
      </c>
      <c r="E265" s="329" t="n">
        <v>4300</v>
      </c>
      <c r="F265" s="142" t="inlineStr">
        <is>
          <t>OCP NUTRI</t>
        </is>
      </c>
      <c r="G265" s="81" t="n">
        <v>1</v>
      </c>
      <c r="H265" s="75" t="inlineStr">
        <is>
          <t>MAP</t>
        </is>
      </c>
      <c r="I265" s="306" t="inlineStr">
        <is>
          <t xml:space="preserve">MAP 11 52 Special Low Cd </t>
        </is>
      </c>
      <c r="J265" s="75" t="inlineStr">
        <is>
          <t>FOB</t>
        </is>
      </c>
      <c r="K265" s="82" t="n">
        <v>665</v>
      </c>
      <c r="L265" s="341">
        <f>D265*K265</f>
        <v/>
      </c>
      <c r="M265" s="14" t="n">
        <v>9.288500000000001</v>
      </c>
      <c r="N265" s="335">
        <f>L265*M265</f>
        <v/>
      </c>
      <c r="Q265" s="75" t="inlineStr">
        <is>
          <t>EUROPE</t>
        </is>
      </c>
      <c r="R265" s="75" t="inlineStr">
        <is>
          <t>SUEDE</t>
        </is>
      </c>
      <c r="S265" s="75" t="n"/>
      <c r="T265" s="75" t="inlineStr">
        <is>
          <t>INSPECTORATE</t>
        </is>
      </c>
      <c r="U265" s="81" t="n">
        <v>95</v>
      </c>
      <c r="V265" s="53">
        <f>IF(U265&lt;130, "Mini Bulker", IF(AND(U265&gt;=130, U265&lt;150), "Handysize", IF(AND(U265&gt;=150, U265&lt;200), "Handymax", IF(AND(U265&gt;=200, U265&lt;230), "Panamax", IF(AND(U265&gt;=230, U265&lt;=270), "Capesize", "Autre")))))</f>
        <v/>
      </c>
      <c r="X265" s="14">
        <f>IF(E265&lt;9999,"1",IF(E265&lt;19999,"2",IF(E265&lt;29999,"3",IF(E265&lt;39999,"4",IF(E265&lt;49999,"5",IF(E265&gt;50000,"6"))))))</f>
        <v/>
      </c>
      <c r="Y265" s="99" t="inlineStr">
        <is>
          <t>1N</t>
        </is>
      </c>
      <c r="AA265" s="26" t="n">
        <v>45794.76041666666</v>
      </c>
      <c r="AB265" s="26" t="n">
        <v>45796.375</v>
      </c>
      <c r="AC265" s="15" t="n">
        <v>45786</v>
      </c>
      <c r="AD265" s="15" t="n">
        <v>45788</v>
      </c>
      <c r="AE265" s="26" t="n">
        <v>45794.76041666666</v>
      </c>
      <c r="AF265" s="26" t="n">
        <v>45795.48611111111</v>
      </c>
      <c r="AG265" s="26" t="n">
        <v>45795.5625</v>
      </c>
      <c r="AH265" s="26" t="n">
        <v>45795.60416666666</v>
      </c>
      <c r="AI265" s="26" t="n">
        <v>45795.66666666666</v>
      </c>
      <c r="AJ265" s="26" t="n">
        <v>45795.69097222222</v>
      </c>
      <c r="AK265" s="26" t="n">
        <v>45796.84375</v>
      </c>
      <c r="AL265" s="26" t="n">
        <v>45796.875</v>
      </c>
      <c r="AM265" s="26" t="n">
        <v>45796.88888888889</v>
      </c>
      <c r="AN265" s="26" t="n">
        <v>45796.94097222222</v>
      </c>
      <c r="AO265" s="26" t="n">
        <v>45796.95138888889</v>
      </c>
      <c r="AP265" s="20">
        <f>(AG265-AF265)*1440</f>
        <v/>
      </c>
      <c r="AQ265" s="20">
        <f>(AG265-AE265)*1440</f>
        <v/>
      </c>
      <c r="AR265" s="20">
        <f>(AH265-AF265)*1440</f>
        <v/>
      </c>
      <c r="AS265" s="20">
        <f>(AI265-AH265)*1440</f>
        <v/>
      </c>
      <c r="AT265" s="20">
        <f>(AJ265-AH265)*1440</f>
        <v/>
      </c>
      <c r="AU265" s="20">
        <f>(AL265-AK265)*1440</f>
        <v/>
      </c>
      <c r="AV265" s="20">
        <f>(AM265-AL265)*1440</f>
        <v/>
      </c>
      <c r="AW265" s="20">
        <f>(AO265-AM265)*1440</f>
        <v/>
      </c>
      <c r="AX265" s="19">
        <f>AP265+AS265+AU265+AV265+AW265</f>
        <v/>
      </c>
      <c r="AY265" s="18">
        <f>(AG265-AA265)</f>
        <v/>
      </c>
      <c r="AZ265" s="18">
        <f>(AK265-AJ265)</f>
        <v/>
      </c>
      <c r="BA265" s="18">
        <f>AO265-AG265</f>
        <v/>
      </c>
      <c r="BB265" s="18">
        <f>(AO265-AA265)-(AP265/1440)-(AW265/1440)</f>
        <v/>
      </c>
      <c r="BC265" s="20">
        <f>E265/AZ265</f>
        <v/>
      </c>
      <c r="BE265" s="20">
        <f>IF(E265&lt;10000,3000,IF(E265&lt;15000,3600,IF(E265&lt;20000,4500,IF(E265&lt;25000,6000,IF(E265&lt;30000,7500,IF(E265&lt;40000,9000,IF(E265&gt;40000,10000)))))))</f>
        <v/>
      </c>
      <c r="BF265" s="334">
        <f>(E265/BE265)+2</f>
        <v/>
      </c>
      <c r="BS265" s="97" t="inlineStr">
        <is>
          <t>NUL</t>
        </is>
      </c>
      <c r="BT265" s="99" t="n">
        <v>0</v>
      </c>
      <c r="BU265" s="99" t="inlineStr">
        <is>
          <t>CLEAN</t>
        </is>
      </c>
      <c r="BV265" s="99" t="n"/>
      <c r="BW265" s="332">
        <f>AI266-AH266</f>
        <v/>
      </c>
      <c r="CB265" s="14" t="n">
        <v>2997</v>
      </c>
    </row>
    <row r="266" ht="14.55" customHeight="1" s="70">
      <c r="A266" s="81" t="n">
        <v>182</v>
      </c>
      <c r="B266" s="343" t="inlineStr">
        <is>
          <t xml:space="preserve">SJ BUSAN </t>
        </is>
      </c>
      <c r="C266" s="15" t="n">
        <v>45796</v>
      </c>
      <c r="D266" s="329" t="n">
        <v>53460</v>
      </c>
      <c r="E266" s="329" t="n">
        <v>53460</v>
      </c>
      <c r="F266" s="142" t="inlineStr">
        <is>
          <t>JFC3</t>
        </is>
      </c>
      <c r="G266" s="81" t="n">
        <v>1</v>
      </c>
      <c r="H266" s="75" t="inlineStr">
        <is>
          <t>DAP</t>
        </is>
      </c>
      <c r="I266" s="306" t="inlineStr">
        <is>
          <t xml:space="preserve">DAP STANDARD </t>
        </is>
      </c>
      <c r="J266" s="75" t="inlineStr">
        <is>
          <t>CFR</t>
        </is>
      </c>
      <c r="K266" s="82" t="n">
        <v>697.63</v>
      </c>
      <c r="L266" s="341">
        <f>D266*K266</f>
        <v/>
      </c>
      <c r="M266" s="14" t="n">
        <v>9.288500000000001</v>
      </c>
      <c r="N266" s="335">
        <f>L266*M266</f>
        <v/>
      </c>
      <c r="Q266" s="75" t="inlineStr">
        <is>
          <t>ASIE</t>
        </is>
      </c>
      <c r="R266" s="75" t="inlineStr">
        <is>
          <t>INDE</t>
        </is>
      </c>
      <c r="S266" s="75" t="n"/>
      <c r="T266" s="75" t="inlineStr">
        <is>
          <t>INTERTEK</t>
        </is>
      </c>
      <c r="U266" s="81" t="n">
        <v>190</v>
      </c>
      <c r="V266" s="53">
        <f>IF(U266&lt;130, "Mini Bulker", IF(AND(U266&gt;=130, U266&lt;150), "Handysize", IF(AND(U266&gt;=150, U266&lt;200), "Handymax", IF(AND(U266&gt;=200, U266&lt;230), "Panamax", IF(AND(U266&gt;=230, U266&lt;=270), "Capesize", "Autre")))))</f>
        <v/>
      </c>
      <c r="X266" s="14">
        <f>IF(E266&lt;9999,"1",IF(E266&lt;19999,"2",IF(E266&lt;29999,"3",IF(E266&lt;39999,"4",IF(E266&lt;49999,"5",IF(E266&gt;50000,"6"))))))</f>
        <v/>
      </c>
      <c r="Y266" s="99" t="inlineStr">
        <is>
          <t>2BIS</t>
        </is>
      </c>
      <c r="AA266" s="26" t="n">
        <v>45793.54583333333</v>
      </c>
      <c r="AB266" s="26" t="n">
        <v>45793.54583333333</v>
      </c>
      <c r="AC266" s="15" t="n">
        <v>45788</v>
      </c>
      <c r="AD266" s="15" t="n">
        <v>45791</v>
      </c>
      <c r="AE266" s="26" t="n">
        <v>45793.4875</v>
      </c>
      <c r="AF266" s="26" t="n">
        <v>45793.54166666666</v>
      </c>
      <c r="AG266" s="26" t="n">
        <v>45793.5875</v>
      </c>
      <c r="AH266" s="26" t="n">
        <v>45793.61111111111</v>
      </c>
      <c r="AI266" s="26" t="n">
        <v>45793.65625</v>
      </c>
      <c r="AJ266" s="26" t="n">
        <v>45793.74652777778</v>
      </c>
      <c r="AK266" s="26" t="n">
        <v>45796.59027777778</v>
      </c>
      <c r="AL266" s="26" t="n">
        <v>45796.65972222222</v>
      </c>
      <c r="AM266" s="26" t="n">
        <v>45796.68055555555</v>
      </c>
      <c r="AN266" s="26" t="n">
        <v>45796.72013888889</v>
      </c>
      <c r="AO266" s="26" t="n">
        <v>45796.71180555555</v>
      </c>
      <c r="AP266" s="20">
        <f>(AG266-AF266)*1440</f>
        <v/>
      </c>
      <c r="AQ266" s="20">
        <f>(AG266-AE266)*1440</f>
        <v/>
      </c>
      <c r="AR266" s="20">
        <f>(AH266-AF266)*1440</f>
        <v/>
      </c>
      <c r="AS266" s="20">
        <f>(AI266-AH266)*1440</f>
        <v/>
      </c>
      <c r="AT266" s="20">
        <f>(AJ266-AH266)*1440</f>
        <v/>
      </c>
      <c r="AU266" s="20">
        <f>(AL266-AK266)*1440</f>
        <v/>
      </c>
      <c r="AV266" s="20">
        <f>(AM266-AL266)*1440</f>
        <v/>
      </c>
      <c r="AW266" s="20">
        <f>(AO266-AM266)*1440</f>
        <v/>
      </c>
      <c r="AX266" s="19">
        <f>AP266+AS266+AU266+AV266+AW266</f>
        <v/>
      </c>
      <c r="AY266" s="18">
        <f>(AG266-AA266)</f>
        <v/>
      </c>
      <c r="AZ266" s="18">
        <f>(AK266-AJ266)</f>
        <v/>
      </c>
      <c r="BA266" s="18">
        <f>AO266-AG266</f>
        <v/>
      </c>
      <c r="BB266" s="18">
        <f>(AO266-AA266)-(AP266/1440)-(AW266/1440)</f>
        <v/>
      </c>
      <c r="BC266" s="20">
        <f>E266/AZ266</f>
        <v/>
      </c>
      <c r="BE266" s="20">
        <f>IF(E266&lt;10000,3000,IF(E266&lt;15000,3600,IF(E266&lt;20000,4500,IF(E266&lt;25000,6000,IF(E266&lt;30000,7500,IF(E266&lt;40000,9000,IF(E266&gt;40000,10000)))))))</f>
        <v/>
      </c>
      <c r="BF266" s="334">
        <f>(E266/BE266)+2</f>
        <v/>
      </c>
      <c r="BS266" s="97" t="inlineStr">
        <is>
          <t>NUL</t>
        </is>
      </c>
      <c r="BT266" s="99" t="n">
        <v>0</v>
      </c>
      <c r="BU266" s="99" t="n"/>
      <c r="BV266" s="99" t="n"/>
      <c r="BW266" s="332">
        <f>AI267-AH267</f>
        <v/>
      </c>
      <c r="CB266" s="14" t="n">
        <v>31544</v>
      </c>
    </row>
    <row r="267" ht="14.55" customHeight="1" s="70">
      <c r="A267" s="81" t="n">
        <v>186</v>
      </c>
      <c r="B267" s="343" t="inlineStr">
        <is>
          <t>LINGEDIJK</t>
        </is>
      </c>
      <c r="C267" s="15" t="n">
        <v>45797</v>
      </c>
      <c r="D267" s="329" t="n">
        <v>4320</v>
      </c>
      <c r="E267" s="329" t="n">
        <v>4320</v>
      </c>
      <c r="F267" s="142" t="n"/>
      <c r="G267" s="81" t="n">
        <v>1</v>
      </c>
      <c r="H267" s="75" t="inlineStr">
        <is>
          <t>NPK</t>
        </is>
      </c>
      <c r="I267" s="306" t="inlineStr">
        <is>
          <t xml:space="preserve">NPK 10 26 26 Low Cd </t>
        </is>
      </c>
      <c r="J267" s="75" t="inlineStr">
        <is>
          <t>FOB</t>
        </is>
      </c>
      <c r="K267" s="82" t="n"/>
      <c r="L267" s="341">
        <f>D267*K267</f>
        <v/>
      </c>
      <c r="M267" s="14" t="n"/>
      <c r="N267" s="335">
        <f>L267*M267</f>
        <v/>
      </c>
      <c r="Q267" s="75" t="inlineStr">
        <is>
          <t>EUROPE</t>
        </is>
      </c>
      <c r="R267" s="75" t="inlineStr">
        <is>
          <t>SWEDEN</t>
        </is>
      </c>
      <c r="S267" s="75" t="n"/>
      <c r="T267" s="75" t="inlineStr">
        <is>
          <t>INSPECTORATE</t>
        </is>
      </c>
      <c r="U267" s="81" t="n">
        <v>90</v>
      </c>
      <c r="V267" s="53">
        <f>IF(U267&lt;130, "Mini Bulker", IF(AND(U267&gt;=130, U267&lt;150), "Handysize", IF(AND(U267&gt;=150, U267&lt;200), "Handymax", IF(AND(U267&gt;=200, U267&lt;230), "Panamax", IF(AND(U267&gt;=230, U267&lt;=270), "Capesize", "Autre")))))</f>
        <v/>
      </c>
      <c r="X267" s="14">
        <f>IF(E267&lt;9999,"1",IF(E267&lt;19999,"2",IF(E267&lt;29999,"3",IF(E267&lt;39999,"4",IF(E267&lt;49999,"5",IF(E267&gt;50000,"6"))))))</f>
        <v/>
      </c>
      <c r="Y267" s="99" t="inlineStr">
        <is>
          <t>1SUD</t>
        </is>
      </c>
      <c r="AA267" s="26" t="n">
        <v>45795.65277777778</v>
      </c>
      <c r="AB267" s="26" t="n">
        <v>45796.375</v>
      </c>
      <c r="AC267" s="15" t="n">
        <v>45796</v>
      </c>
      <c r="AD267" s="15" t="n">
        <v>45798</v>
      </c>
      <c r="AE267" s="26" t="n">
        <v>45795.65277777778</v>
      </c>
      <c r="AF267" s="26" t="n">
        <v>45795.90277777778</v>
      </c>
      <c r="AG267" s="26" t="n">
        <v>45795.99305555555</v>
      </c>
      <c r="AH267" s="26" t="n">
        <v>45796.01041666666</v>
      </c>
      <c r="AI267" s="26" t="n">
        <v>45796.05208333334</v>
      </c>
      <c r="AJ267" s="26" t="n">
        <v>45796.13194444445</v>
      </c>
      <c r="AK267" s="26" t="n">
        <v>45797.49305555555</v>
      </c>
      <c r="AL267" s="26" t="n">
        <v>45797.53472222222</v>
      </c>
      <c r="AM267" s="26" t="n">
        <v>45797.5625</v>
      </c>
      <c r="AN267" s="26" t="n">
        <v>45797.64236111111</v>
      </c>
      <c r="AO267" s="26" t="n">
        <v>45797.65972222222</v>
      </c>
      <c r="AP267" s="20">
        <f>(AG267-AF267)*1440</f>
        <v/>
      </c>
      <c r="AQ267" s="20">
        <f>(AG267-AE267)*1440</f>
        <v/>
      </c>
      <c r="AR267" s="20">
        <f>(AH267-AF267)*1440</f>
        <v/>
      </c>
      <c r="AS267" s="20">
        <f>(AI267-AH267)*1440</f>
        <v/>
      </c>
      <c r="AT267" s="20">
        <f>(AJ267-AH267)*1440</f>
        <v/>
      </c>
      <c r="AU267" s="20">
        <f>(AL267-AK267)*1440</f>
        <v/>
      </c>
      <c r="AV267" s="20">
        <f>(AM267-AL267)*1440</f>
        <v/>
      </c>
      <c r="AW267" s="20">
        <f>(AO267-AM267)*1440</f>
        <v/>
      </c>
      <c r="AX267" s="19">
        <f>AP267+AS267+AU267+AV267+AW267</f>
        <v/>
      </c>
      <c r="AY267" s="18">
        <f>(AG267-AA267)</f>
        <v/>
      </c>
      <c r="AZ267" s="18">
        <f>(AK267-AJ267)</f>
        <v/>
      </c>
      <c r="BA267" s="18">
        <f>AO267-AG267</f>
        <v/>
      </c>
      <c r="BB267" s="18">
        <f>(AO267-AA267)-(AP267/1440)-(AW267/1440)</f>
        <v/>
      </c>
      <c r="BC267" s="20">
        <f>E267/AZ267</f>
        <v/>
      </c>
      <c r="BE267" s="20">
        <f>IF(E267&lt;10000,3000,IF(E267&lt;15000,3600,IF(E267&lt;20000,4500,IF(E267&lt;25000,6000,IF(E267&lt;30000,7500,IF(E267&lt;40000,9000,IF(E267&gt;40000,10000)))))))</f>
        <v/>
      </c>
      <c r="BF267" s="334">
        <f>(E267/BE267)+2</f>
        <v/>
      </c>
      <c r="BS267" s="97" t="inlineStr">
        <is>
          <t>NUL</t>
        </is>
      </c>
      <c r="BT267" s="99" t="n">
        <v>0</v>
      </c>
      <c r="BU267" s="99" t="inlineStr">
        <is>
          <t>CLEAN</t>
        </is>
      </c>
      <c r="BV267" s="99" t="n"/>
      <c r="BW267" s="332">
        <f>AI268-AH268</f>
        <v/>
      </c>
      <c r="BY267" s="208" t="n"/>
      <c r="CB267" s="14" t="n">
        <v>2984</v>
      </c>
    </row>
    <row r="268" ht="14.55" customHeight="1" s="70">
      <c r="A268" s="81" t="n">
        <v>185</v>
      </c>
      <c r="B268" s="343" t="inlineStr">
        <is>
          <t>SAINT VASSILIOS</t>
        </is>
      </c>
      <c r="C268" s="15" t="n">
        <v>45797</v>
      </c>
      <c r="D268" s="329" t="n">
        <v>27913</v>
      </c>
      <c r="E268" s="333">
        <f>D268+D269</f>
        <v/>
      </c>
      <c r="F268" s="142" t="n"/>
      <c r="G268" s="81" t="n">
        <v>2</v>
      </c>
      <c r="H268" s="75" t="inlineStr">
        <is>
          <t>MAP</t>
        </is>
      </c>
      <c r="I268" s="306" t="inlineStr">
        <is>
          <t xml:space="preserve">MAP 11 52 SPECIAL </t>
        </is>
      </c>
      <c r="J268" s="75" t="inlineStr">
        <is>
          <t>CFR</t>
        </is>
      </c>
      <c r="K268" s="82" t="n">
        <v>699</v>
      </c>
      <c r="L268" s="341">
        <f>D268*K268</f>
        <v/>
      </c>
      <c r="M268" s="14" t="n">
        <v>9.251899999999999</v>
      </c>
      <c r="N268" s="335">
        <f>L268*M268</f>
        <v/>
      </c>
      <c r="Q268" s="75" t="inlineStr">
        <is>
          <t>AMERIQUE LATINE</t>
        </is>
      </c>
      <c r="R268" s="75" t="inlineStr">
        <is>
          <t>ARGENTINE</t>
        </is>
      </c>
      <c r="S268" s="75" t="n"/>
      <c r="T268" s="75" t="inlineStr">
        <is>
          <t>INSPECTORATE</t>
        </is>
      </c>
      <c r="U268" s="81" t="n">
        <v>181</v>
      </c>
      <c r="V268" s="53">
        <f>IF(U268&lt;130, "Mini Bulker", IF(AND(U268&gt;=130, U268&lt;150), "Handysize", IF(AND(U268&gt;=150, U268&lt;200), "Handymax", IF(AND(U268&gt;=200, U268&lt;230), "Panamax", IF(AND(U268&gt;=230, U268&lt;=270), "Capesize", "Autre")))))</f>
        <v/>
      </c>
      <c r="X268" s="14">
        <f>IF(E268&lt;9999,"1",IF(E268&lt;19999,"2",IF(E268&lt;29999,"3",IF(E268&lt;39999,"4",IF(E268&lt;49999,"5",IF(E268&gt;50000,"6"))))))</f>
        <v/>
      </c>
      <c r="Y268" s="99" t="inlineStr">
        <is>
          <t>1BIS/1TER</t>
        </is>
      </c>
      <c r="AA268" s="26" t="n">
        <v>45791.77083333334</v>
      </c>
      <c r="AB268" s="26" t="n">
        <v>45792.375</v>
      </c>
      <c r="AC268" s="15" t="n">
        <v>45788</v>
      </c>
      <c r="AD268" s="15" t="n">
        <v>45790</v>
      </c>
      <c r="AE268" s="26" t="n">
        <v>45791.77083333334</v>
      </c>
      <c r="AF268" s="26" t="n">
        <v>45791.88472222222</v>
      </c>
      <c r="AG268" s="26" t="n">
        <v>45791.94166666667</v>
      </c>
      <c r="AH268" s="26" t="n">
        <v>45792.00347222222</v>
      </c>
      <c r="AI268" s="26" t="n">
        <v>45792.06944444445</v>
      </c>
      <c r="AJ268" s="26" t="n">
        <v>45792.10069444445</v>
      </c>
      <c r="AK268" s="26" t="n">
        <v>45797.79513888889</v>
      </c>
      <c r="AL268" s="26" t="n">
        <v>45797.82638888889</v>
      </c>
      <c r="AM268" s="26" t="n">
        <v>45797.83680555555</v>
      </c>
      <c r="AN268" s="26" t="n">
        <v>45797.87847222222</v>
      </c>
      <c r="AO268" s="26" t="n">
        <v>45797.95138888889</v>
      </c>
      <c r="AP268" s="20">
        <f>(AG268-AF268)*1440</f>
        <v/>
      </c>
      <c r="AQ268" s="20">
        <f>(AG268-AE268)*1440</f>
        <v/>
      </c>
      <c r="AR268" s="20">
        <f>(AH268-AF268)*1440</f>
        <v/>
      </c>
      <c r="AS268" s="20">
        <f>(AI268-AH268)*1440</f>
        <v/>
      </c>
      <c r="AT268" s="20">
        <f>(AJ268-AH268)*1440</f>
        <v/>
      </c>
      <c r="AU268" s="20">
        <f>(AL268-AK268)*1440</f>
        <v/>
      </c>
      <c r="AV268" s="20">
        <f>(AM268-AL268)*1440</f>
        <v/>
      </c>
      <c r="AW268" s="20">
        <f>(AO268-AM268)*1440</f>
        <v/>
      </c>
      <c r="AX268" s="19">
        <f>AP268+AS268+AU268+AV268+AW268</f>
        <v/>
      </c>
      <c r="AY268" s="18">
        <f>(AG268-AA268)</f>
        <v/>
      </c>
      <c r="AZ268" s="18">
        <f>(AK268-AJ268)</f>
        <v/>
      </c>
      <c r="BA268" s="18">
        <f>AO268-AG268</f>
        <v/>
      </c>
      <c r="BB268" s="18">
        <f>(AO268-AA268)-(AP268/1440)-(AW268/1440)</f>
        <v/>
      </c>
      <c r="BC268" s="20">
        <f>E268/AZ268</f>
        <v/>
      </c>
      <c r="BE268" s="20">
        <f>IF(E268&lt;10000,3000,IF(E268&lt;15000,3600,IF(E268&lt;20000,4500,IF(E268&lt;25000,6000,IF(E268&lt;30000,7500,IF(E268&lt;40000,9000,IF(E268&gt;40000,10000)))))))</f>
        <v/>
      </c>
      <c r="BF268" s="334">
        <f>(E268/BE268)+2</f>
        <v/>
      </c>
      <c r="BS268" s="97" t="inlineStr">
        <is>
          <t>CHANGE DU POSTE 1BIS VERS POSTE 1TER LE 15/05 - 2055</t>
        </is>
      </c>
      <c r="BT268" s="99" t="n">
        <v>1</v>
      </c>
      <c r="BU268" s="99" t="inlineStr">
        <is>
          <t>CLEAN</t>
        </is>
      </c>
      <c r="BV268" s="99" t="n"/>
      <c r="BW268" s="332">
        <f>AI269-AH269</f>
        <v/>
      </c>
      <c r="CB268" s="14" t="n">
        <v>23322</v>
      </c>
    </row>
    <row r="269" ht="14.55" customHeight="1" s="70">
      <c r="A269" s="81" t="n"/>
      <c r="B269" s="343" t="inlineStr">
        <is>
          <t>SAINT VASSILIOS</t>
        </is>
      </c>
      <c r="C269" s="15" t="n">
        <v>45797</v>
      </c>
      <c r="D269" s="329" t="n">
        <v>4400</v>
      </c>
      <c r="E269" s="330" t="n"/>
      <c r="F269" s="142" t="n"/>
      <c r="G269" s="81" t="n">
        <v>2</v>
      </c>
      <c r="H269" s="75" t="inlineStr">
        <is>
          <t>TSP</t>
        </is>
      </c>
      <c r="I269" s="306" t="inlineStr">
        <is>
          <t xml:space="preserve">TSP SPECIAL JORF </t>
        </is>
      </c>
      <c r="J269" s="75" t="inlineStr">
        <is>
          <t>CFR</t>
        </is>
      </c>
      <c r="K269" s="82" t="n">
        <v>525</v>
      </c>
      <c r="L269" s="341">
        <f>D269*K269</f>
        <v/>
      </c>
      <c r="M269" s="14" t="n">
        <v>9.251899999999999</v>
      </c>
      <c r="N269" s="335">
        <f>L269*M269</f>
        <v/>
      </c>
      <c r="Q269" s="75" t="inlineStr">
        <is>
          <t>AMERIQUE LATINE</t>
        </is>
      </c>
      <c r="R269" s="75" t="inlineStr">
        <is>
          <t>ARGENTINE</t>
        </is>
      </c>
      <c r="S269" s="75" t="n"/>
      <c r="T269" s="75" t="inlineStr">
        <is>
          <t>INSPECTORATE</t>
        </is>
      </c>
      <c r="U269" s="81" t="n">
        <v>181</v>
      </c>
      <c r="V269" s="53">
        <f>IF(U269&lt;130, "Mini Bulker", IF(AND(U269&gt;=130, U269&lt;150), "Handysize", IF(AND(U269&gt;=150, U269&lt;200), "Handymax", IF(AND(U269&gt;=200, U269&lt;230), "Panamax", IF(AND(U269&gt;=230, U269&lt;=270), "Capesize", "Autre")))))</f>
        <v/>
      </c>
      <c r="X269" s="14">
        <f>IF(E269&lt;9999,"1",IF(E269&lt;19999,"2",IF(E269&lt;29999,"3",IF(E269&lt;39999,"4",IF(E269&lt;49999,"5",IF(E269&gt;50000,"6"))))))</f>
        <v/>
      </c>
      <c r="Y269" s="99" t="inlineStr">
        <is>
          <t>1BIS/1TER</t>
        </is>
      </c>
      <c r="AA269" s="98" t="n"/>
      <c r="AB269" s="98" t="n"/>
      <c r="AC269" s="98" t="n"/>
      <c r="AD269" s="98" t="n"/>
      <c r="AE269" s="98" t="n"/>
      <c r="AF269" s="98" t="n"/>
      <c r="AG269" s="98" t="n"/>
      <c r="AH269" s="98" t="n"/>
      <c r="AI269" s="98" t="n"/>
      <c r="AJ269" s="98" t="n"/>
      <c r="AK269" s="98" t="n"/>
      <c r="AL269" s="98" t="n"/>
      <c r="AM269" s="98" t="n"/>
      <c r="AN269" s="98" t="n"/>
      <c r="AO269" s="98" t="n"/>
      <c r="AP269" s="98" t="n"/>
      <c r="AQ269" s="98" t="n"/>
      <c r="AR269" s="98" t="n"/>
      <c r="AS269" s="98" t="n"/>
      <c r="AT269" s="98" t="n"/>
      <c r="AU269" s="98" t="n"/>
      <c r="AV269" s="98" t="n"/>
      <c r="AW269" s="98" t="n"/>
      <c r="AX269" s="98" t="n"/>
      <c r="AY269" s="98" t="n"/>
      <c r="AZ269" s="98" t="n"/>
      <c r="BA269" s="98" t="n"/>
      <c r="BB269" s="98" t="n"/>
      <c r="BC269" s="98" t="n"/>
      <c r="BD269" s="98" t="n"/>
      <c r="BE269" s="98" t="n"/>
      <c r="BF269" s="98" t="n"/>
      <c r="BG269" s="98" t="n"/>
      <c r="BH269" s="98" t="n"/>
      <c r="BI269" s="98" t="n"/>
      <c r="BJ269" s="98" t="n"/>
      <c r="BK269" s="98" t="n"/>
      <c r="BL269" s="98" t="n"/>
      <c r="BM269" s="98" t="n"/>
      <c r="BN269" s="98" t="n"/>
      <c r="BO269" s="98" t="n"/>
      <c r="BP269" s="98" t="n"/>
      <c r="BQ269" s="98" t="n"/>
      <c r="BR269" s="98" t="n"/>
      <c r="BS269" s="97" t="inlineStr">
        <is>
          <t>CHANGE DU POSTE 1BIS VERS POSTE 1TER LE 15/05 - 2055</t>
        </is>
      </c>
      <c r="BT269" s="99" t="n">
        <v>1</v>
      </c>
      <c r="BU269" s="99" t="inlineStr">
        <is>
          <t>CLEAN</t>
        </is>
      </c>
      <c r="BV269" s="99" t="n"/>
      <c r="BW269" s="332">
        <f>AI270-AH270</f>
        <v/>
      </c>
      <c r="CB269" s="14" t="n"/>
    </row>
    <row r="270" ht="14.55" customHeight="1" s="70">
      <c r="A270" s="81" t="n">
        <v>184</v>
      </c>
      <c r="B270" s="343" t="inlineStr">
        <is>
          <t>OBSERVATOR</t>
        </is>
      </c>
      <c r="C270" s="15" t="n">
        <v>45798</v>
      </c>
      <c r="D270" s="329" t="n">
        <v>54403</v>
      </c>
      <c r="E270" s="329" t="n">
        <v>54403</v>
      </c>
      <c r="F270" s="142" t="n"/>
      <c r="G270" s="81" t="n">
        <v>1</v>
      </c>
      <c r="H270" s="75" t="inlineStr">
        <is>
          <t>TSP</t>
        </is>
      </c>
      <c r="I270" s="306" t="inlineStr">
        <is>
          <t xml:space="preserve">TSP CIV </t>
        </is>
      </c>
      <c r="J270" s="75" t="inlineStr">
        <is>
          <t>CFR</t>
        </is>
      </c>
      <c r="K270" s="82" t="n">
        <v>478</v>
      </c>
      <c r="L270" s="341">
        <f>D270*K270</f>
        <v/>
      </c>
      <c r="M270" s="14" t="n"/>
      <c r="N270" s="335">
        <f>L270*M270</f>
        <v/>
      </c>
      <c r="Q270" s="75" t="inlineStr">
        <is>
          <t>ASIE</t>
        </is>
      </c>
      <c r="R270" s="75" t="inlineStr">
        <is>
          <t>INDIA</t>
        </is>
      </c>
      <c r="S270" s="75" t="inlineStr">
        <is>
          <t>B.V</t>
        </is>
      </c>
      <c r="T270" s="75" t="inlineStr">
        <is>
          <t>INTERTEK</t>
        </is>
      </c>
      <c r="U270" s="81" t="n">
        <v>189</v>
      </c>
      <c r="V270" s="53">
        <f>IF(U270&lt;130, "Mini Bulker", IF(AND(U270&gt;=130, U270&lt;150), "Handysize", IF(AND(U270&gt;=150, U270&lt;200), "Handymax", IF(AND(U270&gt;=200, U270&lt;230), "Panamax", IF(AND(U270&gt;=230, U270&lt;=270), "Capesize", "Autre")))))</f>
        <v/>
      </c>
      <c r="X270" s="14">
        <f>IF(E270&lt;9999,"1",IF(E270&lt;19999,"2",IF(E270&lt;29999,"3",IF(E270&lt;39999,"4",IF(E270&lt;49999,"5",IF(E270&gt;50000,"6"))))))</f>
        <v/>
      </c>
      <c r="Y270" s="99" t="inlineStr">
        <is>
          <t>2BIS/2N</t>
        </is>
      </c>
      <c r="AA270" s="26" t="n">
        <v>45789.875</v>
      </c>
      <c r="AB270" s="26" t="n">
        <v>45790.375</v>
      </c>
      <c r="AC270" s="15" t="n">
        <v>45787</v>
      </c>
      <c r="AD270" s="15" t="n">
        <v>45790</v>
      </c>
      <c r="AE270" s="26" t="n">
        <v>45789.83333333334</v>
      </c>
      <c r="AF270" s="26" t="n">
        <v>45789.88541666666</v>
      </c>
      <c r="AG270" s="26" t="n">
        <v>45789.91666666666</v>
      </c>
      <c r="AH270" s="26" t="n">
        <v>45789.9375</v>
      </c>
      <c r="AI270" s="26" t="n">
        <v>45789.99652777778</v>
      </c>
      <c r="AJ270" s="26" t="n">
        <v>45790.07986111111</v>
      </c>
      <c r="AK270" s="26" t="n">
        <v>45798.00347222222</v>
      </c>
      <c r="AL270" s="26" t="n">
        <v>45798.04861111111</v>
      </c>
      <c r="AM270" s="26" t="n">
        <v>45798.06944444445</v>
      </c>
      <c r="AN270" s="26" t="n">
        <v>45798.29166666666</v>
      </c>
      <c r="AO270" s="26" t="n">
        <v>45798.3125</v>
      </c>
      <c r="AP270" s="20">
        <f>(AG270-AF270)*1440</f>
        <v/>
      </c>
      <c r="AQ270" s="20">
        <f>(AG270-AE270)*1440</f>
        <v/>
      </c>
      <c r="AR270" s="20">
        <f>(AH270-AF270)*1440</f>
        <v/>
      </c>
      <c r="AS270" s="20">
        <f>(AI270-AH270)*1440</f>
        <v/>
      </c>
      <c r="AT270" s="20">
        <f>(AJ270-AH270)*1440</f>
        <v/>
      </c>
      <c r="AU270" s="20">
        <f>(AL270-AK270)*1440</f>
        <v/>
      </c>
      <c r="AV270" s="20">
        <f>(AM270-AL270)*1440</f>
        <v/>
      </c>
      <c r="AW270" s="20">
        <f>(AO270-AM270)*1440</f>
        <v/>
      </c>
      <c r="AX270" s="19">
        <f>AP270+AS270+AU270+AV270+AW270</f>
        <v/>
      </c>
      <c r="AY270" s="18">
        <f>(AG270-AA270)</f>
        <v/>
      </c>
      <c r="AZ270" s="18">
        <f>(AK270-AJ270)</f>
        <v/>
      </c>
      <c r="BA270" s="18">
        <f>AO270-AG270</f>
        <v/>
      </c>
      <c r="BB270" s="18">
        <f>(AO270-AA270)-(AP270/1440)-(AW270/1440)</f>
        <v/>
      </c>
      <c r="BC270" s="20">
        <f>E270/AZ270</f>
        <v/>
      </c>
      <c r="BE270" s="20">
        <f>IF(E270&lt;10000,3000,IF(E270&lt;15000,3600,IF(E270&lt;20000,4500,IF(E270&lt;25000,6000,IF(E270&lt;30000,7500,IF(E270&lt;40000,9000,IF(E270&gt;40000,10000)))))))</f>
        <v/>
      </c>
      <c r="BF270" s="334">
        <f>(E270/BE270)+2</f>
        <v/>
      </c>
      <c r="BS270" s="97" t="inlineStr">
        <is>
          <t>CHANGE DU POSTE 2BIS VERS POSTE 2N LE 16/05 - 1300</t>
        </is>
      </c>
      <c r="BT270" s="99" t="n">
        <v>1</v>
      </c>
      <c r="BU270" s="99" t="inlineStr">
        <is>
          <t>NON CLEAN</t>
        </is>
      </c>
      <c r="BV270" s="99" t="inlineStr">
        <is>
          <t>DUST</t>
        </is>
      </c>
      <c r="BW270" s="332">
        <f>AI271-AH271</f>
        <v/>
      </c>
      <c r="BY270" s="81" t="n"/>
      <c r="CB270" s="14" t="n">
        <v>32987</v>
      </c>
    </row>
    <row r="271" ht="14.55" customHeight="1" s="70">
      <c r="A271" s="81" t="n">
        <v>189</v>
      </c>
      <c r="B271" s="343" t="inlineStr">
        <is>
          <t>BALTIC WAVE</t>
        </is>
      </c>
      <c r="C271" s="15" t="n">
        <v>45799</v>
      </c>
      <c r="D271" s="329" t="n">
        <v>3300</v>
      </c>
      <c r="E271" s="329" t="n">
        <v>3300</v>
      </c>
      <c r="F271" s="142" t="n"/>
      <c r="G271" s="81" t="n">
        <v>1</v>
      </c>
      <c r="H271" s="75" t="inlineStr">
        <is>
          <t>DAP</t>
        </is>
      </c>
      <c r="I271" s="306" t="inlineStr">
        <is>
          <t xml:space="preserve">DAP Euro Low Cd </t>
        </is>
      </c>
      <c r="J271" s="75" t="inlineStr">
        <is>
          <t>CFR</t>
        </is>
      </c>
      <c r="K271" s="82" t="n"/>
      <c r="L271" s="341">
        <f>D271*K271</f>
        <v/>
      </c>
      <c r="M271" s="14" t="n"/>
      <c r="N271" s="335">
        <f>L271*M271</f>
        <v/>
      </c>
      <c r="Q271" s="75" t="inlineStr">
        <is>
          <t>EUROPE</t>
        </is>
      </c>
      <c r="R271" s="75" t="inlineStr">
        <is>
          <t>UK</t>
        </is>
      </c>
      <c r="S271" s="75" t="n"/>
      <c r="T271" s="75" t="inlineStr">
        <is>
          <t>INTERTEK</t>
        </is>
      </c>
      <c r="U271" s="81" t="n">
        <v>88</v>
      </c>
      <c r="V271" s="53">
        <f>IF(U271&lt;130, "Mini Bulker", IF(AND(U271&gt;=130, U271&lt;150), "Handysize", IF(AND(U271&gt;=150, U271&lt;200), "Handymax", IF(AND(U271&gt;=200, U271&lt;230), "Panamax", IF(AND(U271&gt;=230, U271&lt;=270), "Capesize", "Autre")))))</f>
        <v/>
      </c>
      <c r="X271" s="14">
        <f>IF(E271&lt;9999,"1",IF(E271&lt;19999,"2",IF(E271&lt;29999,"3",IF(E271&lt;39999,"4",IF(E271&lt;49999,"5",IF(E271&gt;50000,"6"))))))</f>
        <v/>
      </c>
      <c r="Y271" s="99" t="inlineStr">
        <is>
          <t>1TER</t>
        </is>
      </c>
      <c r="AA271" s="26" t="n">
        <v>45798.33333333334</v>
      </c>
      <c r="AB271" s="26" t="n">
        <v>45798.375</v>
      </c>
      <c r="AC271" s="15" t="n">
        <v>45797</v>
      </c>
      <c r="AD271" s="15" t="n">
        <v>45799</v>
      </c>
      <c r="AE271" s="26" t="n">
        <v>45798.29166666666</v>
      </c>
      <c r="AF271" s="26" t="n">
        <v>45798.49375</v>
      </c>
      <c r="AG271" s="26" t="n">
        <v>45798.58333333334</v>
      </c>
      <c r="AH271" s="26" t="n">
        <v>45798.60416666666</v>
      </c>
      <c r="AI271" s="26" t="n">
        <v>45798.66666666666</v>
      </c>
      <c r="AJ271" s="26" t="n">
        <v>45799.05208333334</v>
      </c>
      <c r="AK271" s="26" t="n">
        <v>45799.60416666666</v>
      </c>
      <c r="AL271" s="26" t="n">
        <v>45799.64583333334</v>
      </c>
      <c r="AM271" s="26" t="n">
        <v>45799.6875</v>
      </c>
      <c r="AN271" s="26" t="n">
        <v>45799.72916666666</v>
      </c>
      <c r="AO271" s="26" t="n">
        <v>45799.75</v>
      </c>
      <c r="AP271" s="20">
        <f>(AG271-AF271)*1440</f>
        <v/>
      </c>
      <c r="AQ271" s="20">
        <f>(AG271-AE271)*1440</f>
        <v/>
      </c>
      <c r="AR271" s="20">
        <f>(AH271-AF271)*1440</f>
        <v/>
      </c>
      <c r="AS271" s="20">
        <f>(AI271-AH271)*1440</f>
        <v/>
      </c>
      <c r="AT271" s="20">
        <f>(AJ271-AH271)*1440</f>
        <v/>
      </c>
      <c r="AU271" s="20">
        <f>(AL271-AK271)*1440</f>
        <v/>
      </c>
      <c r="AV271" s="20">
        <f>(AM271-AL271)*1440</f>
        <v/>
      </c>
      <c r="AW271" s="20">
        <f>(AO271-AM271)*1440</f>
        <v/>
      </c>
      <c r="AX271" s="19">
        <f>AP271+AS271+AU271+AV271+AW271</f>
        <v/>
      </c>
      <c r="AY271" s="18">
        <f>(AG271-AA271)</f>
        <v/>
      </c>
      <c r="AZ271" s="18">
        <f>(AK271-AJ271)</f>
        <v/>
      </c>
      <c r="BA271" s="18">
        <f>AO271-AG271</f>
        <v/>
      </c>
      <c r="BB271" s="18">
        <f>(AO271-AA271)-(AP271/1440)-(AW271/1440)</f>
        <v/>
      </c>
      <c r="BC271" s="20">
        <f>E271/AZ271</f>
        <v/>
      </c>
      <c r="BE271" s="20">
        <f>IF(E271&lt;10000,3000,IF(E271&lt;15000,3600,IF(E271&lt;20000,4500,IF(E271&lt;25000,6000,IF(E271&lt;30000,7500,IF(E271&lt;40000,9000,IF(E271&gt;40000,10000)))))))</f>
        <v/>
      </c>
      <c r="BF271" s="334">
        <f>(E271/BE271)+2</f>
        <v/>
      </c>
      <c r="BS271" s="97" t="inlineStr">
        <is>
          <t>NUL</t>
        </is>
      </c>
      <c r="BT271" s="99" t="n">
        <v>0</v>
      </c>
      <c r="BU271" s="99" t="n"/>
      <c r="BV271" s="99" t="n"/>
      <c r="BW271" s="332">
        <f>AI272-AH272</f>
        <v/>
      </c>
      <c r="BX271" s="99" t="n"/>
      <c r="CB271" s="14" t="n">
        <v>2593</v>
      </c>
    </row>
    <row r="272" ht="14.55" customHeight="1" s="70">
      <c r="A272" s="81" t="n">
        <v>187</v>
      </c>
      <c r="B272" s="343" t="inlineStr">
        <is>
          <t>NORD VIND</t>
        </is>
      </c>
      <c r="C272" s="15" t="n">
        <v>45799</v>
      </c>
      <c r="D272" s="329" t="n">
        <v>13200</v>
      </c>
      <c r="E272" s="333">
        <f>D272+D273+D274</f>
        <v/>
      </c>
      <c r="F272" s="142" t="n"/>
      <c r="G272" s="81" t="n">
        <v>3</v>
      </c>
      <c r="H272" s="75" t="inlineStr">
        <is>
          <t>NPK</t>
        </is>
      </c>
      <c r="I272" s="306" t="inlineStr">
        <is>
          <t xml:space="preserve">NPK 10 26 26 Low Cd </t>
        </is>
      </c>
      <c r="J272" s="75" t="inlineStr">
        <is>
          <t>FOB</t>
        </is>
      </c>
      <c r="K272" s="82" t="n"/>
      <c r="L272" s="341">
        <f>D272*K272</f>
        <v/>
      </c>
      <c r="M272" s="14" t="n"/>
      <c r="N272" s="335">
        <f>L272*M272</f>
        <v/>
      </c>
      <c r="Q272" s="75" t="inlineStr">
        <is>
          <t>EUROPE</t>
        </is>
      </c>
      <c r="R272" s="75" t="inlineStr">
        <is>
          <t>LITHUANIA</t>
        </is>
      </c>
      <c r="S272" s="75" t="n"/>
      <c r="T272" s="75" t="inlineStr">
        <is>
          <t>INSPECTORATE</t>
        </is>
      </c>
      <c r="U272" s="81" t="n">
        <v>169</v>
      </c>
      <c r="V272" s="53">
        <f>IF(U272&lt;130, "Mini Bulker", IF(AND(U272&gt;=130, U272&lt;150), "Handysize", IF(AND(U272&gt;=150, U272&lt;200), "Handymax", IF(AND(U272&gt;=200, U272&lt;230), "Panamax", IF(AND(U272&gt;=230, U272&lt;=270), "Capesize", "Autre")))))</f>
        <v/>
      </c>
      <c r="X272" s="14">
        <f>IF(E272&lt;9999,"1",IF(E272&lt;19999,"2",IF(E272&lt;29999,"3",IF(E272&lt;39999,"4",IF(E272&lt;49999,"5",IF(E272&gt;50000,"6"))))))</f>
        <v/>
      </c>
      <c r="Y272" s="99" t="inlineStr">
        <is>
          <t>1BIS</t>
        </is>
      </c>
      <c r="AA272" s="17" t="n">
        <v>45795.26388888889</v>
      </c>
      <c r="AB272" s="17" t="n">
        <v>45796.375</v>
      </c>
      <c r="AC272" s="15" t="n">
        <v>45792</v>
      </c>
      <c r="AD272" s="15" t="n">
        <v>45794</v>
      </c>
      <c r="AE272" s="17" t="n">
        <v>45795.25694444445</v>
      </c>
      <c r="AF272" s="17" t="n">
        <v>45795.88888888889</v>
      </c>
      <c r="AG272" s="17" t="n">
        <v>45795.96875</v>
      </c>
      <c r="AH272" s="17" t="n">
        <v>45795.98263888889</v>
      </c>
      <c r="AI272" s="17" t="n">
        <v>45796.05208333334</v>
      </c>
      <c r="AJ272" s="17" t="n">
        <v>45796.10069444445</v>
      </c>
      <c r="AK272" s="17" t="n">
        <v>45799.05208333334</v>
      </c>
      <c r="AL272" s="17" t="n">
        <v>45799.07638888889</v>
      </c>
      <c r="AM272" s="17" t="n">
        <v>45799.09722222222</v>
      </c>
      <c r="AN272" s="17" t="n">
        <v>45799.20833333334</v>
      </c>
      <c r="AO272" s="17" t="n">
        <v>45799.23958333334</v>
      </c>
      <c r="AP272" s="20">
        <f>(AG272-AF272)*1440</f>
        <v/>
      </c>
      <c r="AQ272" s="20">
        <f>(AG272-AE272)*1440</f>
        <v/>
      </c>
      <c r="AR272" s="20">
        <f>(AH272-AF272)*1440</f>
        <v/>
      </c>
      <c r="AS272" s="20">
        <f>(AI272-AH272)*1440</f>
        <v/>
      </c>
      <c r="AT272" s="20">
        <f>(AJ272-AH272)*1440</f>
        <v/>
      </c>
      <c r="AU272" s="20">
        <f>(AL272-AK272)*1440</f>
        <v/>
      </c>
      <c r="AV272" s="20">
        <f>(AM272-AL272)*1440</f>
        <v/>
      </c>
      <c r="AW272" s="20">
        <f>(AO272-AM272)*1440</f>
        <v/>
      </c>
      <c r="AX272" s="19">
        <f>AP272+AS272+AU272+AV272+AW272</f>
        <v/>
      </c>
      <c r="AY272" s="18">
        <f>(AG272-AA272)</f>
        <v/>
      </c>
      <c r="AZ272" s="18">
        <f>(AK272-AJ272)</f>
        <v/>
      </c>
      <c r="BA272" s="18">
        <f>AO272-AG272</f>
        <v/>
      </c>
      <c r="BB272" s="18">
        <f>(AO272-AA272)-(AP272/1440)-(AW272/1440)</f>
        <v/>
      </c>
      <c r="BC272" s="20">
        <f>E272/AZ272</f>
        <v/>
      </c>
      <c r="BD272" s="208" t="n"/>
      <c r="BE272" s="20">
        <f>IF(E272&lt;10000,3000,IF(E272&lt;15000,3600,IF(E272&lt;20000,4500,IF(E272&lt;25000,6000,IF(E272&lt;30000,7500,IF(E272&lt;40000,9000,IF(E272&gt;40000,10000)))))))</f>
        <v/>
      </c>
      <c r="BF272" s="334">
        <f>(E272/BE272)+2</f>
        <v/>
      </c>
      <c r="BS272" s="97" t="inlineStr">
        <is>
          <t>NUL</t>
        </is>
      </c>
      <c r="BT272" s="99" t="n">
        <v>0</v>
      </c>
      <c r="BU272" s="99" t="inlineStr">
        <is>
          <t>CLEAN</t>
        </is>
      </c>
      <c r="BV272" s="99" t="n"/>
      <c r="BW272" s="332">
        <f>AI273-AH273</f>
        <v/>
      </c>
      <c r="CB272" s="14" t="n">
        <v>17019</v>
      </c>
    </row>
    <row r="273" ht="14.55" customHeight="1" s="70">
      <c r="A273" s="81" t="n"/>
      <c r="B273" s="343" t="inlineStr">
        <is>
          <t>NORD VIND</t>
        </is>
      </c>
      <c r="C273" s="15" t="n">
        <v>45799</v>
      </c>
      <c r="D273" s="329" t="n">
        <v>3300</v>
      </c>
      <c r="E273" s="330" t="n"/>
      <c r="F273" s="142" t="n"/>
      <c r="G273" s="81" t="n">
        <v>3</v>
      </c>
      <c r="H273" s="75" t="inlineStr">
        <is>
          <t>DAP</t>
        </is>
      </c>
      <c r="I273" s="306" t="inlineStr">
        <is>
          <t xml:space="preserve">DAP EURO </t>
        </is>
      </c>
      <c r="J273" s="75" t="inlineStr">
        <is>
          <t>FOB</t>
        </is>
      </c>
      <c r="K273" s="82" t="n"/>
      <c r="L273" s="341">
        <f>D273*K273</f>
        <v/>
      </c>
      <c r="M273" s="14" t="n"/>
      <c r="N273" s="335">
        <f>L273*M273</f>
        <v/>
      </c>
      <c r="Q273" s="75" t="inlineStr">
        <is>
          <t>EUROPE</t>
        </is>
      </c>
      <c r="R273" s="75" t="inlineStr">
        <is>
          <t>LITHUANIA</t>
        </is>
      </c>
      <c r="S273" s="75" t="n"/>
      <c r="T273" s="75" t="inlineStr">
        <is>
          <t>INSPECTORATE</t>
        </is>
      </c>
      <c r="U273" s="81" t="n">
        <v>169</v>
      </c>
      <c r="V273" s="53">
        <f>IF(U273&lt;130, "Mini Bulker", IF(AND(U273&gt;=130, U273&lt;150), "Handysize", IF(AND(U273&gt;=150, U273&lt;200), "Handymax", IF(AND(U273&gt;=200, U273&lt;230), "Panamax", IF(AND(U273&gt;=230, U273&lt;=270), "Capesize", "Autre")))))</f>
        <v/>
      </c>
      <c r="X273" s="14">
        <f>IF(E273&lt;9999,"1",IF(E273&lt;19999,"2",IF(E273&lt;29999,"3",IF(E273&lt;39999,"4",IF(E273&lt;49999,"5",IF(E273&gt;50000,"6"))))))</f>
        <v/>
      </c>
      <c r="Y273" s="99" t="inlineStr">
        <is>
          <t>1BIS</t>
        </is>
      </c>
      <c r="AA273" s="98" t="n"/>
      <c r="AB273" s="98" t="n"/>
      <c r="AC273" s="98" t="n"/>
      <c r="AD273" s="98" t="n"/>
      <c r="AE273" s="98" t="n"/>
      <c r="AF273" s="98" t="n"/>
      <c r="AG273" s="98" t="n"/>
      <c r="AH273" s="98" t="n"/>
      <c r="AI273" s="98" t="n"/>
      <c r="AJ273" s="98" t="n"/>
      <c r="AK273" s="98" t="n"/>
      <c r="AL273" s="98" t="n"/>
      <c r="AM273" s="98" t="n"/>
      <c r="AN273" s="98" t="n"/>
      <c r="AO273" s="98" t="n"/>
      <c r="AP273" s="98" t="n"/>
      <c r="AQ273" s="98" t="n"/>
      <c r="AR273" s="98" t="n"/>
      <c r="AS273" s="98" t="n"/>
      <c r="AT273" s="98" t="n"/>
      <c r="AU273" s="98" t="n"/>
      <c r="AV273" s="98" t="n"/>
      <c r="AW273" s="98" t="n"/>
      <c r="AX273" s="98" t="n"/>
      <c r="AY273" s="98" t="n"/>
      <c r="AZ273" s="98" t="n"/>
      <c r="BA273" s="98" t="n"/>
      <c r="BB273" s="98" t="n"/>
      <c r="BC273" s="98" t="n"/>
      <c r="BD273" s="98" t="n"/>
      <c r="BE273" s="98" t="n"/>
      <c r="BF273" s="98" t="n"/>
      <c r="BS273" s="97" t="inlineStr">
        <is>
          <t>NUL</t>
        </is>
      </c>
      <c r="BT273" s="99" t="n">
        <v>0</v>
      </c>
      <c r="BU273" s="99" t="inlineStr">
        <is>
          <t>CLEAN</t>
        </is>
      </c>
      <c r="BV273" s="99" t="n"/>
      <c r="BW273" s="332">
        <f>AI274-AH274</f>
        <v/>
      </c>
      <c r="CB273" s="14" t="n">
        <v>17019</v>
      </c>
    </row>
    <row r="274" ht="14.55" customHeight="1" s="70">
      <c r="A274" s="81" t="n"/>
      <c r="B274" s="343" t="inlineStr">
        <is>
          <t>NORD VIND</t>
        </is>
      </c>
      <c r="C274" s="15" t="n">
        <v>45799</v>
      </c>
      <c r="D274" s="329" t="n">
        <v>2395</v>
      </c>
      <c r="E274" s="330" t="n"/>
      <c r="F274" s="142" t="n"/>
      <c r="G274" s="81" t="n">
        <v>3</v>
      </c>
      <c r="H274" s="75" t="inlineStr">
        <is>
          <t>MAP</t>
        </is>
      </c>
      <c r="I274" s="306" t="inlineStr">
        <is>
          <t xml:space="preserve">MAP 11 52 Special Low Cd </t>
        </is>
      </c>
      <c r="J274" s="75" t="inlineStr">
        <is>
          <t>FOB</t>
        </is>
      </c>
      <c r="K274" s="82" t="n"/>
      <c r="L274" s="341">
        <f>D274*K274</f>
        <v/>
      </c>
      <c r="M274" s="14" t="n"/>
      <c r="N274" s="335">
        <f>L274*M274</f>
        <v/>
      </c>
      <c r="Q274" s="75" t="inlineStr">
        <is>
          <t>EUROPE</t>
        </is>
      </c>
      <c r="R274" s="75" t="inlineStr">
        <is>
          <t>LITHUANIA</t>
        </is>
      </c>
      <c r="S274" s="75" t="n"/>
      <c r="T274" s="75" t="inlineStr">
        <is>
          <t>INSPECTORATE</t>
        </is>
      </c>
      <c r="U274" s="81" t="n">
        <v>169</v>
      </c>
      <c r="V274" s="53">
        <f>IF(U274&lt;130, "Mini Bulker", IF(AND(U274&gt;=130, U274&lt;150), "Handysize", IF(AND(U274&gt;=150, U274&lt;200), "Handymax", IF(AND(U274&gt;=200, U274&lt;230), "Panamax", IF(AND(U274&gt;=230, U274&lt;=270), "Capesize", "Autre")))))</f>
        <v/>
      </c>
      <c r="X274" s="14">
        <f>IF(E274&lt;9999,"1",IF(E274&lt;19999,"2",IF(E274&lt;29999,"3",IF(E274&lt;39999,"4",IF(E274&lt;49999,"5",IF(E274&gt;50000,"6"))))))</f>
        <v/>
      </c>
      <c r="Y274" s="99" t="inlineStr">
        <is>
          <t>1BIS</t>
        </is>
      </c>
      <c r="AA274" s="218" t="n"/>
      <c r="AB274" s="218" t="n"/>
      <c r="AC274" s="98" t="n"/>
      <c r="AD274" s="98" t="n"/>
      <c r="AE274" s="218" t="n"/>
      <c r="AF274" s="218" t="n"/>
      <c r="AG274" s="218" t="n"/>
      <c r="AH274" s="218" t="n"/>
      <c r="AI274" s="218" t="n"/>
      <c r="AJ274" s="218" t="n"/>
      <c r="AK274" s="218" t="n"/>
      <c r="AL274" s="218" t="n"/>
      <c r="AM274" s="218" t="n"/>
      <c r="AN274" s="218" t="n"/>
      <c r="AO274" s="218" t="n"/>
      <c r="AP274" s="98" t="n"/>
      <c r="AQ274" s="98" t="n"/>
      <c r="AR274" s="98" t="n"/>
      <c r="AS274" s="98" t="n"/>
      <c r="AT274" s="98" t="n"/>
      <c r="AU274" s="98" t="n"/>
      <c r="AV274" s="98" t="n"/>
      <c r="AW274" s="98" t="n"/>
      <c r="AX274" s="98" t="n"/>
      <c r="AY274" s="98" t="n"/>
      <c r="AZ274" s="98" t="n"/>
      <c r="BA274" s="98" t="n"/>
      <c r="BB274" s="98" t="n"/>
      <c r="BC274" s="98" t="n"/>
      <c r="BD274" s="220" t="n"/>
      <c r="BE274" s="98" t="n"/>
      <c r="BF274" s="98" t="n"/>
      <c r="BS274" s="97" t="inlineStr">
        <is>
          <t>NUL</t>
        </is>
      </c>
      <c r="BT274" s="99" t="n">
        <v>0</v>
      </c>
      <c r="BU274" s="99" t="inlineStr">
        <is>
          <t>CLEAN</t>
        </is>
      </c>
      <c r="BV274" s="99" t="n"/>
      <c r="BW274" s="332">
        <f>AI275-AH275</f>
        <v/>
      </c>
      <c r="CB274" s="14" t="n">
        <v>17019</v>
      </c>
    </row>
    <row r="275" ht="14.55" customHeight="1" s="70">
      <c r="A275" s="81" t="n">
        <v>188</v>
      </c>
      <c r="B275" s="343" t="inlineStr">
        <is>
          <t>TALITHA</t>
        </is>
      </c>
      <c r="C275" s="15" t="n">
        <v>45799</v>
      </c>
      <c r="D275" s="329" t="n">
        <v>35000</v>
      </c>
      <c r="E275" s="329" t="n">
        <v>35000</v>
      </c>
      <c r="F275" s="142" t="inlineStr">
        <is>
          <t>OCP NUTRI</t>
        </is>
      </c>
      <c r="G275" s="81" t="n">
        <v>1</v>
      </c>
      <c r="H275" s="75" t="inlineStr">
        <is>
          <t>TSP</t>
        </is>
      </c>
      <c r="I275" s="306" t="inlineStr">
        <is>
          <t xml:space="preserve">TSP SPECIAL JORF </t>
        </is>
      </c>
      <c r="J275" s="75" t="inlineStr">
        <is>
          <t>CFR</t>
        </is>
      </c>
      <c r="K275" s="82" t="n">
        <v>520</v>
      </c>
      <c r="L275" s="341">
        <f>D275*K275</f>
        <v/>
      </c>
      <c r="M275" s="14" t="n">
        <v>9.2202</v>
      </c>
      <c r="N275" s="335">
        <f>L275*M275</f>
        <v/>
      </c>
      <c r="Q275" s="75" t="inlineStr">
        <is>
          <t>AMERIQUE LATINE</t>
        </is>
      </c>
      <c r="R275" s="75" t="inlineStr">
        <is>
          <t>BRAZIL</t>
        </is>
      </c>
      <c r="S275" s="75" t="n"/>
      <c r="T275" s="75" t="inlineStr">
        <is>
          <t>INSPECTORATE</t>
        </is>
      </c>
      <c r="U275" s="81" t="n">
        <v>177</v>
      </c>
      <c r="V275" s="53">
        <f>IF(U275&lt;130, "Mini Bulker", IF(AND(U275&gt;=130, U275&lt;150), "Handysize", IF(AND(U275&gt;=150, U275&lt;200), "Handymax", IF(AND(U275&gt;=200, U275&lt;230), "Panamax", IF(AND(U275&gt;=230, U275&lt;=270), "Capesize", "Autre")))))</f>
        <v/>
      </c>
      <c r="X275" s="14">
        <f>IF(E275&lt;9999,"1",IF(E275&lt;19999,"2",IF(E275&lt;29999,"3",IF(E275&lt;39999,"4",IF(E275&lt;49999,"5",IF(E275&gt;50000,"6"))))))</f>
        <v/>
      </c>
      <c r="Y275" s="99" t="inlineStr">
        <is>
          <t>2TER</t>
        </is>
      </c>
      <c r="AA275" s="26" t="n">
        <v>45786.96875</v>
      </c>
      <c r="AB275" s="26" t="n">
        <v>45787.375</v>
      </c>
      <c r="AC275" s="15" t="n">
        <v>45784</v>
      </c>
      <c r="AD275" s="15" t="n">
        <v>45786</v>
      </c>
      <c r="AE275" s="26" t="n">
        <v>45786.92916666667</v>
      </c>
      <c r="AF275" s="26" t="n">
        <v>45787.92569444444</v>
      </c>
      <c r="AG275" s="26" t="n">
        <v>45787.9875</v>
      </c>
      <c r="AH275" s="26" t="n">
        <v>45788.00694444445</v>
      </c>
      <c r="AI275" s="26" t="n">
        <v>45788.05902777778</v>
      </c>
      <c r="AJ275" s="26" t="n">
        <v>45788.06944444445</v>
      </c>
      <c r="AK275" s="26" t="n">
        <v>45799.35763888889</v>
      </c>
      <c r="AL275" s="26" t="n">
        <v>45799.38888888889</v>
      </c>
      <c r="AM275" s="26" t="n">
        <v>45799.40972222222</v>
      </c>
      <c r="AN275" s="26" t="n">
        <v>45799.45277777778</v>
      </c>
      <c r="AO275" s="26" t="n">
        <v>45799.56527777778</v>
      </c>
      <c r="AP275" s="20">
        <f>(AG275-AF275)*1440</f>
        <v/>
      </c>
      <c r="AQ275" s="20">
        <f>(AG275-AE275)*1440</f>
        <v/>
      </c>
      <c r="AR275" s="20">
        <f>(AH275-AF275)*1440</f>
        <v/>
      </c>
      <c r="AS275" s="20">
        <f>(AI275-AH275)*1440</f>
        <v/>
      </c>
      <c r="AT275" s="20">
        <f>(AJ275-AH275)*1440</f>
        <v/>
      </c>
      <c r="AU275" s="20">
        <f>(AL275-AK275)*1440</f>
        <v/>
      </c>
      <c r="AV275" s="20">
        <f>(AM275-AL275)*1440</f>
        <v/>
      </c>
      <c r="AW275" s="20">
        <f>(AO275-AM275)*1440</f>
        <v/>
      </c>
      <c r="AX275" s="19">
        <f>AP275+AS275+AU275+AV275+AW275</f>
        <v/>
      </c>
      <c r="AY275" s="18">
        <f>(AG275-AA275)</f>
        <v/>
      </c>
      <c r="AZ275" s="18">
        <f>(AK275-AJ275)</f>
        <v/>
      </c>
      <c r="BA275" s="18">
        <f>AO275-AG275</f>
        <v/>
      </c>
      <c r="BB275" s="18">
        <f>(AO275-AA275)-(AP275/1440)-(AW275/1440)</f>
        <v/>
      </c>
      <c r="BC275" s="20">
        <f>E275/AZ275</f>
        <v/>
      </c>
      <c r="BE275" s="20">
        <f>IF(E275&lt;10000,3000,IF(E275&lt;15000,3600,IF(E275&lt;20000,4500,IF(E275&lt;25000,6000,IF(E275&lt;30000,7500,IF(E275&lt;40000,9000,IF(E275&gt;40000,10000)))))))</f>
        <v/>
      </c>
      <c r="BF275" s="334">
        <f>(E275/BE275)+2</f>
        <v/>
      </c>
      <c r="BS275" s="97" t="inlineStr">
        <is>
          <t>NUL</t>
        </is>
      </c>
      <c r="BT275" s="99" t="n">
        <v>0</v>
      </c>
      <c r="BU275" s="99" t="n"/>
      <c r="BV275" s="99" t="n"/>
      <c r="BW275" s="332">
        <f>AI276-AH276</f>
        <v/>
      </c>
      <c r="CB275" s="14" t="n">
        <v>25859</v>
      </c>
    </row>
    <row r="276" ht="14.55" customHeight="1" s="70">
      <c r="A276" s="81" t="n">
        <v>191</v>
      </c>
      <c r="B276" s="343" t="inlineStr">
        <is>
          <t>HOPE 1</t>
        </is>
      </c>
      <c r="C276" s="15" t="n">
        <v>45800</v>
      </c>
      <c r="D276" s="329" t="n">
        <v>36911</v>
      </c>
      <c r="E276" s="333">
        <f>D276+D277</f>
        <v/>
      </c>
      <c r="F276" s="142" t="inlineStr">
        <is>
          <t>KOFERT</t>
        </is>
      </c>
      <c r="G276" s="81" t="n">
        <v>2</v>
      </c>
      <c r="H276" s="75" t="inlineStr">
        <is>
          <t>DAP</t>
        </is>
      </c>
      <c r="I276" s="306" t="inlineStr">
        <is>
          <t xml:space="preserve">DAP STANDARD </t>
        </is>
      </c>
      <c r="J276" s="75" t="inlineStr">
        <is>
          <t>CFR</t>
        </is>
      </c>
      <c r="K276" s="82" t="n">
        <v>696.63</v>
      </c>
      <c r="L276" s="341">
        <f>D276*K276</f>
        <v/>
      </c>
      <c r="M276" s="14" t="n">
        <v>9.2286</v>
      </c>
      <c r="N276" s="335">
        <f>L276*M276</f>
        <v/>
      </c>
      <c r="Q276" s="75" t="inlineStr">
        <is>
          <t>ASIE</t>
        </is>
      </c>
      <c r="R276" s="75" t="inlineStr">
        <is>
          <t>INDIA</t>
        </is>
      </c>
      <c r="S276" s="75" t="n"/>
      <c r="T276" s="75" t="inlineStr">
        <is>
          <t>INTERTEK</t>
        </is>
      </c>
      <c r="U276" s="81" t="n">
        <v>190</v>
      </c>
      <c r="V276" s="53">
        <f>IF(U276&lt;130, "Mini Bulker", IF(AND(U276&gt;=130, U276&lt;150), "Handysize", IF(AND(U276&gt;=150, U276&lt;200), "Handymax", IF(AND(U276&gt;=200, U276&lt;230), "Panamax", IF(AND(U276&gt;=230, U276&lt;=270), "Capesize", "Autre")))))</f>
        <v/>
      </c>
      <c r="X276" s="14">
        <f>IF(E276&lt;9999,"1",IF(E276&lt;19999,"2",IF(E276&lt;29999,"3",IF(E276&lt;39999,"4",IF(E276&lt;49999,"5",IF(E276&gt;50000,"6"))))))</f>
        <v/>
      </c>
      <c r="Y276" s="99" t="inlineStr">
        <is>
          <t>1BIS/2N</t>
        </is>
      </c>
      <c r="AA276" s="26" t="n">
        <v>45788.16666666666</v>
      </c>
      <c r="AB276" s="26" t="n">
        <v>45789.375</v>
      </c>
      <c r="AC276" s="15" t="n">
        <v>45784</v>
      </c>
      <c r="AD276" s="15" t="n">
        <v>45787</v>
      </c>
      <c r="AE276" s="26" t="n">
        <v>45788.125</v>
      </c>
      <c r="AF276" s="26" t="n">
        <v>45788.70138888889</v>
      </c>
      <c r="AG276" s="26" t="n">
        <v>45788.85833333333</v>
      </c>
      <c r="AH276" s="26" t="n">
        <v>45788.875</v>
      </c>
      <c r="AI276" s="26" t="n">
        <v>45788.94097222222</v>
      </c>
      <c r="AJ276" s="26" t="n">
        <v>45789.53125</v>
      </c>
      <c r="AK276" s="26" t="n">
        <v>45800.77430555555</v>
      </c>
      <c r="AL276" s="26" t="n">
        <v>45800.81597222222</v>
      </c>
      <c r="AM276" s="26" t="n">
        <v>45800.88194444445</v>
      </c>
      <c r="AN276" s="26" t="n">
        <v>45800.92638888889</v>
      </c>
      <c r="AO276" s="26" t="n">
        <v>45800.91944444444</v>
      </c>
      <c r="AP276" s="20">
        <f>(AG276-AF276)*1440</f>
        <v/>
      </c>
      <c r="AQ276" s="20">
        <f>(AG276-AE276)*1440</f>
        <v/>
      </c>
      <c r="AR276" s="20">
        <f>(AH276-AF276)*1440</f>
        <v/>
      </c>
      <c r="AS276" s="20">
        <f>(AI276-AH276)*1440</f>
        <v/>
      </c>
      <c r="AT276" s="20">
        <f>(AJ276-AH276)*1440</f>
        <v/>
      </c>
      <c r="AU276" s="20">
        <f>(AL276-AK276)*1440</f>
        <v/>
      </c>
      <c r="AV276" s="20">
        <f>(AM276-AL276)*1440</f>
        <v/>
      </c>
      <c r="AW276" s="20">
        <f>(AO276-AM276)*1440</f>
        <v/>
      </c>
      <c r="AX276" s="19">
        <f>AP276+AS276+AU276+AV276+AW276</f>
        <v/>
      </c>
      <c r="AY276" s="18">
        <f>(AG276-AA276)</f>
        <v/>
      </c>
      <c r="AZ276" s="18">
        <f>(AK276-AJ276)</f>
        <v/>
      </c>
      <c r="BA276" s="18">
        <f>AO276-AG276</f>
        <v/>
      </c>
      <c r="BB276" s="18">
        <f>(AO276-AA276)-(AP276/1440)-(AW276/1440)</f>
        <v/>
      </c>
      <c r="BC276" s="20">
        <f>E276/AZ276</f>
        <v/>
      </c>
      <c r="BE276" s="20">
        <f>IF(E276&lt;10000,3000,IF(E276&lt;15000,3600,IF(E276&lt;20000,4500,IF(E276&lt;25000,6000,IF(E276&lt;30000,7500,IF(E276&lt;40000,9000,IF(E276&gt;40000,10000)))))))</f>
        <v/>
      </c>
      <c r="BF276" s="334">
        <f>(E276/BE276)+2</f>
        <v/>
      </c>
      <c r="BG276" s="222" t="n"/>
      <c r="BH276" s="222" t="n"/>
      <c r="BI276" s="222" t="n"/>
      <c r="BJ276" s="222" t="n"/>
      <c r="BK276" s="222" t="n"/>
      <c r="BL276" s="222" t="n"/>
      <c r="BM276" s="222" t="n"/>
      <c r="BN276" s="222" t="n"/>
      <c r="BO276" s="222" t="n"/>
      <c r="BP276" s="222" t="n"/>
      <c r="BQ276" s="222" t="n"/>
      <c r="BR276" s="222" t="n"/>
      <c r="BS276" s="97" t="inlineStr">
        <is>
          <t xml:space="preserve"> CHANGE DU POSTE 1BIS VERS LA RADE LE 14/05- 2200 // RE-ACCOSTAGE AU POSTE 2N LE 21/05- 0925</t>
        </is>
      </c>
      <c r="BT276" s="99" t="n">
        <v>2</v>
      </c>
      <c r="BU276" s="99" t="n"/>
      <c r="BV276" s="99" t="n"/>
      <c r="BW276" s="332">
        <f>AI277-AH277</f>
        <v/>
      </c>
      <c r="BX276" s="99" t="inlineStr">
        <is>
          <t>NUL</t>
        </is>
      </c>
      <c r="CB276" s="14" t="n">
        <v>31753</v>
      </c>
    </row>
    <row r="277" ht="14.55" customHeight="1" s="70">
      <c r="A277" s="81" t="n"/>
      <c r="B277" s="343" t="inlineStr">
        <is>
          <t>HOPE 2</t>
        </is>
      </c>
      <c r="C277" s="15" t="n">
        <v>45800</v>
      </c>
      <c r="D277" s="329" t="n">
        <v>16170</v>
      </c>
      <c r="E277" s="330" t="n"/>
      <c r="F277" s="142" t="inlineStr">
        <is>
          <t>JFC5</t>
        </is>
      </c>
      <c r="G277" s="81" t="n">
        <v>2</v>
      </c>
      <c r="H277" s="75" t="inlineStr">
        <is>
          <t>TSP</t>
        </is>
      </c>
      <c r="I277" s="306" t="inlineStr">
        <is>
          <t xml:space="preserve">TSP CIV </t>
        </is>
      </c>
      <c r="J277" s="75" t="inlineStr">
        <is>
          <t>CFR</t>
        </is>
      </c>
      <c r="K277" s="82" t="n">
        <v>526.63</v>
      </c>
      <c r="L277" s="341">
        <f>D277*K277</f>
        <v/>
      </c>
      <c r="M277" s="14" t="n">
        <v>9.2286</v>
      </c>
      <c r="N277" s="335">
        <f>L277*M277</f>
        <v/>
      </c>
      <c r="Q277" s="75" t="inlineStr">
        <is>
          <t>ASIE</t>
        </is>
      </c>
      <c r="R277" s="75" t="inlineStr">
        <is>
          <t>INDIA</t>
        </is>
      </c>
      <c r="S277" s="75" t="n"/>
      <c r="T277" s="75" t="inlineStr">
        <is>
          <t>INTERTEK</t>
        </is>
      </c>
      <c r="U277" s="81" t="n">
        <v>190</v>
      </c>
      <c r="V277" s="53">
        <f>IF(U277&lt;130, "Mini Bulker", IF(AND(U277&gt;=130, U277&lt;150), "Handysize", IF(AND(U277&gt;=150, U277&lt;200), "Handymax", IF(AND(U277&gt;=200, U277&lt;230), "Panamax", IF(AND(U277&gt;=230, U277&lt;=270), "Capesize", "Autre")))))</f>
        <v/>
      </c>
      <c r="X277" s="14">
        <f>IF(E277&lt;9999,"1",IF(E277&lt;19999,"2",IF(E277&lt;29999,"3",IF(E277&lt;39999,"4",IF(E277&lt;49999,"5",IF(E277&gt;50000,"6"))))))</f>
        <v/>
      </c>
      <c r="Y277" s="99" t="inlineStr">
        <is>
          <t>1BIS/2N</t>
        </is>
      </c>
      <c r="AA277" s="98" t="n"/>
      <c r="AB277" s="98" t="n"/>
      <c r="AC277" s="98" t="n"/>
      <c r="AD277" s="98" t="n"/>
      <c r="AE277" s="98" t="n"/>
      <c r="AF277" s="98" t="n"/>
      <c r="AG277" s="98" t="n"/>
      <c r="AH277" s="98" t="n"/>
      <c r="AI277" s="98" t="n"/>
      <c r="AJ277" s="98" t="n"/>
      <c r="AK277" s="98" t="n"/>
      <c r="AL277" s="98" t="n"/>
      <c r="AM277" s="98" t="n"/>
      <c r="AN277" s="98" t="n"/>
      <c r="AO277" s="98" t="n"/>
      <c r="AP277" s="98" t="n"/>
      <c r="AQ277" s="98" t="n"/>
      <c r="AR277" s="98" t="n"/>
      <c r="AS277" s="98" t="n"/>
      <c r="AT277" s="98" t="n"/>
      <c r="AU277" s="98" t="n"/>
      <c r="AV277" s="98" t="n"/>
      <c r="AW277" s="98" t="n"/>
      <c r="AX277" s="98" t="n"/>
      <c r="AY277" s="98" t="n"/>
      <c r="AZ277" s="98" t="n"/>
      <c r="BA277" s="98" t="n"/>
      <c r="BB277" s="98" t="n"/>
      <c r="BC277" s="98" t="n"/>
      <c r="BD277" s="98" t="n"/>
      <c r="BE277" s="98" t="n"/>
      <c r="BF277" s="98" t="n"/>
      <c r="BG277" s="98" t="n"/>
      <c r="BH277" s="98" t="n"/>
      <c r="BI277" s="98" t="n"/>
      <c r="BJ277" s="98" t="n"/>
      <c r="BK277" s="98" t="n"/>
      <c r="BL277" s="98" t="n"/>
      <c r="BM277" s="98" t="n"/>
      <c r="BN277" s="98" t="n"/>
      <c r="BO277" s="98" t="n"/>
      <c r="BP277" s="98" t="n"/>
      <c r="BQ277" s="98" t="n"/>
      <c r="BR277" s="98" t="n"/>
      <c r="BS277" s="97" t="inlineStr">
        <is>
          <t xml:space="preserve"> CHANGE DU POSTE 1BIS VERS LA RADE LE 14/05- 2200 // RE-ACCOSTAGE AU POSTE 2N LE 21/05- 0925</t>
        </is>
      </c>
      <c r="BT277" s="99" t="n">
        <v>2</v>
      </c>
      <c r="BU277" s="99" t="n"/>
      <c r="BV277" s="99" t="n"/>
      <c r="BW277" s="332">
        <f>AI278-AH278</f>
        <v/>
      </c>
      <c r="BX277" s="99" t="n"/>
      <c r="CB277" s="14" t="n"/>
    </row>
    <row r="278" ht="14.55" customHeight="1" s="70">
      <c r="A278" s="81" t="n">
        <v>190</v>
      </c>
      <c r="B278" s="343" t="inlineStr">
        <is>
          <t>SEA CARRIER</t>
        </is>
      </c>
      <c r="C278" s="15" t="n">
        <v>45800</v>
      </c>
      <c r="D278" s="329" t="n">
        <v>2100</v>
      </c>
      <c r="E278" s="333">
        <f>D278+D279</f>
        <v/>
      </c>
      <c r="F278" s="142" t="inlineStr">
        <is>
          <t>JFC4</t>
        </is>
      </c>
      <c r="G278" s="81" t="n">
        <v>2</v>
      </c>
      <c r="H278" s="75" t="inlineStr">
        <is>
          <t>MAP</t>
        </is>
      </c>
      <c r="I278" s="306" t="inlineStr">
        <is>
          <t>MAP 11 52 Special Low Cd</t>
        </is>
      </c>
      <c r="J278" s="75" t="inlineStr">
        <is>
          <t>FOB</t>
        </is>
      </c>
      <c r="K278" s="82" t="n">
        <v>680</v>
      </c>
      <c r="L278" s="341">
        <f>D278*K278</f>
        <v/>
      </c>
      <c r="M278" s="14" t="n">
        <v>9.2286</v>
      </c>
      <c r="N278" s="335">
        <f>L278*M278</f>
        <v/>
      </c>
      <c r="Q278" s="75" t="inlineStr">
        <is>
          <t>EUROPE</t>
        </is>
      </c>
      <c r="R278" s="75" t="inlineStr">
        <is>
          <t>BELGIUM</t>
        </is>
      </c>
      <c r="S278" s="75" t="n"/>
      <c r="T278" s="75" t="inlineStr">
        <is>
          <t>INSPECTORATE</t>
        </is>
      </c>
      <c r="U278" s="81" t="n">
        <v>107</v>
      </c>
      <c r="V278" s="53">
        <f>IF(U278&lt;130, "Mini Bulker", IF(AND(U278&gt;=130, U278&lt;150), "Handysize", IF(AND(U278&gt;=150, U278&lt;200), "Handymax", IF(AND(U278&gt;=200, U278&lt;230), "Panamax", IF(AND(U278&gt;=230, U278&lt;=270), "Capesize", "Autre")))))</f>
        <v/>
      </c>
      <c r="X278" s="14">
        <f>IF(E278&lt;9999,"1",IF(E278&lt;19999,"2",IF(E278&lt;29999,"3",IF(E278&lt;39999,"4",IF(E278&lt;49999,"5",IF(E278&gt;50000,"6"))))))</f>
        <v/>
      </c>
      <c r="Y278" s="99" t="inlineStr">
        <is>
          <t>1N/2TER</t>
        </is>
      </c>
      <c r="AA278" s="26" t="n">
        <v>45795.87152777778</v>
      </c>
      <c r="AB278" s="26" t="n">
        <v>45796.375</v>
      </c>
      <c r="AC278" s="15" t="n">
        <v>45801</v>
      </c>
      <c r="AD278" s="15" t="n">
        <v>45803</v>
      </c>
      <c r="AE278" s="26" t="n">
        <v>45795.87152777778</v>
      </c>
      <c r="AF278" s="26" t="n">
        <v>45797.71805555555</v>
      </c>
      <c r="AG278" s="26" t="n">
        <v>45797.79861111111</v>
      </c>
      <c r="AH278" s="26" t="n">
        <v>45797.80555555555</v>
      </c>
      <c r="AI278" s="26" t="n">
        <v>45797.875</v>
      </c>
      <c r="AJ278" s="26" t="n">
        <v>45798.15</v>
      </c>
      <c r="AK278" s="26" t="n">
        <v>45800.34375</v>
      </c>
      <c r="AL278" s="26" t="n">
        <v>45800.38541666666</v>
      </c>
      <c r="AM278" s="26" t="n">
        <v>45800.41319444445</v>
      </c>
      <c r="AN278" s="26" t="n">
        <v>45800.45833333334</v>
      </c>
      <c r="AO278" s="26" t="n">
        <v>45800.48958333334</v>
      </c>
      <c r="AP278" s="20">
        <f>(AG278-AF278)*1440</f>
        <v/>
      </c>
      <c r="AQ278" s="20">
        <f>(AG278-AE278)*1440</f>
        <v/>
      </c>
      <c r="AR278" s="20">
        <f>(AH278-AF278)*1440</f>
        <v/>
      </c>
      <c r="AS278" s="20">
        <f>(AI278-AH278)*1440</f>
        <v/>
      </c>
      <c r="AT278" s="20">
        <f>(AJ278-AH278)*1440</f>
        <v/>
      </c>
      <c r="AU278" s="20">
        <f>(AL278-AK278)*1440</f>
        <v/>
      </c>
      <c r="AV278" s="20">
        <f>(AM278-AL278)*1440</f>
        <v/>
      </c>
      <c r="AW278" s="20">
        <f>(AO278-AM278)*1440</f>
        <v/>
      </c>
      <c r="AX278" s="19">
        <f>AP278+AS278+AU278+AV278+AW278</f>
        <v/>
      </c>
      <c r="AY278" s="18">
        <f>(AG278-AA278)</f>
        <v/>
      </c>
      <c r="AZ278" s="18">
        <f>(AK278-AJ278)</f>
        <v/>
      </c>
      <c r="BA278" s="18">
        <f>AO278-AG278</f>
        <v/>
      </c>
      <c r="BB278" s="18">
        <f>(AO278-AA278)-(AP278/1440)-(AW278/1440)</f>
        <v/>
      </c>
      <c r="BC278" s="20">
        <f>E278/AZ278</f>
        <v/>
      </c>
      <c r="BE278" s="20">
        <f>IF(E278&lt;10000,3000,IF(E278&lt;15000,3600,IF(E278&lt;20000,4500,IF(E278&lt;25000,6000,IF(E278&lt;30000,7500,IF(E278&lt;40000,9000,IF(E278&gt;40000,10000)))))))</f>
        <v/>
      </c>
      <c r="BF278" s="334">
        <f>(E278/BE278)+2</f>
        <v/>
      </c>
      <c r="BG278" s="216" t="n"/>
      <c r="BH278" s="216" t="n"/>
      <c r="BI278" s="216" t="n"/>
      <c r="BJ278" s="216" t="n"/>
      <c r="BK278" s="216" t="n"/>
      <c r="BL278" s="216" t="n"/>
      <c r="BM278" s="216" t="n"/>
      <c r="BN278" s="216" t="n"/>
      <c r="BO278" s="216" t="n"/>
      <c r="BP278" s="216" t="n"/>
      <c r="BQ278" s="216" t="n"/>
      <c r="BR278" s="216" t="n"/>
      <c r="BS278" s="97" t="inlineStr">
        <is>
          <t>CHANGE DU POSTE 1N VERS POSTE 2TER LE 22/05- 1445</t>
        </is>
      </c>
      <c r="BT278" s="99" t="n">
        <v>1</v>
      </c>
      <c r="BU278" s="99" t="n"/>
      <c r="BV278" s="99" t="n"/>
      <c r="BW278" s="332">
        <f>AI279-AH279</f>
        <v/>
      </c>
      <c r="BX278" s="99" t="n"/>
      <c r="CB278" s="14" t="n">
        <v>6668</v>
      </c>
    </row>
    <row r="279" ht="14.55" customHeight="1" s="70">
      <c r="A279" s="81" t="n"/>
      <c r="B279" s="343" t="inlineStr">
        <is>
          <t>SEA CARRIER</t>
        </is>
      </c>
      <c r="C279" s="15" t="n">
        <v>45800</v>
      </c>
      <c r="D279" s="329" t="n">
        <v>7150</v>
      </c>
      <c r="E279" s="330" t="n"/>
      <c r="F279" s="142" t="inlineStr">
        <is>
          <t>OCP NUTRI</t>
        </is>
      </c>
      <c r="G279" s="81" t="n">
        <v>2</v>
      </c>
      <c r="H279" s="75" t="inlineStr">
        <is>
          <t>TSP</t>
        </is>
      </c>
      <c r="I279" s="306" t="inlineStr">
        <is>
          <t>TSP EURO</t>
        </is>
      </c>
      <c r="J279" s="75" t="inlineStr">
        <is>
          <t>FOB</t>
        </is>
      </c>
      <c r="K279" s="82" t="n">
        <v>517.5</v>
      </c>
      <c r="L279" s="341">
        <f>D279*K279</f>
        <v/>
      </c>
      <c r="M279" s="14" t="n">
        <v>9.2286</v>
      </c>
      <c r="N279" s="335">
        <f>L279*M279</f>
        <v/>
      </c>
      <c r="Q279" s="75" t="inlineStr">
        <is>
          <t>EUROPE</t>
        </is>
      </c>
      <c r="R279" s="75" t="inlineStr">
        <is>
          <t>BELGIUM</t>
        </is>
      </c>
      <c r="S279" s="75" t="n"/>
      <c r="T279" s="75" t="inlineStr">
        <is>
          <t>INSPECTORATE</t>
        </is>
      </c>
      <c r="U279" s="81" t="n">
        <v>107</v>
      </c>
      <c r="V279" s="53">
        <f>IF(U279&lt;130, "Mini Bulker", IF(AND(U279&gt;=130, U279&lt;150), "Handysize", IF(AND(U279&gt;=150, U279&lt;200), "Handymax", IF(AND(U279&gt;=200, U279&lt;230), "Panamax", IF(AND(U279&gt;=230, U279&lt;=270), "Capesize", "Autre")))))</f>
        <v/>
      </c>
      <c r="X279" s="14">
        <f>IF(E279&lt;9999,"1",IF(E279&lt;19999,"2",IF(E279&lt;29999,"3",IF(E279&lt;39999,"4",IF(E279&lt;49999,"5",IF(E279&gt;50000,"6"))))))</f>
        <v/>
      </c>
      <c r="Y279" s="99" t="inlineStr">
        <is>
          <t>1N/2TER</t>
        </is>
      </c>
      <c r="AA279" s="98" t="n"/>
      <c r="AB279" s="98" t="n"/>
      <c r="AC279" s="98" t="n"/>
      <c r="AD279" s="98" t="n"/>
      <c r="AE279" s="98" t="n"/>
      <c r="AF279" s="98" t="n"/>
      <c r="AG279" s="98" t="n"/>
      <c r="AH279" s="98" t="n"/>
      <c r="AI279" s="98" t="n"/>
      <c r="AJ279" s="98" t="n"/>
      <c r="AK279" s="98" t="n"/>
      <c r="AL279" s="98" t="n"/>
      <c r="AM279" s="98" t="n"/>
      <c r="AN279" s="98" t="n"/>
      <c r="AO279" s="98" t="n"/>
      <c r="AP279" s="98" t="n"/>
      <c r="AQ279" s="98" t="n"/>
      <c r="AR279" s="98" t="n"/>
      <c r="AS279" s="98" t="n"/>
      <c r="AT279" s="98" t="n"/>
      <c r="AU279" s="98" t="n"/>
      <c r="AV279" s="98" t="n"/>
      <c r="AW279" s="98" t="n"/>
      <c r="AX279" s="98" t="n"/>
      <c r="AY279" s="98" t="n"/>
      <c r="AZ279" s="98" t="n"/>
      <c r="BA279" s="98" t="n"/>
      <c r="BB279" s="98" t="n"/>
      <c r="BC279" s="98" t="n"/>
      <c r="BD279" s="98" t="n"/>
      <c r="BE279" s="98" t="n"/>
      <c r="BF279" s="98" t="n"/>
      <c r="BG279" s="98" t="n"/>
      <c r="BH279" s="98" t="n"/>
      <c r="BI279" s="98" t="n"/>
      <c r="BJ279" s="98" t="n"/>
      <c r="BK279" s="98" t="n"/>
      <c r="BL279" s="98" t="n"/>
      <c r="BM279" s="98" t="n"/>
      <c r="BN279" s="98" t="n"/>
      <c r="BO279" s="98" t="n"/>
      <c r="BP279" s="98" t="n"/>
      <c r="BQ279" s="98" t="n"/>
      <c r="BR279" s="98" t="n"/>
      <c r="BS279" s="97" t="inlineStr">
        <is>
          <t>CHANGE DU POSTE 1N VERS POSTE 2TER LE 22/05- 1446</t>
        </is>
      </c>
      <c r="BT279" s="99" t="n">
        <v>1</v>
      </c>
      <c r="BU279" s="99" t="n"/>
      <c r="BV279" s="99" t="n"/>
      <c r="BW279" s="332">
        <f>AI280-AH280</f>
        <v/>
      </c>
      <c r="BX279" s="99" t="n"/>
      <c r="CB279" s="14" t="n"/>
    </row>
    <row r="280" ht="14.55" customHeight="1" s="70">
      <c r="A280" s="81" t="n">
        <v>192</v>
      </c>
      <c r="B280" s="343" t="inlineStr">
        <is>
          <t>RIX GULF</t>
        </is>
      </c>
      <c r="C280" s="15" t="n">
        <v>45801</v>
      </c>
      <c r="D280" s="329" t="n">
        <v>2080</v>
      </c>
      <c r="E280" s="333">
        <f>D280+D281</f>
        <v/>
      </c>
      <c r="F280" s="142" t="inlineStr">
        <is>
          <t>OCP NUTRI</t>
        </is>
      </c>
      <c r="G280" s="81" t="n">
        <v>2</v>
      </c>
      <c r="H280" s="75" t="inlineStr">
        <is>
          <t>NPK</t>
        </is>
      </c>
      <c r="I280" s="306" t="inlineStr">
        <is>
          <t xml:space="preserve">NPK 10 26 26 Low Cd </t>
        </is>
      </c>
      <c r="J280" s="75" t="inlineStr">
        <is>
          <t>FOB</t>
        </is>
      </c>
      <c r="K280" s="82" t="n">
        <v>555</v>
      </c>
      <c r="L280" s="341">
        <f>D280*K280</f>
        <v/>
      </c>
      <c r="M280" s="14" t="n">
        <v>9.208600000000001</v>
      </c>
      <c r="N280" s="335">
        <f>L280*M280</f>
        <v/>
      </c>
      <c r="Q280" s="75" t="inlineStr">
        <is>
          <t>EUROPE</t>
        </is>
      </c>
      <c r="R280" s="75" t="inlineStr">
        <is>
          <t>SUEDE</t>
        </is>
      </c>
      <c r="S280" s="75" t="n"/>
      <c r="T280" s="75" t="inlineStr">
        <is>
          <t>INSPECTORATE</t>
        </is>
      </c>
      <c r="U280" s="81" t="n">
        <v>92</v>
      </c>
      <c r="V280" s="53">
        <f>IF(U280&lt;130, "Mini Bulker", IF(AND(U280&gt;=130, U280&lt;150), "Handysize", IF(AND(U280&gt;=150, U280&lt;200), "Handymax", IF(AND(U280&gt;=200, U280&lt;230), "Panamax", IF(AND(U280&gt;=230, U280&lt;=270), "Capesize", "Autre")))))</f>
        <v/>
      </c>
      <c r="X280" s="14">
        <f>IF(E280&lt;9999,"1",IF(E280&lt;19999,"2",IF(E280&lt;29999,"3",IF(E280&lt;39999,"4",IF(E280&lt;49999,"5",IF(E280&gt;50000,"6"))))))</f>
        <v/>
      </c>
      <c r="Y280" s="99" t="inlineStr">
        <is>
          <t>1BIS/2BIS</t>
        </is>
      </c>
      <c r="AA280" s="26" t="n">
        <v>45798.52430555555</v>
      </c>
      <c r="AB280" s="26" t="n">
        <v>45798.52430555555</v>
      </c>
      <c r="AC280" s="15" t="n">
        <v>45800</v>
      </c>
      <c r="AD280" s="15" t="n">
        <v>45802</v>
      </c>
      <c r="AE280" s="26" t="n">
        <v>45798.52430555555</v>
      </c>
      <c r="AF280" s="26" t="n">
        <v>45799.23958333334</v>
      </c>
      <c r="AG280" s="26" t="n">
        <v>45799.28819444445</v>
      </c>
      <c r="AH280" s="26" t="n">
        <v>45799.29513888889</v>
      </c>
      <c r="AI280" s="26" t="n">
        <v>45799.41666666666</v>
      </c>
      <c r="AJ280" s="26" t="n">
        <v>45799.45833333334</v>
      </c>
      <c r="AK280" s="26" t="n">
        <v>45801.84027777778</v>
      </c>
      <c r="AL280" s="26" t="n">
        <v>45801.86458333334</v>
      </c>
      <c r="AM280" s="26" t="n">
        <v>45801.90625</v>
      </c>
      <c r="AN280" s="26" t="n">
        <v>45801.96736111111</v>
      </c>
      <c r="AO280" s="26" t="n">
        <v>45801.98472222222</v>
      </c>
      <c r="AP280" s="20">
        <f>(AG280-AF280)*1440</f>
        <v/>
      </c>
      <c r="AQ280" s="20">
        <f>(AG280-AE280)*1440</f>
        <v/>
      </c>
      <c r="AR280" s="20">
        <f>(AH280-AF280)*1440</f>
        <v/>
      </c>
      <c r="AS280" s="20">
        <f>(AI280-AH280)*1440</f>
        <v/>
      </c>
      <c r="AT280" s="20">
        <f>(AJ280-AH280)*1440</f>
        <v/>
      </c>
      <c r="AU280" s="20">
        <f>(AL280-AK280)*1440</f>
        <v/>
      </c>
      <c r="AV280" s="20">
        <f>(AM280-AL280)*1440</f>
        <v/>
      </c>
      <c r="AW280" s="20">
        <f>(AO280-AM280)*1440</f>
        <v/>
      </c>
      <c r="AX280" s="19">
        <f>AP280+AS280+AU280+AV280+AW280</f>
        <v/>
      </c>
      <c r="AY280" s="18">
        <f>(AG280-AA280)</f>
        <v/>
      </c>
      <c r="AZ280" s="18">
        <f>(AK280-AJ280)</f>
        <v/>
      </c>
      <c r="BA280" s="18">
        <f>AO280-AG280</f>
        <v/>
      </c>
      <c r="BB280" s="18">
        <f>(AO280-AA280)-(AP280/1440)-(AW280/1440)</f>
        <v/>
      </c>
      <c r="BC280" s="20">
        <f>E280/AZ280</f>
        <v/>
      </c>
      <c r="BE280" s="20">
        <f>IF(E280&lt;10000,3000,IF(E280&lt;15000,3600,IF(E280&lt;20000,4500,IF(E280&lt;25000,6000,IF(E280&lt;30000,7500,IF(E280&lt;40000,9000,IF(E280&gt;40000,10000)))))))</f>
        <v/>
      </c>
      <c r="BF280" s="334">
        <f>(E280/BE280)+2</f>
        <v/>
      </c>
      <c r="BG280" s="26" t="n"/>
      <c r="BH280" s="26" t="n"/>
      <c r="BI280" s="26" t="n"/>
      <c r="BJ280" s="26" t="n"/>
      <c r="BK280" s="26" t="n"/>
      <c r="BL280" s="26" t="n"/>
      <c r="BM280" s="26" t="n"/>
      <c r="BN280" s="26" t="n"/>
      <c r="BO280" s="26" t="n"/>
      <c r="BP280" s="26" t="n"/>
      <c r="BQ280" s="26" t="n"/>
      <c r="BR280" s="26" t="n"/>
      <c r="BS280" s="97" t="inlineStr">
        <is>
          <t>CHANGE DU POSTE 1BIS VERS LA RADE LE 23/05- 1125 // RE-ACCOSTAGE AU POSTE 2BIS LE 24/04 - 1254</t>
        </is>
      </c>
      <c r="BT280" s="99" t="n">
        <v>2</v>
      </c>
      <c r="BU280" s="99" t="n"/>
      <c r="BV280" s="99" t="n"/>
      <c r="BW280" s="332">
        <f>AI281-AH281</f>
        <v/>
      </c>
      <c r="BX280" s="99" t="n"/>
      <c r="CB280" s="14" t="n">
        <v>2982</v>
      </c>
    </row>
    <row r="281" ht="14.55" customHeight="1" s="70">
      <c r="A281" s="81" t="n"/>
      <c r="B281" s="343" t="inlineStr">
        <is>
          <t>RIX GULF</t>
        </is>
      </c>
      <c r="C281" s="15" t="n">
        <v>45801</v>
      </c>
      <c r="D281" s="329" t="n">
        <v>2080</v>
      </c>
      <c r="E281" s="330" t="n"/>
      <c r="F281" s="142" t="inlineStr">
        <is>
          <t>JFC4</t>
        </is>
      </c>
      <c r="G281" s="81" t="n">
        <v>2</v>
      </c>
      <c r="H281" s="75" t="inlineStr">
        <is>
          <t>MAP</t>
        </is>
      </c>
      <c r="I281" s="306" t="inlineStr">
        <is>
          <t xml:space="preserve">MAP 11 52 Special Low Cd </t>
        </is>
      </c>
      <c r="J281" s="75" t="inlineStr">
        <is>
          <t>FOB</t>
        </is>
      </c>
      <c r="K281" s="82" t="n">
        <v>665</v>
      </c>
      <c r="L281" s="341">
        <f>D281*K281</f>
        <v/>
      </c>
      <c r="M281" s="14" t="n">
        <v>9.208600000000001</v>
      </c>
      <c r="N281" s="335">
        <f>L281*M281</f>
        <v/>
      </c>
      <c r="Q281" s="75" t="inlineStr">
        <is>
          <t>EUROPE</t>
        </is>
      </c>
      <c r="R281" s="75" t="inlineStr">
        <is>
          <t>SUEDE</t>
        </is>
      </c>
      <c r="S281" s="75" t="n"/>
      <c r="T281" s="75" t="inlineStr">
        <is>
          <t>INSPECTORATE</t>
        </is>
      </c>
      <c r="U281" s="81" t="n">
        <v>92</v>
      </c>
      <c r="V281" s="53">
        <f>IF(U281&lt;130, "Mini Bulker", IF(AND(U281&gt;=130, U281&lt;150), "Handysize", IF(AND(U281&gt;=150, U281&lt;200), "Handymax", IF(AND(U281&gt;=200, U281&lt;230), "Panamax", IF(AND(U281&gt;=230, U281&lt;=270), "Capesize", "Autre")))))</f>
        <v/>
      </c>
      <c r="X281" s="14">
        <f>IF(E281&lt;9999,"1",IF(E281&lt;19999,"2",IF(E281&lt;29999,"3",IF(E281&lt;39999,"4",IF(E281&lt;49999,"5",IF(E281&gt;50000,"6"))))))</f>
        <v/>
      </c>
      <c r="Y281" s="99" t="inlineStr">
        <is>
          <t>1BIS/2BIS</t>
        </is>
      </c>
      <c r="AA281" s="98" t="n"/>
      <c r="AB281" s="98" t="n"/>
      <c r="AC281" s="98" t="n"/>
      <c r="AD281" s="98" t="n"/>
      <c r="AE281" s="98" t="n"/>
      <c r="AF281" s="98" t="n"/>
      <c r="AG281" s="98" t="n"/>
      <c r="AH281" s="98" t="n"/>
      <c r="AI281" s="98" t="n"/>
      <c r="AJ281" s="98" t="n"/>
      <c r="AK281" s="98" t="n"/>
      <c r="AL281" s="98" t="n"/>
      <c r="AM281" s="98" t="n"/>
      <c r="AN281" s="98" t="n"/>
      <c r="AO281" s="98" t="n"/>
      <c r="AP281" s="98" t="n"/>
      <c r="AQ281" s="98" t="n"/>
      <c r="AR281" s="98" t="n"/>
      <c r="AS281" s="98" t="n"/>
      <c r="AT281" s="98" t="n"/>
      <c r="AU281" s="98" t="n"/>
      <c r="AV281" s="98" t="n"/>
      <c r="AW281" s="98" t="n"/>
      <c r="AX281" s="98" t="n"/>
      <c r="AY281" s="98" t="n"/>
      <c r="AZ281" s="98" t="n"/>
      <c r="BA281" s="98" t="n"/>
      <c r="BB281" s="98" t="n"/>
      <c r="BC281" s="98" t="n"/>
      <c r="BD281" s="98" t="n"/>
      <c r="BE281" s="98" t="n"/>
      <c r="BF281" s="98" t="n"/>
      <c r="BG281" s="98" t="n"/>
      <c r="BH281" s="98" t="n"/>
      <c r="BI281" s="98" t="n"/>
      <c r="BJ281" s="98" t="n"/>
      <c r="BK281" s="98" t="n"/>
      <c r="BL281" s="98" t="n"/>
      <c r="BM281" s="98" t="n"/>
      <c r="BN281" s="98" t="n"/>
      <c r="BO281" s="98" t="n"/>
      <c r="BP281" s="98" t="n"/>
      <c r="BQ281" s="98" t="n"/>
      <c r="BR281" s="98" t="n"/>
      <c r="BS281" s="97" t="inlineStr">
        <is>
          <t>CHANGE DU POSTE 1BIS VERS LA RADE LE 23/05- 1125 // RE-ACCOSTAGE AU POSTE 2BIS LE 24/04 - 1254</t>
        </is>
      </c>
      <c r="BT281" s="99" t="n">
        <v>2</v>
      </c>
      <c r="BU281" s="99" t="n"/>
      <c r="BV281" s="99" t="n"/>
      <c r="BW281" s="332">
        <f>AI282-AH282</f>
        <v/>
      </c>
      <c r="BX281" s="99" t="n"/>
      <c r="CB281" s="14" t="n"/>
    </row>
    <row r="282" ht="14.55" customHeight="1" s="70">
      <c r="A282" s="81" t="n">
        <v>193</v>
      </c>
      <c r="B282" s="343" t="inlineStr">
        <is>
          <t>ARKLOW BANK</t>
        </is>
      </c>
      <c r="C282" s="15" t="n">
        <v>45803</v>
      </c>
      <c r="D282" s="329" t="n">
        <v>3831</v>
      </c>
      <c r="E282" s="333">
        <f>D282+D283</f>
        <v/>
      </c>
      <c r="F282" s="142" t="n"/>
      <c r="G282" s="81" t="n">
        <v>2</v>
      </c>
      <c r="H282" s="75" t="inlineStr">
        <is>
          <t>NPK</t>
        </is>
      </c>
      <c r="I282" s="306" t="inlineStr">
        <is>
          <t xml:space="preserve">NPK 10 26 26 Low Cd </t>
        </is>
      </c>
      <c r="J282" s="75" t="inlineStr">
        <is>
          <t>FOB</t>
        </is>
      </c>
      <c r="K282" s="82" t="n"/>
      <c r="L282" s="341">
        <f>D282*K282</f>
        <v/>
      </c>
      <c r="M282" s="14" t="n"/>
      <c r="N282" s="335">
        <f>L282*M282</f>
        <v/>
      </c>
      <c r="Q282" s="75" t="inlineStr">
        <is>
          <t>EUROPE</t>
        </is>
      </c>
      <c r="R282" s="75" t="inlineStr">
        <is>
          <t>Lettonie</t>
        </is>
      </c>
      <c r="S282" s="75" t="n"/>
      <c r="T282" s="75" t="inlineStr">
        <is>
          <t>INSPECTORATE</t>
        </is>
      </c>
      <c r="U282" s="81" t="n">
        <v>119</v>
      </c>
      <c r="V282" s="53">
        <f>IF(U282&lt;130, "Mini Bulker", IF(AND(U282&gt;=130, U282&lt;150), "Handysize", IF(AND(U282&gt;=150, U282&lt;200), "Handymax", IF(AND(U282&gt;=200, U282&lt;230), "Panamax", IF(AND(U282&gt;=230, U282&lt;=270), "Capesize", "Autre")))))</f>
        <v/>
      </c>
      <c r="X282" s="14">
        <f>IF(E282&lt;9999,"1",IF(E282&lt;19999,"2",IF(E282&lt;29999,"3",IF(E282&lt;39999,"4",IF(E282&lt;49999,"5",IF(E282&gt;50000,"6"))))))</f>
        <v/>
      </c>
      <c r="Y282" s="99" t="inlineStr">
        <is>
          <t>2TER</t>
        </is>
      </c>
      <c r="AA282" s="26" t="n">
        <v>45800.375</v>
      </c>
      <c r="AB282" s="26" t="n">
        <v>45800.375</v>
      </c>
      <c r="AC282" s="15" t="n">
        <v>45801</v>
      </c>
      <c r="AD282" s="15" t="n">
        <v>45803</v>
      </c>
      <c r="AE282" s="26" t="n">
        <v>45800.375</v>
      </c>
      <c r="AF282" s="26" t="n">
        <v>45801.94236111111</v>
      </c>
      <c r="AG282" s="26" t="n">
        <v>45801.97916666666</v>
      </c>
      <c r="AH282" s="26" t="n">
        <v>45801.98611111111</v>
      </c>
      <c r="AI282" s="26" t="n">
        <v>45802.04861111111</v>
      </c>
      <c r="AJ282" s="26" t="n">
        <v>45802.09027777778</v>
      </c>
      <c r="AK282" s="26" t="n">
        <v>45803.40972222222</v>
      </c>
      <c r="AL282" s="26" t="n">
        <v>45803.4375</v>
      </c>
      <c r="AM282" s="26" t="n">
        <v>45803.46875</v>
      </c>
      <c r="AN282" s="26" t="n">
        <v>45803.52083333334</v>
      </c>
      <c r="AO282" s="26" t="n">
        <v>45803.54166666666</v>
      </c>
      <c r="AP282" s="20">
        <f>(AG282-AF282)*1440</f>
        <v/>
      </c>
      <c r="AQ282" s="20">
        <f>(AG282-AE282)*1440</f>
        <v/>
      </c>
      <c r="AR282" s="20">
        <f>(AH282-AF282)*1440</f>
        <v/>
      </c>
      <c r="AS282" s="20">
        <f>(AI282-AH282)*1440</f>
        <v/>
      </c>
      <c r="AT282" s="20">
        <f>(AJ282-AH282)*1440</f>
        <v/>
      </c>
      <c r="AU282" s="20">
        <f>(AL282-AK282)*1440</f>
        <v/>
      </c>
      <c r="AV282" s="20">
        <f>(AM282-AL282)*1440</f>
        <v/>
      </c>
      <c r="AW282" s="20">
        <f>(AO282-AM282)*1440</f>
        <v/>
      </c>
      <c r="AX282" s="19">
        <f>AP282+AS282+AU282+AV282+AW282</f>
        <v/>
      </c>
      <c r="AY282" s="18">
        <f>(AG282-AA282)</f>
        <v/>
      </c>
      <c r="AZ282" s="18">
        <f>(AK282-AJ282)</f>
        <v/>
      </c>
      <c r="BA282" s="18">
        <f>AO282-AG282</f>
        <v/>
      </c>
      <c r="BB282" s="18">
        <f>(AO282-AA282)-(AP282/1440)-(AW282/1440)</f>
        <v/>
      </c>
      <c r="BC282" s="20">
        <f>E282/AZ282</f>
        <v/>
      </c>
      <c r="BE282" s="20">
        <f>IF(E282&lt;10000,3000,IF(E282&lt;15000,3600,IF(E282&lt;20000,4500,IF(E282&lt;25000,6000,IF(E282&lt;30000,7500,IF(E282&lt;40000,9000,IF(E282&gt;40000,10000)))))))</f>
        <v/>
      </c>
      <c r="BF282" s="334">
        <f>(E282/BE282)+2</f>
        <v/>
      </c>
      <c r="BS282" s="97" t="inlineStr">
        <is>
          <t>NUL</t>
        </is>
      </c>
      <c r="BT282" s="99" t="n">
        <v>0</v>
      </c>
      <c r="BU282" s="99" t="n"/>
      <c r="BV282" s="99" t="n"/>
      <c r="BW282" s="332">
        <f>AI283-AH283</f>
        <v/>
      </c>
      <c r="BX282" s="99" t="n"/>
      <c r="CB282" s="14" t="n">
        <v>5065</v>
      </c>
    </row>
    <row r="283" ht="14.55" customHeight="1" s="70">
      <c r="A283" s="81" t="n"/>
      <c r="B283" s="343" t="inlineStr">
        <is>
          <t>ARKLOW BANK</t>
        </is>
      </c>
      <c r="C283" s="15" t="n">
        <v>45803</v>
      </c>
      <c r="D283" s="329" t="n">
        <v>3300</v>
      </c>
      <c r="E283" s="330" t="n"/>
      <c r="F283" s="142" t="n"/>
      <c r="G283" s="81" t="n">
        <v>2</v>
      </c>
      <c r="H283" s="75" t="inlineStr">
        <is>
          <t>MAP</t>
        </is>
      </c>
      <c r="I283" s="306" t="inlineStr">
        <is>
          <t xml:space="preserve">MAP 11 52 Special Low Cd </t>
        </is>
      </c>
      <c r="J283" s="75" t="inlineStr">
        <is>
          <t>FOB</t>
        </is>
      </c>
      <c r="K283" s="82" t="n"/>
      <c r="L283" s="341">
        <f>D283*K283</f>
        <v/>
      </c>
      <c r="M283" s="14" t="n"/>
      <c r="N283" s="335">
        <f>L283*M283</f>
        <v/>
      </c>
      <c r="Q283" s="75" t="inlineStr">
        <is>
          <t>EUROPE</t>
        </is>
      </c>
      <c r="R283" s="75" t="inlineStr">
        <is>
          <t>Lettonie</t>
        </is>
      </c>
      <c r="S283" s="75" t="n"/>
      <c r="T283" s="75" t="inlineStr">
        <is>
          <t>INSPECTORATE</t>
        </is>
      </c>
      <c r="U283" s="81" t="n">
        <v>119</v>
      </c>
      <c r="V283" s="53">
        <f>IF(U283&lt;130, "Mini Bulker", IF(AND(U283&gt;=130, U283&lt;150), "Handysize", IF(AND(U283&gt;=150, U283&lt;200), "Handymax", IF(AND(U283&gt;=200, U283&lt;230), "Panamax", IF(AND(U283&gt;=230, U283&lt;=270), "Capesize", "Autre")))))</f>
        <v/>
      </c>
      <c r="X283" s="14">
        <f>IF(E283&lt;9999,"1",IF(E283&lt;19999,"2",IF(E283&lt;29999,"3",IF(E283&lt;39999,"4",IF(E283&lt;49999,"5",IF(E283&gt;50000,"6"))))))</f>
        <v/>
      </c>
      <c r="Y283" s="99" t="inlineStr">
        <is>
          <t>2TER</t>
        </is>
      </c>
      <c r="AA283" s="98" t="n"/>
      <c r="AB283" s="98" t="n"/>
      <c r="AC283" s="98" t="n"/>
      <c r="AD283" s="98" t="n"/>
      <c r="AE283" s="98" t="n"/>
      <c r="AF283" s="98" t="n"/>
      <c r="AG283" s="98" t="n"/>
      <c r="AH283" s="98" t="n"/>
      <c r="AI283" s="98" t="n"/>
      <c r="AJ283" s="98" t="n"/>
      <c r="AK283" s="98" t="n"/>
      <c r="AL283" s="98" t="n"/>
      <c r="AM283" s="98" t="n"/>
      <c r="AN283" s="98" t="n"/>
      <c r="AO283" s="98" t="n"/>
      <c r="AP283" s="98" t="n"/>
      <c r="AQ283" s="98" t="n"/>
      <c r="AR283" s="98" t="n"/>
      <c r="AS283" s="98" t="n"/>
      <c r="AT283" s="98" t="n"/>
      <c r="AU283" s="98" t="n"/>
      <c r="AV283" s="98" t="n"/>
      <c r="AW283" s="98" t="n"/>
      <c r="AX283" s="98" t="n"/>
      <c r="AY283" s="98" t="n"/>
      <c r="AZ283" s="98" t="n"/>
      <c r="BA283" s="98" t="n"/>
      <c r="BB283" s="98" t="n"/>
      <c r="BC283" s="98" t="n"/>
      <c r="BD283" s="98" t="n"/>
      <c r="BE283" s="98" t="n"/>
      <c r="BF283" s="98" t="n"/>
      <c r="BS283" s="97" t="inlineStr">
        <is>
          <t>NUL</t>
        </is>
      </c>
      <c r="BT283" s="99" t="n">
        <v>0</v>
      </c>
      <c r="BU283" s="99" t="n"/>
      <c r="BV283" s="99" t="n"/>
      <c r="BW283" s="332">
        <f>AI284-AJ284</f>
        <v/>
      </c>
      <c r="BX283" s="99" t="n"/>
      <c r="CB283" s="14" t="n"/>
    </row>
    <row r="284" ht="14.55" customHeight="1" s="70">
      <c r="A284" s="81" t="n">
        <v>195</v>
      </c>
      <c r="B284" s="343" t="inlineStr">
        <is>
          <t>BUTINAH</t>
        </is>
      </c>
      <c r="C284" s="15" t="n">
        <v>45804</v>
      </c>
      <c r="D284" s="329" t="n">
        <v>39349</v>
      </c>
      <c r="E284" s="333">
        <f>D284+D285</f>
        <v/>
      </c>
      <c r="F284" s="142" t="n"/>
      <c r="G284" s="81" t="n">
        <v>2</v>
      </c>
      <c r="H284" s="75" t="inlineStr">
        <is>
          <t>DAP</t>
        </is>
      </c>
      <c r="I284" s="306" t="inlineStr">
        <is>
          <t xml:space="preserve">DAP STANDARD </t>
        </is>
      </c>
      <c r="J284" s="75" t="inlineStr">
        <is>
          <t>CFR</t>
        </is>
      </c>
      <c r="K284" s="82" t="n"/>
      <c r="L284" s="341">
        <f>D284*K284</f>
        <v/>
      </c>
      <c r="M284" s="14" t="n"/>
      <c r="N284" s="335">
        <f>L284*M284</f>
        <v/>
      </c>
      <c r="Q284" s="75" t="inlineStr">
        <is>
          <t>ASIE</t>
        </is>
      </c>
      <c r="R284" s="75" t="inlineStr">
        <is>
          <t>INDIA</t>
        </is>
      </c>
      <c r="S284" s="75" t="n"/>
      <c r="T284" s="75" t="inlineStr">
        <is>
          <t>INTERTEK</t>
        </is>
      </c>
      <c r="U284" s="81" t="n">
        <v>190</v>
      </c>
      <c r="V284" s="53">
        <f>IF(U284&lt;130, "Mini Bulker", IF(AND(U284&gt;=130, U284&lt;150), "Handysize", IF(AND(U284&gt;=150, U284&lt;200), "Handymax", IF(AND(U284&gt;=200, U284&lt;230), "Panamax", IF(AND(U284&gt;=230, U284&lt;=270), "Capesize", "Autre")))))</f>
        <v/>
      </c>
      <c r="X284" s="14">
        <f>IF(E284&lt;9999,"1",IF(E284&lt;19999,"2",IF(E284&lt;29999,"3",IF(E284&lt;39999,"4",IF(E284&lt;49999,"5",IF(E284&gt;50000,"6"))))))</f>
        <v/>
      </c>
      <c r="Y284" s="99" t="inlineStr">
        <is>
          <t>1BIS/2N</t>
        </is>
      </c>
      <c r="AA284" s="26" t="n">
        <v>45792.77083333334</v>
      </c>
      <c r="AB284" s="26" t="n">
        <v>45793.375</v>
      </c>
      <c r="AC284" s="15" t="n">
        <v>45788</v>
      </c>
      <c r="AD284" s="15" t="n">
        <v>45791</v>
      </c>
      <c r="AE284" s="26" t="n">
        <v>45792.75833333333</v>
      </c>
      <c r="AF284" s="26" t="n">
        <v>45792.87152777778</v>
      </c>
      <c r="AG284" s="26" t="n">
        <v>45792.90833333333</v>
      </c>
      <c r="AH284" s="26" t="n">
        <v>45792.93402777778</v>
      </c>
      <c r="AI284" s="26" t="n">
        <v>45793.00694444445</v>
      </c>
      <c r="AJ284" s="26" t="n">
        <v>45793.04513888889</v>
      </c>
      <c r="AK284" s="26" t="n">
        <v>45805.40625</v>
      </c>
      <c r="AL284" s="26" t="n">
        <v>45805.44791666666</v>
      </c>
      <c r="AM284" s="26" t="n">
        <v>45805.52083333334</v>
      </c>
      <c r="AN284" s="26" t="n">
        <v>45805.57638888889</v>
      </c>
      <c r="AO284" s="26" t="n">
        <v>45805.65138888889</v>
      </c>
      <c r="AP284" s="20">
        <f>(AG284-AF284)*1440</f>
        <v/>
      </c>
      <c r="AQ284" s="20">
        <f>(AG284-AE284)*1440</f>
        <v/>
      </c>
      <c r="AR284" s="20">
        <f>(AH284-AF284)*1440</f>
        <v/>
      </c>
      <c r="AS284" s="20">
        <f>(AI284-AH284)*1440</f>
        <v/>
      </c>
      <c r="AT284" s="20">
        <f>(AJ284-AH284)*1440</f>
        <v/>
      </c>
      <c r="AU284" s="20">
        <f>(AL284-AK284)*1440</f>
        <v/>
      </c>
      <c r="AV284" s="20">
        <f>(AM284-AL284)*1440</f>
        <v/>
      </c>
      <c r="AW284" s="20">
        <f>(AO284-AM284)*1440</f>
        <v/>
      </c>
      <c r="AX284" s="19">
        <f>AP284+AS284+AU284+AV284+AW284</f>
        <v/>
      </c>
      <c r="AY284" s="18">
        <f>(AG284-AA284)</f>
        <v/>
      </c>
      <c r="AZ284" s="18">
        <f>(AK284-AJ284)</f>
        <v/>
      </c>
      <c r="BA284" s="18">
        <f>AO284-AG284</f>
        <v/>
      </c>
      <c r="BB284" s="18">
        <f>(AO284-AA284)-(AP284/1440)-(AW284/1440)</f>
        <v/>
      </c>
      <c r="BC284" s="20">
        <f>E284/AZ284</f>
        <v/>
      </c>
      <c r="BD284" s="26" t="n"/>
      <c r="BE284" s="20">
        <f>IF(E284&lt;10000,3000,IF(E284&lt;15000,3600,IF(E284&lt;20000,4500,IF(E284&lt;25000,6000,IF(E284&lt;30000,7500,IF(E284&lt;40000,9000,IF(E284&gt;40000,10000)))))))</f>
        <v/>
      </c>
      <c r="BF284" s="334">
        <f>(E284/BE284)+2</f>
        <v/>
      </c>
      <c r="BS284" s="97" t="inlineStr">
        <is>
          <t>CHANGE DU POSTE 1BIS VERS LA RADE 18/05- 2145 // RE-ACC AU POSTE 1BIS LE 24/05 - 0113 // CHANGE DU POSTE 1BIS VERS POSTE 2N LE 25/05- 1807</t>
        </is>
      </c>
      <c r="BT284" s="99" t="n">
        <v>3</v>
      </c>
      <c r="BU284" s="99" t="n"/>
      <c r="BV284" s="99" t="n"/>
      <c r="BW284" s="332">
        <f>AI285-AH285</f>
        <v/>
      </c>
      <c r="BX284" s="99" t="n"/>
      <c r="CB284" s="14" t="n">
        <v>33202</v>
      </c>
    </row>
    <row r="285" ht="14.55" customHeight="1" s="70">
      <c r="A285" s="81" t="n"/>
      <c r="B285" s="343" t="inlineStr">
        <is>
          <t>BUTINAH</t>
        </is>
      </c>
      <c r="C285" s="15" t="n">
        <v>45804</v>
      </c>
      <c r="D285" s="329" t="n">
        <v>15968</v>
      </c>
      <c r="E285" s="330" t="n"/>
      <c r="F285" s="142" t="n"/>
      <c r="G285" s="81" t="n">
        <v>2</v>
      </c>
      <c r="H285" s="75" t="inlineStr">
        <is>
          <t>TSP</t>
        </is>
      </c>
      <c r="I285" s="306" t="inlineStr">
        <is>
          <t xml:space="preserve">TSP CIV </t>
        </is>
      </c>
      <c r="J285" s="75" t="inlineStr">
        <is>
          <t>CFR</t>
        </is>
      </c>
      <c r="K285" s="82" t="n"/>
      <c r="L285" s="341">
        <f>D285*K285</f>
        <v/>
      </c>
      <c r="M285" s="14" t="n"/>
      <c r="N285" s="335">
        <f>L285*M285</f>
        <v/>
      </c>
      <c r="Q285" s="75" t="inlineStr">
        <is>
          <t>ASIE</t>
        </is>
      </c>
      <c r="R285" s="75" t="inlineStr">
        <is>
          <t>INDIA</t>
        </is>
      </c>
      <c r="S285" s="75" t="n"/>
      <c r="T285" s="75" t="inlineStr">
        <is>
          <t>INTERTEK</t>
        </is>
      </c>
      <c r="U285" s="81" t="n">
        <v>190</v>
      </c>
      <c r="V285" s="53">
        <f>IF(U285&lt;130, "Mini Bulker", IF(AND(U285&gt;=130, U285&lt;150), "Handysize", IF(AND(U285&gt;=150, U285&lt;200), "Handymax", IF(AND(U285&gt;=200, U285&lt;230), "Panamax", IF(AND(U285&gt;=230, U285&lt;=270), "Capesize", "Autre")))))</f>
        <v/>
      </c>
      <c r="X285" s="14">
        <f>IF(E285&lt;9999,"1",IF(E285&lt;19999,"2",IF(E285&lt;29999,"3",IF(E285&lt;39999,"4",IF(E285&lt;49999,"5",IF(E285&gt;50000,"6"))))))</f>
        <v/>
      </c>
      <c r="Y285" s="99" t="inlineStr">
        <is>
          <t>1BIS/2N</t>
        </is>
      </c>
      <c r="AA285" s="218" t="n"/>
      <c r="AB285" s="218" t="n"/>
      <c r="AC285" s="98" t="n"/>
      <c r="AD285" s="98" t="n"/>
      <c r="AE285" s="218" t="n"/>
      <c r="AF285" s="218" t="n"/>
      <c r="AG285" s="218" t="n"/>
      <c r="AH285" s="218" t="n"/>
      <c r="AI285" s="218" t="n"/>
      <c r="AJ285" s="218" t="n"/>
      <c r="AK285" s="218" t="n"/>
      <c r="AL285" s="218" t="n"/>
      <c r="AM285" s="218" t="n"/>
      <c r="AN285" s="218" t="n"/>
      <c r="AO285" s="218" t="n"/>
      <c r="AP285" s="98" t="n"/>
      <c r="AQ285" s="98" t="n"/>
      <c r="AR285" s="98" t="n"/>
      <c r="AS285" s="98" t="n"/>
      <c r="AT285" s="98" t="n"/>
      <c r="AU285" s="98" t="n"/>
      <c r="AV285" s="98" t="n"/>
      <c r="AW285" s="98" t="n"/>
      <c r="AX285" s="98" t="n"/>
      <c r="AY285" s="98" t="n"/>
      <c r="AZ285" s="98" t="n"/>
      <c r="BA285" s="98" t="n"/>
      <c r="BB285" s="98" t="n"/>
      <c r="BC285" s="98" t="n"/>
      <c r="BD285" s="218" t="n"/>
      <c r="BE285" s="98" t="n"/>
      <c r="BF285" s="98" t="n"/>
      <c r="BS285" s="97" t="inlineStr">
        <is>
          <t>CHANGE DU POSTE 1BIS VERS LA RADE 18/05- 2145 // RE-ACC AU POSTE 1BIS LE 24/05 - 0113 // CHANGE DU POSTE 1BIS VERS POSTE 2N LE 25/05- 1807</t>
        </is>
      </c>
      <c r="BT285" s="99" t="n">
        <v>3</v>
      </c>
      <c r="BU285" s="99" t="n"/>
      <c r="BV285" s="99" t="n"/>
      <c r="BW285" s="332">
        <f>AI286-AH286</f>
        <v/>
      </c>
      <c r="BX285" s="99" t="n"/>
      <c r="CB285" s="14" t="n"/>
    </row>
    <row r="286" ht="14.55" customHeight="1" s="70">
      <c r="A286" s="81" t="n">
        <v>194</v>
      </c>
      <c r="B286" s="343" t="inlineStr">
        <is>
          <t>DERYA AYTEKIN</t>
        </is>
      </c>
      <c r="C286" s="15" t="n">
        <v>45804</v>
      </c>
      <c r="D286" s="329" t="n">
        <v>5250</v>
      </c>
      <c r="E286" s="329" t="n">
        <v>5250</v>
      </c>
      <c r="F286" s="142" t="inlineStr">
        <is>
          <t>OCP NUTRI</t>
        </is>
      </c>
      <c r="G286" s="81" t="n">
        <v>1</v>
      </c>
      <c r="H286" s="75" t="inlineStr">
        <is>
          <t>DAP</t>
        </is>
      </c>
      <c r="I286" s="306" t="inlineStr">
        <is>
          <t xml:space="preserve">DAP STANDARD </t>
        </is>
      </c>
      <c r="J286" s="75" t="inlineStr">
        <is>
          <t>FOB</t>
        </is>
      </c>
      <c r="K286" s="82" t="n">
        <v>627</v>
      </c>
      <c r="L286" s="341">
        <f>D286*K286</f>
        <v/>
      </c>
      <c r="M286" s="14" t="n">
        <v>9.1991</v>
      </c>
      <c r="N286" s="335">
        <f>L286*M286</f>
        <v/>
      </c>
      <c r="Q286" s="75" t="inlineStr">
        <is>
          <t>AFRIQUE</t>
        </is>
      </c>
      <c r="R286" s="75" t="inlineStr">
        <is>
          <t>MAURITANIA</t>
        </is>
      </c>
      <c r="S286" s="75" t="n"/>
      <c r="T286" s="75" t="inlineStr">
        <is>
          <t>INSPECTORATE</t>
        </is>
      </c>
      <c r="U286" s="81" t="n">
        <v>105</v>
      </c>
      <c r="V286" s="53">
        <f>IF(U286&lt;130, "Mini Bulker", IF(AND(U286&gt;=130, U286&lt;150), "Handysize", IF(AND(U286&gt;=150, U286&lt;200), "Handymax", IF(AND(U286&gt;=200, U286&lt;230), "Panamax", IF(AND(U286&gt;=230, U286&lt;=270), "Capesize", "Autre")))))</f>
        <v/>
      </c>
      <c r="X286" s="14">
        <f>IF(E286&lt;9999,"1",IF(E286&lt;19999,"2",IF(E286&lt;29999,"3",IF(E286&lt;39999,"4",IF(E286&lt;49999,"5",IF(E286&gt;50000,"6"))))))</f>
        <v/>
      </c>
      <c r="Y286" s="99" t="inlineStr">
        <is>
          <t>2TER</t>
        </is>
      </c>
      <c r="AA286" s="17" t="n">
        <v>45803.36458333334</v>
      </c>
      <c r="AB286" s="17" t="n">
        <v>45803.375</v>
      </c>
      <c r="AC286" s="15" t="n">
        <v>45792</v>
      </c>
      <c r="AD286" s="15" t="n">
        <v>45795</v>
      </c>
      <c r="AE286" s="17" t="n">
        <v>45803.36458333334</v>
      </c>
      <c r="AF286" s="17" t="n">
        <v>45803.54166666666</v>
      </c>
      <c r="AG286" s="17" t="n">
        <v>45803.59375</v>
      </c>
      <c r="AH286" s="17" t="n">
        <v>45803.60763888889</v>
      </c>
      <c r="AI286" s="17" t="n">
        <v>45803.66666666666</v>
      </c>
      <c r="AJ286" s="17" t="n">
        <v>45803.83333333334</v>
      </c>
      <c r="AK286" s="17" t="n">
        <v>45804.85763888889</v>
      </c>
      <c r="AL286" s="17" t="n">
        <v>45804.87847222222</v>
      </c>
      <c r="AM286" s="17" t="n">
        <v>45804.88541666666</v>
      </c>
      <c r="AN286" s="17" t="n">
        <v>45804.92708333334</v>
      </c>
      <c r="AO286" s="17" t="n">
        <v>45804.92152777778</v>
      </c>
      <c r="AP286" s="20">
        <f>(AG286-AF286)*1440</f>
        <v/>
      </c>
      <c r="AQ286" s="20">
        <f>(AG286-AE286)*1440</f>
        <v/>
      </c>
      <c r="AR286" s="20">
        <f>(AH286-AF286)*1440</f>
        <v/>
      </c>
      <c r="AS286" s="20">
        <f>(AI286-AH286)*1440</f>
        <v/>
      </c>
      <c r="AT286" s="20">
        <f>(AJ286-AH286)*1440</f>
        <v/>
      </c>
      <c r="AU286" s="20">
        <f>(AL286-AK286)*1440</f>
        <v/>
      </c>
      <c r="AV286" s="20">
        <f>(AM286-AL286)*1440</f>
        <v/>
      </c>
      <c r="AW286" s="20">
        <f>(AO286-AM286)*1440</f>
        <v/>
      </c>
      <c r="AX286" s="19">
        <f>AP286+AS286+AU286+AV286+AW286</f>
        <v/>
      </c>
      <c r="AY286" s="18">
        <f>(AG286-AA286)</f>
        <v/>
      </c>
      <c r="AZ286" s="18">
        <f>(AK286-AJ286)</f>
        <v/>
      </c>
      <c r="BA286" s="18">
        <f>AO286-AG286</f>
        <v/>
      </c>
      <c r="BB286" s="18">
        <f>(AO286-AA286)-(AP286/1440)-(AW286/1440)</f>
        <v/>
      </c>
      <c r="BC286" s="20">
        <f>E286/AZ286</f>
        <v/>
      </c>
      <c r="BD286" s="17" t="n"/>
      <c r="BE286" s="20">
        <f>IF(E286&lt;10000,3000,IF(E286&lt;15000,3600,IF(E286&lt;20000,4500,IF(E286&lt;25000,6000,IF(E286&lt;30000,7500,IF(E286&lt;40000,9000,IF(E286&gt;40000,10000)))))))</f>
        <v/>
      </c>
      <c r="BF286" s="334">
        <f>(E286/BE286)+2</f>
        <v/>
      </c>
      <c r="BS286" s="97" t="inlineStr">
        <is>
          <t>NUL</t>
        </is>
      </c>
      <c r="BT286" s="99" t="n">
        <v>0</v>
      </c>
      <c r="BU286" s="99" t="n"/>
      <c r="BV286" s="99" t="n"/>
      <c r="BW286" s="332">
        <f>AI287-AH287</f>
        <v/>
      </c>
      <c r="BX286" s="99" t="n"/>
      <c r="CB286" s="14" t="n">
        <v>4358</v>
      </c>
    </row>
    <row r="287" ht="14.55" customHeight="1" s="70">
      <c r="A287" s="81" t="n">
        <v>196</v>
      </c>
      <c r="B287" s="343" t="inlineStr">
        <is>
          <t>TRIPLE S</t>
        </is>
      </c>
      <c r="C287" s="15" t="n">
        <v>45805</v>
      </c>
      <c r="D287" s="329" t="n">
        <v>4400</v>
      </c>
      <c r="E287" s="329" t="n">
        <v>4400</v>
      </c>
      <c r="G287" s="81" t="n">
        <v>1</v>
      </c>
      <c r="H287" s="75" t="inlineStr">
        <is>
          <t>TSP</t>
        </is>
      </c>
      <c r="I287" s="306" t="inlineStr">
        <is>
          <t>TSP EURO</t>
        </is>
      </c>
      <c r="J287" s="75" t="inlineStr">
        <is>
          <t>CFR</t>
        </is>
      </c>
      <c r="K287" s="82" t="n"/>
      <c r="L287" s="341">
        <f>D287*K287</f>
        <v/>
      </c>
      <c r="M287" s="14" t="n"/>
      <c r="N287" s="335">
        <f>L287*M287</f>
        <v/>
      </c>
      <c r="Q287" s="75" t="inlineStr">
        <is>
          <t>EUROPE</t>
        </is>
      </c>
      <c r="R287" s="75" t="inlineStr">
        <is>
          <t>France</t>
        </is>
      </c>
      <c r="S287" s="75" t="n"/>
      <c r="T287" s="75" t="inlineStr">
        <is>
          <t>INSPECTORATE</t>
        </is>
      </c>
      <c r="U287" s="81" t="n">
        <v>90</v>
      </c>
      <c r="V287" s="53">
        <f>IF(U287&lt;130, "Mini Bulker", IF(AND(U287&gt;=130, U287&lt;150), "Handysize", IF(AND(U287&gt;=150, U287&lt;200), "Handymax", IF(AND(U287&gt;=200, U287&lt;230), "Panamax", IF(AND(U287&gt;=230, U287&lt;=270), "Capesize", "Autre")))))</f>
        <v/>
      </c>
      <c r="X287" s="14">
        <f>IF(E287&lt;9999,"1",IF(E287&lt;19999,"2",IF(E287&lt;29999,"3",IF(E287&lt;39999,"4",IF(E287&lt;49999,"5",IF(E287&gt;50000,"6"))))))</f>
        <v/>
      </c>
      <c r="Y287" s="99" t="inlineStr">
        <is>
          <t>2TER</t>
        </is>
      </c>
      <c r="AA287" s="26" t="n">
        <v>45798.70138888889</v>
      </c>
      <c r="AB287" s="26" t="n">
        <v>45798.70138888889</v>
      </c>
      <c r="AC287" s="15" t="n">
        <v>45797</v>
      </c>
      <c r="AD287" s="15" t="n">
        <v>45799</v>
      </c>
      <c r="AE287" s="26" t="n">
        <v>45798.70138888889</v>
      </c>
      <c r="AF287" s="26" t="n">
        <v>45800.48958333334</v>
      </c>
      <c r="AG287" s="26" t="n">
        <v>45800.58333333334</v>
      </c>
      <c r="AH287" s="26" t="n">
        <v>45800.59375</v>
      </c>
      <c r="AI287" s="26" t="n">
        <v>45800.65277777778</v>
      </c>
      <c r="AJ287" s="26" t="n">
        <v>45801.09027777778</v>
      </c>
      <c r="AK287" s="26" t="n">
        <v>45805.77083333334</v>
      </c>
      <c r="AL287" s="26" t="n">
        <v>45805.8125</v>
      </c>
      <c r="AM287" s="26" t="n">
        <v>45805.82986111111</v>
      </c>
      <c r="AN287" s="26" t="n">
        <v>45805.86111111111</v>
      </c>
      <c r="AO287" s="26" t="n">
        <v>45805.86944444444</v>
      </c>
      <c r="AP287" s="20">
        <f>(AG287-AF287)*1440</f>
        <v/>
      </c>
      <c r="AQ287" s="20">
        <f>(AG287-AE287)*1440</f>
        <v/>
      </c>
      <c r="AR287" s="20">
        <f>(AH287-AF287)*1440</f>
        <v/>
      </c>
      <c r="AS287" s="20">
        <f>(AI287-AH287)*1440</f>
        <v/>
      </c>
      <c r="AT287" s="20">
        <f>(AJ287-AH287)*1440</f>
        <v/>
      </c>
      <c r="AU287" s="20">
        <f>(AL287-AK287)*1440</f>
        <v/>
      </c>
      <c r="AV287" s="20">
        <f>(AM287-AL287)*1440</f>
        <v/>
      </c>
      <c r="AW287" s="20">
        <f>(AO287-AM287)*1440</f>
        <v/>
      </c>
      <c r="AX287" s="19">
        <f>AP287+AS287+AU287+AV287+AW287</f>
        <v/>
      </c>
      <c r="AY287" s="18">
        <f>(AG287-AA287)</f>
        <v/>
      </c>
      <c r="AZ287" s="18">
        <f>(AK287-AJ287)</f>
        <v/>
      </c>
      <c r="BA287" s="18">
        <f>AO287-AG287</f>
        <v/>
      </c>
      <c r="BB287" s="18">
        <f>(AO287-AA287)-(AP287/1440)-(AW287/1440)</f>
        <v/>
      </c>
      <c r="BC287" s="20">
        <f>E287/AZ287</f>
        <v/>
      </c>
      <c r="BE287" s="20">
        <f>IF(E287&lt;10000,3000,IF(E287&lt;15000,3600,IF(E287&lt;20000,4500,IF(E287&lt;25000,6000,IF(E287&lt;30000,7500,IF(E287&lt;40000,9000,IF(E287&gt;40000,10000)))))))</f>
        <v/>
      </c>
      <c r="BF287" s="334">
        <f>(E287/BE287)+2</f>
        <v/>
      </c>
      <c r="BS287" s="97" t="inlineStr">
        <is>
          <t>CHANGE DU POSTE 2TER VERS LA RADE LE 24/05 - 2237 // RE-ACC AU POSTE 2TER LE 28/05- 0010</t>
        </is>
      </c>
      <c r="BT287" s="99" t="n">
        <v>2</v>
      </c>
      <c r="BU287" s="97" t="inlineStr">
        <is>
          <t>NAVIRE NON PRÊT</t>
        </is>
      </c>
      <c r="BV287" s="99" t="inlineStr">
        <is>
          <t>DEBALLASTING FOR 6 HOURS</t>
        </is>
      </c>
      <c r="BW287" s="332">
        <f>AI288-AH288</f>
        <v/>
      </c>
      <c r="BX287" s="99" t="n"/>
      <c r="CB287" s="14" t="n">
        <v>3845</v>
      </c>
    </row>
    <row r="288" ht="14.55" customHeight="1" s="70">
      <c r="A288" s="81" t="n">
        <v>197</v>
      </c>
      <c r="B288" s="343" t="inlineStr">
        <is>
          <t>AFRICAN RAVEN</t>
        </is>
      </c>
      <c r="C288" s="15" t="n">
        <v>45806</v>
      </c>
      <c r="D288" s="329" t="n">
        <v>20705</v>
      </c>
      <c r="E288" s="333">
        <f>D288+D289</f>
        <v/>
      </c>
      <c r="G288" s="81" t="n">
        <v>2</v>
      </c>
      <c r="H288" s="75" t="inlineStr">
        <is>
          <t>MAP</t>
        </is>
      </c>
      <c r="I288" s="306" t="inlineStr">
        <is>
          <t xml:space="preserve">MAP 11 52 SPECIAL </t>
        </is>
      </c>
      <c r="J288" s="75" t="inlineStr">
        <is>
          <t>CFR</t>
        </is>
      </c>
      <c r="K288" s="82" t="n"/>
      <c r="L288" s="341">
        <f>D288*K288</f>
        <v/>
      </c>
      <c r="M288" s="14" t="n"/>
      <c r="N288" s="335">
        <f>L288*M288</f>
        <v/>
      </c>
      <c r="Q288" s="75" t="inlineStr">
        <is>
          <t>AMERIQUE LATINE</t>
        </is>
      </c>
      <c r="R288" s="75" t="inlineStr">
        <is>
          <t>BRASIL</t>
        </is>
      </c>
      <c r="S288" s="75" t="n"/>
      <c r="T288" s="75" t="inlineStr">
        <is>
          <t>INSPECTORATE</t>
        </is>
      </c>
      <c r="U288" s="81" t="n">
        <v>183</v>
      </c>
      <c r="V288" s="53">
        <f>IF(U288&lt;130, "Mini Bulker", IF(AND(U288&gt;=130, U288&lt;150), "Handysize", IF(AND(U288&gt;=150, U288&lt;200), "Handymax", IF(AND(U288&gt;=200, U288&lt;230), "Panamax", IF(AND(U288&gt;=230, U288&lt;=270), "Capesize", "Autre")))))</f>
        <v/>
      </c>
      <c r="X288" s="14">
        <f>IF(E288&lt;9999,"1",IF(E288&lt;19999,"2",IF(E288&lt;29999,"3",IF(E288&lt;39999,"4",IF(E288&lt;49999,"5",IF(E288&gt;50000,"6"))))))</f>
        <v/>
      </c>
      <c r="Y288" s="99" t="inlineStr">
        <is>
          <t>1TER</t>
        </is>
      </c>
      <c r="AA288" s="26" t="n">
        <v>45799.49166666667</v>
      </c>
      <c r="AB288" s="26" t="n">
        <v>45799.49166666667</v>
      </c>
      <c r="AC288" s="15" t="n">
        <v>45797</v>
      </c>
      <c r="AD288" s="15" t="n">
        <v>45799</v>
      </c>
      <c r="AE288" s="26" t="n">
        <v>45799.375</v>
      </c>
      <c r="AF288" s="26" t="n">
        <v>45799.84027777778</v>
      </c>
      <c r="AG288" s="26" t="n">
        <v>45799.92916666667</v>
      </c>
      <c r="AH288" s="26" t="n">
        <v>45799.95138888889</v>
      </c>
      <c r="AI288" s="26" t="n">
        <v>45800.00694444445</v>
      </c>
      <c r="AJ288" s="26" t="n">
        <v>45800.05902777778</v>
      </c>
      <c r="AK288" s="26" t="n">
        <v>45806.375</v>
      </c>
      <c r="AL288" s="26" t="n">
        <v>45806.43055555555</v>
      </c>
      <c r="AM288" s="26" t="n">
        <v>45806.46527777778</v>
      </c>
      <c r="AN288" s="26" t="n">
        <v>45806.5</v>
      </c>
      <c r="AO288" s="26" t="n">
        <v>45806.52916666667</v>
      </c>
      <c r="AP288" s="20">
        <f>(AG288-AF288)*1440</f>
        <v/>
      </c>
      <c r="AQ288" s="20">
        <f>(AG288-AE288)*1440</f>
        <v/>
      </c>
      <c r="AR288" s="20">
        <f>(AH288-AF288)*1440</f>
        <v/>
      </c>
      <c r="AS288" s="20">
        <f>(AI288-AH288)*1440</f>
        <v/>
      </c>
      <c r="AT288" s="20">
        <f>(AJ288-AH288)*1440</f>
        <v/>
      </c>
      <c r="AU288" s="20">
        <f>(AL288-AK288)*1440</f>
        <v/>
      </c>
      <c r="AV288" s="20">
        <f>(AM288-AL288)*1440</f>
        <v/>
      </c>
      <c r="AW288" s="20">
        <f>(AO288-AM288)*1440</f>
        <v/>
      </c>
      <c r="AX288" s="19">
        <f>AP288+AS288+AU288+AV288+AW288</f>
        <v/>
      </c>
      <c r="AY288" s="18">
        <f>(AG288-AA288)</f>
        <v/>
      </c>
      <c r="AZ288" s="18">
        <f>(AK288-AJ288)</f>
        <v/>
      </c>
      <c r="BA288" s="18">
        <f>AO288-AG288</f>
        <v/>
      </c>
      <c r="BB288" s="18">
        <f>(AO288-AA288)-(AP288/1440)-(AW288/1440)</f>
        <v/>
      </c>
      <c r="BC288" s="20">
        <f>E288/AZ288</f>
        <v/>
      </c>
      <c r="BE288" s="20">
        <f>IF(E288&lt;10000,3000,IF(E288&lt;15000,3600,IF(E288&lt;20000,4500,IF(E288&lt;25000,6000,IF(E288&lt;30000,7500,IF(E288&lt;40000,9000,IF(E288&gt;40000,10000)))))))</f>
        <v/>
      </c>
      <c r="BF288" s="334">
        <f>(E288/BE288)+2</f>
        <v/>
      </c>
      <c r="BS288" s="97" t="inlineStr">
        <is>
          <t>NUL</t>
        </is>
      </c>
      <c r="BT288" s="99" t="n">
        <v>0</v>
      </c>
      <c r="BU288" s="99" t="n"/>
      <c r="BV288" s="99" t="n"/>
      <c r="BW288" s="332">
        <f>AI289-AH289</f>
        <v/>
      </c>
      <c r="CB288" s="14" t="n">
        <v>23753</v>
      </c>
    </row>
    <row r="289" ht="14.55" customHeight="1" s="70">
      <c r="A289" s="81" t="n"/>
      <c r="B289" s="343" t="inlineStr">
        <is>
          <t>AFRICAN RAVEN</t>
        </is>
      </c>
      <c r="C289" s="15" t="n">
        <v>45806</v>
      </c>
      <c r="D289" s="329" t="n">
        <v>16000</v>
      </c>
      <c r="E289" s="330" t="n"/>
      <c r="G289" s="81" t="n">
        <v>2</v>
      </c>
      <c r="H289" s="75" t="inlineStr">
        <is>
          <t>TSP</t>
        </is>
      </c>
      <c r="I289" s="306" t="inlineStr">
        <is>
          <t xml:space="preserve">TSP SPECIAL JORF </t>
        </is>
      </c>
      <c r="J289" s="75" t="inlineStr">
        <is>
          <t>CFR</t>
        </is>
      </c>
      <c r="K289" s="82" t="n"/>
      <c r="L289" s="341">
        <f>D289*K289</f>
        <v/>
      </c>
      <c r="M289" s="14" t="n"/>
      <c r="N289" s="335">
        <f>L289*M289</f>
        <v/>
      </c>
      <c r="Q289" s="75" t="inlineStr">
        <is>
          <t>AMERIQUE LATINE</t>
        </is>
      </c>
      <c r="R289" s="75" t="inlineStr">
        <is>
          <t>BRASIL</t>
        </is>
      </c>
      <c r="S289" s="75" t="n"/>
      <c r="T289" s="75" t="inlineStr">
        <is>
          <t>INSPECTORATE</t>
        </is>
      </c>
      <c r="U289" s="81" t="n">
        <v>183</v>
      </c>
      <c r="V289" s="53">
        <f>IF(U289&lt;130, "Mini Bulker", IF(AND(U289&gt;=130, U289&lt;150), "Handysize", IF(AND(U289&gt;=150, U289&lt;200), "Handymax", IF(AND(U289&gt;=200, U289&lt;230), "Panamax", IF(AND(U289&gt;=230, U289&lt;=270), "Capesize", "Autre")))))</f>
        <v/>
      </c>
      <c r="X289" s="14">
        <f>IF(E289&lt;9999,"1",IF(E289&lt;19999,"2",IF(E289&lt;29999,"3",IF(E289&lt;39999,"4",IF(E289&lt;49999,"5",IF(E289&gt;50000,"6"))))))</f>
        <v/>
      </c>
      <c r="Y289" s="99" t="inlineStr">
        <is>
          <t>1TER</t>
        </is>
      </c>
      <c r="AA289" s="98" t="n"/>
      <c r="AB289" s="98" t="n"/>
      <c r="AC289" s="98" t="n"/>
      <c r="AD289" s="98" t="n"/>
      <c r="AE289" s="98" t="n"/>
      <c r="AF289" s="98" t="n"/>
      <c r="AG289" s="98" t="n"/>
      <c r="AH289" s="98" t="n"/>
      <c r="AI289" s="98" t="n"/>
      <c r="AJ289" s="98" t="n"/>
      <c r="AK289" s="98" t="n"/>
      <c r="AL289" s="98" t="n"/>
      <c r="AM289" s="98" t="n"/>
      <c r="AN289" s="98" t="n"/>
      <c r="AO289" s="98" t="n"/>
      <c r="AP289" s="98" t="n"/>
      <c r="AQ289" s="98" t="n"/>
      <c r="AR289" s="98" t="n"/>
      <c r="AS289" s="98" t="n"/>
      <c r="AT289" s="98" t="n"/>
      <c r="AU289" s="98" t="n"/>
      <c r="AV289" s="98" t="n"/>
      <c r="AW289" s="98" t="n"/>
      <c r="AX289" s="98" t="n"/>
      <c r="AY289" s="98" t="n"/>
      <c r="AZ289" s="98" t="n"/>
      <c r="BA289" s="98" t="n"/>
      <c r="BB289" s="98" t="n"/>
      <c r="BC289" s="98" t="n"/>
      <c r="BD289" s="98" t="n"/>
      <c r="BE289" s="98" t="n"/>
      <c r="BF289" s="98" t="n"/>
      <c r="BG289" s="98" t="n"/>
      <c r="BH289" s="98" t="n"/>
      <c r="BI289" s="98" t="n"/>
      <c r="BJ289" s="98" t="n"/>
      <c r="BK289" s="98" t="n"/>
      <c r="BL289" s="98" t="n"/>
      <c r="BM289" s="98" t="n"/>
      <c r="BN289" s="98" t="n"/>
      <c r="BO289" s="98" t="n"/>
      <c r="BP289" s="98" t="n"/>
      <c r="BQ289" s="98" t="n"/>
      <c r="BR289" s="98" t="n"/>
      <c r="BS289" s="97" t="inlineStr">
        <is>
          <t>NUL</t>
        </is>
      </c>
      <c r="BT289" s="99" t="n">
        <v>0</v>
      </c>
      <c r="BU289" s="99" t="n"/>
      <c r="BV289" s="99" t="n"/>
      <c r="BW289" s="332">
        <f>AI290-AH290</f>
        <v/>
      </c>
      <c r="CB289" s="14" t="n"/>
    </row>
    <row r="290" ht="14.55" customHeight="1" s="70">
      <c r="A290" s="81" t="n">
        <v>198</v>
      </c>
      <c r="B290" s="343" t="inlineStr">
        <is>
          <t>SIDER PERA</t>
        </is>
      </c>
      <c r="C290" s="15" t="n">
        <v>45807</v>
      </c>
      <c r="D290" s="329" t="n">
        <v>25096</v>
      </c>
      <c r="E290" s="329" t="n">
        <v>25096</v>
      </c>
      <c r="F290" s="142" t="n"/>
      <c r="G290" s="81" t="n">
        <v>1</v>
      </c>
      <c r="H290" s="75" t="inlineStr">
        <is>
          <t>MAP</t>
        </is>
      </c>
      <c r="I290" s="306" t="inlineStr">
        <is>
          <t xml:space="preserve">MAP 11 52 SPECIAL </t>
        </is>
      </c>
      <c r="J290" s="75" t="inlineStr">
        <is>
          <t>CFR</t>
        </is>
      </c>
      <c r="K290" s="82" t="n"/>
      <c r="L290" s="341">
        <f>D290*K290</f>
        <v/>
      </c>
      <c r="M290" s="14" t="n"/>
      <c r="N290" s="335">
        <f>L290*M290</f>
        <v/>
      </c>
      <c r="Q290" s="75" t="inlineStr">
        <is>
          <t>AMERIQUE</t>
        </is>
      </c>
      <c r="R290" s="75" t="inlineStr">
        <is>
          <t>USA</t>
        </is>
      </c>
      <c r="S290" s="75" t="n"/>
      <c r="T290" s="75" t="inlineStr">
        <is>
          <t>INSPECTORATE</t>
        </is>
      </c>
      <c r="U290" s="81" t="n">
        <v>180</v>
      </c>
      <c r="V290" s="53">
        <f>IF(U290&lt;130, "Mini Bulker", IF(AND(U290&gt;=130, U290&lt;150), "Handysize", IF(AND(U290&gt;=150, U290&lt;200), "Handymax", IF(AND(U290&gt;=200, U290&lt;230), "Panamax", IF(AND(U290&gt;=230, U290&lt;=270), "Capesize", "Autre")))))</f>
        <v/>
      </c>
      <c r="X290" s="14">
        <f>IF(E290&lt;9999,"1",IF(E290&lt;19999,"2",IF(E290&lt;29999,"3",IF(E290&lt;39999,"4",IF(E290&lt;49999,"5",IF(E290&gt;50000,"6"))))))</f>
        <v/>
      </c>
      <c r="Y290" s="99" t="inlineStr">
        <is>
          <t>2BIS</t>
        </is>
      </c>
      <c r="AA290" s="26" t="n">
        <v>45803.98958333334</v>
      </c>
      <c r="AB290" s="26" t="n">
        <v>45804.375</v>
      </c>
      <c r="AC290" s="15" t="n">
        <v>45803</v>
      </c>
      <c r="AD290" s="15" t="n">
        <v>45805</v>
      </c>
      <c r="AE290" s="26" t="n">
        <v>45803.9375</v>
      </c>
      <c r="AF290" s="26" t="n">
        <v>45804.62013888889</v>
      </c>
      <c r="AG290" s="26" t="n">
        <v>45804.70833333334</v>
      </c>
      <c r="AH290" s="26" t="n">
        <v>45804.72916666666</v>
      </c>
      <c r="AI290" s="26" t="n">
        <v>45804.80902777778</v>
      </c>
      <c r="AJ290" s="26" t="n">
        <v>45804.85069444445</v>
      </c>
      <c r="AK290" s="26" t="n">
        <v>45807.21527777778</v>
      </c>
      <c r="AL290" s="26" t="n">
        <v>45807.26388888889</v>
      </c>
      <c r="AM290" s="26" t="n">
        <v>45807.30555555555</v>
      </c>
      <c r="AN290" s="26" t="n">
        <v>45807.34375</v>
      </c>
      <c r="AO290" s="26" t="n">
        <v>45807.34861111111</v>
      </c>
      <c r="AP290" s="20">
        <f>(AG290-AF290)*1440</f>
        <v/>
      </c>
      <c r="AQ290" s="20">
        <f>(AG290-AE290)*1440</f>
        <v/>
      </c>
      <c r="AR290" s="20">
        <f>(AH290-AF290)*1440</f>
        <v/>
      </c>
      <c r="AS290" s="20">
        <f>(AI290-AH290)*1440</f>
        <v/>
      </c>
      <c r="AT290" s="20">
        <f>(AJ290-AH290)*1440</f>
        <v/>
      </c>
      <c r="AU290" s="20">
        <f>(AL290-AK290)*1440</f>
        <v/>
      </c>
      <c r="AV290" s="20">
        <f>(AM290-AL290)*1440</f>
        <v/>
      </c>
      <c r="AW290" s="20">
        <f>(AO290-AM290)*1440</f>
        <v/>
      </c>
      <c r="AX290" s="19">
        <f>AP290+AS290+AU290+AV290+AW290</f>
        <v/>
      </c>
      <c r="AY290" s="18">
        <f>(AG290-AA290)</f>
        <v/>
      </c>
      <c r="AZ290" s="18">
        <f>(AK290-AJ290)</f>
        <v/>
      </c>
      <c r="BA290" s="18">
        <f>AO290-AG290</f>
        <v/>
      </c>
      <c r="BB290" s="18">
        <f>(AO290-AA290)-(AP290/1440)-(AW290/1440)</f>
        <v/>
      </c>
      <c r="BC290" s="20">
        <f>E290/AZ290</f>
        <v/>
      </c>
      <c r="BD290" s="26" t="n"/>
      <c r="BE290" s="20">
        <f>IF(E290&lt;10000,3000,IF(E290&lt;15000,3600,IF(E290&lt;20000,4500,IF(E290&lt;25000,6000,IF(E290&lt;30000,7500,IF(E290&lt;40000,9000,IF(E290&gt;40000,10000)))))))</f>
        <v/>
      </c>
      <c r="BF290" s="334">
        <f>(E290/BE290)+2</f>
        <v/>
      </c>
      <c r="BG290" s="26" t="n"/>
      <c r="BH290" s="26" t="n"/>
      <c r="BI290" s="26" t="n"/>
      <c r="BJ290" s="26" t="n"/>
      <c r="BK290" s="26" t="n"/>
      <c r="BL290" s="26" t="n"/>
      <c r="BM290" s="26" t="n"/>
      <c r="BN290" s="26" t="n"/>
      <c r="BO290" s="26" t="n"/>
      <c r="BP290" s="26" t="n"/>
      <c r="BQ290" s="26" t="n"/>
      <c r="BR290" s="26" t="n"/>
      <c r="BS290" s="97" t="inlineStr">
        <is>
          <t>NUL</t>
        </is>
      </c>
      <c r="BT290" s="99" t="n">
        <v>0</v>
      </c>
      <c r="BU290" s="99" t="n"/>
      <c r="BV290" s="99" t="n"/>
      <c r="BW290" s="332">
        <f>AI291-AH291</f>
        <v/>
      </c>
      <c r="CB290" s="14" t="n">
        <v>23264</v>
      </c>
    </row>
    <row r="291" ht="14.55" customHeight="1" s="70">
      <c r="A291" s="81" t="n">
        <v>199</v>
      </c>
      <c r="B291" s="343" t="inlineStr">
        <is>
          <t>ZHONG CHANG 538</t>
        </is>
      </c>
      <c r="C291" s="15" t="n">
        <v>45807</v>
      </c>
      <c r="D291" s="329" t="n">
        <v>40847</v>
      </c>
      <c r="E291" s="333">
        <f>D291+D292</f>
        <v/>
      </c>
      <c r="F291" s="142" t="n"/>
      <c r="G291" s="81" t="n">
        <v>2</v>
      </c>
      <c r="H291" s="75" t="inlineStr">
        <is>
          <t>DAP</t>
        </is>
      </c>
      <c r="I291" s="306" t="inlineStr">
        <is>
          <t xml:space="preserve">DAP STANDARD </t>
        </is>
      </c>
      <c r="J291" s="75" t="inlineStr">
        <is>
          <t>CFR</t>
        </is>
      </c>
      <c r="K291" s="82" t="n"/>
      <c r="L291" s="341">
        <f>D291*K291</f>
        <v/>
      </c>
      <c r="M291" s="14" t="n"/>
      <c r="N291" s="335">
        <f>L291*M291</f>
        <v/>
      </c>
      <c r="P291" s="75" t="n"/>
      <c r="Q291" s="75" t="inlineStr">
        <is>
          <t>ASIE</t>
        </is>
      </c>
      <c r="R291" s="75" t="inlineStr">
        <is>
          <t>INDIA</t>
        </is>
      </c>
      <c r="S291" s="75" t="n"/>
      <c r="T291" s="75" t="inlineStr">
        <is>
          <t>INTERTEK</t>
        </is>
      </c>
      <c r="U291" s="81" t="n">
        <v>190</v>
      </c>
      <c r="V291" s="53">
        <f>IF(U291&lt;130, "Mini Bulker", IF(AND(U291&gt;=130, U291&lt;150), "Handysize", IF(AND(U291&gt;=150, U291&lt;200), "Handymax", IF(AND(U291&gt;=200, U291&lt;230), "Panamax", IF(AND(U291&gt;=230, U291&lt;=270), "Capesize", "Autre")))))</f>
        <v/>
      </c>
      <c r="X291" s="14">
        <f>IF(E291&lt;9999,"1",IF(E291&lt;19999,"2",IF(E291&lt;29999,"3",IF(E291&lt;39999,"4",IF(E291&lt;49999,"5",IF(E291&gt;50000,"6"))))))</f>
        <v/>
      </c>
      <c r="Y291" s="99" t="inlineStr">
        <is>
          <t>2BIS/2N</t>
        </is>
      </c>
      <c r="AA291" s="26" t="n">
        <v>45798.00069444445</v>
      </c>
      <c r="AB291" s="26" t="n">
        <v>45799.375</v>
      </c>
      <c r="AC291" s="15" t="n">
        <v>45799</v>
      </c>
      <c r="AD291" s="15" t="n">
        <v>45802</v>
      </c>
      <c r="AE291" s="26" t="n">
        <v>45797.08333333334</v>
      </c>
      <c r="AF291" s="26" t="n">
        <v>45798.00277777778</v>
      </c>
      <c r="AG291" s="26" t="n">
        <v>45798.05833333333</v>
      </c>
      <c r="AH291" s="26" t="n">
        <v>45798.06944444445</v>
      </c>
      <c r="AI291" s="26" t="n">
        <v>45799</v>
      </c>
      <c r="AJ291" s="26" t="n">
        <v>45799.02083333334</v>
      </c>
      <c r="AK291" s="26" t="n">
        <v>45807.90277777778</v>
      </c>
      <c r="AL291" s="26" t="n">
        <v>45807.96527777778</v>
      </c>
      <c r="AM291" s="26" t="n">
        <v>45807.97916666666</v>
      </c>
      <c r="AN291" s="26" t="n">
        <v>45808.02083333334</v>
      </c>
      <c r="AO291" s="26" t="n">
        <v>45808.20833333334</v>
      </c>
      <c r="AP291" s="20">
        <f>(AG291-AF291)*1440</f>
        <v/>
      </c>
      <c r="AQ291" s="20">
        <f>(AG291-AE291)*1440</f>
        <v/>
      </c>
      <c r="AR291" s="20">
        <f>(AH291-AF291)*1440</f>
        <v/>
      </c>
      <c r="AS291" s="20">
        <f>(AI291-AH291)*1440</f>
        <v/>
      </c>
      <c r="AT291" s="20">
        <f>(AJ291-AH291)*1440</f>
        <v/>
      </c>
      <c r="AU291" s="20">
        <f>(AL291-AK291)*1440</f>
        <v/>
      </c>
      <c r="AV291" s="20">
        <f>(AM291-AL291)*1440</f>
        <v/>
      </c>
      <c r="AW291" s="20">
        <f>(AO291-AM291)*1440</f>
        <v/>
      </c>
      <c r="AX291" s="19">
        <f>AP291+AS291+AU291+AV291+AW291</f>
        <v/>
      </c>
      <c r="AY291" s="18">
        <f>(AG291-AA291)</f>
        <v/>
      </c>
      <c r="AZ291" s="18">
        <f>(AK291-AJ291)</f>
        <v/>
      </c>
      <c r="BA291" s="18">
        <f>AO291-AG291</f>
        <v/>
      </c>
      <c r="BB291" s="18">
        <f>(AO291-AA291)-(AP291/1440)-(AW291/1440)</f>
        <v/>
      </c>
      <c r="BC291" s="20">
        <f>E291/AZ291</f>
        <v/>
      </c>
      <c r="BD291" s="26" t="n"/>
      <c r="BE291" s="20">
        <f>IF(E291&lt;10000,3000,IF(E291&lt;15000,3600,IF(E291&lt;20000,4500,IF(E291&lt;25000,6000,IF(E291&lt;30000,7500,IF(E291&lt;40000,9000,IF(E291&gt;40000,10000)))))))</f>
        <v/>
      </c>
      <c r="BF291" s="334">
        <f>(E291/BE291)+2</f>
        <v/>
      </c>
      <c r="BG291" s="26" t="n"/>
      <c r="BH291" s="26" t="n"/>
      <c r="BI291" s="26" t="n"/>
      <c r="BJ291" s="26" t="n"/>
      <c r="BK291" s="26" t="n"/>
      <c r="BL291" s="26" t="n"/>
      <c r="BM291" s="26" t="n"/>
      <c r="BN291" s="26" t="n"/>
      <c r="BO291" s="26" t="n"/>
      <c r="BP291" s="26" t="n"/>
      <c r="BQ291" s="26" t="n"/>
      <c r="BR291" s="26" t="n"/>
      <c r="BS291" s="97" t="inlineStr">
        <is>
          <t>CHANGE DU POSTE 2BIS VERS LA RADE LE 24/05 - 1151 // RE-ACCOSTAGE AU POSTE 2N LE 28/05 - 1740</t>
        </is>
      </c>
      <c r="BT291" s="99" t="n">
        <v>2</v>
      </c>
      <c r="BU291" s="99" t="inlineStr">
        <is>
          <t>CLEAN</t>
        </is>
      </c>
      <c r="BV291" s="99" t="inlineStr">
        <is>
          <t>NUL</t>
        </is>
      </c>
      <c r="BW291" s="332">
        <f>AI292-AH292</f>
        <v/>
      </c>
      <c r="CB291" s="14" t="n">
        <v>33044</v>
      </c>
    </row>
    <row r="292" ht="14.55" customHeight="1" s="70">
      <c r="A292" s="81" t="n"/>
      <c r="B292" s="343" t="inlineStr">
        <is>
          <t>ZHONG CHANG 538</t>
        </is>
      </c>
      <c r="C292" s="15" t="n">
        <v>45807</v>
      </c>
      <c r="D292" s="329" t="n">
        <v>13537</v>
      </c>
      <c r="E292" s="330" t="n"/>
      <c r="F292" s="142" t="n"/>
      <c r="G292" s="81" t="n">
        <v>2</v>
      </c>
      <c r="H292" s="75" t="inlineStr">
        <is>
          <t>TSP</t>
        </is>
      </c>
      <c r="I292" s="306" t="inlineStr">
        <is>
          <t xml:space="preserve">TSP CIV </t>
        </is>
      </c>
      <c r="J292" s="75" t="inlineStr">
        <is>
          <t>CFR</t>
        </is>
      </c>
      <c r="K292" s="82" t="n"/>
      <c r="L292" s="341">
        <f>D292*K292</f>
        <v/>
      </c>
      <c r="M292" s="14" t="n"/>
      <c r="N292" s="335">
        <f>L292*M292</f>
        <v/>
      </c>
      <c r="P292" s="75" t="n"/>
      <c r="Q292" s="75" t="inlineStr">
        <is>
          <t>ASIE</t>
        </is>
      </c>
      <c r="R292" s="75" t="inlineStr">
        <is>
          <t>INDIA</t>
        </is>
      </c>
      <c r="S292" s="75" t="n"/>
      <c r="T292" s="75" t="inlineStr">
        <is>
          <t>INTERTEK</t>
        </is>
      </c>
      <c r="U292" s="81" t="n">
        <v>190</v>
      </c>
      <c r="V292" s="53">
        <f>IF(U292&lt;130, "Mini Bulker", IF(AND(U292&gt;=130, U292&lt;150), "Handysize", IF(AND(U292&gt;=150, U292&lt;200), "Handymax", IF(AND(U292&gt;=200, U292&lt;230), "Panamax", IF(AND(U292&gt;=230, U292&lt;=270), "Capesize", "Autre")))))</f>
        <v/>
      </c>
      <c r="X292" s="14">
        <f>IF(E292&lt;9999,"1",IF(E292&lt;19999,"2",IF(E292&lt;29999,"3",IF(E292&lt;39999,"4",IF(E292&lt;49999,"5",IF(E292&gt;50000,"6"))))))</f>
        <v/>
      </c>
      <c r="Y292" s="99" t="inlineStr">
        <is>
          <t>2BIS/2N</t>
        </is>
      </c>
      <c r="AA292" s="98" t="n"/>
      <c r="AB292" s="98" t="n"/>
      <c r="AC292" s="98" t="n"/>
      <c r="AD292" s="98" t="n"/>
      <c r="AE292" s="98" t="n"/>
      <c r="AF292" s="98" t="n"/>
      <c r="AG292" s="98" t="n"/>
      <c r="AH292" s="98" t="n"/>
      <c r="AI292" s="98" t="n"/>
      <c r="AJ292" s="98" t="n"/>
      <c r="AK292" s="98" t="n"/>
      <c r="AL292" s="98" t="n"/>
      <c r="AM292" s="98" t="n"/>
      <c r="AN292" s="98" t="n"/>
      <c r="AO292" s="98" t="n"/>
      <c r="AP292" s="98" t="n"/>
      <c r="AQ292" s="98" t="n"/>
      <c r="AR292" s="98" t="n"/>
      <c r="AS292" s="98" t="n"/>
      <c r="AT292" s="98" t="n"/>
      <c r="AU292" s="98" t="n"/>
      <c r="AV292" s="98" t="n"/>
      <c r="AW292" s="98" t="n"/>
      <c r="AX292" s="98" t="n"/>
      <c r="AY292" s="98" t="n"/>
      <c r="AZ292" s="98" t="n"/>
      <c r="BA292" s="98" t="n"/>
      <c r="BB292" s="98" t="n"/>
      <c r="BC292" s="98" t="n"/>
      <c r="BD292" s="98" t="n"/>
      <c r="BE292" s="98" t="n"/>
      <c r="BF292" s="98" t="n"/>
      <c r="BG292" s="98" t="n"/>
      <c r="BH292" s="98" t="n"/>
      <c r="BI292" s="98" t="n"/>
      <c r="BJ292" s="98" t="n"/>
      <c r="BK292" s="98" t="n"/>
      <c r="BL292" s="98" t="n"/>
      <c r="BM292" s="98" t="n"/>
      <c r="BN292" s="98" t="n"/>
      <c r="BO292" s="98" t="n"/>
      <c r="BP292" s="98" t="n"/>
      <c r="BQ292" s="98" t="n"/>
      <c r="BR292" s="98" t="n"/>
      <c r="BS292" s="97" t="inlineStr">
        <is>
          <t>CHANGE DU POSTE 2BIS VERS LA RADE LE 24/05 - 1151 // RE-ACCOSTAGE AU POSTE 2N LE 28/05 - 1740</t>
        </is>
      </c>
      <c r="BT292" s="99" t="n">
        <v>2</v>
      </c>
      <c r="BU292" s="99" t="inlineStr">
        <is>
          <t>CLEAN</t>
        </is>
      </c>
      <c r="BV292" s="99" t="n"/>
      <c r="BW292" s="332">
        <f>AI293-AH293</f>
        <v/>
      </c>
      <c r="CB292" s="14" t="n"/>
    </row>
    <row r="293" ht="14.55" customHeight="1" s="70">
      <c r="A293" s="81" t="n">
        <v>200</v>
      </c>
      <c r="B293" s="343" t="inlineStr">
        <is>
          <t>STAR THETIS</t>
        </is>
      </c>
      <c r="C293" s="15" t="n">
        <v>45808</v>
      </c>
      <c r="D293" s="329" t="n">
        <v>60489</v>
      </c>
      <c r="E293" s="329" t="n">
        <v>60489</v>
      </c>
      <c r="F293" s="142" t="n"/>
      <c r="G293" s="81" t="n">
        <v>1</v>
      </c>
      <c r="H293" s="75" t="inlineStr">
        <is>
          <t>DAP</t>
        </is>
      </c>
      <c r="I293" s="306" t="inlineStr">
        <is>
          <t xml:space="preserve">DAP STANDARD </t>
        </is>
      </c>
      <c r="J293" s="75" t="inlineStr">
        <is>
          <t>CFR</t>
        </is>
      </c>
      <c r="K293" s="82" t="n"/>
      <c r="L293" s="341">
        <f>D293*K293</f>
        <v/>
      </c>
      <c r="M293" s="14" t="n"/>
      <c r="N293" s="335">
        <f>L293*M293</f>
        <v/>
      </c>
      <c r="P293" s="75" t="n"/>
      <c r="Q293" s="75" t="inlineStr">
        <is>
          <t>ASIE</t>
        </is>
      </c>
      <c r="R293" s="75" t="inlineStr">
        <is>
          <t>INDIA</t>
        </is>
      </c>
      <c r="S293" s="75" t="n"/>
      <c r="T293" s="75" t="inlineStr">
        <is>
          <t>OCP</t>
        </is>
      </c>
      <c r="U293" s="81" t="n">
        <v>200</v>
      </c>
      <c r="V293" s="53">
        <f>IF(U293&lt;130, "Mini Bulker", IF(AND(U293&gt;=130, U293&lt;150), "Handysize", IF(AND(U293&gt;=150, U293&lt;200), "Handymax", IF(AND(U293&gt;=200, U293&lt;230), "Panamax", IF(AND(U293&gt;=230, U293&lt;=270), "Capesize", "Autre")))))</f>
        <v/>
      </c>
      <c r="X293" s="14">
        <f>IF(E293&lt;9999,"1",IF(E293&lt;19999,"2",IF(E293&lt;29999,"3",IF(E293&lt;39999,"4",IF(E293&lt;49999,"5",IF(E293&gt;50000,"6"))))))</f>
        <v/>
      </c>
      <c r="Y293" s="99" t="inlineStr">
        <is>
          <t>1BIS/1N</t>
        </is>
      </c>
      <c r="AA293" s="26" t="n">
        <v>45803.62083333333</v>
      </c>
      <c r="AB293" s="26" t="n">
        <v>45803.62083333333</v>
      </c>
      <c r="AC293" s="15" t="n">
        <v>45800</v>
      </c>
      <c r="AD293" s="15" t="n">
        <v>45803</v>
      </c>
      <c r="AE293" s="26" t="n">
        <v>45803.5625</v>
      </c>
      <c r="AF293" s="26" t="n">
        <v>45803.63402777778</v>
      </c>
      <c r="AG293" s="26" t="n">
        <v>45803.68333333333</v>
      </c>
      <c r="AH293" s="26" t="n">
        <v>45803.69444444445</v>
      </c>
      <c r="AI293" s="26" t="n">
        <v>45803.76736111111</v>
      </c>
      <c r="AJ293" s="26" t="n">
        <v>45803.91666666666</v>
      </c>
      <c r="AK293" s="26" t="n">
        <v>45808.84375</v>
      </c>
      <c r="AL293" s="26" t="n">
        <v>45808.91666666666</v>
      </c>
      <c r="AM293" s="26" t="n">
        <v>45808.9375</v>
      </c>
      <c r="AN293" s="26" t="n">
        <v>45809.20833333334</v>
      </c>
      <c r="AO293" s="26" t="n">
        <v>45809.21875</v>
      </c>
      <c r="AP293" s="20">
        <f>(AG293-AF293)*1440</f>
        <v/>
      </c>
      <c r="AQ293" s="20">
        <f>(AG293-AE293)*1440</f>
        <v/>
      </c>
      <c r="AR293" s="20">
        <f>(AH293-AF293)*1440</f>
        <v/>
      </c>
      <c r="AS293" s="20">
        <f>(AI293-AH293)*1440</f>
        <v/>
      </c>
      <c r="AT293" s="20">
        <f>(AJ293-AH293)*1440</f>
        <v/>
      </c>
      <c r="AU293" s="20">
        <f>(AL293-AK293)*1440</f>
        <v/>
      </c>
      <c r="AV293" s="20">
        <f>(AM293-AL293)*1440</f>
        <v/>
      </c>
      <c r="AW293" s="20">
        <f>(AO293-AM293)*1440</f>
        <v/>
      </c>
      <c r="AX293" s="19">
        <f>AP293+AS293+AU293+AV293+AW293</f>
        <v/>
      </c>
      <c r="AY293" s="18">
        <f>(AG293-AA293)</f>
        <v/>
      </c>
      <c r="AZ293" s="18">
        <f>(AK293-AJ293)</f>
        <v/>
      </c>
      <c r="BA293" s="18">
        <f>AO293-AG293</f>
        <v/>
      </c>
      <c r="BB293" s="18">
        <f>(AO293-AA293)-(AP293/1440)-(AW293/1440)</f>
        <v/>
      </c>
      <c r="BC293" s="20">
        <f>E293/AZ293</f>
        <v/>
      </c>
      <c r="BE293" s="20">
        <f>IF(E293&lt;10000,3000,IF(E293&lt;15000,3600,IF(E293&lt;20000,4500,IF(E293&lt;25000,6000,IF(E293&lt;30000,7500,IF(E293&lt;40000,9000,IF(E293&gt;40000,10000)))))))</f>
        <v/>
      </c>
      <c r="BF293" s="334">
        <f>(E293/BE293)+2</f>
        <v/>
      </c>
      <c r="BS293" s="97" t="inlineStr">
        <is>
          <t>CHANGE DU POSTE 1BIS VERS POSTE 1N LE 31/05 - 1200</t>
        </is>
      </c>
      <c r="BT293" s="99" t="n">
        <v>1</v>
      </c>
      <c r="BU293" s="99" t="n"/>
      <c r="BV293" s="99" t="n"/>
      <c r="BW293" s="332">
        <f>AI294-AH294</f>
        <v/>
      </c>
      <c r="CB293" s="14" t="n">
        <v>36684</v>
      </c>
    </row>
    <row r="294" ht="14.55" customHeight="1" s="70">
      <c r="A294" s="81" t="n">
        <v>203</v>
      </c>
      <c r="B294" s="343" t="inlineStr">
        <is>
          <t>ANAFI</t>
        </is>
      </c>
      <c r="C294" s="15" t="n">
        <v>45809</v>
      </c>
      <c r="D294" s="329" t="n">
        <v>41541</v>
      </c>
      <c r="E294" s="333">
        <f>D294+D295</f>
        <v/>
      </c>
      <c r="F294" s="142" t="n"/>
      <c r="G294" s="81" t="n">
        <v>2</v>
      </c>
      <c r="H294" s="75" t="inlineStr">
        <is>
          <t>DAP</t>
        </is>
      </c>
      <c r="I294" s="306" t="inlineStr">
        <is>
          <t xml:space="preserve">DAP STANDARD </t>
        </is>
      </c>
      <c r="J294" s="75" t="inlineStr">
        <is>
          <t>CFR</t>
        </is>
      </c>
      <c r="K294" s="82" t="n"/>
      <c r="L294" s="341">
        <f>D294*K294</f>
        <v/>
      </c>
      <c r="M294" s="14" t="n"/>
      <c r="N294" s="335">
        <f>L294*M294</f>
        <v/>
      </c>
      <c r="P294" s="75" t="n"/>
      <c r="Q294" s="75" t="inlineStr">
        <is>
          <t>ASIE</t>
        </is>
      </c>
      <c r="R294" s="75" t="inlineStr">
        <is>
          <t>INDIA</t>
        </is>
      </c>
      <c r="S294" s="75" t="n"/>
      <c r="T294" s="75" t="inlineStr">
        <is>
          <t>INTERTEK</t>
        </is>
      </c>
      <c r="U294" s="81" t="n">
        <v>199</v>
      </c>
      <c r="V294" s="53">
        <f>IF(U294&lt;130, "Mini Bulker", IF(AND(U294&gt;=130, U294&lt;150), "Handysize", IF(AND(U294&gt;=150, U294&lt;200), "Handymax", IF(AND(U294&gt;=200, U294&lt;230), "Panamax", IF(AND(U294&gt;=230, U294&lt;=270), "Capesize", "Autre")))))</f>
        <v/>
      </c>
      <c r="X294" s="14">
        <f>IF(E294&lt;9999,"1",IF(E294&lt;19999,"2",IF(E294&lt;29999,"3",IF(E294&lt;39999,"4",IF(E294&lt;49999,"5",IF(E294&gt;50000,"6"))))))</f>
        <v/>
      </c>
      <c r="Y294" s="99" t="inlineStr">
        <is>
          <t>2BIS</t>
        </is>
      </c>
      <c r="AA294" s="26" t="n">
        <v>45802.125</v>
      </c>
      <c r="AB294" s="26" t="n">
        <v>45803.375</v>
      </c>
      <c r="AC294" s="15" t="n">
        <v>45799</v>
      </c>
      <c r="AD294" s="15" t="n">
        <v>45802</v>
      </c>
      <c r="AE294" s="26" t="n">
        <v>45802.0625</v>
      </c>
      <c r="AF294" s="26" t="n">
        <v>45802.20833333334</v>
      </c>
      <c r="AG294" s="26" t="n">
        <v>45802.2875</v>
      </c>
      <c r="AH294" s="26" t="n">
        <v>45802.35763888889</v>
      </c>
      <c r="AI294" s="26" t="n">
        <v>45802.42013888889</v>
      </c>
      <c r="AJ294" s="26" t="n">
        <v>45802.49305555555</v>
      </c>
      <c r="AK294" s="26" t="n">
        <v>45809.94791666666</v>
      </c>
      <c r="AL294" s="26" t="n">
        <v>45810.00208333333</v>
      </c>
      <c r="AM294" s="26" t="n">
        <v>45810.01736111111</v>
      </c>
      <c r="AN294" s="26" t="n">
        <v>45810.25</v>
      </c>
      <c r="AO294" s="26" t="n">
        <v>45810.23611111111</v>
      </c>
      <c r="AP294" s="20">
        <f>(AG294-AF294)*1440</f>
        <v/>
      </c>
      <c r="AQ294" s="20">
        <f>(AG294-AE294)*1440</f>
        <v/>
      </c>
      <c r="AR294" s="20">
        <f>(AH294-AF294)*1440</f>
        <v/>
      </c>
      <c r="AS294" s="20">
        <f>(AI294-AH294)*1440</f>
        <v/>
      </c>
      <c r="AT294" s="20">
        <f>(AJ294-AH294)*1440</f>
        <v/>
      </c>
      <c r="AU294" s="20">
        <f>(AL294-AK294)*1440</f>
        <v/>
      </c>
      <c r="AV294" s="20">
        <f>(AM294-AL294)*1440</f>
        <v/>
      </c>
      <c r="AW294" s="20">
        <f>(AO294-AM294)*1440</f>
        <v/>
      </c>
      <c r="AX294" s="19">
        <f>AP294+AS294+AU294+AV294+AW294</f>
        <v/>
      </c>
      <c r="AY294" s="18">
        <f>(AG294-AA294)</f>
        <v/>
      </c>
      <c r="AZ294" s="18">
        <f>(AK294-AJ294)</f>
        <v/>
      </c>
      <c r="BA294" s="18">
        <f>AO294-AG294</f>
        <v/>
      </c>
      <c r="BB294" s="18">
        <f>(AO294-AA294)-(AP294/1440)-(AW294/1440)</f>
        <v/>
      </c>
      <c r="BC294" s="20">
        <f>E294/AZ294</f>
        <v/>
      </c>
      <c r="BD294" s="222" t="n"/>
      <c r="BE294" s="20">
        <f>IF(E294&lt;10000,3000,IF(E294&lt;15000,3600,IF(E294&lt;20000,4500,IF(E294&lt;25000,6000,IF(E294&lt;30000,7500,IF(E294&lt;40000,9000,IF(E294&gt;40000,10000)))))))</f>
        <v/>
      </c>
      <c r="BF294" s="334">
        <f>(E294/BE294)+2</f>
        <v/>
      </c>
      <c r="BS294" s="97" t="inlineStr">
        <is>
          <t>CHANGE DU POSTE 2BIS VERS LA RADE LE 27/05- 1453 // RE-ACC AU POSTE 2BIS LE 30/05- 1047</t>
        </is>
      </c>
      <c r="BT294" s="99" t="n">
        <v>2</v>
      </c>
      <c r="BU294" s="99" t="inlineStr">
        <is>
          <t>NON CLEAN</t>
        </is>
      </c>
      <c r="BV294" s="99" t="inlineStr">
        <is>
          <t>WATER</t>
        </is>
      </c>
      <c r="BW294" s="332">
        <f>AI295-AH295</f>
        <v/>
      </c>
      <c r="CB294" s="14" t="n">
        <v>35908</v>
      </c>
    </row>
    <row r="295" ht="14.55" customHeight="1" s="70">
      <c r="A295" s="81" t="n"/>
      <c r="B295" s="343" t="inlineStr">
        <is>
          <t>ANAFI</t>
        </is>
      </c>
      <c r="C295" s="15" t="n">
        <v>45809</v>
      </c>
      <c r="D295" s="329" t="n">
        <v>16500</v>
      </c>
      <c r="E295" s="330" t="n"/>
      <c r="F295" s="142" t="n"/>
      <c r="G295" s="81" t="n">
        <v>2</v>
      </c>
      <c r="H295" s="75" t="inlineStr">
        <is>
          <t>TSP</t>
        </is>
      </c>
      <c r="I295" s="306" t="inlineStr">
        <is>
          <t xml:space="preserve">TSP CIV </t>
        </is>
      </c>
      <c r="J295" s="75" t="inlineStr">
        <is>
          <t>CFR</t>
        </is>
      </c>
      <c r="K295" s="82" t="n"/>
      <c r="L295" s="341">
        <f>D295*K295</f>
        <v/>
      </c>
      <c r="M295" s="14" t="n"/>
      <c r="N295" s="335">
        <f>L295*M295</f>
        <v/>
      </c>
      <c r="P295" s="75" t="n"/>
      <c r="Q295" s="75" t="inlineStr">
        <is>
          <t>ASIE</t>
        </is>
      </c>
      <c r="R295" s="75" t="inlineStr">
        <is>
          <t>INDIA</t>
        </is>
      </c>
      <c r="S295" s="75" t="n"/>
      <c r="T295" s="75" t="inlineStr">
        <is>
          <t>INTERTEK</t>
        </is>
      </c>
      <c r="U295" s="81" t="n">
        <v>199</v>
      </c>
      <c r="V295" s="53">
        <f>IF(U295&lt;130, "Mini Bulker", IF(AND(U295&gt;=130, U295&lt;150), "Handysize", IF(AND(U295&gt;=150, U295&lt;200), "Handymax", IF(AND(U295&gt;=200, U295&lt;230), "Panamax", IF(AND(U295&gt;=230, U295&lt;=270), "Capesize", "Autre")))))</f>
        <v/>
      </c>
      <c r="X295" s="14">
        <f>IF(E295&lt;9999,"1",IF(E295&lt;19999,"2",IF(E295&lt;29999,"3",IF(E295&lt;39999,"4",IF(E295&lt;49999,"5",IF(E295&gt;50000,"6"))))))</f>
        <v/>
      </c>
      <c r="Y295" s="99" t="inlineStr">
        <is>
          <t>2BIS</t>
        </is>
      </c>
      <c r="AA295" s="218" t="n"/>
      <c r="AB295" s="218" t="n"/>
      <c r="AC295" s="98" t="n"/>
      <c r="AD295" s="98" t="n"/>
      <c r="AE295" s="218" t="n"/>
      <c r="AF295" s="218" t="n"/>
      <c r="AG295" s="218" t="n"/>
      <c r="AH295" s="218" t="n"/>
      <c r="AI295" s="218" t="n"/>
      <c r="AJ295" s="218" t="n"/>
      <c r="AK295" s="218" t="n"/>
      <c r="AL295" s="218" t="n"/>
      <c r="AM295" s="218" t="n"/>
      <c r="AN295" s="218" t="n"/>
      <c r="AO295" s="218" t="n"/>
      <c r="AP295" s="98" t="n"/>
      <c r="AQ295" s="98" t="n"/>
      <c r="AR295" s="98" t="n"/>
      <c r="AS295" s="98" t="n"/>
      <c r="AT295" s="98" t="n"/>
      <c r="AU295" s="98" t="n"/>
      <c r="AV295" s="98" t="n"/>
      <c r="AW295" s="98" t="n"/>
      <c r="AX295" s="98" t="n"/>
      <c r="AY295" s="98" t="n"/>
      <c r="AZ295" s="98" t="n"/>
      <c r="BA295" s="98" t="n"/>
      <c r="BB295" s="98" t="n"/>
      <c r="BC295" s="98" t="n"/>
      <c r="BD295" s="220" t="n"/>
      <c r="BE295" s="98" t="n"/>
      <c r="BF295" s="98" t="n"/>
      <c r="BS295" s="97" t="inlineStr">
        <is>
          <t>CHANGE DU POSTE 2BIS VERS LA RADE LE 27/05- 1453 // RE-ACC AU POSTE 2BIS LE 30/05- 1047</t>
        </is>
      </c>
      <c r="BT295" s="99" t="n">
        <v>2</v>
      </c>
      <c r="BU295" s="99" t="inlineStr">
        <is>
          <t>NON CLEAN</t>
        </is>
      </c>
      <c r="BV295" s="99" t="inlineStr">
        <is>
          <t>WATER</t>
        </is>
      </c>
      <c r="BW295" s="332">
        <f>AI296-AH296</f>
        <v/>
      </c>
      <c r="CB295" s="14" t="n"/>
    </row>
    <row r="296" ht="14.55" customHeight="1" s="70">
      <c r="A296" s="81" t="n">
        <v>201</v>
      </c>
      <c r="B296" s="343" t="inlineStr">
        <is>
          <t>MOTTLER</t>
        </is>
      </c>
      <c r="C296" s="15" t="n">
        <v>45809</v>
      </c>
      <c r="D296" s="329" t="n">
        <v>19642</v>
      </c>
      <c r="E296" s="333" t="n">
        <v>19642</v>
      </c>
      <c r="F296" s="142" t="inlineStr">
        <is>
          <t>JFC4</t>
        </is>
      </c>
      <c r="G296" s="81" t="n">
        <v>1</v>
      </c>
      <c r="H296" s="75" t="inlineStr">
        <is>
          <t>MAP</t>
        </is>
      </c>
      <c r="I296" s="306" t="inlineStr">
        <is>
          <t xml:space="preserve">MAP 11 52 SPECIAL </t>
        </is>
      </c>
      <c r="J296" s="75" t="inlineStr">
        <is>
          <t>CFR</t>
        </is>
      </c>
      <c r="K296" s="82" t="n"/>
      <c r="L296" s="341">
        <f>D296*K296</f>
        <v/>
      </c>
      <c r="M296" s="14" t="n"/>
      <c r="N296" s="335">
        <f>L296*M296</f>
        <v/>
      </c>
      <c r="P296" s="75" t="n"/>
      <c r="Q296" s="75" t="inlineStr">
        <is>
          <t>AMERIQUE</t>
        </is>
      </c>
      <c r="R296" s="75" t="inlineStr">
        <is>
          <t>CANADA</t>
        </is>
      </c>
      <c r="S296" s="75" t="n"/>
      <c r="T296" s="75" t="inlineStr">
        <is>
          <t>INSPECTORATE</t>
        </is>
      </c>
      <c r="U296" s="81" t="n">
        <v>185</v>
      </c>
      <c r="V296" s="53">
        <f>IF(U296&lt;130, "Mini Bulker", IF(AND(U296&gt;=130, U296&lt;150), "Handysize", IF(AND(U296&gt;=150, U296&lt;200), "Handymax", IF(AND(U296&gt;=200, U296&lt;230), "Panamax", IF(AND(U296&gt;=230, U296&lt;=270), "Capesize", "Autre")))))</f>
        <v/>
      </c>
      <c r="X296" s="14">
        <f>IF(E296&lt;9999,"1",IF(E296&lt;19999,"2",IF(E296&lt;29999,"3",IF(E296&lt;39999,"4",IF(E296&lt;49999,"5",IF(E296&gt;50000,"6"))))))</f>
        <v/>
      </c>
      <c r="Y296" s="99" t="inlineStr">
        <is>
          <t>1N/1TER</t>
        </is>
      </c>
      <c r="AA296" s="17" t="n">
        <v>45803.66666666666</v>
      </c>
      <c r="AB296" s="17" t="n">
        <v>45803.66666666666</v>
      </c>
      <c r="AC296" s="15" t="n">
        <v>45809</v>
      </c>
      <c r="AD296" s="15" t="n">
        <v>45811</v>
      </c>
      <c r="AE296" s="17" t="n">
        <v>45803.58333333334</v>
      </c>
      <c r="AF296" s="17" t="n">
        <v>45807.4375</v>
      </c>
      <c r="AG296" s="17" t="n">
        <v>45807.48958333334</v>
      </c>
      <c r="AH296" s="17" t="n">
        <v>45807.50694444445</v>
      </c>
      <c r="AI296" s="17" t="n">
        <v>45807.56597222222</v>
      </c>
      <c r="AJ296" s="17" t="n">
        <v>45807.58680555555</v>
      </c>
      <c r="AK296" s="17" t="n">
        <v>45809.39583333334</v>
      </c>
      <c r="AL296" s="17" t="n">
        <v>45809.47916666666</v>
      </c>
      <c r="AM296" s="17" t="n">
        <v>45809.5</v>
      </c>
      <c r="AN296" s="17" t="n">
        <v>45809.55277777778</v>
      </c>
      <c r="AO296" s="17" t="n">
        <v>45809.58333333334</v>
      </c>
      <c r="AP296" s="20">
        <f>(AG296-AF296)*1440</f>
        <v/>
      </c>
      <c r="AQ296" s="20">
        <f>(AG296-AE296)*1440</f>
        <v/>
      </c>
      <c r="AR296" s="20">
        <f>(AH296-AF296)*1440</f>
        <v/>
      </c>
      <c r="AS296" s="20">
        <f>(AI296-AH296)*1440</f>
        <v/>
      </c>
      <c r="AT296" s="20">
        <f>(AJ296-AH296)*1440</f>
        <v/>
      </c>
      <c r="AU296" s="20">
        <f>(AL296-AK296)*1440</f>
        <v/>
      </c>
      <c r="AV296" s="20">
        <f>(AM296-AL296)*1440</f>
        <v/>
      </c>
      <c r="AW296" s="20">
        <f>(AO296-AM296)*1440</f>
        <v/>
      </c>
      <c r="AX296" s="19">
        <f>AP296+AS296+AU296+AV296+AW296</f>
        <v/>
      </c>
      <c r="AY296" s="18">
        <f>(AG296-AA296)</f>
        <v/>
      </c>
      <c r="AZ296" s="18">
        <f>(AK296-AJ296)</f>
        <v/>
      </c>
      <c r="BA296" s="18">
        <f>AO296-AG296</f>
        <v/>
      </c>
      <c r="BB296" s="18">
        <f>(AO296-AA296)-(AP296/1440)-(AW296/1440)</f>
        <v/>
      </c>
      <c r="BC296" s="20">
        <f>E296/AZ296</f>
        <v/>
      </c>
      <c r="BD296" s="208" t="n"/>
      <c r="BE296" s="20">
        <f>IF(E296&lt;10000,3000,IF(E296&lt;15000,3600,IF(E296&lt;20000,4500,IF(E296&lt;25000,6000,IF(E296&lt;30000,7500,IF(E296&lt;40000,9000,IF(E296&gt;40000,10000)))))))</f>
        <v/>
      </c>
      <c r="BF296" s="334">
        <f>(E296/BE296)+2</f>
        <v/>
      </c>
      <c r="BS296" s="97" t="inlineStr">
        <is>
          <t>CHANGE DU POSTE 1N VERS POSTE 1TER LE 31/05 - 1125</t>
        </is>
      </c>
      <c r="BT296" s="99" t="n">
        <v>1</v>
      </c>
      <c r="BU296" s="99" t="inlineStr">
        <is>
          <t>CLEAN</t>
        </is>
      </c>
      <c r="BV296" s="99" t="inlineStr">
        <is>
          <t>NUL</t>
        </is>
      </c>
      <c r="BW296" s="332">
        <f>AI297-AH297</f>
        <v/>
      </c>
      <c r="CB296" s="14" t="n">
        <v>19814</v>
      </c>
    </row>
    <row r="297" ht="14.55" customHeight="1" s="70">
      <c r="A297" s="81" t="n">
        <v>202</v>
      </c>
      <c r="B297" s="343" t="inlineStr">
        <is>
          <t>SOLANA S</t>
        </is>
      </c>
      <c r="C297" s="15" t="n">
        <v>45809</v>
      </c>
      <c r="D297" s="329" t="n">
        <v>10000</v>
      </c>
      <c r="E297" s="333">
        <f>D297+D298</f>
        <v/>
      </c>
      <c r="F297" s="142" t="n"/>
      <c r="G297" s="81" t="n">
        <v>2</v>
      </c>
      <c r="H297" s="75" t="inlineStr">
        <is>
          <t>TSP</t>
        </is>
      </c>
      <c r="I297" s="306" t="inlineStr">
        <is>
          <t xml:space="preserve">TSP SPECIAL JORF </t>
        </is>
      </c>
      <c r="J297" s="75" t="inlineStr">
        <is>
          <t>CFR</t>
        </is>
      </c>
      <c r="K297" s="82" t="n"/>
      <c r="L297" s="341">
        <f>D297*K297</f>
        <v/>
      </c>
      <c r="M297" s="14" t="n"/>
      <c r="N297" s="335">
        <f>L297*M297</f>
        <v/>
      </c>
      <c r="P297" s="75" t="n"/>
      <c r="Q297" s="75" t="inlineStr">
        <is>
          <t>AMERIQUE LATINE</t>
        </is>
      </c>
      <c r="R297" s="75" t="inlineStr">
        <is>
          <t>BRESIL</t>
        </is>
      </c>
      <c r="S297" s="75" t="n"/>
      <c r="T297" s="75" t="inlineStr">
        <is>
          <t>OCP</t>
        </is>
      </c>
      <c r="U297" s="81" t="n">
        <v>169</v>
      </c>
      <c r="V297" s="53">
        <f>IF(U297&lt;130, "Mini Bulker", IF(AND(U297&gt;=130, U297&lt;150), "Handysize", IF(AND(U297&gt;=150, U297&lt;200), "Handymax", IF(AND(U297&gt;=200, U297&lt;230), "Panamax", IF(AND(U297&gt;=230, U297&lt;=270), "Capesize", "Autre")))))</f>
        <v/>
      </c>
      <c r="X297" s="14">
        <f>IF(E297&lt;9999,"1",IF(E297&lt;19999,"2",IF(E297&lt;29999,"3",IF(E297&lt;39999,"4",IF(E297&lt;49999,"5",IF(E297&gt;50000,"6"))))))</f>
        <v/>
      </c>
      <c r="Y297" s="99" t="inlineStr">
        <is>
          <t xml:space="preserve">1N/2N </t>
        </is>
      </c>
      <c r="AA297" s="26" t="n">
        <v>45804.00069444445</v>
      </c>
      <c r="AB297" s="26" t="n">
        <v>45804.375</v>
      </c>
      <c r="AC297" s="15" t="n">
        <v>45804</v>
      </c>
      <c r="AD297" s="15" t="n">
        <v>45806</v>
      </c>
      <c r="AE297" s="26" t="n">
        <v>45801.625</v>
      </c>
      <c r="AF297" s="26" t="n">
        <v>45804.43611111111</v>
      </c>
      <c r="AG297" s="26" t="n">
        <v>45804.49583333333</v>
      </c>
      <c r="AH297" s="26" t="n">
        <v>45804.51388888889</v>
      </c>
      <c r="AI297" s="26" t="n">
        <v>45804.72777777778</v>
      </c>
      <c r="AJ297" s="26" t="n">
        <v>45804.79861111111</v>
      </c>
      <c r="AK297" s="26" t="n">
        <v>45809.94444444445</v>
      </c>
      <c r="AL297" s="26" t="n">
        <v>45809.98819444444</v>
      </c>
      <c r="AM297" s="26" t="n">
        <v>45809.99652777778</v>
      </c>
      <c r="AN297" s="26" t="n">
        <v>45810.03819444445</v>
      </c>
      <c r="AO297" s="26" t="n">
        <v>45810.07291666666</v>
      </c>
      <c r="AP297" s="20">
        <f>(AG297-AF297)*1440</f>
        <v/>
      </c>
      <c r="AQ297" s="20">
        <f>(AG297-AE297)*1440</f>
        <v/>
      </c>
      <c r="AR297" s="20">
        <f>(AH297-AF297)*1440</f>
        <v/>
      </c>
      <c r="AS297" s="20">
        <f>(AI297-AH297)*1440</f>
        <v/>
      </c>
      <c r="AT297" s="20">
        <f>(AJ297-AH297)*1440</f>
        <v/>
      </c>
      <c r="AU297" s="20">
        <f>(AL297-AK297)*1440</f>
        <v/>
      </c>
      <c r="AV297" s="20">
        <f>(AM297-AL297)*1440</f>
        <v/>
      </c>
      <c r="AW297" s="20">
        <f>(AO297-AM297)*1440</f>
        <v/>
      </c>
      <c r="AX297" s="19">
        <f>AP297+AS297+AU297+AV297+AW297</f>
        <v/>
      </c>
      <c r="AY297" s="18">
        <f>(AG297-AA297)</f>
        <v/>
      </c>
      <c r="AZ297" s="18">
        <f>(AK297-AJ297)</f>
        <v/>
      </c>
      <c r="BA297" s="18">
        <f>AO297-AG297</f>
        <v/>
      </c>
      <c r="BB297" s="18">
        <f>(AO297-AA297)-(AP297/1440)-(AW297/1440)</f>
        <v/>
      </c>
      <c r="BC297" s="20">
        <f>E297/AZ297</f>
        <v/>
      </c>
      <c r="BD297" s="216" t="n"/>
      <c r="BE297" s="20">
        <f>IF(E297&lt;10000,3000,IF(E297&lt;15000,3600,IF(E297&lt;20000,4500,IF(E297&lt;25000,6000,IF(E297&lt;30000,7500,IF(E297&lt;40000,9000,IF(E297&gt;40000,10000)))))))</f>
        <v/>
      </c>
      <c r="BF297" s="334">
        <f>(E297/BE297)+2</f>
        <v/>
      </c>
      <c r="BS297" s="97" t="inlineStr">
        <is>
          <t>CHANGE DU POSTE 1N VERS LA RADE LE 30/05 - 1030 / RE-ACCOSTAGE AU POSTE 2N LE 31/05 - 0615</t>
        </is>
      </c>
      <c r="BT297" s="99" t="n">
        <v>2</v>
      </c>
      <c r="BU297" s="99" t="n"/>
      <c r="BV297" s="99" t="n"/>
      <c r="BW297" s="332">
        <f>AI298-AH298</f>
        <v/>
      </c>
      <c r="CB297" s="14" t="n">
        <v>17027</v>
      </c>
    </row>
    <row r="298" ht="14.55" customHeight="1" s="70">
      <c r="A298" s="81" t="n"/>
      <c r="B298" s="343" t="inlineStr">
        <is>
          <t>SOLANA S</t>
        </is>
      </c>
      <c r="C298" s="15" t="n">
        <v>45809</v>
      </c>
      <c r="D298" s="329" t="n">
        <v>15000</v>
      </c>
      <c r="E298" s="330" t="n"/>
      <c r="F298" s="142" t="n"/>
      <c r="G298" s="81" t="n">
        <v>2</v>
      </c>
      <c r="H298" s="75" t="inlineStr">
        <is>
          <t>MAP</t>
        </is>
      </c>
      <c r="I298" s="306" t="inlineStr">
        <is>
          <t xml:space="preserve">MAP 11 52 SPECIAL </t>
        </is>
      </c>
      <c r="J298" s="75" t="inlineStr">
        <is>
          <t>CFR</t>
        </is>
      </c>
      <c r="K298" s="82" t="n"/>
      <c r="L298" s="341">
        <f>D298*K298</f>
        <v/>
      </c>
      <c r="M298" s="14" t="n"/>
      <c r="N298" s="335">
        <f>L298*M298</f>
        <v/>
      </c>
      <c r="P298" s="75" t="n"/>
      <c r="Q298" s="75" t="inlineStr">
        <is>
          <t>AMERIQUE LATINE</t>
        </is>
      </c>
      <c r="R298" s="75" t="inlineStr">
        <is>
          <t>BRESIL</t>
        </is>
      </c>
      <c r="S298" s="75" t="n"/>
      <c r="T298" s="75" t="inlineStr">
        <is>
          <t>OCP</t>
        </is>
      </c>
      <c r="U298" s="81" t="n">
        <v>169</v>
      </c>
      <c r="V298" s="53">
        <f>IF(U298&lt;130, "Mini Bulker", IF(AND(U298&gt;=130, U298&lt;150), "Handysize", IF(AND(U298&gt;=150, U298&lt;200), "Handymax", IF(AND(U298&gt;=200, U298&lt;230), "Panamax", IF(AND(U298&gt;=230, U298&lt;=270), "Capesize", "Autre")))))</f>
        <v/>
      </c>
      <c r="X298" s="14">
        <f>IF(E298&lt;9999,"1",IF(E298&lt;19999,"2",IF(E298&lt;29999,"3",IF(E298&lt;39999,"4",IF(E298&lt;49999,"5",IF(E298&gt;50000,"6"))))))</f>
        <v/>
      </c>
      <c r="Y298" s="99" t="inlineStr">
        <is>
          <t xml:space="preserve">1N/2N </t>
        </is>
      </c>
      <c r="AA298" s="98" t="n"/>
      <c r="AB298" s="98" t="n"/>
      <c r="AC298" s="98" t="n"/>
      <c r="AD298" s="98" t="n"/>
      <c r="AE298" s="98" t="n"/>
      <c r="AF298" s="98" t="n"/>
      <c r="AG298" s="98" t="n"/>
      <c r="AH298" s="98" t="n"/>
      <c r="AI298" s="98" t="n"/>
      <c r="AJ298" s="98" t="n"/>
      <c r="AK298" s="98" t="n"/>
      <c r="AL298" s="98" t="n"/>
      <c r="AM298" s="98" t="n"/>
      <c r="AN298" s="98" t="n"/>
      <c r="AO298" s="98" t="n"/>
      <c r="AP298" s="98" t="n"/>
      <c r="AQ298" s="98" t="n"/>
      <c r="AR298" s="98" t="n"/>
      <c r="AS298" s="98" t="n"/>
      <c r="AT298" s="98" t="n"/>
      <c r="AU298" s="98" t="n"/>
      <c r="AV298" s="98" t="n"/>
      <c r="AW298" s="98" t="n"/>
      <c r="AX298" s="98" t="n"/>
      <c r="AY298" s="98" t="n"/>
      <c r="AZ298" s="98" t="n"/>
      <c r="BA298" s="98" t="n"/>
      <c r="BB298" s="98" t="n"/>
      <c r="BC298" s="98" t="n"/>
      <c r="BD298" s="98" t="n"/>
      <c r="BE298" s="98" t="n"/>
      <c r="BF298" s="98" t="n"/>
      <c r="BS298" s="97" t="inlineStr">
        <is>
          <t>CHANGE DU POSTE 1N VERS LA RADE LE 30/05 - 1030 / RE-ACCOSTAGE AU POSTE 2N LE 31/05 - 0615</t>
        </is>
      </c>
      <c r="BT298" s="99" t="n">
        <v>2</v>
      </c>
      <c r="BU298" s="99" t="n"/>
      <c r="BV298" s="99" t="n"/>
      <c r="BW298" s="332">
        <f>AI299-AH299</f>
        <v/>
      </c>
      <c r="CB298" s="14" t="n"/>
    </row>
    <row r="299" ht="14.55" customHeight="1" s="70">
      <c r="A299" s="81" t="n">
        <v>204</v>
      </c>
      <c r="B299" s="343" t="inlineStr">
        <is>
          <t>SUPRA</t>
        </is>
      </c>
      <c r="C299" s="15" t="n">
        <v>45810</v>
      </c>
      <c r="D299" s="329" t="n">
        <v>5500</v>
      </c>
      <c r="E299" s="333">
        <f>D299+D300</f>
        <v/>
      </c>
      <c r="F299" s="142" t="n"/>
      <c r="G299" s="81" t="n">
        <v>2</v>
      </c>
      <c r="H299" s="75" t="inlineStr">
        <is>
          <t>TSP</t>
        </is>
      </c>
      <c r="I299" s="306" t="inlineStr">
        <is>
          <t xml:space="preserve">TSP EURO </t>
        </is>
      </c>
      <c r="J299" s="75" t="inlineStr">
        <is>
          <t>FOB</t>
        </is>
      </c>
      <c r="K299" s="82" t="n"/>
      <c r="L299" s="341">
        <f>D299*K299</f>
        <v/>
      </c>
      <c r="M299" s="14" t="n"/>
      <c r="N299" s="335">
        <f>L299*M299</f>
        <v/>
      </c>
      <c r="P299" s="75" t="n"/>
      <c r="Q299" s="75" t="inlineStr">
        <is>
          <t>EUROPE</t>
        </is>
      </c>
      <c r="R299" s="75" t="inlineStr">
        <is>
          <t xml:space="preserve">Slovenia </t>
        </is>
      </c>
      <c r="S299" s="75" t="n"/>
      <c r="T299" s="75" t="inlineStr">
        <is>
          <t>INSPECTORATE</t>
        </is>
      </c>
      <c r="U299" s="81" t="n">
        <v>151</v>
      </c>
      <c r="V299" s="53">
        <f>IF(U299&lt;130, "Mini Bulker", IF(AND(U299&gt;=130, U299&lt;150), "Handysize", IF(AND(U299&gt;=150, U299&lt;200), "Handymax", IF(AND(U299&gt;=200, U299&lt;230), "Panamax", IF(AND(U299&gt;=230, U299&lt;=270), "Capesize", "Autre")))))</f>
        <v/>
      </c>
      <c r="X299" s="14">
        <f>IF(E299&lt;9999,"1",IF(E299&lt;19999,"2",IF(E299&lt;29999,"3",IF(E299&lt;39999,"4",IF(E299&lt;49999,"5",IF(E299&gt;50000,"6"))))))</f>
        <v/>
      </c>
      <c r="Y299" s="99" t="inlineStr">
        <is>
          <t>2TER</t>
        </is>
      </c>
      <c r="AA299" s="26" t="n">
        <v>45800.52777777778</v>
      </c>
      <c r="AB299" s="26" t="n">
        <v>45800.52777777778</v>
      </c>
      <c r="AC299" s="15" t="n">
        <v>45804</v>
      </c>
      <c r="AD299" s="15" t="n">
        <v>45804</v>
      </c>
      <c r="AE299" s="26" t="n">
        <v>45798.81597222222</v>
      </c>
      <c r="AF299" s="26" t="n">
        <v>45805.86944444444</v>
      </c>
      <c r="AG299" s="26" t="n">
        <v>45805.92361111111</v>
      </c>
      <c r="AH299" s="26" t="n">
        <v>45805.93402777778</v>
      </c>
      <c r="AI299" s="26" t="n">
        <v>45805.99652777778</v>
      </c>
      <c r="AJ299" s="26" t="n">
        <v>45806.10069444445</v>
      </c>
      <c r="AK299" s="26" t="n">
        <v>45810.67708333334</v>
      </c>
      <c r="AL299" s="26" t="n">
        <v>45810.69791666666</v>
      </c>
      <c r="AM299" s="26" t="n">
        <v>45810.72222222222</v>
      </c>
      <c r="AN299" s="26" t="n">
        <v>45810.78055555555</v>
      </c>
      <c r="AO299" s="26" t="n">
        <v>45810.79166666666</v>
      </c>
      <c r="AP299" s="20">
        <f>(AG299-AF299)*1440</f>
        <v/>
      </c>
      <c r="AQ299" s="20">
        <f>(AG299-AE299)*1440</f>
        <v/>
      </c>
      <c r="AR299" s="20">
        <f>(AH299-AF299)*1440</f>
        <v/>
      </c>
      <c r="AS299" s="20">
        <f>(AI299-AH299)*1440</f>
        <v/>
      </c>
      <c r="AT299" s="20">
        <f>(AJ299-AH299)*1440</f>
        <v/>
      </c>
      <c r="AU299" s="20">
        <f>(AL299-AK299)*1440</f>
        <v/>
      </c>
      <c r="AV299" s="20">
        <f>(AM299-AL299)*1440</f>
        <v/>
      </c>
      <c r="AW299" s="20">
        <f>(AO299-AM299)*1440</f>
        <v/>
      </c>
      <c r="AX299" s="19">
        <f>AP299+AS299+AU299+AV299+AW299</f>
        <v/>
      </c>
      <c r="AY299" s="18">
        <f>(AG299-AA299)</f>
        <v/>
      </c>
      <c r="AZ299" s="18">
        <f>(AK299-AJ299)</f>
        <v/>
      </c>
      <c r="BA299" s="18">
        <f>AO299-AG299</f>
        <v/>
      </c>
      <c r="BB299" s="18">
        <f>(AO299-AA299)-(AP299/1440)-(AW299/1440)</f>
        <v/>
      </c>
      <c r="BC299" s="20">
        <f>E299/AZ299</f>
        <v/>
      </c>
      <c r="BE299" s="20">
        <f>IF(E299&lt;10000,3000,IF(E299&lt;15000,3600,IF(E299&lt;20000,4500,IF(E299&lt;25000,6000,IF(E299&lt;30000,7500,IF(E299&lt;40000,9000,IF(E299&gt;40000,10000)))))))</f>
        <v/>
      </c>
      <c r="BF299" s="334">
        <f>(E299/BE299)+2</f>
        <v/>
      </c>
      <c r="BS299" s="97" t="inlineStr">
        <is>
          <t>NUL</t>
        </is>
      </c>
      <c r="BT299" s="99" t="n">
        <v>0</v>
      </c>
      <c r="BU299" s="99" t="inlineStr">
        <is>
          <t>CLEAN</t>
        </is>
      </c>
      <c r="BV299" s="99" t="inlineStr">
        <is>
          <t>NUL</t>
        </is>
      </c>
      <c r="BW299" s="332">
        <f>AI300-AH300</f>
        <v/>
      </c>
      <c r="CB299" s="14" t="n">
        <v>10299</v>
      </c>
    </row>
    <row r="300" ht="14.55" customHeight="1" s="70">
      <c r="A300" s="81" t="n"/>
      <c r="B300" s="343" t="inlineStr">
        <is>
          <t>SUPRA</t>
        </is>
      </c>
      <c r="C300" s="15" t="n">
        <v>45810</v>
      </c>
      <c r="D300" s="329" t="n">
        <v>8800</v>
      </c>
      <c r="E300" s="330" t="n"/>
      <c r="G300" s="81" t="n">
        <v>2</v>
      </c>
      <c r="H300" s="75" t="inlineStr">
        <is>
          <t>MAP</t>
        </is>
      </c>
      <c r="I300" s="306" t="inlineStr">
        <is>
          <t xml:space="preserve">MAP 11 52 Special Low Cd </t>
        </is>
      </c>
      <c r="J300" s="75" t="inlineStr">
        <is>
          <t>FOB</t>
        </is>
      </c>
      <c r="K300" s="82" t="n"/>
      <c r="L300" s="341">
        <f>D300*K300</f>
        <v/>
      </c>
      <c r="M300" s="14" t="n"/>
      <c r="N300" s="335">
        <f>L300*M300</f>
        <v/>
      </c>
      <c r="P300" s="75" t="n"/>
      <c r="Q300" s="75" t="inlineStr">
        <is>
          <t>EUROPE</t>
        </is>
      </c>
      <c r="R300" s="75" t="inlineStr">
        <is>
          <t xml:space="preserve">Slovenia </t>
        </is>
      </c>
      <c r="S300" s="75" t="n"/>
      <c r="T300" s="75" t="inlineStr">
        <is>
          <t>INSPECTORATE</t>
        </is>
      </c>
      <c r="U300" s="81" t="n">
        <v>151</v>
      </c>
      <c r="V300" s="53">
        <f>IF(U300&lt;130, "Mini Bulker", IF(AND(U300&gt;=130, U300&lt;150), "Handysize", IF(AND(U300&gt;=150, U300&lt;200), "Handymax", IF(AND(U300&gt;=200, U300&lt;230), "Panamax", IF(AND(U300&gt;=230, U300&lt;=270), "Capesize", "Autre")))))</f>
        <v/>
      </c>
      <c r="X300" s="14">
        <f>IF(E300&lt;9999,"1",IF(E300&lt;19999,"2",IF(E300&lt;29999,"3",IF(E300&lt;39999,"4",IF(E300&lt;49999,"5",IF(E300&gt;50000,"6"))))))</f>
        <v/>
      </c>
      <c r="Y300" s="99" t="inlineStr">
        <is>
          <t>2TER</t>
        </is>
      </c>
      <c r="AA300" s="98" t="n"/>
      <c r="AB300" s="98" t="n"/>
      <c r="AC300" s="98" t="n"/>
      <c r="AD300" s="98" t="n"/>
      <c r="AE300" s="98" t="n"/>
      <c r="AF300" s="98" t="n"/>
      <c r="AG300" s="98" t="n"/>
      <c r="AH300" s="98" t="n"/>
      <c r="AI300" s="98" t="n"/>
      <c r="AJ300" s="98" t="n"/>
      <c r="AK300" s="98" t="n"/>
      <c r="AL300" s="98" t="n"/>
      <c r="AM300" s="98" t="n"/>
      <c r="AN300" s="98" t="n"/>
      <c r="AO300" s="98" t="n"/>
      <c r="AP300" s="98" t="n"/>
      <c r="AQ300" s="98" t="n"/>
      <c r="AR300" s="98" t="n"/>
      <c r="AS300" s="98" t="n"/>
      <c r="AT300" s="98" t="n"/>
      <c r="AU300" s="98" t="n"/>
      <c r="AV300" s="98" t="n"/>
      <c r="AW300" s="98" t="n"/>
      <c r="AX300" s="98" t="n"/>
      <c r="AY300" s="98" t="n"/>
      <c r="AZ300" s="98" t="n"/>
      <c r="BA300" s="98" t="n"/>
      <c r="BB300" s="98" t="n"/>
      <c r="BC300" s="98" t="n"/>
      <c r="BD300" s="98" t="n"/>
      <c r="BE300" s="98" t="n"/>
      <c r="BF300" s="98" t="n"/>
      <c r="BG300" s="98" t="n"/>
      <c r="BH300" s="98" t="n"/>
      <c r="BI300" s="98" t="n"/>
      <c r="BJ300" s="98" t="n"/>
      <c r="BK300" s="98" t="n"/>
      <c r="BL300" s="98" t="n"/>
      <c r="BM300" s="98" t="n"/>
      <c r="BN300" s="98" t="n"/>
      <c r="BO300" s="98" t="n"/>
      <c r="BP300" s="98" t="n"/>
      <c r="BQ300" s="98" t="n"/>
      <c r="BR300" s="98" t="n"/>
      <c r="BS300" s="97" t="inlineStr">
        <is>
          <t>NUL</t>
        </is>
      </c>
      <c r="BT300" s="99" t="n">
        <v>0</v>
      </c>
      <c r="BU300" s="99" t="inlineStr">
        <is>
          <t>CLEAN</t>
        </is>
      </c>
      <c r="BV300" s="99" t="inlineStr">
        <is>
          <t>NUL</t>
        </is>
      </c>
      <c r="BW300" s="332">
        <f>AI301-AH301</f>
        <v/>
      </c>
      <c r="CB300" s="14" t="n"/>
    </row>
    <row r="301" ht="14.55" customHeight="1" s="70">
      <c r="A301" s="81" t="n">
        <v>205</v>
      </c>
      <c r="B301" s="343" t="inlineStr">
        <is>
          <t>HTK FORTUNE</t>
        </is>
      </c>
      <c r="C301" s="15" t="n">
        <v>45813</v>
      </c>
      <c r="D301" s="329" t="n">
        <v>30000</v>
      </c>
      <c r="E301" s="333" t="n">
        <v>30000</v>
      </c>
      <c r="G301" s="81" t="n">
        <v>1</v>
      </c>
      <c r="H301" s="75" t="inlineStr">
        <is>
          <t>TSP</t>
        </is>
      </c>
      <c r="I301" s="306" t="inlineStr">
        <is>
          <t xml:space="preserve">TSP SPECIAL JORF </t>
        </is>
      </c>
      <c r="J301" s="75" t="inlineStr">
        <is>
          <t>CFR</t>
        </is>
      </c>
      <c r="K301" s="82" t="n"/>
      <c r="L301" s="341">
        <f>D301*K301</f>
        <v/>
      </c>
      <c r="M301" s="14" t="n"/>
      <c r="N301" s="335">
        <f>L301*M301</f>
        <v/>
      </c>
      <c r="P301" s="75" t="n"/>
      <c r="Q301" s="75" t="inlineStr">
        <is>
          <t>AMERIQUE LATINE</t>
        </is>
      </c>
      <c r="R301" s="75" t="inlineStr">
        <is>
          <t>BRESIL</t>
        </is>
      </c>
      <c r="S301" s="75" t="n"/>
      <c r="T301" s="75" t="inlineStr">
        <is>
          <t>INTERTEK</t>
        </is>
      </c>
      <c r="U301" s="81" t="n">
        <v>177</v>
      </c>
      <c r="V301" s="53">
        <f>IF(U301&lt;130, "Mini Bulker", IF(AND(U301&gt;=130, U301&lt;150), "Handysize", IF(AND(U301&gt;=150, U301&lt;200), "Handymax", IF(AND(U301&gt;=200, U301&lt;230), "Panamax", IF(AND(U301&gt;=230, U301&lt;=270), "Capesize", "Autre")))))</f>
        <v/>
      </c>
      <c r="X301" s="14">
        <f>IF(E301&lt;9999,"1",IF(E301&lt;19999,"2",IF(E301&lt;29999,"3",IF(E301&lt;39999,"4",IF(E301&lt;49999,"5",IF(E301&gt;50000,"6"))))))</f>
        <v/>
      </c>
      <c r="Y301" s="99" t="inlineStr">
        <is>
          <t>1TER/2N</t>
        </is>
      </c>
      <c r="AA301" s="26" t="n">
        <v>45801.625</v>
      </c>
      <c r="AB301" s="26" t="n">
        <v>45803.375</v>
      </c>
      <c r="AC301" s="15" t="n">
        <v>45804</v>
      </c>
      <c r="AD301" s="15" t="n">
        <v>45806</v>
      </c>
      <c r="AE301" s="26" t="n">
        <v>45801.625</v>
      </c>
      <c r="AF301" s="26" t="n">
        <v>45809.74027777778</v>
      </c>
      <c r="AG301" s="26" t="n">
        <v>45809.84166666667</v>
      </c>
      <c r="AH301" s="26" t="n">
        <v>45809.85069444445</v>
      </c>
      <c r="AI301" s="26" t="n">
        <v>45809.90625</v>
      </c>
      <c r="AJ301" s="26" t="n">
        <v>45809.97916666666</v>
      </c>
      <c r="AK301" s="26" t="n">
        <v>45813.92361111111</v>
      </c>
      <c r="AL301" s="26" t="n">
        <v>45813.96527777778</v>
      </c>
      <c r="AM301" s="26" t="n">
        <v>45814.00347222222</v>
      </c>
      <c r="AN301" s="26" t="n">
        <v>45814.0625</v>
      </c>
      <c r="AO301" s="26" t="n">
        <v>45814.09722222222</v>
      </c>
      <c r="AP301" s="20">
        <f>(AG301-AF301)*1440</f>
        <v/>
      </c>
      <c r="AQ301" s="20">
        <f>(AG301-AE301)*1440</f>
        <v/>
      </c>
      <c r="AR301" s="20">
        <f>(AH301-AF301)*1440</f>
        <v/>
      </c>
      <c r="AS301" s="20">
        <f>(AI301-AH301)*1440</f>
        <v/>
      </c>
      <c r="AT301" s="20">
        <f>(AJ301-AH301)*1440</f>
        <v/>
      </c>
      <c r="AU301" s="20">
        <f>(AL301-AK301)*1440</f>
        <v/>
      </c>
      <c r="AV301" s="20">
        <f>(AM301-AL301)*1440</f>
        <v/>
      </c>
      <c r="AW301" s="20">
        <f>(AO301-AM301)*1440</f>
        <v/>
      </c>
      <c r="AX301" s="19">
        <f>AP301+AS301+AU301+AV301+AW301</f>
        <v/>
      </c>
      <c r="AY301" s="18">
        <f>(AG301-AA301)</f>
        <v/>
      </c>
      <c r="AZ301" s="18">
        <f>(AK301-AJ301)</f>
        <v/>
      </c>
      <c r="BA301" s="18">
        <f>AO301-AG301</f>
        <v/>
      </c>
      <c r="BB301" s="18">
        <f>(AO301-AA301)-(AP301/1440)-(AW301/1440)</f>
        <v/>
      </c>
      <c r="BC301" s="20">
        <f>E301/AZ301</f>
        <v/>
      </c>
      <c r="BE301" s="20">
        <f>IF(E301&lt;10000,3000,IF(E301&lt;15000,3600,IF(E301&lt;20000,4500,IF(E301&lt;25000,6000,IF(E301&lt;30000,7500,IF(E301&lt;40000,9000,IF(E301&gt;40000,10000)))))))</f>
        <v/>
      </c>
      <c r="BF301" s="334">
        <f>(E301/BE301)+2</f>
        <v/>
      </c>
      <c r="BS301" s="97" t="inlineStr">
        <is>
          <t>CHANGE DU POSTE 1TER VERS POSTE 2N LE 02/06- 1110</t>
        </is>
      </c>
      <c r="BT301" s="99" t="n">
        <v>1</v>
      </c>
      <c r="BU301" s="99" t="n"/>
      <c r="BV301" s="99" t="n"/>
      <c r="BW301" s="332">
        <f>AI302-AH302</f>
        <v/>
      </c>
      <c r="CB301" s="14" t="n">
        <v>19885</v>
      </c>
    </row>
    <row r="302" ht="14.55" customHeight="1" s="70">
      <c r="A302" s="81" t="n">
        <v>207</v>
      </c>
      <c r="B302" s="343" t="inlineStr">
        <is>
          <t>SEASTAR AVALON</t>
        </is>
      </c>
      <c r="C302" s="15" t="n">
        <v>45815</v>
      </c>
      <c r="D302" s="329" t="n">
        <v>29920</v>
      </c>
      <c r="E302" s="329" t="n">
        <v>29920</v>
      </c>
      <c r="F302" s="75" t="n"/>
      <c r="G302" s="81" t="n">
        <v>1</v>
      </c>
      <c r="H302" s="75" t="inlineStr">
        <is>
          <t>NPS</t>
        </is>
      </c>
      <c r="I302" s="306" t="inlineStr">
        <is>
          <t>NPS 1 30 8,5S</t>
        </is>
      </c>
      <c r="J302" s="75" t="inlineStr">
        <is>
          <t>CFR</t>
        </is>
      </c>
      <c r="K302" s="82" t="n"/>
      <c r="L302" s="341">
        <f>D302*K302</f>
        <v/>
      </c>
      <c r="M302" s="14" t="n"/>
      <c r="N302" s="335">
        <f>L302*M302</f>
        <v/>
      </c>
      <c r="P302" s="75" t="n"/>
      <c r="Q302" s="75" t="inlineStr">
        <is>
          <t>AMERIQUE LATINE</t>
        </is>
      </c>
      <c r="R302" s="75" t="inlineStr">
        <is>
          <t>BRAZIL</t>
        </is>
      </c>
      <c r="S302" s="75" t="n"/>
      <c r="T302" s="75" t="inlineStr">
        <is>
          <t>INTERTEK</t>
        </is>
      </c>
      <c r="U302" s="81" t="n">
        <v>180</v>
      </c>
      <c r="V302" s="53">
        <f>IF(U302&lt;130, "Mini Bulker", IF(AND(U302&gt;=130, U302&lt;150), "Handysize", IF(AND(U302&gt;=150, U302&lt;200), "Handymax", IF(AND(U302&gt;=200, U302&lt;230), "Panamax", IF(AND(U302&gt;=230, U302&lt;=270), "Capesize", "Autre")))))</f>
        <v/>
      </c>
      <c r="X302" s="14">
        <f>IF(E302&lt;9999,"1",IF(E302&lt;19999,"2",IF(E302&lt;29999,"3",IF(E302&lt;39999,"4",IF(E302&lt;49999,"5",IF(E302&gt;50000,"6"))))))</f>
        <v/>
      </c>
      <c r="Y302" s="99" t="inlineStr">
        <is>
          <t>1BIS</t>
        </is>
      </c>
      <c r="AA302" s="26" t="n">
        <v>45806.90625</v>
      </c>
      <c r="AB302" s="26" t="n">
        <v>45807.375</v>
      </c>
      <c r="AC302" s="15" t="n">
        <v>45804</v>
      </c>
      <c r="AD302" s="15" t="n">
        <v>45806</v>
      </c>
      <c r="AE302" s="26" t="n">
        <v>45805.125</v>
      </c>
      <c r="AF302" s="26" t="n">
        <v>45808.5</v>
      </c>
      <c r="AG302" s="26" t="n">
        <v>45808.52083333334</v>
      </c>
      <c r="AH302" s="26" t="n">
        <v>45808.54166666666</v>
      </c>
      <c r="AI302" s="26" t="n">
        <v>45808.58333333334</v>
      </c>
      <c r="AJ302" s="26" t="n">
        <v>45808.60069444445</v>
      </c>
      <c r="AK302" s="26" t="n">
        <v>45815.8125</v>
      </c>
      <c r="AL302" s="26" t="n">
        <v>45815.85416666666</v>
      </c>
      <c r="AM302" s="26" t="n">
        <v>45815.86111111111</v>
      </c>
      <c r="AN302" s="26" t="n">
        <v>45815.90277777778</v>
      </c>
      <c r="AO302" s="26" t="n">
        <v>45815.91666666666</v>
      </c>
      <c r="AP302" s="20">
        <f>(AG302-AF302)*1440</f>
        <v/>
      </c>
      <c r="AQ302" s="20">
        <f>(AG302-AE302)*1440</f>
        <v/>
      </c>
      <c r="AR302" s="20">
        <f>(AH302-AF302)*1440</f>
        <v/>
      </c>
      <c r="AS302" s="20">
        <f>(AI302-AH302)*1440</f>
        <v/>
      </c>
      <c r="AT302" s="20">
        <f>(AJ302-AH302)*1440</f>
        <v/>
      </c>
      <c r="AU302" s="20">
        <f>(AL302-AK302)*1440</f>
        <v/>
      </c>
      <c r="AV302" s="20">
        <f>(AM302-AL302)*1440</f>
        <v/>
      </c>
      <c r="AW302" s="20">
        <f>(AO302-AM302)*1440</f>
        <v/>
      </c>
      <c r="AX302" s="19">
        <f>AP302+AS302+AU302+AV302+AW302</f>
        <v/>
      </c>
      <c r="AY302" s="18">
        <f>(AG302-AA302)</f>
        <v/>
      </c>
      <c r="AZ302" s="18">
        <f>(AK302-AJ302)</f>
        <v/>
      </c>
      <c r="BA302" s="18">
        <f>AO302-AG302</f>
        <v/>
      </c>
      <c r="BB302" s="18">
        <f>(AO302-AA302)-(AP302/1440)-(AW302/1440)</f>
        <v/>
      </c>
      <c r="BC302" s="20">
        <f>E302/AZ302</f>
        <v/>
      </c>
      <c r="BE302" s="20">
        <f>IF(E302&lt;10000,3000,IF(E302&lt;15000,3600,IF(E302&lt;20000,4500,IF(E302&lt;25000,6000,IF(E302&lt;30000,7500,IF(E302&lt;40000,9000,IF(E302&gt;40000,10000)))))))</f>
        <v/>
      </c>
      <c r="BF302" s="334">
        <f>(E302/BE302)+2</f>
        <v/>
      </c>
      <c r="BS302" s="97" t="inlineStr">
        <is>
          <t>NUL</t>
        </is>
      </c>
      <c r="BT302" s="99" t="n">
        <v>0</v>
      </c>
      <c r="BU302" s="99" t="n"/>
      <c r="BV302" s="99" t="n"/>
      <c r="BW302" s="332">
        <f>AI303-AH303</f>
        <v/>
      </c>
      <c r="CB302" s="14" t="n">
        <v>22522</v>
      </c>
    </row>
    <row r="303" ht="14.55" customHeight="1" s="70">
      <c r="A303" s="81" t="n">
        <v>206</v>
      </c>
      <c r="B303" s="343" t="inlineStr">
        <is>
          <t>SUA</t>
        </is>
      </c>
      <c r="C303" s="15" t="n">
        <v>45815</v>
      </c>
      <c r="D303" s="329" t="n">
        <v>7130</v>
      </c>
      <c r="E303" s="329" t="n">
        <v>7130</v>
      </c>
      <c r="G303" s="81" t="n">
        <v>1</v>
      </c>
      <c r="H303" s="75" t="inlineStr">
        <is>
          <t>MAP</t>
        </is>
      </c>
      <c r="I303" s="306" t="inlineStr">
        <is>
          <t xml:space="preserve">MAP 11 52 Special Low Cd </t>
        </is>
      </c>
      <c r="J303" s="75" t="inlineStr">
        <is>
          <t>FOB</t>
        </is>
      </c>
      <c r="K303" s="82" t="n"/>
      <c r="L303" s="341">
        <f>D303*K303</f>
        <v/>
      </c>
      <c r="M303" s="14" t="n"/>
      <c r="N303" s="335">
        <f>L303*M303</f>
        <v/>
      </c>
      <c r="P303" s="75" t="n"/>
      <c r="Q303" s="75" t="inlineStr">
        <is>
          <t>EUROPE</t>
        </is>
      </c>
      <c r="R303" s="75" t="inlineStr">
        <is>
          <t>LETTONIE</t>
        </is>
      </c>
      <c r="S303" s="75" t="n"/>
      <c r="T303" s="75" t="inlineStr">
        <is>
          <t>INSPECTORATE</t>
        </is>
      </c>
      <c r="U303" s="81" t="n">
        <v>120</v>
      </c>
      <c r="V303" s="53">
        <f>IF(U303&lt;130, "Mini Bulker", IF(AND(U303&gt;=130, U303&lt;150), "Handysize", IF(AND(U303&gt;=150, U303&lt;200), "Handymax", IF(AND(U303&gt;=200, U303&lt;230), "Panamax", IF(AND(U303&gt;=230, U303&lt;=270), "Capesize", "Autre")))))</f>
        <v/>
      </c>
      <c r="X303" s="14">
        <f>IF(E303&lt;9999,"1",IF(E303&lt;19999,"2",IF(E303&lt;29999,"3",IF(E303&lt;39999,"4",IF(E303&lt;49999,"5",IF(E303&gt;50000,"6"))))))</f>
        <v/>
      </c>
      <c r="Y303" s="99" t="inlineStr">
        <is>
          <t>1N</t>
        </is>
      </c>
      <c r="AA303" s="26" t="n">
        <v>45813.4375</v>
      </c>
      <c r="AB303" s="26" t="n">
        <v>45813.4375</v>
      </c>
      <c r="AC303" s="15" t="n">
        <v>45811</v>
      </c>
      <c r="AD303" s="15" t="n">
        <v>45813</v>
      </c>
      <c r="AE303" s="26" t="n">
        <v>45812.81666666667</v>
      </c>
      <c r="AF303" s="26" t="n">
        <v>45814.07291666666</v>
      </c>
      <c r="AG303" s="26" t="n">
        <v>45814.1375</v>
      </c>
      <c r="AH303" s="26" t="n">
        <v>45814.15625</v>
      </c>
      <c r="AI303" s="26" t="n">
        <v>45814.38541666666</v>
      </c>
      <c r="AJ303" s="26" t="n">
        <v>45814.51041666666</v>
      </c>
      <c r="AK303" s="26" t="n">
        <v>45815.34375</v>
      </c>
      <c r="AL303" s="26" t="n">
        <v>45815.37847222222</v>
      </c>
      <c r="AM303" s="26" t="n">
        <v>45815.40277777778</v>
      </c>
      <c r="AN303" s="26" t="n">
        <v>45815.46111111111</v>
      </c>
      <c r="AO303" s="26" t="n">
        <v>45815.50694444445</v>
      </c>
      <c r="AP303" s="20">
        <f>(AG303-AF303)*1440</f>
        <v/>
      </c>
      <c r="AQ303" s="20">
        <f>(AG303-AE303)*1440</f>
        <v/>
      </c>
      <c r="AR303" s="20">
        <f>(AH303-AF303)*1440</f>
        <v/>
      </c>
      <c r="AS303" s="20">
        <f>(AI303-AH303)*1440</f>
        <v/>
      </c>
      <c r="AT303" s="20">
        <f>(AJ303-AH303)*1440</f>
        <v/>
      </c>
      <c r="AU303" s="20">
        <f>(AL303-AK303)*1440</f>
        <v/>
      </c>
      <c r="AV303" s="20">
        <f>(AM303-AL303)*1440</f>
        <v/>
      </c>
      <c r="AW303" s="20">
        <f>(AO303-AM303)*1440</f>
        <v/>
      </c>
      <c r="AX303" s="19">
        <f>AP303+AS303+AU303+AV303+AW303</f>
        <v/>
      </c>
      <c r="AY303" s="18">
        <f>(AG303-AA303)</f>
        <v/>
      </c>
      <c r="AZ303" s="18">
        <f>(AK303-AJ303)</f>
        <v/>
      </c>
      <c r="BA303" s="18">
        <f>AO303-AG303</f>
        <v/>
      </c>
      <c r="BB303" s="18">
        <f>(AO303-AA303)-(AP303/1440)-(AW303/1440)</f>
        <v/>
      </c>
      <c r="BC303" s="20">
        <f>E303/AZ303</f>
        <v/>
      </c>
      <c r="BE303" s="20">
        <f>IF(E303&lt;10000,3000,IF(E303&lt;15000,3600,IF(E303&lt;20000,4500,IF(E303&lt;25000,6000,IF(E303&lt;30000,7500,IF(E303&lt;40000,9000,IF(E303&gt;40000,10000)))))))</f>
        <v/>
      </c>
      <c r="BF303" s="334">
        <f>(E303/BE303)+2</f>
        <v/>
      </c>
      <c r="BS303" s="97" t="inlineStr">
        <is>
          <t>NUL</t>
        </is>
      </c>
      <c r="BT303" s="99" t="n">
        <v>0</v>
      </c>
      <c r="BU303" s="99" t="inlineStr">
        <is>
          <t>NON CLEAN</t>
        </is>
      </c>
      <c r="BV303" s="99" t="inlineStr">
        <is>
          <t>WATER/FRESH PAINT</t>
        </is>
      </c>
      <c r="BW303" s="332">
        <f>AI304-AH304</f>
        <v/>
      </c>
      <c r="CB303" s="14" t="n">
        <v>5335</v>
      </c>
    </row>
    <row r="304" ht="14.55" customHeight="1" s="70">
      <c r="A304" s="81" t="n">
        <v>208</v>
      </c>
      <c r="B304" s="343" t="inlineStr">
        <is>
          <t>ROGALAND</t>
        </is>
      </c>
      <c r="C304" s="15" t="n">
        <v>45816</v>
      </c>
      <c r="D304" s="329" t="n">
        <v>5500</v>
      </c>
      <c r="E304" s="333">
        <f>D304+D305</f>
        <v/>
      </c>
      <c r="F304" s="75" t="n"/>
      <c r="G304" s="81" t="n">
        <v>2</v>
      </c>
      <c r="H304" s="75" t="inlineStr">
        <is>
          <t>NPK</t>
        </is>
      </c>
      <c r="I304" s="306" t="inlineStr">
        <is>
          <t xml:space="preserve">NPK 15 15 15 </t>
        </is>
      </c>
      <c r="J304" s="75" t="inlineStr">
        <is>
          <t>FOB</t>
        </is>
      </c>
      <c r="K304" s="82" t="n"/>
      <c r="L304" s="341">
        <f>D304*K304</f>
        <v/>
      </c>
      <c r="M304" s="14" t="n"/>
      <c r="N304" s="335">
        <f>L304*M304</f>
        <v/>
      </c>
      <c r="P304" s="75" t="n"/>
      <c r="Q304" s="75" t="inlineStr">
        <is>
          <t>EUROPE</t>
        </is>
      </c>
      <c r="R304" s="75" t="inlineStr">
        <is>
          <t xml:space="preserve">Denmark </t>
        </is>
      </c>
      <c r="S304" s="75" t="n"/>
      <c r="T304" s="75" t="inlineStr">
        <is>
          <t>INSPECTORATE</t>
        </is>
      </c>
      <c r="U304" s="81" t="n">
        <v>107</v>
      </c>
      <c r="V304" s="53">
        <f>IF(U304&lt;130, "Mini Bulker", IF(AND(U304&gt;=130, U304&lt;150), "Handysize", IF(AND(U304&gt;=150, U304&lt;200), "Handymax", IF(AND(U304&gt;=200, U304&lt;230), "Panamax", IF(AND(U304&gt;=230, U304&lt;=270), "Capesize", "Autre")))))</f>
        <v/>
      </c>
      <c r="X304" s="14">
        <f>IF(E304&lt;9999,"1",IF(E304&lt;19999,"2",IF(E304&lt;29999,"3",IF(E304&lt;39999,"4",IF(E304&lt;49999,"5",IF(E304&gt;50000,"6"))))))</f>
        <v/>
      </c>
      <c r="Y304" s="99" t="inlineStr">
        <is>
          <t>2TER/5/2TER</t>
        </is>
      </c>
      <c r="AA304" s="26" t="n">
        <v>45809.59375</v>
      </c>
      <c r="AB304" s="26" t="n">
        <v>45810.375</v>
      </c>
      <c r="AC304" s="15" t="n">
        <v>45809</v>
      </c>
      <c r="AD304" s="15" t="n">
        <v>45811</v>
      </c>
      <c r="AE304" s="26" t="n">
        <v>45809.59375</v>
      </c>
      <c r="AF304" s="26" t="n">
        <v>45810.79166666666</v>
      </c>
      <c r="AG304" s="26" t="n">
        <v>45810.85416666666</v>
      </c>
      <c r="AH304" s="26" t="n">
        <v>45810.86458333334</v>
      </c>
      <c r="AI304" s="26" t="n">
        <v>45811.44097222222</v>
      </c>
      <c r="AJ304" s="26" t="n">
        <v>45811.47222222222</v>
      </c>
      <c r="AK304" s="26" t="n">
        <v>45816.33333333334</v>
      </c>
      <c r="AL304" s="26" t="n">
        <v>45816.35416666666</v>
      </c>
      <c r="AM304" s="26" t="n">
        <v>45816.41666666666</v>
      </c>
      <c r="AN304" s="26" t="n">
        <v>45816.47361111111</v>
      </c>
      <c r="AO304" s="26" t="n">
        <v>45816.47222222222</v>
      </c>
      <c r="AP304" s="20">
        <f>(AG304-AF304)*1440</f>
        <v/>
      </c>
      <c r="AQ304" s="20">
        <f>(AG304-AE304)*1440</f>
        <v/>
      </c>
      <c r="AR304" s="20">
        <f>(AH304-AF304)*1440</f>
        <v/>
      </c>
      <c r="AS304" s="20">
        <f>(AI304-AH304)*1440</f>
        <v/>
      </c>
      <c r="AT304" s="20">
        <f>(AJ304-AH304)*1440</f>
        <v/>
      </c>
      <c r="AU304" s="20">
        <f>(AL304-AK304)*1440</f>
        <v/>
      </c>
      <c r="AV304" s="20">
        <f>(AM304-AL304)*1440</f>
        <v/>
      </c>
      <c r="AW304" s="20">
        <f>(AO304-AM304)*1440</f>
        <v/>
      </c>
      <c r="AX304" s="19">
        <f>AP304+AS304+AU304+AV304+AW304</f>
        <v/>
      </c>
      <c r="AY304" s="18">
        <f>(AG304-AA304)</f>
        <v/>
      </c>
      <c r="AZ304" s="18">
        <f>(AK304-AJ304)</f>
        <v/>
      </c>
      <c r="BA304" s="18">
        <f>AO304-AG304</f>
        <v/>
      </c>
      <c r="BB304" s="18">
        <f>(AO304-AA304)-(AP304/1440)-(AW304/1440)</f>
        <v/>
      </c>
      <c r="BC304" s="20">
        <f>E304/AZ304</f>
        <v/>
      </c>
      <c r="BE304" s="20">
        <f>IF(E304&lt;10000,3000,IF(E304&lt;15000,3600,IF(E304&lt;20000,4500,IF(E304&lt;25000,6000,IF(E304&lt;30000,7500,IF(E304&lt;40000,9000,IF(E304&gt;40000,10000)))))))</f>
        <v/>
      </c>
      <c r="BF304" s="334">
        <f>(E304/BE304)+2</f>
        <v/>
      </c>
      <c r="BS304" s="97" t="inlineStr">
        <is>
          <t>CHANGE DU POSTE 2TER VERS POSTE 5 LE 04/06- 1940 // CHANGE DU POSTE 5 VERS POSTE 2TER LE 05/06- 1540</t>
        </is>
      </c>
      <c r="BT304" s="99" t="n">
        <v>2</v>
      </c>
      <c r="BU304" s="97" t="inlineStr">
        <is>
          <t>NAVIRE NON PRÊT</t>
        </is>
      </c>
      <c r="BV304" s="99" t="inlineStr">
        <is>
          <t>WATER/LAST CARGO</t>
        </is>
      </c>
      <c r="BW304" s="332">
        <f>AI305-AH305</f>
        <v/>
      </c>
      <c r="CB304" s="14" t="n">
        <v>6668</v>
      </c>
    </row>
    <row r="305" ht="14.55" customHeight="1" s="70">
      <c r="A305" s="81" t="n"/>
      <c r="B305" s="343" t="inlineStr">
        <is>
          <t>ROGALAND</t>
        </is>
      </c>
      <c r="C305" s="15" t="n">
        <v>45816</v>
      </c>
      <c r="D305" s="329" t="n">
        <v>1100</v>
      </c>
      <c r="E305" s="330" t="n"/>
      <c r="F305" s="75" t="n"/>
      <c r="G305" s="81" t="n">
        <v>2</v>
      </c>
      <c r="H305" s="75" t="inlineStr">
        <is>
          <t>TSP</t>
        </is>
      </c>
      <c r="I305" s="306" t="inlineStr">
        <is>
          <t xml:space="preserve">TSP EURO Low Cd </t>
        </is>
      </c>
      <c r="J305" s="75" t="inlineStr">
        <is>
          <t>FOB</t>
        </is>
      </c>
      <c r="K305" s="82" t="n"/>
      <c r="L305" s="341">
        <f>D305*K305</f>
        <v/>
      </c>
      <c r="M305" s="14" t="n"/>
      <c r="N305" s="335">
        <f>L305*M305</f>
        <v/>
      </c>
      <c r="P305" s="75" t="n"/>
      <c r="Q305" s="75" t="inlineStr">
        <is>
          <t>EUROPE</t>
        </is>
      </c>
      <c r="R305" s="75" t="inlineStr">
        <is>
          <t xml:space="preserve">Denmark </t>
        </is>
      </c>
      <c r="S305" s="75" t="n"/>
      <c r="T305" s="75" t="inlineStr">
        <is>
          <t>INSPECTORATE</t>
        </is>
      </c>
      <c r="U305" s="81" t="n">
        <v>107</v>
      </c>
      <c r="V305" s="53">
        <f>IF(U305&lt;130, "Mini Bulker", IF(AND(U305&gt;=130, U305&lt;150), "Handysize", IF(AND(U305&gt;=150, U305&lt;200), "Handymax", IF(AND(U305&gt;=200, U305&lt;230), "Panamax", IF(AND(U305&gt;=230, U305&lt;=270), "Capesize", "Autre")))))</f>
        <v/>
      </c>
      <c r="X305" s="14">
        <f>IF(E305&lt;9999,"1",IF(E305&lt;19999,"2",IF(E305&lt;29999,"3",IF(E305&lt;39999,"4",IF(E305&lt;49999,"5",IF(E305&gt;50000,"6"))))))</f>
        <v/>
      </c>
      <c r="Y305" s="99" t="inlineStr">
        <is>
          <t>2TER/5/2TER</t>
        </is>
      </c>
      <c r="AA305" s="98" t="n"/>
      <c r="AB305" s="98" t="n"/>
      <c r="AC305" s="98" t="n"/>
      <c r="AD305" s="98" t="n"/>
      <c r="AE305" s="98" t="n"/>
      <c r="AF305" s="98" t="n"/>
      <c r="AG305" s="98" t="n"/>
      <c r="AH305" s="98" t="n"/>
      <c r="AI305" s="98" t="n"/>
      <c r="AJ305" s="98" t="n"/>
      <c r="AK305" s="98" t="n"/>
      <c r="AL305" s="98" t="n"/>
      <c r="AM305" s="98" t="n"/>
      <c r="AN305" s="98" t="n"/>
      <c r="AO305" s="98" t="n"/>
      <c r="AP305" s="98" t="n"/>
      <c r="AQ305" s="98" t="n"/>
      <c r="AR305" s="98" t="n"/>
      <c r="AS305" s="98" t="n"/>
      <c r="AT305" s="98" t="n"/>
      <c r="AU305" s="98" t="n"/>
      <c r="AV305" s="98" t="n"/>
      <c r="AW305" s="98" t="n"/>
      <c r="AX305" s="98" t="n"/>
      <c r="AY305" s="98" t="n"/>
      <c r="AZ305" s="98" t="n"/>
      <c r="BA305" s="98" t="n"/>
      <c r="BB305" s="98" t="n"/>
      <c r="BC305" s="98" t="n"/>
      <c r="BD305" s="98" t="n"/>
      <c r="BE305" s="98" t="n"/>
      <c r="BF305" s="98" t="n"/>
      <c r="BG305" s="98" t="n"/>
      <c r="BH305" s="98" t="n"/>
      <c r="BI305" s="98" t="n"/>
      <c r="BJ305" s="98" t="n"/>
      <c r="BK305" s="98" t="n"/>
      <c r="BL305" s="98" t="n"/>
      <c r="BM305" s="98" t="n"/>
      <c r="BN305" s="98" t="n"/>
      <c r="BO305" s="98" t="n"/>
      <c r="BP305" s="98" t="n"/>
      <c r="BQ305" s="98" t="n"/>
      <c r="BR305" s="98" t="n"/>
      <c r="BS305" s="97" t="inlineStr">
        <is>
          <t>CHANGE DU POSTE 2TER VERS POSTE 5 LE 04/06- 1940 // CHANGE DU POSTE 5 VERS POSTE 2TER LE 05/06- 1540</t>
        </is>
      </c>
      <c r="BT305" s="99" t="n">
        <v>2</v>
      </c>
      <c r="BU305" s="97" t="inlineStr">
        <is>
          <t>NAVIRE NON PRÊT</t>
        </is>
      </c>
      <c r="BV305" s="99" t="inlineStr">
        <is>
          <t>WATER/LAST CARGO</t>
        </is>
      </c>
      <c r="BW305" s="332">
        <f>AI306-AH306</f>
        <v/>
      </c>
      <c r="CB305" s="14" t="n"/>
    </row>
    <row r="306" ht="14.55" customHeight="1" s="70">
      <c r="A306" s="81" t="n">
        <v>209</v>
      </c>
      <c r="B306" s="343" t="inlineStr">
        <is>
          <t>ROOSTER</t>
        </is>
      </c>
      <c r="C306" s="15" t="n">
        <v>45818</v>
      </c>
      <c r="D306" s="329" t="n">
        <v>14470</v>
      </c>
      <c r="E306" s="333">
        <f>D306+D307</f>
        <v/>
      </c>
      <c r="F306" s="75" t="n"/>
      <c r="G306" s="81" t="n">
        <v>2</v>
      </c>
      <c r="H306" s="75" t="inlineStr">
        <is>
          <t>MAP</t>
        </is>
      </c>
      <c r="I306" s="306" t="inlineStr">
        <is>
          <t xml:space="preserve">MAP 11 52 SPECIAL </t>
        </is>
      </c>
      <c r="J306" s="75" t="inlineStr">
        <is>
          <t>CFR</t>
        </is>
      </c>
      <c r="K306" s="82" t="n"/>
      <c r="L306" s="341">
        <f>D306*K306</f>
        <v/>
      </c>
      <c r="M306" s="14" t="n"/>
      <c r="N306" s="335">
        <f>L306*M306</f>
        <v/>
      </c>
      <c r="P306" s="75" t="n"/>
      <c r="Q306" s="75" t="inlineStr">
        <is>
          <t>AMERIQUE LATINE</t>
        </is>
      </c>
      <c r="R306" s="75" t="inlineStr">
        <is>
          <t>BRAZIL</t>
        </is>
      </c>
      <c r="S306" s="75" t="n"/>
      <c r="T306" s="75" t="inlineStr">
        <is>
          <t>INSPECTORATE</t>
        </is>
      </c>
      <c r="U306" s="81" t="n">
        <v>181</v>
      </c>
      <c r="V306" s="53">
        <f>IF(U306&lt;130, "Mini Bulker", IF(AND(U306&gt;=130, U306&lt;150), "Handysize", IF(AND(U306&gt;=150, U306&lt;200), "Handymax", IF(AND(U306&gt;=200, U306&lt;230), "Panamax", IF(AND(U306&gt;=230, U306&lt;=270), "Capesize", "Autre")))))</f>
        <v/>
      </c>
      <c r="X306" s="14">
        <f>IF(E306&lt;9999,"1",IF(E306&lt;19999,"2",IF(E306&lt;29999,"3",IF(E306&lt;39999,"4",IF(E306&lt;49999,"5",IF(E306&gt;50000,"6"))))))</f>
        <v/>
      </c>
      <c r="Y306" s="99" t="inlineStr">
        <is>
          <t>2N/1N/1TER/1N</t>
        </is>
      </c>
      <c r="AA306" s="26" t="n">
        <v>45800.675</v>
      </c>
      <c r="AB306" s="26" t="n">
        <v>45800.675</v>
      </c>
      <c r="AC306" s="15" t="n">
        <v>45800</v>
      </c>
      <c r="AD306" s="15" t="n">
        <v>45802</v>
      </c>
      <c r="AE306" s="26" t="n">
        <v>45800.65833333333</v>
      </c>
      <c r="AF306" s="26" t="n">
        <v>45800.91944444444</v>
      </c>
      <c r="AG306" s="26" t="n">
        <v>45800.9875</v>
      </c>
      <c r="AH306" s="26" t="n">
        <v>45801.01388888889</v>
      </c>
      <c r="AI306" s="26" t="n">
        <v>45801.07638888889</v>
      </c>
      <c r="AJ306" s="26" t="n">
        <v>45801.08680555555</v>
      </c>
      <c r="AK306" s="26" t="n">
        <v>45818.03125</v>
      </c>
      <c r="AL306" s="26" t="n">
        <v>45818.07847222222</v>
      </c>
      <c r="AM306" s="26" t="n">
        <v>45818.10416666666</v>
      </c>
      <c r="AN306" s="26" t="n">
        <v>45818.14583333334</v>
      </c>
      <c r="AO306" s="26" t="n">
        <v>45818.18055555555</v>
      </c>
      <c r="AP306" s="20">
        <f>(AG306-AF306)*1440</f>
        <v/>
      </c>
      <c r="AQ306" s="20">
        <f>(AG306-AE306)*1440</f>
        <v/>
      </c>
      <c r="AR306" s="20">
        <f>(AH306-AF306)*1440</f>
        <v/>
      </c>
      <c r="AS306" s="20">
        <f>(AI306-AH306)*1440</f>
        <v/>
      </c>
      <c r="AT306" s="20">
        <f>(AJ306-AH306)*1440</f>
        <v/>
      </c>
      <c r="AU306" s="20">
        <f>(AL306-AK306)*1440</f>
        <v/>
      </c>
      <c r="AV306" s="20">
        <f>(AM306-AL306)*1440</f>
        <v/>
      </c>
      <c r="AW306" s="20">
        <f>(AO306-AM306)*1440</f>
        <v/>
      </c>
      <c r="AX306" s="19">
        <f>AP306+AS306+AU306+AV306+AW306</f>
        <v/>
      </c>
      <c r="AY306" s="18">
        <f>(AG306-AA306)</f>
        <v/>
      </c>
      <c r="AZ306" s="18">
        <f>(AK306-AJ306)</f>
        <v/>
      </c>
      <c r="BA306" s="18">
        <f>AO306-AG306</f>
        <v/>
      </c>
      <c r="BB306" s="18">
        <f>(AO306-AA306)-(AP306/1440)-(AW306/1440)</f>
        <v/>
      </c>
      <c r="BC306" s="20">
        <f>E306/AZ306</f>
        <v/>
      </c>
      <c r="BD306" s="26" t="n"/>
      <c r="BE306" s="20">
        <f>IF(E306&lt;10000,3000,IF(E306&lt;15000,3600,IF(E306&lt;20000,4500,IF(E306&lt;25000,6000,IF(E306&lt;30000,7500,IF(E306&lt;40000,9000,IF(E306&gt;40000,10000)))))))</f>
        <v/>
      </c>
      <c r="BF306" s="334">
        <f>(E306/BE306)+2</f>
        <v/>
      </c>
      <c r="BG306" s="26" t="n"/>
      <c r="BH306" s="26" t="n"/>
      <c r="BI306" s="26" t="n"/>
      <c r="BJ306" s="26" t="n"/>
      <c r="BK306" s="26" t="n"/>
      <c r="BL306" s="26" t="n"/>
      <c r="BM306" s="26" t="n"/>
      <c r="BN306" s="26" t="n"/>
      <c r="BO306" s="26" t="n"/>
      <c r="BP306" s="26" t="n"/>
      <c r="BQ306" s="26" t="n"/>
      <c r="BR306" s="26" t="n"/>
      <c r="BS306" s="97" t="inlineStr">
        <is>
          <t>CHANGE DU POSTE 2N VERS POSTE 1N LE 25/05- 1435 // CHANGE DU POSTE 1N VERS LA RADE LE 27/05- 1028 // RE-ACC AU POSTE 1TER LE 29/05- 1350 // CHANGE DU POSTE 1TER VERS LA RADE LE 31/05 - 0910 // RE-ACC AU POSTE 1N LE 01/06- 0735 // CHANGE DU POSTE 1N VERS LA RADE LE 03/06- 1138 // RE-ACC AU POSTE 1N LE 07/06 - 1300</t>
        </is>
      </c>
      <c r="BT306" s="99" t="n">
        <v>7</v>
      </c>
      <c r="BU306" s="99" t="inlineStr">
        <is>
          <t>CLEAN</t>
        </is>
      </c>
      <c r="BV306" s="99" t="inlineStr">
        <is>
          <t>NUL</t>
        </is>
      </c>
      <c r="BW306" s="332">
        <f>AI307-AH307</f>
        <v/>
      </c>
      <c r="CB306" s="14" t="n">
        <v>23741</v>
      </c>
    </row>
    <row r="307" ht="14.55" customHeight="1" s="70">
      <c r="A307" s="81" t="n"/>
      <c r="B307" s="343" t="inlineStr">
        <is>
          <t>ROOSTER</t>
        </is>
      </c>
      <c r="C307" s="15" t="n">
        <v>45818</v>
      </c>
      <c r="D307" s="329" t="n">
        <v>18275</v>
      </c>
      <c r="E307" s="330" t="n"/>
      <c r="F307" s="75" t="n"/>
      <c r="G307" s="81" t="n">
        <v>2</v>
      </c>
      <c r="H307" s="75" t="inlineStr">
        <is>
          <t>TSP</t>
        </is>
      </c>
      <c r="I307" s="306" t="inlineStr">
        <is>
          <t xml:space="preserve">TSP SPECIAL JORF </t>
        </is>
      </c>
      <c r="J307" s="75" t="inlineStr">
        <is>
          <t>CFR</t>
        </is>
      </c>
      <c r="K307" s="82" t="n"/>
      <c r="L307" s="341">
        <f>D307*K307</f>
        <v/>
      </c>
      <c r="M307" s="14" t="n"/>
      <c r="N307" s="335">
        <f>L307*M307</f>
        <v/>
      </c>
      <c r="P307" s="75" t="n"/>
      <c r="Q307" s="75" t="inlineStr">
        <is>
          <t>AMERIQUE LATINE</t>
        </is>
      </c>
      <c r="R307" s="75" t="inlineStr">
        <is>
          <t>BRAZIL</t>
        </is>
      </c>
      <c r="S307" s="75" t="n"/>
      <c r="T307" s="75" t="inlineStr">
        <is>
          <t>INSPECTORATE</t>
        </is>
      </c>
      <c r="U307" s="81" t="n">
        <v>181</v>
      </c>
      <c r="V307" s="53">
        <f>IF(U307&lt;130, "Mini Bulker", IF(AND(U307&gt;=130, U307&lt;150), "Handysize", IF(AND(U307&gt;=150, U307&lt;200), "Handymax", IF(AND(U307&gt;=200, U307&lt;230), "Panamax", IF(AND(U307&gt;=230, U307&lt;=270), "Capesize", "Autre")))))</f>
        <v/>
      </c>
      <c r="X307" s="14">
        <f>IF(E307&lt;9999,"1",IF(E307&lt;19999,"2",IF(E307&lt;29999,"3",IF(E307&lt;39999,"4",IF(E307&lt;49999,"5",IF(E307&gt;50000,"6"))))))</f>
        <v/>
      </c>
      <c r="Y307" s="99" t="inlineStr">
        <is>
          <t>2N/1N/1TER/1N</t>
        </is>
      </c>
      <c r="AA307" s="98" t="n"/>
      <c r="AB307" s="98" t="n"/>
      <c r="AC307" s="98" t="n"/>
      <c r="AD307" s="98" t="n"/>
      <c r="AE307" s="98" t="n"/>
      <c r="AF307" s="98" t="n"/>
      <c r="AG307" s="98" t="n"/>
      <c r="AH307" s="98" t="n"/>
      <c r="AI307" s="98" t="n"/>
      <c r="AJ307" s="98" t="n"/>
      <c r="AK307" s="98" t="n"/>
      <c r="AL307" s="98" t="n"/>
      <c r="AM307" s="98" t="n"/>
      <c r="AN307" s="98" t="n"/>
      <c r="AO307" s="98" t="n"/>
      <c r="AP307" s="98" t="n"/>
      <c r="AQ307" s="98" t="n"/>
      <c r="AR307" s="98" t="n"/>
      <c r="AS307" s="98" t="n"/>
      <c r="AT307" s="98" t="n"/>
      <c r="AU307" s="98" t="n"/>
      <c r="AV307" s="98" t="n"/>
      <c r="AW307" s="98" t="n"/>
      <c r="AX307" s="98" t="n"/>
      <c r="AY307" s="98" t="n"/>
      <c r="AZ307" s="98" t="n"/>
      <c r="BA307" s="98" t="n"/>
      <c r="BB307" s="98" t="n"/>
      <c r="BC307" s="98" t="n"/>
      <c r="BD307" s="98" t="n"/>
      <c r="BE307" s="98" t="n"/>
      <c r="BF307" s="98" t="n"/>
      <c r="BG307" s="98" t="n"/>
      <c r="BH307" s="98" t="n"/>
      <c r="BI307" s="98" t="n"/>
      <c r="BJ307" s="98" t="n"/>
      <c r="BK307" s="98" t="n"/>
      <c r="BL307" s="98" t="n"/>
      <c r="BM307" s="98" t="n"/>
      <c r="BN307" s="98" t="n"/>
      <c r="BO307" s="98" t="n"/>
      <c r="BP307" s="98" t="n"/>
      <c r="BQ307" s="98" t="n"/>
      <c r="BR307" s="98" t="n"/>
      <c r="BS307" s="97" t="inlineStr">
        <is>
          <t>CHANGE DU POSTE 2N VERS POSTE 1N LE 25/05- 1435 // CHANGE DU POSTE 1N VERS LA RADE LE 27/05- 1028 // RE-ACC AU POSTE 1TER LE 29/05- 1350 // CHANGE DU POSTE 1TER VERS LA RADE LE 31/05 - 0910 // RE-ACC AU POSTE 1N LE 01/06- 0735 // CHANGE DU POSTE 1N VERS LA RADE LE 03/06- 1138 // RE-ACC AU POSTE 1N LE 07/06 - 1300</t>
        </is>
      </c>
      <c r="BT307" s="99" t="n">
        <v>7</v>
      </c>
      <c r="BU307" s="99" t="inlineStr">
        <is>
          <t>CLEAN</t>
        </is>
      </c>
      <c r="BV307" s="99" t="inlineStr">
        <is>
          <t>NUL</t>
        </is>
      </c>
      <c r="BW307" s="332">
        <f>AI308-AH308</f>
        <v/>
      </c>
      <c r="CB307" s="14" t="n"/>
    </row>
    <row r="308" ht="14.55" customHeight="1" s="70">
      <c r="A308" s="81" t="n">
        <v>210</v>
      </c>
      <c r="B308" s="343" t="inlineStr">
        <is>
          <t xml:space="preserve">COS ORCHID </t>
        </is>
      </c>
      <c r="C308" s="15" t="n">
        <v>45819</v>
      </c>
      <c r="D308" s="329" t="n">
        <v>22722</v>
      </c>
      <c r="E308" s="333">
        <f>D308+D309</f>
        <v/>
      </c>
      <c r="F308" s="75" t="n"/>
      <c r="G308" s="81" t="n">
        <v>2</v>
      </c>
      <c r="H308" s="75" t="inlineStr">
        <is>
          <t>TSP</t>
        </is>
      </c>
      <c r="I308" s="306" t="inlineStr">
        <is>
          <t xml:space="preserve">TSP CIV </t>
        </is>
      </c>
      <c r="J308" s="75" t="inlineStr">
        <is>
          <t>CFR</t>
        </is>
      </c>
      <c r="K308" s="82" t="n"/>
      <c r="L308" s="341">
        <f>D308*K308</f>
        <v/>
      </c>
      <c r="M308" s="14" t="n"/>
      <c r="N308" s="335">
        <f>L308*M308</f>
        <v/>
      </c>
      <c r="P308" s="75" t="n"/>
      <c r="Q308" s="75" t="inlineStr">
        <is>
          <t>ASIE</t>
        </is>
      </c>
      <c r="R308" s="75" t="inlineStr">
        <is>
          <t>INDE</t>
        </is>
      </c>
      <c r="S308" s="75" t="n"/>
      <c r="T308" s="75" t="inlineStr">
        <is>
          <t>INTERTEK</t>
        </is>
      </c>
      <c r="U308" s="81" t="n">
        <v>189</v>
      </c>
      <c r="V308" s="53">
        <f>IF(U308&lt;130, "Mini Bulker", IF(AND(U308&gt;=130, U308&lt;150), "Handysize", IF(AND(U308&gt;=150, U308&lt;200), "Handymax", IF(AND(U308&gt;=200, U308&lt;230), "Panamax", IF(AND(U308&gt;=230, U308&lt;=270), "Capesize", "Autre")))))</f>
        <v/>
      </c>
      <c r="X308" s="14">
        <f>IF(E308&lt;9999,"1",IF(E308&lt;19999,"2",IF(E308&lt;29999,"3",IF(E308&lt;39999,"4",IF(E308&lt;49999,"5",IF(E308&gt;50000,"6"))))))</f>
        <v/>
      </c>
      <c r="Y308" s="99" t="inlineStr">
        <is>
          <t>2BIS/2TER</t>
        </is>
      </c>
      <c r="AA308" s="26" t="n">
        <v>45813.375</v>
      </c>
      <c r="AB308" s="26" t="n">
        <v>45813.375</v>
      </c>
      <c r="AC308" s="15" t="n">
        <v>45814</v>
      </c>
      <c r="AD308" s="15" t="n">
        <v>45817</v>
      </c>
      <c r="AE308" s="26" t="n">
        <v>45812.82083333333</v>
      </c>
      <c r="AF308" s="26" t="n">
        <v>45813.875</v>
      </c>
      <c r="AG308" s="26" t="n">
        <v>45813.93055555555</v>
      </c>
      <c r="AH308" s="26" t="n">
        <v>45813.95833333334</v>
      </c>
      <c r="AI308" s="26" t="n">
        <v>45814.01041666666</v>
      </c>
      <c r="AJ308" s="26" t="n">
        <v>45814.0625</v>
      </c>
      <c r="AK308" s="26" t="n">
        <v>45819.34722222222</v>
      </c>
      <c r="AL308" s="26" t="n">
        <v>45819.39236111111</v>
      </c>
      <c r="AM308" s="26" t="n">
        <v>45819.41666666666</v>
      </c>
      <c r="AN308" s="26" t="n">
        <v>45819.45833333334</v>
      </c>
      <c r="AO308" s="26" t="n">
        <v>45819.5</v>
      </c>
      <c r="AP308" s="20">
        <f>(AG308-AF308)*1440</f>
        <v/>
      </c>
      <c r="AQ308" s="20">
        <f>(AG308-AE308)*1440</f>
        <v/>
      </c>
      <c r="AR308" s="20">
        <f>(AH308-AF308)*1440</f>
        <v/>
      </c>
      <c r="AS308" s="20">
        <f>(AI308-AH308)*1440</f>
        <v/>
      </c>
      <c r="AT308" s="20">
        <f>(AJ308-AH308)*1440</f>
        <v/>
      </c>
      <c r="AU308" s="20">
        <f>(AL308-AK308)*1440</f>
        <v/>
      </c>
      <c r="AV308" s="20">
        <f>(AM308-AL308)*1440</f>
        <v/>
      </c>
      <c r="AW308" s="20">
        <f>(AO308-AM308)*1440</f>
        <v/>
      </c>
      <c r="AX308" s="19">
        <f>AP308+AS308+AU308+AV308+AW308</f>
        <v/>
      </c>
      <c r="AY308" s="18">
        <f>(AG308-AA308)</f>
        <v/>
      </c>
      <c r="AZ308" s="18">
        <f>(AK308-AJ308)</f>
        <v/>
      </c>
      <c r="BA308" s="18">
        <f>AO308-AG308</f>
        <v/>
      </c>
      <c r="BB308" s="18">
        <f>(AO308-AA308)-(AP308/1440)-(AW308/1440)</f>
        <v/>
      </c>
      <c r="BC308" s="20">
        <f>E308/AZ308</f>
        <v/>
      </c>
      <c r="BE308" s="20">
        <f>IF(E308&lt;10000,3000,IF(E308&lt;15000,3600,IF(E308&lt;20000,4500,IF(E308&lt;25000,6000,IF(E308&lt;30000,7500,IF(E308&lt;40000,9000,IF(E308&gt;40000,10000)))))))</f>
        <v/>
      </c>
      <c r="BF308" s="334">
        <f>(E308/BE308)+2</f>
        <v/>
      </c>
      <c r="BS308" s="97" t="inlineStr">
        <is>
          <t>DEHALAGE DU POSTE 2BIS VERS POSTE 2TER LE 08/06- 1504</t>
        </is>
      </c>
      <c r="BT308" s="99" t="n">
        <v>1</v>
      </c>
      <c r="BU308" s="99" t="n"/>
      <c r="BV308" s="99" t="n"/>
      <c r="BW308" s="332">
        <f>AI309-AH309</f>
        <v/>
      </c>
      <c r="CB308" s="14" t="n">
        <v>30953</v>
      </c>
    </row>
    <row r="309" ht="14.55" customHeight="1" s="70">
      <c r="A309" s="81" t="n"/>
      <c r="B309" s="343" t="inlineStr">
        <is>
          <t xml:space="preserve">COS ORCHID </t>
        </is>
      </c>
      <c r="C309" s="15" t="n">
        <v>45819</v>
      </c>
      <c r="D309" s="329" t="n">
        <v>30860</v>
      </c>
      <c r="E309" s="330" t="n"/>
      <c r="F309" s="75" t="n"/>
      <c r="G309" s="81" t="n">
        <v>2</v>
      </c>
      <c r="H309" s="75" t="inlineStr">
        <is>
          <t>DAP</t>
        </is>
      </c>
      <c r="I309" s="306" t="inlineStr">
        <is>
          <t xml:space="preserve">DAP STANDARD </t>
        </is>
      </c>
      <c r="J309" s="75" t="inlineStr">
        <is>
          <t>CFR</t>
        </is>
      </c>
      <c r="K309" s="82" t="n"/>
      <c r="L309" s="341">
        <f>D309*K309</f>
        <v/>
      </c>
      <c r="M309" s="14" t="n"/>
      <c r="N309" s="335">
        <f>L309*M309</f>
        <v/>
      </c>
      <c r="P309" s="75" t="n"/>
      <c r="Q309" s="75" t="inlineStr">
        <is>
          <t>ASIE</t>
        </is>
      </c>
      <c r="R309" s="75" t="inlineStr">
        <is>
          <t>INDE</t>
        </is>
      </c>
      <c r="S309" s="75" t="n"/>
      <c r="T309" s="75" t="inlineStr">
        <is>
          <t>INTERTEK</t>
        </is>
      </c>
      <c r="U309" s="81" t="n">
        <v>189</v>
      </c>
      <c r="V309" s="53">
        <f>IF(U309&lt;130, "Mini Bulker", IF(AND(U309&gt;=130, U309&lt;150), "Handysize", IF(AND(U309&gt;=150, U309&lt;200), "Handymax", IF(AND(U309&gt;=200, U309&lt;230), "Panamax", IF(AND(U309&gt;=230, U309&lt;=270), "Capesize", "Autre")))))</f>
        <v/>
      </c>
      <c r="X309" s="14">
        <f>IF(E309&lt;9999,"1",IF(E309&lt;19999,"2",IF(E309&lt;29999,"3",IF(E309&lt;39999,"4",IF(E309&lt;49999,"5",IF(E309&gt;50000,"6"))))))</f>
        <v/>
      </c>
      <c r="Y309" s="99" t="inlineStr">
        <is>
          <t>2BIS/2TER</t>
        </is>
      </c>
      <c r="AA309" s="98" t="n"/>
      <c r="AB309" s="98" t="n"/>
      <c r="AC309" s="98" t="n"/>
      <c r="AD309" s="98" t="n"/>
      <c r="AE309" s="98" t="n"/>
      <c r="AF309" s="98" t="n"/>
      <c r="AG309" s="98" t="n"/>
      <c r="AH309" s="98" t="n"/>
      <c r="AI309" s="98" t="n"/>
      <c r="AJ309" s="98" t="n"/>
      <c r="AK309" s="98" t="n"/>
      <c r="AL309" s="98" t="n"/>
      <c r="AM309" s="98" t="n"/>
      <c r="AN309" s="98" t="n"/>
      <c r="AO309" s="98" t="n"/>
      <c r="AP309" s="98" t="n"/>
      <c r="AQ309" s="98" t="n"/>
      <c r="AR309" s="98" t="n"/>
      <c r="AS309" s="98" t="n"/>
      <c r="AT309" s="98" t="n"/>
      <c r="AU309" s="98" t="n"/>
      <c r="AV309" s="98" t="n"/>
      <c r="AW309" s="98" t="n"/>
      <c r="AX309" s="98" t="n"/>
      <c r="AY309" s="98" t="n"/>
      <c r="AZ309" s="98" t="n"/>
      <c r="BA309" s="98" t="n"/>
      <c r="BB309" s="98" t="n"/>
      <c r="BC309" s="98" t="n"/>
      <c r="BD309" s="98" t="n"/>
      <c r="BE309" s="98" t="n"/>
      <c r="BF309" s="98" t="n"/>
      <c r="BG309" s="98" t="n"/>
      <c r="BH309" s="98" t="n"/>
      <c r="BI309" s="98" t="n"/>
      <c r="BJ309" s="98" t="n"/>
      <c r="BK309" s="98" t="n"/>
      <c r="BL309" s="98" t="n"/>
      <c r="BM309" s="98" t="n"/>
      <c r="BN309" s="98" t="n"/>
      <c r="BO309" s="98" t="n"/>
      <c r="BP309" s="98" t="n"/>
      <c r="BQ309" s="98" t="n"/>
      <c r="BR309" s="98" t="n"/>
      <c r="BS309" s="97" t="inlineStr">
        <is>
          <t>DEHALAGE DU POSTE 2BIS VERS POSTE 2TER LE 08/06- 1504</t>
        </is>
      </c>
      <c r="BT309" s="99" t="n">
        <v>1</v>
      </c>
      <c r="BU309" s="99" t="n"/>
      <c r="BV309" s="99" t="n"/>
      <c r="BW309" s="332">
        <f>AI310-AH310</f>
        <v/>
      </c>
      <c r="CB309" s="14" t="n"/>
    </row>
    <row r="310" ht="14.55" customHeight="1" s="70">
      <c r="A310" s="81" t="n">
        <v>211</v>
      </c>
      <c r="B310" s="343" t="inlineStr">
        <is>
          <t>GLOBAL HARMONY</t>
        </is>
      </c>
      <c r="C310" s="15" t="n">
        <v>45819</v>
      </c>
      <c r="D310" s="329" t="n">
        <v>20993.5</v>
      </c>
      <c r="E310" s="333">
        <f>D310+D311</f>
        <v/>
      </c>
      <c r="F310" s="75" t="n"/>
      <c r="G310" s="81" t="n">
        <v>2</v>
      </c>
      <c r="H310" s="75" t="inlineStr">
        <is>
          <t>NPK</t>
        </is>
      </c>
      <c r="I310" s="306" t="inlineStr">
        <is>
          <t>NPK 14 18 18 6S 1B2O3 AFRIQUE</t>
        </is>
      </c>
      <c r="J310" s="75" t="inlineStr">
        <is>
          <t>CFR</t>
        </is>
      </c>
      <c r="K310" s="82" t="n"/>
      <c r="L310" s="341">
        <f>D310*K310</f>
        <v/>
      </c>
      <c r="M310" s="14" t="n"/>
      <c r="N310" s="335">
        <f>L310*M310</f>
        <v/>
      </c>
      <c r="P310" s="75" t="n"/>
      <c r="Q310" s="75" t="inlineStr">
        <is>
          <t>AFRIQUE</t>
        </is>
      </c>
      <c r="R310" s="75" t="inlineStr">
        <is>
          <t>Côte d'Ivoire / TOGO</t>
        </is>
      </c>
      <c r="S310" s="75" t="n"/>
      <c r="T310" s="75" t="inlineStr">
        <is>
          <t>INSPECTORATE</t>
        </is>
      </c>
      <c r="U310" s="81" t="n">
        <v>180</v>
      </c>
      <c r="V310" s="53">
        <f>IF(U310&lt;130, "Mini Bulker", IF(AND(U310&gt;=130, U310&lt;150), "Handysize", IF(AND(U310&gt;=150, U310&lt;200), "Handymax", IF(AND(U310&gt;=200, U310&lt;230), "Panamax", IF(AND(U310&gt;=230, U310&lt;=270), "Capesize", "Autre")))))</f>
        <v/>
      </c>
      <c r="X310" s="14">
        <f>IF(E310&lt;9999,"1",IF(E310&lt;19999,"2",IF(E310&lt;29999,"3",IF(E310&lt;39999,"4",IF(E310&lt;49999,"5",IF(E310&gt;50000,"6"))))))</f>
        <v/>
      </c>
      <c r="Y310" s="99" t="inlineStr">
        <is>
          <t>2BIS/1TER</t>
        </is>
      </c>
      <c r="AA310" s="26" t="n"/>
      <c r="AB310" s="26" t="n"/>
      <c r="AC310" s="26" t="n"/>
      <c r="AD310" s="26" t="n"/>
      <c r="AE310" s="26" t="n"/>
      <c r="AF310" s="26" t="n"/>
      <c r="AG310" s="26" t="n"/>
      <c r="AH310" s="26" t="n"/>
      <c r="AI310" s="26" t="n"/>
      <c r="AJ310" s="26" t="n"/>
      <c r="AK310" s="26" t="n"/>
      <c r="AL310" s="26" t="n"/>
      <c r="AM310" s="26" t="n"/>
      <c r="AN310" s="26" t="n"/>
      <c r="AO310" s="26" t="n"/>
      <c r="AP310" s="20">
        <f>(AG310-AF310)*1440</f>
        <v/>
      </c>
      <c r="AQ310" s="20">
        <f>(AG310-AE310)*1440</f>
        <v/>
      </c>
      <c r="AR310" s="20">
        <f>(AH310-AF310)*1440</f>
        <v/>
      </c>
      <c r="AS310" s="20">
        <f>(AI310-AH310)*1440</f>
        <v/>
      </c>
      <c r="AT310" s="20">
        <f>(AJ310-AH310)*1440</f>
        <v/>
      </c>
      <c r="AU310" s="20">
        <f>(AL310-AK310)*1440</f>
        <v/>
      </c>
      <c r="AV310" s="20">
        <f>(AM310-AL310)*1440</f>
        <v/>
      </c>
      <c r="AW310" s="20">
        <f>(AO310-AM310)*1440</f>
        <v/>
      </c>
      <c r="AX310" s="19">
        <f>AP310+AS310+AU310+AV310+AW310</f>
        <v/>
      </c>
      <c r="AY310" s="18">
        <f>(AG310-AA310)</f>
        <v/>
      </c>
      <c r="AZ310" s="18">
        <f>(AK310-AJ310)</f>
        <v/>
      </c>
      <c r="BA310" s="18">
        <f>AO310-AG310</f>
        <v/>
      </c>
      <c r="BB310" s="18">
        <f>(AO310-AA310)-(AP310/1440)-(AW310/1440)</f>
        <v/>
      </c>
      <c r="BC310" s="20">
        <f>E310/AZ310</f>
        <v/>
      </c>
      <c r="BD310" s="26" t="n"/>
      <c r="BE310" s="20">
        <f>IF(E310&lt;10000,3000,IF(E310&lt;15000,3600,IF(E310&lt;20000,4500,IF(E310&lt;25000,6000,IF(E310&lt;30000,7500,IF(E310&lt;40000,9000,IF(E310&gt;40000,10000)))))))</f>
        <v/>
      </c>
      <c r="BF310" s="334">
        <f>(E310/BE310)+2</f>
        <v/>
      </c>
      <c r="BG310" s="26" t="n"/>
      <c r="BH310" s="26" t="n"/>
      <c r="BI310" s="26" t="n"/>
      <c r="BJ310" s="26" t="n"/>
      <c r="BK310" s="26" t="n"/>
      <c r="BL310" s="26" t="n"/>
      <c r="BM310" s="26" t="n"/>
      <c r="BN310" s="26" t="n"/>
      <c r="BO310" s="26" t="n"/>
      <c r="BP310" s="26" t="n"/>
      <c r="BQ310" s="26" t="n"/>
      <c r="BR310" s="26" t="n"/>
      <c r="BS310" s="97" t="inlineStr">
        <is>
          <t>CHANGE DU POSTE 2BIS VERS LA 
RADE LE 05/06- 2040 // RE-ACC AU POSTE 1TER LE 06/05 - 1418</t>
        </is>
      </c>
      <c r="BT310" s="99" t="n">
        <v>2</v>
      </c>
      <c r="BU310" s="99" t="n"/>
      <c r="BV310" s="99" t="n"/>
      <c r="BW310" s="332">
        <f>AI311-AH311</f>
        <v/>
      </c>
      <c r="CB310" s="14" t="n">
        <v>22988</v>
      </c>
    </row>
    <row r="311" ht="14.55" customHeight="1" s="70">
      <c r="A311" s="81" t="n"/>
      <c r="B311" s="343" t="inlineStr">
        <is>
          <t>GLOBAL HARMONY</t>
        </is>
      </c>
      <c r="C311" s="15" t="n">
        <v>45819</v>
      </c>
      <c r="D311" s="329" t="n">
        <v>5500</v>
      </c>
      <c r="E311" s="330" t="n"/>
      <c r="F311" s="75" t="n"/>
      <c r="G311" s="81" t="n">
        <v>2</v>
      </c>
      <c r="H311" s="75" t="inlineStr">
        <is>
          <t>DAP</t>
        </is>
      </c>
      <c r="I311" s="306" t="inlineStr">
        <is>
          <t>DAP SPECIAL</t>
        </is>
      </c>
      <c r="J311" s="75" t="inlineStr">
        <is>
          <t>CFR</t>
        </is>
      </c>
      <c r="K311" s="82" t="n"/>
      <c r="L311" s="341">
        <f>D311*K311</f>
        <v/>
      </c>
      <c r="M311" s="14" t="n"/>
      <c r="N311" s="335">
        <f>L311*M311</f>
        <v/>
      </c>
      <c r="P311" s="75" t="n"/>
      <c r="Q311" s="75" t="inlineStr">
        <is>
          <t>AFRIQUE</t>
        </is>
      </c>
      <c r="R311" s="75" t="inlineStr">
        <is>
          <t>Côte d'Ivoire / TOGO</t>
        </is>
      </c>
      <c r="S311" s="75" t="n"/>
      <c r="T311" s="75" t="inlineStr">
        <is>
          <t>INSPECTORATE</t>
        </is>
      </c>
      <c r="U311" s="81" t="n">
        <v>180</v>
      </c>
      <c r="V311" s="53">
        <f>IF(U311&lt;130, "Mini Bulker", IF(AND(U311&gt;=130, U311&lt;150), "Handysize", IF(AND(U311&gt;=150, U311&lt;200), "Handymax", IF(AND(U311&gt;=200, U311&lt;230), "Panamax", IF(AND(U311&gt;=230, U311&lt;=270), "Capesize", "Autre")))))</f>
        <v/>
      </c>
      <c r="X311" s="14">
        <f>IF(E311&lt;9999,"1",IF(E311&lt;19999,"2",IF(E311&lt;29999,"3",IF(E311&lt;39999,"4",IF(E311&lt;49999,"5",IF(E311&gt;50000,"6"))))))</f>
        <v/>
      </c>
      <c r="Y311" s="99" t="inlineStr">
        <is>
          <t>2BIS/1TER</t>
        </is>
      </c>
      <c r="AA311" s="98" t="n"/>
      <c r="AB311" s="98" t="n"/>
      <c r="AC311" s="98" t="n"/>
      <c r="AD311" s="98" t="n"/>
      <c r="AE311" s="98" t="n"/>
      <c r="AF311" s="98" t="n"/>
      <c r="AG311" s="98" t="n"/>
      <c r="AH311" s="98" t="n"/>
      <c r="AI311" s="98" t="n"/>
      <c r="AJ311" s="98" t="n"/>
      <c r="AK311" s="98" t="n"/>
      <c r="AL311" s="98" t="n"/>
      <c r="AM311" s="98" t="n"/>
      <c r="AN311" s="98" t="n"/>
      <c r="AO311" s="98" t="n"/>
      <c r="AP311" s="98" t="n"/>
      <c r="AQ311" s="98" t="n"/>
      <c r="AR311" s="98" t="n"/>
      <c r="AS311" s="98" t="n"/>
      <c r="AT311" s="98" t="n"/>
      <c r="AU311" s="98" t="n"/>
      <c r="AV311" s="98" t="n"/>
      <c r="AW311" s="98" t="n"/>
      <c r="AX311" s="98" t="n"/>
      <c r="AY311" s="98" t="n"/>
      <c r="AZ311" s="98" t="n"/>
      <c r="BA311" s="98" t="n"/>
      <c r="BB311" s="98" t="n"/>
      <c r="BC311" s="98" t="n"/>
      <c r="BD311" s="98" t="n"/>
      <c r="BE311" s="98" t="n"/>
      <c r="BF311" s="98" t="n"/>
      <c r="BG311" s="98" t="n"/>
      <c r="BH311" s="98" t="n"/>
      <c r="BI311" s="98" t="n"/>
      <c r="BJ311" s="98" t="n"/>
      <c r="BK311" s="98" t="n"/>
      <c r="BL311" s="98" t="n"/>
      <c r="BM311" s="98" t="n"/>
      <c r="BN311" s="98" t="n"/>
      <c r="BO311" s="98" t="n"/>
      <c r="BP311" s="98" t="n"/>
      <c r="BQ311" s="98" t="n"/>
      <c r="BR311" s="98" t="n"/>
      <c r="BS311" s="97" t="inlineStr">
        <is>
          <t>CHANGE DU POSTE 2BIS VERS LA 
RADE LE 05/06- 2040 // RE-ACC AU POSTE 1TER LE 06/05 - 1418</t>
        </is>
      </c>
      <c r="BT311" s="99" t="n">
        <v>2</v>
      </c>
      <c r="BU311" s="99" t="n"/>
      <c r="BV311" s="99" t="n"/>
      <c r="BW311" s="332">
        <f>AI312-AH312</f>
        <v/>
      </c>
      <c r="CB311" s="14" t="n"/>
    </row>
    <row r="312" ht="14.55" customHeight="1" s="70">
      <c r="A312" s="81" t="n">
        <v>212</v>
      </c>
      <c r="B312" s="343" t="inlineStr">
        <is>
          <t>ADAMOON</t>
        </is>
      </c>
      <c r="C312" s="15" t="n">
        <v>45820</v>
      </c>
      <c r="D312" s="329" t="n">
        <v>5500</v>
      </c>
      <c r="E312" s="333" t="n">
        <v>16500</v>
      </c>
      <c r="F312" s="75" t="inlineStr">
        <is>
          <t>OCP NUTRI</t>
        </is>
      </c>
      <c r="G312" s="81" t="n">
        <v>3</v>
      </c>
      <c r="H312" s="75" t="inlineStr">
        <is>
          <t>TSP</t>
        </is>
      </c>
      <c r="I312" s="306" t="inlineStr">
        <is>
          <t>TSP EURO low cd</t>
        </is>
      </c>
      <c r="J312" s="75" t="inlineStr">
        <is>
          <t>FOB</t>
        </is>
      </c>
      <c r="K312" s="82" t="n">
        <v>525</v>
      </c>
      <c r="L312" s="341">
        <f>D312*K312</f>
        <v/>
      </c>
      <c r="M312" s="14" t="n">
        <v>9.157</v>
      </c>
      <c r="N312" s="335">
        <f>L312*M312</f>
        <v/>
      </c>
      <c r="P312" s="75" t="inlineStr">
        <is>
          <t>HELM AG</t>
        </is>
      </c>
      <c r="Q312" s="75" t="inlineStr">
        <is>
          <t>EUROPE</t>
        </is>
      </c>
      <c r="R312" s="75" t="inlineStr">
        <is>
          <t xml:space="preserve">Poland </t>
        </is>
      </c>
      <c r="S312" s="75" t="n"/>
      <c r="T312" s="75" t="inlineStr">
        <is>
          <t>INSPECTORATE</t>
        </is>
      </c>
      <c r="U312" s="81" t="n">
        <v>149</v>
      </c>
      <c r="V312" s="53">
        <f>IF(U312&lt;130, "Mini Bulker", IF(AND(U312&gt;=130, U312&lt;150), "Handysize", IF(AND(U312&gt;=150, U312&lt;200), "Handymax", IF(AND(U312&gt;=200, U312&lt;230), "Panamax", IF(AND(U312&gt;=230, U312&lt;=270), "Capesize", "Autre")))))</f>
        <v/>
      </c>
      <c r="X312" s="14">
        <f>IF(E312&lt;9999,"1",IF(E312&lt;19999,"2",IF(E312&lt;29999,"3",IF(E312&lt;39999,"4",IF(E312&lt;49999,"5",IF(E312&gt;50000,"6"))))))</f>
        <v/>
      </c>
      <c r="Y312" s="99" t="inlineStr">
        <is>
          <t>2BIS/1N</t>
        </is>
      </c>
      <c r="AA312" s="26" t="n">
        <v>45810.65972222222</v>
      </c>
      <c r="AB312" s="26" t="n">
        <v>45810.65972222222</v>
      </c>
      <c r="AC312" s="15" t="n">
        <v>45802</v>
      </c>
      <c r="AD312" s="15" t="n">
        <v>45807</v>
      </c>
      <c r="AE312" s="26" t="n">
        <v>45810.65972222222</v>
      </c>
      <c r="AF312" s="26" t="n">
        <v>45810.67083333333</v>
      </c>
      <c r="AG312" s="26" t="n">
        <v>45810.75</v>
      </c>
      <c r="AH312" s="26" t="n">
        <v>45810.76041666666</v>
      </c>
      <c r="AI312" s="26" t="n">
        <v>45810.80555555555</v>
      </c>
      <c r="AJ312" s="26" t="n">
        <v>45810.8125</v>
      </c>
      <c r="AK312" s="26" t="n">
        <v>45820.18055555555</v>
      </c>
      <c r="AL312" s="26" t="n">
        <v>45820.22916666666</v>
      </c>
      <c r="AM312" s="26" t="n">
        <v>45820.27777777778</v>
      </c>
      <c r="AN312" s="26" t="n">
        <v>45820.32152777778</v>
      </c>
      <c r="AO312" s="26" t="n">
        <v>45820.35416666666</v>
      </c>
      <c r="AP312" s="20">
        <f>(AG312-AF312)*1440</f>
        <v/>
      </c>
      <c r="AQ312" s="20">
        <f>(AG312-AE312)*1440</f>
        <v/>
      </c>
      <c r="AR312" s="20">
        <f>(AH312-AF312)*1440</f>
        <v/>
      </c>
      <c r="AS312" s="20">
        <f>(AI312-AH312)*1440</f>
        <v/>
      </c>
      <c r="AT312" s="20">
        <f>(AJ312-AH312)*1440</f>
        <v/>
      </c>
      <c r="AU312" s="20">
        <f>(AL312-AK312)*1440</f>
        <v/>
      </c>
      <c r="AV312" s="20">
        <f>(AM312-AL312)*1440</f>
        <v/>
      </c>
      <c r="AW312" s="20">
        <f>(AO312-AM312)*1440</f>
        <v/>
      </c>
      <c r="AX312" s="19">
        <f>AP312+AS312+AU312+AV312+AW312</f>
        <v/>
      </c>
      <c r="AY312" s="18">
        <f>(AG312-AA312)</f>
        <v/>
      </c>
      <c r="AZ312" s="18">
        <f>(AK312-AJ312)</f>
        <v/>
      </c>
      <c r="BA312" s="18">
        <f>AO312-AG312</f>
        <v/>
      </c>
      <c r="BB312" s="18">
        <f>(AO312-AA312)-(AP312/1440)-(AW312/1440)</f>
        <v/>
      </c>
      <c r="BC312" s="20">
        <f>E312/AZ312</f>
        <v/>
      </c>
      <c r="BD312" s="26" t="n"/>
      <c r="BE312" s="20">
        <f>IF(E312&lt;10000,3000,IF(E312&lt;15000,3600,IF(E312&lt;20000,4500,IF(E312&lt;25000,6000,IF(E312&lt;30000,7500,IF(E312&lt;40000,9000,IF(E312&gt;40000,10000)))))))</f>
        <v/>
      </c>
      <c r="BF312" s="334">
        <f>(E312/BE312)+2</f>
        <v/>
      </c>
      <c r="BG312" s="26" t="n"/>
      <c r="BH312" s="26" t="n"/>
      <c r="BI312" s="26" t="n"/>
      <c r="BJ312" s="26" t="n"/>
      <c r="BK312" s="26" t="n"/>
      <c r="BL312" s="26" t="n"/>
      <c r="BM312" s="26" t="n"/>
      <c r="BN312" s="26" t="n"/>
      <c r="BO312" s="26" t="n"/>
      <c r="BP312" s="26" t="n"/>
      <c r="BQ312" s="26" t="n"/>
      <c r="BR312" s="26" t="n"/>
      <c r="BS312" s="97" t="inlineStr">
        <is>
          <t>CHANGE DU POSTE 2BIS VERS LA RADE LE 03/06- 1845 // RE-ACC AU POSTE 1N LE 10/06- 0545</t>
        </is>
      </c>
      <c r="BT312" s="99" t="n">
        <v>2</v>
      </c>
      <c r="BU312" s="99" t="n"/>
      <c r="BV312" s="99" t="n"/>
      <c r="BW312" s="332">
        <f>AI313-AH313</f>
        <v/>
      </c>
      <c r="CB312" s="14" t="n">
        <v>13579</v>
      </c>
    </row>
    <row r="313" ht="14.55" customHeight="1" s="70">
      <c r="A313" s="81" t="n"/>
      <c r="B313" s="343" t="inlineStr">
        <is>
          <t>ADAMOON</t>
        </is>
      </c>
      <c r="C313" s="15" t="n">
        <v>45820</v>
      </c>
      <c r="D313" s="329" t="n">
        <v>7700</v>
      </c>
      <c r="E313" s="330" t="n"/>
      <c r="F313" s="75" t="inlineStr">
        <is>
          <t>OCP NUTRI</t>
        </is>
      </c>
      <c r="G313" s="81" t="n">
        <v>3</v>
      </c>
      <c r="H313" s="75" t="inlineStr">
        <is>
          <t>DAP</t>
        </is>
      </c>
      <c r="I313" s="306" t="inlineStr">
        <is>
          <t>DAP Euro Low Cd</t>
        </is>
      </c>
      <c r="J313" s="75" t="inlineStr">
        <is>
          <t>FOB</t>
        </is>
      </c>
      <c r="K313" s="82" t="n">
        <v>690</v>
      </c>
      <c r="L313" s="341">
        <f>D313*K313</f>
        <v/>
      </c>
      <c r="M313" s="14" t="n">
        <v>9.157</v>
      </c>
      <c r="N313" s="335">
        <f>L313*M313</f>
        <v/>
      </c>
      <c r="P313" s="75" t="inlineStr">
        <is>
          <t>HELM AG</t>
        </is>
      </c>
      <c r="Q313" s="75" t="inlineStr">
        <is>
          <t>EUROPE</t>
        </is>
      </c>
      <c r="R313" s="75" t="inlineStr">
        <is>
          <t xml:space="preserve">Poland </t>
        </is>
      </c>
      <c r="S313" s="75" t="n"/>
      <c r="T313" s="75" t="inlineStr">
        <is>
          <t>INSPECTORATE</t>
        </is>
      </c>
      <c r="U313" s="81" t="n">
        <v>149</v>
      </c>
      <c r="V313" s="53">
        <f>IF(U313&lt;130, "Mini Bulker", IF(AND(U313&gt;=130, U313&lt;150), "Handysize", IF(AND(U313&gt;=150, U313&lt;200), "Handymax", IF(AND(U313&gt;=200, U313&lt;230), "Panamax", IF(AND(U313&gt;=230, U313&lt;=270), "Capesize", "Autre")))))</f>
        <v/>
      </c>
      <c r="X313" s="14">
        <f>IF(E313&lt;9999,"1",IF(E313&lt;19999,"2",IF(E313&lt;29999,"3",IF(E313&lt;39999,"4",IF(E313&lt;49999,"5",IF(E313&gt;50000,"6"))))))</f>
        <v/>
      </c>
      <c r="Y313" s="99" t="inlineStr">
        <is>
          <t>2BIS/1N</t>
        </is>
      </c>
      <c r="AA313" s="98" t="n"/>
      <c r="AB313" s="98" t="n"/>
      <c r="AC313" s="98" t="n"/>
      <c r="AD313" s="98" t="n"/>
      <c r="AE313" s="98" t="n"/>
      <c r="AF313" s="98" t="n"/>
      <c r="AG313" s="98" t="n"/>
      <c r="AH313" s="98" t="n"/>
      <c r="AI313" s="98" t="n"/>
      <c r="AJ313" s="98" t="n"/>
      <c r="AK313" s="98" t="n"/>
      <c r="AL313" s="98" t="n"/>
      <c r="AM313" s="98" t="n"/>
      <c r="AN313" s="98" t="n"/>
      <c r="AO313" s="98" t="n"/>
      <c r="AP313" s="98" t="n"/>
      <c r="AQ313" s="98" t="n"/>
      <c r="AR313" s="98" t="n"/>
      <c r="AS313" s="98" t="n"/>
      <c r="AT313" s="98" t="n"/>
      <c r="AU313" s="98" t="n"/>
      <c r="AV313" s="98" t="n"/>
      <c r="AW313" s="98" t="n"/>
      <c r="AX313" s="98" t="n"/>
      <c r="AY313" s="98" t="n"/>
      <c r="AZ313" s="98" t="n"/>
      <c r="BA313" s="98" t="n"/>
      <c r="BB313" s="98" t="n"/>
      <c r="BC313" s="98" t="n"/>
      <c r="BD313" s="98" t="n"/>
      <c r="BE313" s="98" t="n"/>
      <c r="BF313" s="98" t="n"/>
      <c r="BG313" s="98" t="n"/>
      <c r="BH313" s="98" t="n"/>
      <c r="BI313" s="98" t="n"/>
      <c r="BJ313" s="98" t="n"/>
      <c r="BK313" s="98" t="n"/>
      <c r="BL313" s="98" t="n"/>
      <c r="BM313" s="98" t="n"/>
      <c r="BN313" s="98" t="n"/>
      <c r="BO313" s="98" t="n"/>
      <c r="BP313" s="98" t="n"/>
      <c r="BQ313" s="98" t="n"/>
      <c r="BR313" s="98" t="n"/>
      <c r="BS313" s="97" t="inlineStr">
        <is>
          <t>CHANGE DU POSTE 2BIS VERS LA RADE LE 03/06- 1845 // RE-ACC AU POSTE 1N LE 10/06- 0545</t>
        </is>
      </c>
      <c r="BT313" s="99" t="n">
        <v>2</v>
      </c>
      <c r="BU313" s="99" t="n"/>
      <c r="BV313" s="99" t="n"/>
      <c r="BW313" s="332">
        <f>AI314-AH314</f>
        <v/>
      </c>
      <c r="CB313" s="14" t="n"/>
    </row>
    <row r="314" ht="14.55" customHeight="1" s="70">
      <c r="A314" s="81" t="n"/>
      <c r="B314" s="343" t="inlineStr">
        <is>
          <t>ADAMOON</t>
        </is>
      </c>
      <c r="C314" s="15" t="n">
        <v>45820</v>
      </c>
      <c r="D314" s="329" t="n">
        <v>3300</v>
      </c>
      <c r="E314" s="330" t="n"/>
      <c r="F314" s="75" t="inlineStr">
        <is>
          <t>JFC4</t>
        </is>
      </c>
      <c r="G314" s="81" t="n">
        <v>3</v>
      </c>
      <c r="H314" s="75" t="inlineStr">
        <is>
          <t>MAP</t>
        </is>
      </c>
      <c r="I314" s="306" t="inlineStr">
        <is>
          <t>MAP 11 52 Special Low Cd</t>
        </is>
      </c>
      <c r="J314" s="75" t="inlineStr">
        <is>
          <t>FOB</t>
        </is>
      </c>
      <c r="K314" s="82" t="n">
        <v>710</v>
      </c>
      <c r="L314" s="341">
        <f>D314*K314</f>
        <v/>
      </c>
      <c r="M314" s="14" t="n">
        <v>9.157</v>
      </c>
      <c r="N314" s="335">
        <f>L314*M314</f>
        <v/>
      </c>
      <c r="P314" s="75" t="inlineStr">
        <is>
          <t>HELM AG</t>
        </is>
      </c>
      <c r="Q314" s="75" t="inlineStr">
        <is>
          <t>EUROPE</t>
        </is>
      </c>
      <c r="R314" s="75" t="inlineStr">
        <is>
          <t xml:space="preserve">Poland </t>
        </is>
      </c>
      <c r="S314" s="75" t="n"/>
      <c r="T314" s="75" t="inlineStr">
        <is>
          <t>INSPECTORATE</t>
        </is>
      </c>
      <c r="U314" s="81" t="n">
        <v>149</v>
      </c>
      <c r="V314" s="53">
        <f>IF(U314&lt;130, "Mini Bulker", IF(AND(U314&gt;=130, U314&lt;150), "Handysize", IF(AND(U314&gt;=150, U314&lt;200), "Handymax", IF(AND(U314&gt;=200, U314&lt;230), "Panamax", IF(AND(U314&gt;=230, U314&lt;=270), "Capesize", "Autre")))))</f>
        <v/>
      </c>
      <c r="X314" s="14">
        <f>IF(E314&lt;9999,"1",IF(E314&lt;19999,"2",IF(E314&lt;29999,"3",IF(E314&lt;39999,"4",IF(E314&lt;49999,"5",IF(E314&gt;50000,"6"))))))</f>
        <v/>
      </c>
      <c r="Y314" s="99" t="inlineStr">
        <is>
          <t>2BIS/1N</t>
        </is>
      </c>
      <c r="AA314" s="98" t="n"/>
      <c r="AB314" s="98" t="n"/>
      <c r="AC314" s="98" t="n"/>
      <c r="AD314" s="98" t="n"/>
      <c r="AE314" s="98" t="n"/>
      <c r="AF314" s="98" t="n"/>
      <c r="AG314" s="98" t="n"/>
      <c r="AH314" s="98" t="n"/>
      <c r="AI314" s="98" t="n"/>
      <c r="AJ314" s="98" t="n"/>
      <c r="AK314" s="98" t="n"/>
      <c r="AL314" s="98" t="n"/>
      <c r="AM314" s="98" t="n"/>
      <c r="AN314" s="98" t="n"/>
      <c r="AO314" s="98" t="n"/>
      <c r="AP314" s="98" t="n"/>
      <c r="AQ314" s="98" t="n"/>
      <c r="AR314" s="98" t="n"/>
      <c r="AS314" s="98" t="n"/>
      <c r="AT314" s="98" t="n"/>
      <c r="AU314" s="98" t="n"/>
      <c r="AV314" s="98" t="n"/>
      <c r="AW314" s="98" t="n"/>
      <c r="AX314" s="98" t="n"/>
      <c r="AY314" s="98" t="n"/>
      <c r="AZ314" s="98" t="n"/>
      <c r="BA314" s="98" t="n"/>
      <c r="BB314" s="98" t="n"/>
      <c r="BC314" s="98" t="n"/>
      <c r="BD314" s="98" t="n"/>
      <c r="BE314" s="98" t="n"/>
      <c r="BF314" s="98" t="n"/>
      <c r="BG314" s="98" t="n"/>
      <c r="BH314" s="98" t="n"/>
      <c r="BI314" s="98" t="n"/>
      <c r="BJ314" s="98" t="n"/>
      <c r="BK314" s="98" t="n"/>
      <c r="BL314" s="98" t="n"/>
      <c r="BM314" s="98" t="n"/>
      <c r="BN314" s="98" t="n"/>
      <c r="BO314" s="98" t="n"/>
      <c r="BP314" s="98" t="n"/>
      <c r="BQ314" s="98" t="n"/>
      <c r="BR314" s="98" t="n"/>
      <c r="BS314" s="97" t="inlineStr">
        <is>
          <t>CHANGE DU POSTE 2BIS VERS LA RADE LE 03/06- 1845 // RE-ACC AU POSTE 1N LE 10/06- 0545</t>
        </is>
      </c>
      <c r="BT314" s="99" t="n">
        <v>2</v>
      </c>
      <c r="BU314" s="99" t="n"/>
      <c r="BV314" s="99" t="n"/>
      <c r="BW314" s="332">
        <f>AI315-AH315</f>
        <v/>
      </c>
      <c r="CB314" s="14" t="n"/>
    </row>
    <row r="315" ht="14.55" customHeight="1" s="70">
      <c r="A315" s="81" t="n">
        <v>214</v>
      </c>
      <c r="B315" s="343" t="inlineStr">
        <is>
          <t>ASIAN PEARL</t>
        </is>
      </c>
      <c r="C315" s="15" t="n">
        <v>45820</v>
      </c>
      <c r="D315" s="329" t="n">
        <v>38133</v>
      </c>
      <c r="E315" s="329" t="n">
        <v>38133</v>
      </c>
      <c r="F315" s="75" t="inlineStr">
        <is>
          <t>OCP NUTRI</t>
        </is>
      </c>
      <c r="G315" s="81" t="n">
        <v>1</v>
      </c>
      <c r="H315" s="75" t="inlineStr">
        <is>
          <t>DAP</t>
        </is>
      </c>
      <c r="I315" s="306" t="inlineStr">
        <is>
          <t xml:space="preserve">DAP SPECIAL </t>
        </is>
      </c>
      <c r="J315" s="75" t="inlineStr">
        <is>
          <t>CFR</t>
        </is>
      </c>
      <c r="K315" s="82" t="n">
        <v>679</v>
      </c>
      <c r="L315" s="341">
        <f>D315*K315</f>
        <v/>
      </c>
      <c r="M315" s="14" t="n">
        <v>10.2035</v>
      </c>
      <c r="N315" s="335">
        <f>L315*M315</f>
        <v/>
      </c>
      <c r="P315" s="75" t="inlineStr">
        <is>
          <t>PFI-NPK LIMITED</t>
        </is>
      </c>
      <c r="Q315" s="75" t="inlineStr">
        <is>
          <t>AFRIQUE</t>
        </is>
      </c>
      <c r="R315" s="75" t="inlineStr">
        <is>
          <t>NIGERIA</t>
        </is>
      </c>
      <c r="S315" s="75" t="n"/>
      <c r="T315" s="75" t="inlineStr">
        <is>
          <t>INSPECTORATE</t>
        </is>
      </c>
      <c r="U315" s="81" t="n">
        <v>190</v>
      </c>
      <c r="V315" s="53">
        <f>IF(U315&lt;130, "Mini Bulker", IF(AND(U315&gt;=130, U315&lt;150), "Handysize", IF(AND(U315&gt;=150, U315&lt;200), "Handymax", IF(AND(U315&gt;=200, U315&lt;230), "Panamax", IF(AND(U315&gt;=230, U315&lt;=270), "Capesize", "Autre")))))</f>
        <v/>
      </c>
      <c r="X315" s="14">
        <f>IF(E315&lt;9999,"1",IF(E315&lt;19999,"2",IF(E315&lt;29999,"3",IF(E315&lt;39999,"4",IF(E315&lt;49999,"5",IF(E315&gt;50000,"6"))))))</f>
        <v/>
      </c>
      <c r="Y315" s="99" t="inlineStr">
        <is>
          <t>2N</t>
        </is>
      </c>
      <c r="AA315" s="26" t="n">
        <v>45815.375</v>
      </c>
      <c r="AB315" s="26" t="n">
        <v>45815.375</v>
      </c>
      <c r="AC315" s="15" t="n">
        <v>45815</v>
      </c>
      <c r="AD315" s="15" t="n">
        <v>45818</v>
      </c>
      <c r="AE315" s="26" t="n">
        <v>45814.95833333334</v>
      </c>
      <c r="AF315" s="26" t="n">
        <v>45815.99305555555</v>
      </c>
      <c r="AG315" s="26" t="n">
        <v>45816.07916666667</v>
      </c>
      <c r="AH315" s="26" t="n">
        <v>45816.09375</v>
      </c>
      <c r="AI315" s="26" t="n">
        <v>45816.15277777778</v>
      </c>
      <c r="AJ315" s="26" t="n">
        <v>45816.20486111111</v>
      </c>
      <c r="AK315" s="26" t="n">
        <v>45820.73611111111</v>
      </c>
      <c r="AL315" s="26" t="n">
        <v>45820.7875</v>
      </c>
      <c r="AM315" s="26" t="n">
        <v>45820.80277777778</v>
      </c>
      <c r="AN315" s="26" t="n">
        <v>45820.84444444445</v>
      </c>
      <c r="AO315" s="26" t="n">
        <v>45820.875</v>
      </c>
      <c r="AP315" s="20">
        <f>(AG315-AF315)*1440</f>
        <v/>
      </c>
      <c r="AQ315" s="20">
        <f>(AG315-AE315)*1440</f>
        <v/>
      </c>
      <c r="AR315" s="20">
        <f>(AH315-AF315)*1440</f>
        <v/>
      </c>
      <c r="AS315" s="20">
        <f>(AI315-AH315)*1440</f>
        <v/>
      </c>
      <c r="AT315" s="20">
        <f>(AJ315-AH315)*1440</f>
        <v/>
      </c>
      <c r="AU315" s="20">
        <f>(AL315-AK315)*1440</f>
        <v/>
      </c>
      <c r="AV315" s="20">
        <f>(AM315-AL315)*1440</f>
        <v/>
      </c>
      <c r="AW315" s="20">
        <f>(AO315-AM315)*1440</f>
        <v/>
      </c>
      <c r="AX315" s="19">
        <f>AP315+AS315+AU315+AV315+AW315</f>
        <v/>
      </c>
      <c r="AY315" s="18">
        <f>(AG315-AA315)</f>
        <v/>
      </c>
      <c r="AZ315" s="18">
        <f>(AK315-AJ315)</f>
        <v/>
      </c>
      <c r="BA315" s="18">
        <f>AO315-AG315</f>
        <v/>
      </c>
      <c r="BB315" s="18">
        <f>(AO315-AA315)-(AP315/1440)-(AW315/1440)</f>
        <v/>
      </c>
      <c r="BC315" s="20">
        <f>E315/AZ315</f>
        <v/>
      </c>
      <c r="BE315" s="20">
        <f>IF(E315&lt;10000,3000,IF(E315&lt;15000,3600,IF(E315&lt;20000,4500,IF(E315&lt;25000,6000,IF(E315&lt;30000,7500,IF(E315&lt;40000,9000,IF(E315&gt;40000,10000)))))))</f>
        <v/>
      </c>
      <c r="BF315" s="334">
        <f>(E315/BE315)+2</f>
        <v/>
      </c>
      <c r="BS315" s="97" t="inlineStr">
        <is>
          <t>NUL</t>
        </is>
      </c>
      <c r="BT315" s="99" t="n">
        <v>0</v>
      </c>
      <c r="BU315" s="99" t="n"/>
      <c r="BV315" s="99" t="n"/>
      <c r="BW315" s="332">
        <f>AI316-AH316</f>
        <v/>
      </c>
      <c r="CB315" s="14" t="n">
        <v>27989</v>
      </c>
    </row>
    <row r="316" ht="14.55" customHeight="1" s="70">
      <c r="A316" s="81" t="n">
        <v>213</v>
      </c>
      <c r="B316" s="343" t="inlineStr">
        <is>
          <t>NEWSEAS CRYSTAL</t>
        </is>
      </c>
      <c r="C316" s="15" t="n">
        <v>45820</v>
      </c>
      <c r="D316" s="329" t="n">
        <v>44000</v>
      </c>
      <c r="E316" s="329" t="n">
        <v>44000</v>
      </c>
      <c r="F316" s="75" t="n"/>
      <c r="G316" s="81" t="n">
        <v>1</v>
      </c>
      <c r="H316" s="75" t="inlineStr">
        <is>
          <t>DAP</t>
        </is>
      </c>
      <c r="I316" s="306" t="inlineStr">
        <is>
          <t xml:space="preserve">DAP STANDARD </t>
        </is>
      </c>
      <c r="J316" s="75" t="inlineStr">
        <is>
          <t>FOB</t>
        </is>
      </c>
      <c r="K316" s="82" t="n"/>
      <c r="L316" s="341">
        <f>D316*K316</f>
        <v/>
      </c>
      <c r="M316" s="14" t="n"/>
      <c r="N316" s="335">
        <f>L316*M316</f>
        <v/>
      </c>
      <c r="P316" s="75" t="n"/>
      <c r="Q316" s="75" t="inlineStr">
        <is>
          <t>ASIE</t>
        </is>
      </c>
      <c r="R316" s="75" t="inlineStr">
        <is>
          <t>BANGLADESH</t>
        </is>
      </c>
      <c r="S316" s="75" t="n"/>
      <c r="T316" s="75" t="inlineStr">
        <is>
          <t>INTERTEK</t>
        </is>
      </c>
      <c r="U316" s="81" t="n">
        <v>200</v>
      </c>
      <c r="V316" s="53">
        <f>IF(U316&lt;130, "Mini Bulker", IF(AND(U316&gt;=130, U316&lt;150), "Handysize", IF(AND(U316&gt;=150, U316&lt;200), "Handymax", IF(AND(U316&gt;=200, U316&lt;230), "Panamax", IF(AND(U316&gt;=230, U316&lt;=270), "Capesize", "Autre")))))</f>
        <v/>
      </c>
      <c r="X316" s="14">
        <f>IF(E316&lt;9999,"1",IF(E316&lt;19999,"2",IF(E316&lt;29999,"3",IF(E316&lt;39999,"4",IF(E316&lt;49999,"5",IF(E316&gt;50000,"6"))))))</f>
        <v/>
      </c>
      <c r="Y316" s="99" t="inlineStr">
        <is>
          <t>2BIS</t>
        </is>
      </c>
      <c r="AA316" s="26" t="n">
        <v>45816.48333333333</v>
      </c>
      <c r="AB316" s="26" t="n">
        <v>45817.375</v>
      </c>
      <c r="AC316" s="15" t="n">
        <v>45805</v>
      </c>
      <c r="AD316" s="15" t="n">
        <v>45807</v>
      </c>
      <c r="AE316" s="26" t="n">
        <v>45816.48333333333</v>
      </c>
      <c r="AF316" s="26" t="n">
        <v>45816.58333333334</v>
      </c>
      <c r="AG316" s="26" t="n">
        <v>45816.66666666666</v>
      </c>
      <c r="AH316" s="26" t="n">
        <v>45816.6875</v>
      </c>
      <c r="AI316" s="26" t="n">
        <v>45816.75</v>
      </c>
      <c r="AJ316" s="26" t="n">
        <v>45817.08680555555</v>
      </c>
      <c r="AK316" s="26" t="n">
        <v>45820.26736111111</v>
      </c>
      <c r="AL316" s="26" t="n">
        <v>45820.3125</v>
      </c>
      <c r="AM316" s="26" t="n">
        <v>45820.39583333334</v>
      </c>
      <c r="AN316" s="26" t="n">
        <v>45820.44444444445</v>
      </c>
      <c r="AO316" s="26" t="n">
        <v>45820.46527777778</v>
      </c>
      <c r="AP316" s="20">
        <f>(AG316-AF316)*1440</f>
        <v/>
      </c>
      <c r="AQ316" s="20">
        <f>(AG316-AE316)*1440</f>
        <v/>
      </c>
      <c r="AR316" s="20">
        <f>(AH316-AF316)*1440</f>
        <v/>
      </c>
      <c r="AS316" s="20">
        <f>(AI316-AH316)*1440</f>
        <v/>
      </c>
      <c r="AT316" s="20">
        <f>(AJ316-AH316)*1440</f>
        <v/>
      </c>
      <c r="AU316" s="20">
        <f>(AL316-AK316)*1440</f>
        <v/>
      </c>
      <c r="AV316" s="20">
        <f>(AM316-AL316)*1440</f>
        <v/>
      </c>
      <c r="AW316" s="20">
        <f>(AO316-AM316)*1440</f>
        <v/>
      </c>
      <c r="AX316" s="19">
        <f>AP316+AS316+AU316+AV316+AW316</f>
        <v/>
      </c>
      <c r="AY316" s="18">
        <f>(AG316-AA316)</f>
        <v/>
      </c>
      <c r="AZ316" s="18">
        <f>(AK316-AJ316)</f>
        <v/>
      </c>
      <c r="BA316" s="18">
        <f>AO316-AG316</f>
        <v/>
      </c>
      <c r="BB316" s="18">
        <f>(AO316-AA316)-(AP316/1440)-(AW316/1440)</f>
        <v/>
      </c>
      <c r="BC316" s="20">
        <f>E316/AZ316</f>
        <v/>
      </c>
      <c r="BE316" s="20">
        <f>IF(E316&lt;10000,3000,IF(E316&lt;15000,3600,IF(E316&lt;20000,4500,IF(E316&lt;25000,6000,IF(E316&lt;30000,7500,IF(E316&lt;40000,9000,IF(E316&gt;40000,10000)))))))</f>
        <v/>
      </c>
      <c r="BF316" s="334">
        <f>(E316/BE316)+2</f>
        <v/>
      </c>
      <c r="BS316" s="97" t="inlineStr">
        <is>
          <t>NUL</t>
        </is>
      </c>
      <c r="BT316" s="99" t="n">
        <v>0</v>
      </c>
      <c r="BU316" s="99" t="n"/>
      <c r="BV316" s="99" t="n"/>
      <c r="BW316" s="332">
        <f>AI317-AH317</f>
        <v/>
      </c>
      <c r="CB316" s="14" t="n">
        <v>36295</v>
      </c>
    </row>
    <row r="317" ht="14.55" customHeight="1" s="70">
      <c r="A317" s="81" t="n">
        <v>217</v>
      </c>
      <c r="B317" s="343" t="inlineStr">
        <is>
          <t>IOANNIS THEO</t>
        </is>
      </c>
      <c r="C317" s="15" t="n">
        <v>45822</v>
      </c>
      <c r="D317" s="329" t="n">
        <v>22000</v>
      </c>
      <c r="E317" s="333">
        <f>D317+D318</f>
        <v/>
      </c>
      <c r="F317" s="75" t="n"/>
      <c r="G317" s="81" t="n">
        <v>2</v>
      </c>
      <c r="H317" s="75" t="inlineStr">
        <is>
          <t>TSP</t>
        </is>
      </c>
      <c r="I317" s="306" t="inlineStr">
        <is>
          <t xml:space="preserve">TSP CIV </t>
        </is>
      </c>
      <c r="J317" s="75" t="inlineStr">
        <is>
          <t>CFR</t>
        </is>
      </c>
      <c r="K317" s="82" t="n"/>
      <c r="L317" s="341">
        <f>D317*K317</f>
        <v/>
      </c>
      <c r="M317" s="14" t="n"/>
      <c r="N317" s="335">
        <f>L317*M317</f>
        <v/>
      </c>
      <c r="P317" s="75" t="n"/>
      <c r="Q317" s="75" t="inlineStr">
        <is>
          <t>ASIE</t>
        </is>
      </c>
      <c r="R317" s="75" t="inlineStr">
        <is>
          <t>INDE</t>
        </is>
      </c>
      <c r="S317" s="75" t="n"/>
      <c r="T317" s="75" t="inlineStr">
        <is>
          <t>INTERTEK</t>
        </is>
      </c>
      <c r="U317" s="81" t="n">
        <v>190</v>
      </c>
      <c r="V317" s="53">
        <f>IF(U317&lt;130, "Mini Bulker", IF(AND(U317&gt;=130, U317&lt;150), "Handysize", IF(AND(U317&gt;=150, U317&lt;200), "Handymax", IF(AND(U317&gt;=200, U317&lt;230), "Panamax", IF(AND(U317&gt;=230, U317&lt;=270), "Capesize", "Autre")))))</f>
        <v/>
      </c>
      <c r="X317" s="14">
        <f>IF(E317&lt;9999,"1",IF(E317&lt;19999,"2",IF(E317&lt;29999,"3",IF(E317&lt;39999,"4",IF(E317&lt;49999,"5",IF(E317&gt;50000,"6"))))))</f>
        <v/>
      </c>
      <c r="Y317" s="99" t="inlineStr">
        <is>
          <t>1BIS</t>
        </is>
      </c>
      <c r="Z317" s="99" t="n"/>
      <c r="AA317" s="24" t="n"/>
      <c r="AB317" s="24" t="n"/>
      <c r="AC317" s="221" t="n"/>
      <c r="AD317" s="221" t="n"/>
      <c r="AE317" s="24" t="n"/>
      <c r="AF317" s="24" t="n"/>
      <c r="AG317" s="24" t="n"/>
      <c r="AH317" s="24" t="n"/>
      <c r="AI317" s="26" t="n"/>
      <c r="AJ317" s="26" t="n"/>
      <c r="AK317" s="26" t="n"/>
      <c r="AL317" s="26" t="n"/>
      <c r="AM317" s="26" t="n"/>
      <c r="AN317" s="26" t="n"/>
      <c r="AO317" s="26" t="n">
        <v>45822.71111111111</v>
      </c>
      <c r="AP317" s="20">
        <f>(AG317-AF317)*1440</f>
        <v/>
      </c>
      <c r="AQ317" s="20">
        <f>(AG317-AE317)*1440</f>
        <v/>
      </c>
      <c r="AR317" s="20">
        <f>(AH317-AF317)*1440</f>
        <v/>
      </c>
      <c r="AS317" s="20">
        <f>(AI317-AH317)*1440</f>
        <v/>
      </c>
      <c r="AT317" s="20">
        <f>(AJ317-AH317)*1440</f>
        <v/>
      </c>
      <c r="AU317" s="20">
        <f>(AL317-AK317)*1440</f>
        <v/>
      </c>
      <c r="AV317" s="20">
        <f>(AM317-AL317)*1440</f>
        <v/>
      </c>
      <c r="AW317" s="20">
        <f>(AO317-AM317)*1440</f>
        <v/>
      </c>
      <c r="AX317" s="19">
        <f>AP317+AS317+AU317+AV317+AW317</f>
        <v/>
      </c>
      <c r="AY317" s="18">
        <f>(AG317-AA317)</f>
        <v/>
      </c>
      <c r="AZ317" s="18">
        <f>(AK317-AJ317)</f>
        <v/>
      </c>
      <c r="BA317" s="18">
        <f>AO317-AG317</f>
        <v/>
      </c>
      <c r="BB317" s="18">
        <f>(AO317-AA317)-(AP317/1440)-(AW317/1440)</f>
        <v/>
      </c>
      <c r="BC317" s="20">
        <f>E317/AZ317</f>
        <v/>
      </c>
      <c r="BD317" s="222" t="n"/>
      <c r="BE317" s="20">
        <f>IF(E317&lt;10000,3000,IF(E317&lt;15000,3600,IF(E317&lt;20000,4500,IF(E317&lt;25000,6000,IF(E317&lt;30000,7500,IF(E317&lt;40000,9000,IF(E317&gt;40000,10000)))))))</f>
        <v/>
      </c>
      <c r="BF317" s="334">
        <f>(E317/BE317)+2</f>
        <v/>
      </c>
      <c r="BS317" s="97" t="inlineStr">
        <is>
          <t>NUL</t>
        </is>
      </c>
      <c r="BT317" s="99" t="n">
        <v>0</v>
      </c>
      <c r="BU317" s="99" t="n"/>
      <c r="BV317" s="99" t="n"/>
      <c r="BW317" s="332">
        <f>AI318-AH318</f>
        <v/>
      </c>
      <c r="CB317" s="14" t="n">
        <v>32983</v>
      </c>
    </row>
    <row r="318" ht="14.55" customHeight="1" s="70">
      <c r="A318" s="81" t="n"/>
      <c r="B318" s="343" t="inlineStr">
        <is>
          <t>IOANNIS THEO</t>
        </is>
      </c>
      <c r="C318" s="15" t="n">
        <v>45822</v>
      </c>
      <c r="D318" s="329" t="n">
        <v>33000</v>
      </c>
      <c r="E318" s="330" t="n"/>
      <c r="F318" s="75" t="n"/>
      <c r="G318" s="81" t="n">
        <v>2</v>
      </c>
      <c r="H318" s="75" t="inlineStr">
        <is>
          <t>DAP</t>
        </is>
      </c>
      <c r="I318" s="306" t="inlineStr">
        <is>
          <t xml:space="preserve">DAP STANDARD </t>
        </is>
      </c>
      <c r="J318" s="75" t="inlineStr">
        <is>
          <t>CFR</t>
        </is>
      </c>
      <c r="K318" s="82" t="n"/>
      <c r="L318" s="341">
        <f>D318*K318</f>
        <v/>
      </c>
      <c r="M318" s="14" t="n"/>
      <c r="N318" s="335">
        <f>L318*M318</f>
        <v/>
      </c>
      <c r="P318" s="75" t="n"/>
      <c r="Q318" s="75" t="inlineStr">
        <is>
          <t>ASIE</t>
        </is>
      </c>
      <c r="R318" s="75" t="inlineStr">
        <is>
          <t>INDE</t>
        </is>
      </c>
      <c r="S318" s="75" t="n"/>
      <c r="T318" s="75" t="inlineStr">
        <is>
          <t>INTERTEK</t>
        </is>
      </c>
      <c r="U318" s="81" t="n">
        <v>190</v>
      </c>
      <c r="V318" s="53">
        <f>IF(U318&lt;130, "Mini Bulker", IF(AND(U318&gt;=130, U318&lt;150), "Handysize", IF(AND(U318&gt;=150, U318&lt;200), "Handymax", IF(AND(U318&gt;=200, U318&lt;230), "Panamax", IF(AND(U318&gt;=230, U318&lt;=270), "Capesize", "Autre")))))</f>
        <v/>
      </c>
      <c r="X318" s="14">
        <f>IF(E318&lt;9999,"1",IF(E318&lt;19999,"2",IF(E318&lt;29999,"3",IF(E318&lt;39999,"4",IF(E318&lt;49999,"5",IF(E318&gt;50000,"6"))))))</f>
        <v/>
      </c>
      <c r="Y318" s="99" t="n"/>
      <c r="AA318" s="98" t="n"/>
      <c r="AB318" s="98" t="n"/>
      <c r="AC318" s="98" t="n"/>
      <c r="AD318" s="98" t="n"/>
      <c r="AE318" s="98" t="n"/>
      <c r="AF318" s="98" t="n"/>
      <c r="AG318" s="98" t="n"/>
      <c r="AH318" s="98" t="n"/>
      <c r="AI318" s="98" t="n"/>
      <c r="AJ318" s="98" t="n"/>
      <c r="AK318" s="98" t="n"/>
      <c r="AL318" s="98" t="n"/>
      <c r="AM318" s="98" t="n"/>
      <c r="AN318" s="98" t="n"/>
      <c r="AO318" s="98" t="n"/>
      <c r="AP318" s="98" t="n"/>
      <c r="AQ318" s="98" t="n"/>
      <c r="AR318" s="98" t="n"/>
      <c r="AS318" s="98" t="n"/>
      <c r="AT318" s="98" t="n"/>
      <c r="AU318" s="98" t="n"/>
      <c r="AV318" s="98" t="n"/>
      <c r="AW318" s="98" t="n"/>
      <c r="AX318" s="98" t="n"/>
      <c r="AY318" s="98" t="n"/>
      <c r="AZ318" s="98" t="n"/>
      <c r="BA318" s="98" t="n"/>
      <c r="BB318" s="98" t="n"/>
      <c r="BC318" s="98" t="n"/>
      <c r="BD318" s="98" t="n"/>
      <c r="BE318" s="98" t="n"/>
      <c r="BF318" s="98" t="n"/>
      <c r="BS318" s="97" t="inlineStr">
        <is>
          <t>NUL</t>
        </is>
      </c>
      <c r="BT318" s="99" t="n">
        <v>0</v>
      </c>
      <c r="BU318" s="99" t="n"/>
      <c r="BV318" s="99" t="n"/>
      <c r="BW318" s="332">
        <f>AI319-AH319</f>
        <v/>
      </c>
      <c r="CB318" s="14" t="n"/>
    </row>
    <row r="319" ht="14.55" customHeight="1" s="70">
      <c r="A319" s="81" t="n">
        <v>216</v>
      </c>
      <c r="B319" s="343" t="inlineStr">
        <is>
          <t>YC FORTITUDE</t>
        </is>
      </c>
      <c r="C319" s="15" t="n">
        <v>45822</v>
      </c>
      <c r="D319" s="329" t="n">
        <v>11550</v>
      </c>
      <c r="E319" s="329" t="n">
        <v>11550</v>
      </c>
      <c r="F319" s="75" t="n"/>
      <c r="G319" s="81" t="n">
        <v>1</v>
      </c>
      <c r="H319" s="75" t="inlineStr">
        <is>
          <t>MAP</t>
        </is>
      </c>
      <c r="I319" s="306" t="inlineStr">
        <is>
          <t xml:space="preserve">MAP 11 52 SPECIAL </t>
        </is>
      </c>
      <c r="J319" s="75" t="inlineStr">
        <is>
          <t>CFR</t>
        </is>
      </c>
      <c r="K319" s="82" t="n"/>
      <c r="L319" s="341">
        <f>D319*K319</f>
        <v/>
      </c>
      <c r="M319" s="14" t="n"/>
      <c r="N319" s="335">
        <f>L319*M319</f>
        <v/>
      </c>
      <c r="P319" s="75" t="n"/>
      <c r="Q319" s="75" t="inlineStr">
        <is>
          <t>AMERIQUE LATINE</t>
        </is>
      </c>
      <c r="R319" s="75" t="inlineStr">
        <is>
          <t>BRAZIL</t>
        </is>
      </c>
      <c r="S319" s="75" t="n"/>
      <c r="T319" s="75" t="inlineStr">
        <is>
          <t>INSPECTORATE</t>
        </is>
      </c>
      <c r="U319" s="81" t="n">
        <v>180</v>
      </c>
      <c r="V319" s="53">
        <f>IF(U319&lt;130, "Mini Bulker", IF(AND(U319&gt;=130, U319&lt;150), "Handysize", IF(AND(U319&gt;=150, U319&lt;200), "Handymax", IF(AND(U319&gt;=200, U319&lt;230), "Panamax", IF(AND(U319&gt;=230, U319&lt;=270), "Capesize", "Autre")))))</f>
        <v/>
      </c>
      <c r="X319" s="14">
        <f>IF(E319&lt;9999,"1",IF(E319&lt;19999,"2",IF(E319&lt;29999,"3",IF(E319&lt;39999,"4",IF(E319&lt;49999,"5",IF(E319&gt;50000,"6"))))))</f>
        <v/>
      </c>
      <c r="Y319" s="99" t="inlineStr">
        <is>
          <t>2N</t>
        </is>
      </c>
      <c r="AA319" s="26" t="n">
        <v>45821.04166666666</v>
      </c>
      <c r="AB319" s="26" t="n">
        <v>45821.375</v>
      </c>
      <c r="AC319" s="15" t="n">
        <v>45821</v>
      </c>
      <c r="AD319" s="15" t="n">
        <v>45823</v>
      </c>
      <c r="AE319" s="26" t="n">
        <v>45820.97083333333</v>
      </c>
      <c r="AF319" s="26" t="n">
        <v>45822.03958333333</v>
      </c>
      <c r="AG319" s="26" t="n">
        <v>45822.09166666667</v>
      </c>
      <c r="AH319" s="26" t="n">
        <v>45822.11805555555</v>
      </c>
      <c r="AI319" s="26" t="n">
        <v>45822.17708333334</v>
      </c>
      <c r="AJ319" s="26" t="n">
        <v>45822.33333333334</v>
      </c>
      <c r="AK319" s="26" t="n">
        <v>45822.97916666666</v>
      </c>
      <c r="AL319" s="26" t="n">
        <v>45823.00555555556</v>
      </c>
      <c r="AM319" s="26" t="n">
        <v>45823.02777777778</v>
      </c>
      <c r="AN319" s="26" t="n">
        <v>45823.07777777778</v>
      </c>
      <c r="AO319" s="26" t="n">
        <v>45823.10763888889</v>
      </c>
      <c r="AP319" s="20">
        <f>(AG319-AF319)*1440</f>
        <v/>
      </c>
      <c r="AQ319" s="20">
        <f>(AG319-AE319)*1440</f>
        <v/>
      </c>
      <c r="AR319" s="20">
        <f>(AH319-AF319)*1440</f>
        <v/>
      </c>
      <c r="AS319" s="20">
        <f>(AI319-AH319)*1440</f>
        <v/>
      </c>
      <c r="AT319" s="20">
        <f>(AJ319-AH319)*1440</f>
        <v/>
      </c>
      <c r="AU319" s="20">
        <f>(AL319-AK319)*1440</f>
        <v/>
      </c>
      <c r="AV319" s="20">
        <f>(AM319-AL319)*1440</f>
        <v/>
      </c>
      <c r="AW319" s="20">
        <f>(AO319-AM319)*1440</f>
        <v/>
      </c>
      <c r="AX319" s="19">
        <f>AP319+AS319+AU319+AV319+AW319</f>
        <v/>
      </c>
      <c r="AY319" s="18">
        <f>(AG319-AA319)</f>
        <v/>
      </c>
      <c r="AZ319" s="18">
        <f>(AK319-AJ319)</f>
        <v/>
      </c>
      <c r="BA319" s="18">
        <f>AO319-AG319</f>
        <v/>
      </c>
      <c r="BB319" s="18">
        <f>(AO319-AA319)-(AP319/1440)-(AW319/1440)</f>
        <v/>
      </c>
      <c r="BC319" s="20">
        <f>E319/AZ319</f>
        <v/>
      </c>
      <c r="BD319" s="26" t="n"/>
      <c r="BE319" s="20">
        <f>IF(E319&lt;10000,3000,IF(E319&lt;15000,3600,IF(E319&lt;20000,4500,IF(E319&lt;25000,6000,IF(E319&lt;30000,7500,IF(E319&lt;40000,9000,IF(E319&gt;40000,10000)))))))</f>
        <v/>
      </c>
      <c r="BF319" s="334">
        <f>(E319/BE319)+2</f>
        <v/>
      </c>
      <c r="BS319" s="97" t="inlineStr">
        <is>
          <t>NUL</t>
        </is>
      </c>
      <c r="BT319" s="99" t="n">
        <v>0</v>
      </c>
      <c r="BU319" s="99" t="n"/>
      <c r="BV319" s="99" t="n"/>
      <c r="BW319" s="332">
        <f>AI320-AH320</f>
        <v/>
      </c>
      <c r="CB319" s="14" t="n">
        <v>20867</v>
      </c>
    </row>
    <row r="320" ht="14.55" customHeight="1" s="70">
      <c r="A320" s="81" t="n">
        <v>215</v>
      </c>
      <c r="B320" s="343" t="inlineStr">
        <is>
          <t>BAO AN LING</t>
        </is>
      </c>
      <c r="C320" s="15" t="n">
        <v>45823</v>
      </c>
      <c r="D320" s="329" t="n">
        <v>9300</v>
      </c>
      <c r="E320" s="333">
        <f>D320+D321</f>
        <v/>
      </c>
      <c r="F320" s="75" t="n"/>
      <c r="G320" s="81" t="n">
        <v>2</v>
      </c>
      <c r="H320" s="75" t="inlineStr">
        <is>
          <t>TSP</t>
        </is>
      </c>
      <c r="I320" s="306" t="inlineStr">
        <is>
          <t>TSP SPECIAL JORF</t>
        </is>
      </c>
      <c r="J320" s="75" t="inlineStr">
        <is>
          <t>FOB</t>
        </is>
      </c>
      <c r="K320" s="82" t="n"/>
      <c r="L320" s="341">
        <f>D320*K320</f>
        <v/>
      </c>
      <c r="M320" s="14" t="n"/>
      <c r="N320" s="335">
        <f>L320*M320</f>
        <v/>
      </c>
      <c r="P320" s="75" t="n"/>
      <c r="Q320" s="75" t="inlineStr">
        <is>
          <t>AUSTRALIE (OCEANIE)</t>
        </is>
      </c>
      <c r="R320" s="75" t="inlineStr">
        <is>
          <t>NEW ZEALAND</t>
        </is>
      </c>
      <c r="S320" s="75" t="n"/>
      <c r="T320" s="75" t="inlineStr">
        <is>
          <t>INTERTEK</t>
        </is>
      </c>
      <c r="U320" s="81" t="n">
        <v>189</v>
      </c>
      <c r="V320" s="53">
        <f>IF(U320&lt;130, "Mini Bulker", IF(AND(U320&gt;=130, U320&lt;150), "Handysize", IF(AND(U320&gt;=150, U320&lt;200), "Handymax", IF(AND(U320&gt;=200, U320&lt;230), "Panamax", IF(AND(U320&gt;=230, U320&lt;=270), "Capesize", "Autre")))))</f>
        <v/>
      </c>
      <c r="X320" s="14">
        <f>IF(E320&lt;9999,"1",IF(E320&lt;19999,"2",IF(E320&lt;29999,"3",IF(E320&lt;39999,"4",IF(E320&lt;49999,"5",IF(E320&gt;50000,"6"))))))</f>
        <v/>
      </c>
      <c r="Y320" s="99" t="inlineStr">
        <is>
          <t>2BIS/1TER/2TER</t>
        </is>
      </c>
      <c r="AA320" s="222" t="n"/>
      <c r="AB320" s="222" t="n"/>
      <c r="AC320" s="73" t="n"/>
      <c r="AD320" s="73" t="n"/>
      <c r="AE320" s="222" t="n"/>
      <c r="AF320" s="222" t="n"/>
      <c r="AG320" s="222" t="n"/>
      <c r="AH320" s="222" t="n"/>
      <c r="AI320" s="26" t="n"/>
      <c r="AJ320" s="26" t="n"/>
      <c r="AK320" s="26" t="n"/>
      <c r="AL320" s="26" t="n"/>
      <c r="AM320" s="26" t="n"/>
      <c r="AN320" s="26" t="n"/>
      <c r="AO320" s="26" t="n">
        <v>45823.16666666666</v>
      </c>
      <c r="AP320" s="20">
        <f>(AG320-AF320)*1440</f>
        <v/>
      </c>
      <c r="AQ320" s="20">
        <f>(AG320-AE320)*1440</f>
        <v/>
      </c>
      <c r="AR320" s="20">
        <f>(AH320-AF320)*1440</f>
        <v/>
      </c>
      <c r="AS320" s="20">
        <f>(AI320-AH320)*1440</f>
        <v/>
      </c>
      <c r="AT320" s="20">
        <f>(AJ320-AH320)*1440</f>
        <v/>
      </c>
      <c r="AU320" s="20">
        <f>(AL320-AK320)*1440</f>
        <v/>
      </c>
      <c r="AV320" s="20">
        <f>(AM320-AL320)*1440</f>
        <v/>
      </c>
      <c r="AW320" s="20">
        <f>(AO320-AM320)*1440</f>
        <v/>
      </c>
      <c r="AX320" s="19">
        <f>AP320+AS320+AU320+AV320+AW320</f>
        <v/>
      </c>
      <c r="AY320" s="18">
        <f>(AG320-AA320)</f>
        <v/>
      </c>
      <c r="AZ320" s="18">
        <f>(AK320-AJ320)</f>
        <v/>
      </c>
      <c r="BA320" s="18">
        <f>AO320-AG320</f>
        <v/>
      </c>
      <c r="BB320" s="18">
        <f>(AO320-AA320)-(AP320/1440)-(AW320/1440)</f>
        <v/>
      </c>
      <c r="BC320" s="20">
        <f>E320/AZ320</f>
        <v/>
      </c>
      <c r="BD320" s="216" t="n"/>
      <c r="BE320" s="20">
        <f>IF(E320&lt;10000,3000,IF(E320&lt;15000,3600,IF(E320&lt;20000,4500,IF(E320&lt;25000,6000,IF(E320&lt;30000,7500,IF(E320&lt;40000,9000,IF(E320&gt;40000,10000)))))))</f>
        <v/>
      </c>
      <c r="BF320" s="334">
        <f>(E320/BE320)+2</f>
        <v/>
      </c>
      <c r="BS320" s="97" t="inlineStr">
        <is>
          <t xml:space="preserve"> AQUIS INSPECTION // CHANGE DU POSTE 2BIS VERS POSTE 1TER LE 02/06- 1300 // CHANGE DU POSTE 1TER VERS LA RADE LE 06/05 - 1245 // RE-ACC AU POSTE 2TER LE 11/06- 1430</t>
        </is>
      </c>
      <c r="BT320" s="99" t="n">
        <v>3</v>
      </c>
      <c r="BU320" s="99" t="n"/>
      <c r="BV320" s="99" t="n"/>
      <c r="BW320" s="332">
        <f>AI321-AH321</f>
        <v/>
      </c>
      <c r="CB320" s="14" t="n">
        <v>28780</v>
      </c>
    </row>
    <row r="321" ht="14.55" customHeight="1" s="70">
      <c r="A321" s="81" t="n"/>
      <c r="B321" s="343" t="inlineStr">
        <is>
          <t>BAO AN LING</t>
        </is>
      </c>
      <c r="C321" s="15" t="n">
        <v>45823</v>
      </c>
      <c r="D321" s="329" t="n">
        <v>30045</v>
      </c>
      <c r="E321" s="330" t="n"/>
      <c r="F321" s="75" t="n"/>
      <c r="G321" s="81" t="n">
        <v>2</v>
      </c>
      <c r="H321" s="75" t="inlineStr">
        <is>
          <t>DAP</t>
        </is>
      </c>
      <c r="I321" s="306" t="inlineStr">
        <is>
          <t>DAP EURO Hors EU</t>
        </is>
      </c>
      <c r="J321" s="75" t="inlineStr">
        <is>
          <t>FOB</t>
        </is>
      </c>
      <c r="K321" s="82" t="n"/>
      <c r="L321" s="341">
        <f>D321*K321</f>
        <v/>
      </c>
      <c r="M321" s="14" t="n"/>
      <c r="N321" s="335">
        <f>L321*M321</f>
        <v/>
      </c>
      <c r="P321" s="75" t="n"/>
      <c r="Q321" s="75" t="inlineStr">
        <is>
          <t>AUSTRALIE (OCEANIE)</t>
        </is>
      </c>
      <c r="R321" s="75" t="inlineStr">
        <is>
          <t>NEW ZEALAND</t>
        </is>
      </c>
      <c r="S321" s="75" t="n"/>
      <c r="T321" s="75" t="inlineStr">
        <is>
          <t>INTERTEK</t>
        </is>
      </c>
      <c r="U321" s="81" t="n">
        <v>189</v>
      </c>
      <c r="V321" s="53">
        <f>IF(U321&lt;130, "Mini Bulker", IF(AND(U321&gt;=130, U321&lt;150), "Handysize", IF(AND(U321&gt;=150, U321&lt;200), "Handymax", IF(AND(U321&gt;=200, U321&lt;230), "Panamax", IF(AND(U321&gt;=230, U321&lt;=270), "Capesize", "Autre")))))</f>
        <v/>
      </c>
      <c r="X321" s="14">
        <f>IF(E321&lt;9999,"1",IF(E321&lt;19999,"2",IF(E321&lt;29999,"3",IF(E321&lt;39999,"4",IF(E321&lt;49999,"5",IF(E321&gt;50000,"6"))))))</f>
        <v/>
      </c>
      <c r="Y321" s="99" t="n"/>
      <c r="AA321" s="98" t="n"/>
      <c r="AB321" s="98" t="n"/>
      <c r="AC321" s="98" t="n"/>
      <c r="AD321" s="98" t="n"/>
      <c r="AE321" s="98" t="n"/>
      <c r="AF321" s="98" t="n"/>
      <c r="AG321" s="98" t="n"/>
      <c r="AH321" s="98" t="n"/>
      <c r="AI321" s="98" t="n"/>
      <c r="AJ321" s="98" t="n"/>
      <c r="AK321" s="98" t="n"/>
      <c r="AL321" s="98" t="n"/>
      <c r="AM321" s="98" t="n"/>
      <c r="AN321" s="98" t="n"/>
      <c r="AO321" s="98" t="n"/>
      <c r="AP321" s="98" t="n"/>
      <c r="AQ321" s="98" t="n"/>
      <c r="AR321" s="98" t="n"/>
      <c r="AS321" s="98" t="n"/>
      <c r="AT321" s="98" t="n"/>
      <c r="AU321" s="98" t="n"/>
      <c r="AV321" s="98" t="n"/>
      <c r="AW321" s="98" t="n"/>
      <c r="AX321" s="98" t="n"/>
      <c r="AY321" s="98" t="n"/>
      <c r="AZ321" s="98" t="n"/>
      <c r="BA321" s="98" t="n"/>
      <c r="BB321" s="98" t="n"/>
      <c r="BC321" s="98" t="n"/>
      <c r="BD321" s="98" t="n"/>
      <c r="BE321" s="98" t="n"/>
      <c r="BF321" s="98" t="n"/>
      <c r="BS321" s="97" t="inlineStr">
        <is>
          <t xml:space="preserve"> AQUIS INSPECTION // CHANGE DU POSTE 2BIS VERS POSTE 1TER LE 02/06- 1300 // CHANGE DU POSTE 1TER VERS LA RADE LE 06/05 - 1245 // RE-ACC AU POSTE 2TER LE 11/06- 1430</t>
        </is>
      </c>
      <c r="BT321" s="99" t="n">
        <v>3</v>
      </c>
      <c r="BU321" s="99" t="n"/>
      <c r="BV321" s="99" t="n"/>
      <c r="BW321" s="332">
        <f>AI322-AH322</f>
        <v/>
      </c>
      <c r="CB321" s="14" t="n"/>
    </row>
    <row r="322">
      <c r="A322" s="81" t="n">
        <v>219</v>
      </c>
      <c r="B322" s="343" t="inlineStr">
        <is>
          <t>FRANZ SCHULTE</t>
        </is>
      </c>
      <c r="C322" s="15" t="n">
        <v>45823</v>
      </c>
      <c r="D322" s="329" t="n">
        <v>8410</v>
      </c>
      <c r="E322" s="329" t="n">
        <v>8410</v>
      </c>
      <c r="F322" s="75" t="n"/>
      <c r="G322" s="81" t="n">
        <v>1</v>
      </c>
      <c r="H322" s="75" t="inlineStr">
        <is>
          <t>MAP</t>
        </is>
      </c>
      <c r="I322" s="306" t="inlineStr">
        <is>
          <t xml:space="preserve">MAP 11 52 SPECIAL </t>
        </is>
      </c>
      <c r="J322" s="75" t="inlineStr">
        <is>
          <t>CFR</t>
        </is>
      </c>
      <c r="K322" s="82" t="n"/>
      <c r="L322" s="341">
        <f>D322*K322</f>
        <v/>
      </c>
      <c r="M322" s="14" t="n"/>
      <c r="N322" s="335">
        <f>L322*M322</f>
        <v/>
      </c>
      <c r="P322" s="75" t="n"/>
      <c r="Q322" s="75" t="inlineStr">
        <is>
          <t>AMERIQUE LATINE</t>
        </is>
      </c>
      <c r="R322" s="75" t="inlineStr">
        <is>
          <t>BRAZIL</t>
        </is>
      </c>
      <c r="S322" s="75" t="n"/>
      <c r="T322" s="75" t="inlineStr">
        <is>
          <t>INTERTEK</t>
        </is>
      </c>
      <c r="U322" s="81" t="n">
        <v>180</v>
      </c>
      <c r="V322" s="53">
        <f>IF(U322&lt;130, "Mini Bulker", IF(AND(U322&gt;=130, U322&lt;150), "Handysize", IF(AND(U322&gt;=150, U322&lt;200), "Handymax", IF(AND(U322&gt;=200, U322&lt;230), "Panamax", IF(AND(U322&gt;=230, U322&lt;=270), "Capesize", "Autre")))))</f>
        <v/>
      </c>
      <c r="X322" s="14">
        <f>IF(E322&lt;9999,"1",IF(E322&lt;19999,"2",IF(E322&lt;29999,"3",IF(E322&lt;39999,"4",IF(E322&lt;49999,"5",IF(E322&gt;50000,"6"))))))</f>
        <v/>
      </c>
      <c r="Y322" s="99" t="inlineStr">
        <is>
          <t>1BIS</t>
        </is>
      </c>
      <c r="AA322" s="26" t="n">
        <v>45822.0625</v>
      </c>
      <c r="AB322" s="26" t="n">
        <v>45822.375</v>
      </c>
      <c r="AC322" s="15" t="n">
        <v>45819</v>
      </c>
      <c r="AD322" s="15" t="n">
        <v>45821</v>
      </c>
      <c r="AE322" s="26" t="n">
        <v>45822.02083333334</v>
      </c>
      <c r="AF322" s="26" t="n">
        <v>45822.71111111111</v>
      </c>
      <c r="AG322" s="26" t="n">
        <v>45822.77777777778</v>
      </c>
      <c r="AH322" s="26" t="n">
        <v>45822.78125</v>
      </c>
      <c r="AI322" s="26" t="n">
        <v>45822.84375</v>
      </c>
      <c r="AJ322" s="26" t="n">
        <v>45822.98958333334</v>
      </c>
      <c r="AK322" s="26" t="n">
        <v>45823.70833333334</v>
      </c>
      <c r="AL322" s="26" t="n">
        <v>45823.76041666666</v>
      </c>
      <c r="AM322" s="26" t="n">
        <v>45823.79861111111</v>
      </c>
      <c r="AN322" s="26" t="n">
        <v>45823.84513888889</v>
      </c>
      <c r="AO322" s="26" t="n">
        <v>45823.87152777778</v>
      </c>
      <c r="AP322" s="20">
        <f>(AG322-AF322)*1440</f>
        <v/>
      </c>
      <c r="AQ322" s="20">
        <f>(AG322-AE322)*1440</f>
        <v/>
      </c>
      <c r="AR322" s="20">
        <f>(AH322-AF322)*1440</f>
        <v/>
      </c>
      <c r="AS322" s="20">
        <f>(AI322-AH322)*1440</f>
        <v/>
      </c>
      <c r="AT322" s="20">
        <f>(AJ322-AH322)*1440</f>
        <v/>
      </c>
      <c r="AU322" s="20">
        <f>(AL322-AK322)*1440</f>
        <v/>
      </c>
      <c r="AV322" s="20">
        <f>(AM322-AL322)*1440</f>
        <v/>
      </c>
      <c r="AW322" s="20">
        <f>(AO322-AM322)*1440</f>
        <v/>
      </c>
      <c r="AX322" s="19">
        <f>AP322+AS322+AU322+AV322+AW322</f>
        <v/>
      </c>
      <c r="AY322" s="18">
        <f>(AG322-AA322)</f>
        <v/>
      </c>
      <c r="AZ322" s="18">
        <f>(AK322-AJ322)</f>
        <v/>
      </c>
      <c r="BA322" s="18">
        <f>AO322-AG322</f>
        <v/>
      </c>
      <c r="BB322" s="18">
        <f>(AO322-AA322)-(AP322/1440)-(AW322/1440)</f>
        <v/>
      </c>
      <c r="BC322" s="20">
        <f>E322/AZ322</f>
        <v/>
      </c>
      <c r="BE322" s="20">
        <f>IF(E322&lt;10000,3000,IF(E322&lt;15000,3600,IF(E322&lt;20000,4500,IF(E322&lt;25000,6000,IF(E322&lt;30000,7500,IF(E322&lt;40000,9000,IF(E322&gt;40000,10000)))))))</f>
        <v/>
      </c>
      <c r="BF322" s="334">
        <f>(E322/BE322)+2</f>
        <v/>
      </c>
      <c r="BS322" s="97" t="inlineStr">
        <is>
          <t>NUL</t>
        </is>
      </c>
      <c r="BT322" s="99" t="n">
        <v>0</v>
      </c>
      <c r="BU322" s="99" t="n"/>
      <c r="BV322" s="99" t="n"/>
      <c r="BW322" s="332">
        <f>AI323-AH323</f>
        <v/>
      </c>
      <c r="CB322" s="14" t="n">
        <v>25696</v>
      </c>
    </row>
    <row r="323">
      <c r="A323" s="81" t="n">
        <v>218</v>
      </c>
      <c r="B323" s="343" t="inlineStr">
        <is>
          <t>VIRGINIABORG</t>
        </is>
      </c>
      <c r="C323" s="15" t="n">
        <v>45823</v>
      </c>
      <c r="D323" s="329" t="n">
        <v>7150</v>
      </c>
      <c r="E323" s="329" t="n">
        <v>7150</v>
      </c>
      <c r="F323" s="75" t="n"/>
      <c r="G323" s="81" t="n">
        <v>1</v>
      </c>
      <c r="H323" s="75" t="inlineStr">
        <is>
          <t>NPK</t>
        </is>
      </c>
      <c r="I323" s="306" t="inlineStr">
        <is>
          <t xml:space="preserve">NPK 10 26 26 Low Cd </t>
        </is>
      </c>
      <c r="J323" s="75" t="inlineStr">
        <is>
          <t>FOB</t>
        </is>
      </c>
      <c r="K323" s="82" t="n"/>
      <c r="L323" s="341">
        <f>D323*K323</f>
        <v/>
      </c>
      <c r="M323" s="14" t="n"/>
      <c r="N323" s="335">
        <f>L323*M323</f>
        <v/>
      </c>
      <c r="P323" s="75" t="n"/>
      <c r="Q323" s="75" t="inlineStr">
        <is>
          <t>EUROPE</t>
        </is>
      </c>
      <c r="R323" s="75" t="inlineStr">
        <is>
          <t>Lettonie</t>
        </is>
      </c>
      <c r="S323" s="75" t="n"/>
      <c r="T323" s="75" t="inlineStr">
        <is>
          <t>INSPECTORATE</t>
        </is>
      </c>
      <c r="U323" s="81" t="n"/>
      <c r="V323" s="53">
        <f>IF(U323&lt;130, "Mini Bulker", IF(AND(U323&gt;=130, U323&lt;150), "Handysize", IF(AND(U323&gt;=150, U323&lt;200), "Handymax", IF(AND(U323&gt;=200, U323&lt;230), "Panamax", IF(AND(U323&gt;=230, U323&lt;=270), "Capesize", "Autre")))))</f>
        <v/>
      </c>
      <c r="X323" s="14">
        <f>IF(E323&lt;9999,"1",IF(E323&lt;19999,"2",IF(E323&lt;29999,"3",IF(E323&lt;39999,"4",IF(E323&lt;49999,"5",IF(E323&gt;50000,"6"))))))</f>
        <v/>
      </c>
      <c r="Y323" s="99" t="inlineStr">
        <is>
          <t>1TER</t>
        </is>
      </c>
      <c r="AA323" s="26" t="n">
        <v>45819.8125</v>
      </c>
      <c r="AB323" s="26" t="n">
        <v>45820.375</v>
      </c>
      <c r="AC323" s="15" t="n">
        <v>45818</v>
      </c>
      <c r="AD323" s="15" t="n">
        <v>45820</v>
      </c>
      <c r="AE323" s="26" t="n">
        <v>45819.8125</v>
      </c>
      <c r="AF323" s="26" t="n">
        <v>45822.46041666667</v>
      </c>
      <c r="AG323" s="26" t="n">
        <v>45822.5</v>
      </c>
      <c r="AH323" s="26" t="n">
        <v>45822.52777777778</v>
      </c>
      <c r="AI323" s="26" t="n">
        <v>45822.59375</v>
      </c>
      <c r="AJ323" s="26" t="n">
        <v>45822.69444444445</v>
      </c>
      <c r="AK323" s="26" t="n">
        <v>45823.69097222222</v>
      </c>
      <c r="AL323" s="26" t="n">
        <v>45823.73263888889</v>
      </c>
      <c r="AM323" s="26" t="n">
        <v>45823.77083333334</v>
      </c>
      <c r="AN323" s="26" t="n">
        <v>45823.81944444445</v>
      </c>
      <c r="AO323" s="26" t="n">
        <v>45823.82777777778</v>
      </c>
      <c r="AP323" s="20">
        <f>(AG323-AF323)*1440</f>
        <v/>
      </c>
      <c r="AQ323" s="20">
        <f>(AG323-AE323)*1440</f>
        <v/>
      </c>
      <c r="AR323" s="20">
        <f>(AH323-AF323)*1440</f>
        <v/>
      </c>
      <c r="AS323" s="20">
        <f>(AI323-AH323)*1440</f>
        <v/>
      </c>
      <c r="AT323" s="20">
        <f>(AJ323-AH323)*1440</f>
        <v/>
      </c>
      <c r="AU323" s="20">
        <f>(AL323-AK323)*1440</f>
        <v/>
      </c>
      <c r="AV323" s="20">
        <f>(AM323-AL323)*1440</f>
        <v/>
      </c>
      <c r="AW323" s="20">
        <f>(AO323-AM323)*1440</f>
        <v/>
      </c>
      <c r="AX323" s="19">
        <f>AP323+AS323+AU323+AV323+AW323</f>
        <v/>
      </c>
      <c r="AY323" s="18">
        <f>(AG323-AA323)</f>
        <v/>
      </c>
      <c r="AZ323" s="18">
        <f>(AK323-AJ323)</f>
        <v/>
      </c>
      <c r="BA323" s="18">
        <f>AO323-AG323</f>
        <v/>
      </c>
      <c r="BB323" s="18">
        <f>(AO323-AA323)-(AP323/1440)-(AW323/1440)</f>
        <v/>
      </c>
      <c r="BC323" s="20">
        <f>E323/AZ323</f>
        <v/>
      </c>
      <c r="BE323" s="20">
        <f>IF(E323&lt;10000,3000,IF(E323&lt;15000,3600,IF(E323&lt;20000,4500,IF(E323&lt;25000,6000,IF(E323&lt;30000,7500,IF(E323&lt;40000,9000,IF(E323&gt;40000,10000)))))))</f>
        <v/>
      </c>
      <c r="BF323" s="334">
        <f>(E323/BE323)+2</f>
        <v/>
      </c>
      <c r="BS323" s="97" t="inlineStr">
        <is>
          <t>NUL</t>
        </is>
      </c>
      <c r="BT323" s="99" t="n">
        <v>0</v>
      </c>
      <c r="BU323" s="99" t="n"/>
      <c r="BV323" s="99" t="n"/>
      <c r="BW323" s="332">
        <f>AI324-AH324</f>
        <v/>
      </c>
      <c r="CB323" s="14" t="n"/>
    </row>
    <row r="324">
      <c r="A324" s="81" t="n">
        <v>220</v>
      </c>
      <c r="B324" s="343" t="inlineStr">
        <is>
          <t>ARAMIS</t>
        </is>
      </c>
      <c r="C324" s="15" t="n">
        <v>45824</v>
      </c>
      <c r="D324" s="329" t="n">
        <v>3790</v>
      </c>
      <c r="E324" s="329" t="n">
        <v>3790</v>
      </c>
      <c r="F324" s="75" t="inlineStr">
        <is>
          <t>OCP NUTRI</t>
        </is>
      </c>
      <c r="G324" s="81" t="n">
        <v>1</v>
      </c>
      <c r="H324" s="75" t="inlineStr">
        <is>
          <t>NPK</t>
        </is>
      </c>
      <c r="I324" s="306" t="inlineStr">
        <is>
          <t xml:space="preserve">NPK 10 26 26 Low Cd </t>
        </is>
      </c>
      <c r="J324" s="75" t="inlineStr">
        <is>
          <t>FOB</t>
        </is>
      </c>
      <c r="K324" s="82" t="n">
        <v>555</v>
      </c>
      <c r="L324" s="341">
        <f>D324*K324</f>
        <v/>
      </c>
      <c r="M324" s="14" t="n">
        <v>9.1317</v>
      </c>
      <c r="N324" s="335">
        <f>L324*M324</f>
        <v/>
      </c>
      <c r="P324" s="75" t="inlineStr">
        <is>
          <t xml:space="preserve">HELM AG </t>
        </is>
      </c>
      <c r="Q324" s="75" t="inlineStr">
        <is>
          <t>EUROPE</t>
        </is>
      </c>
      <c r="R324" s="75" t="inlineStr">
        <is>
          <t>SUEDE</t>
        </is>
      </c>
      <c r="S324" s="75" t="n"/>
      <c r="T324" s="75" t="inlineStr">
        <is>
          <t>INSPECTORATE</t>
        </is>
      </c>
      <c r="U324" s="81" t="n">
        <v>190</v>
      </c>
      <c r="V324" s="53">
        <f>IF(U324&lt;130, "Mini Bulker", IF(AND(U324&gt;=130, U324&lt;150), "Handysize", IF(AND(U324&gt;=150, U324&lt;200), "Handymax", IF(AND(U324&gt;=200, U324&lt;230), "Panamax", IF(AND(U324&gt;=230, U324&lt;=270), "Capesize", "Autre")))))</f>
        <v/>
      </c>
      <c r="X324" s="14">
        <f>IF(E324&lt;9999,"1",IF(E324&lt;19999,"2",IF(E324&lt;29999,"3",IF(E324&lt;39999,"4",IF(E324&lt;49999,"5",IF(E324&gt;50000,"6"))))))</f>
        <v/>
      </c>
      <c r="Y324" s="99" t="inlineStr">
        <is>
          <t>2TER</t>
        </is>
      </c>
      <c r="AA324" s="26" t="n">
        <v>45822.97916666666</v>
      </c>
      <c r="AB324" s="26" t="n">
        <v>45824.375</v>
      </c>
      <c r="AE324" s="26" t="n">
        <v>45822.97916666666</v>
      </c>
      <c r="AF324" s="26" t="n">
        <v>45823.16666666666</v>
      </c>
      <c r="AG324" s="26" t="n">
        <v>45823.22222222222</v>
      </c>
      <c r="AH324" s="26" t="n">
        <v>45823.23611111111</v>
      </c>
      <c r="AI324" s="26" t="n">
        <v>45823.45138888889</v>
      </c>
      <c r="AJ324" s="26" t="n">
        <v>45823.73263888889</v>
      </c>
      <c r="AK324" s="26" t="n">
        <v>45824.07291666666</v>
      </c>
      <c r="AL324" s="26" t="n">
        <v>45824.125</v>
      </c>
      <c r="AM324" s="26" t="n">
        <v>45824.15277777778</v>
      </c>
      <c r="AN324" s="26" t="n">
        <v>45824.20138888889</v>
      </c>
      <c r="AO324" s="26" t="n">
        <v>45824.23611111111</v>
      </c>
      <c r="AP324" s="20">
        <f>(AG324-AF324)*1440</f>
        <v/>
      </c>
      <c r="AQ324" s="20">
        <f>(AG324-AE324)*1440</f>
        <v/>
      </c>
      <c r="AR324" s="20">
        <f>(AH324-AF324)*1440</f>
        <v/>
      </c>
      <c r="AS324" s="20">
        <f>(AI324-AH324)*1440</f>
        <v/>
      </c>
      <c r="AT324" s="20">
        <f>(AJ324-AH324)*1440</f>
        <v/>
      </c>
      <c r="AU324" s="20">
        <f>(AL324-AK324)*1440</f>
        <v/>
      </c>
      <c r="AV324" s="20">
        <f>(AM324-AL324)*1440</f>
        <v/>
      </c>
      <c r="AW324" s="20">
        <f>(AO324-AM324)*1440</f>
        <v/>
      </c>
      <c r="AX324" s="19">
        <f>AP324+AS324+AU324+AV324+AW324</f>
        <v/>
      </c>
      <c r="AY324" s="18">
        <f>(AG324-AA324)</f>
        <v/>
      </c>
      <c r="AZ324" s="18">
        <f>(AK324-AJ324)</f>
        <v/>
      </c>
      <c r="BA324" s="18">
        <f>AO324-AG324</f>
        <v/>
      </c>
      <c r="BB324" s="18">
        <f>(AO324-AA324)-(AP324/1440)-(AW324/1440)</f>
        <v/>
      </c>
      <c r="BC324" s="20">
        <f>E324/AZ324</f>
        <v/>
      </c>
      <c r="BE324" s="20">
        <f>IF(E324&lt;10000,3000,IF(E324&lt;15000,3600,IF(E324&lt;20000,4500,IF(E324&lt;25000,6000,IF(E324&lt;30000,7500,IF(E324&lt;40000,9000,IF(E324&gt;40000,10000)))))))</f>
        <v/>
      </c>
      <c r="BF324" s="334">
        <f>(E324/BE324)+2</f>
        <v/>
      </c>
      <c r="BS324" s="97" t="inlineStr">
        <is>
          <t>NUL</t>
        </is>
      </c>
      <c r="BT324" s="99" t="n">
        <v>0</v>
      </c>
      <c r="BU324" s="99" t="inlineStr">
        <is>
          <t>NAVIRE NON PRÊT</t>
        </is>
      </c>
      <c r="BV324" s="99" t="inlineStr">
        <is>
          <t>BULK HEAD</t>
        </is>
      </c>
      <c r="BW324" s="332">
        <f>AI325-AH325</f>
        <v/>
      </c>
      <c r="CB324" s="14" t="n">
        <v>31541</v>
      </c>
    </row>
    <row r="325">
      <c r="A325" s="81" t="n">
        <v>221</v>
      </c>
      <c r="B325" s="343" t="inlineStr">
        <is>
          <t>BLUE TUNE</t>
        </is>
      </c>
      <c r="C325" s="15" t="n">
        <v>45824</v>
      </c>
      <c r="D325" s="329" t="n">
        <v>4452</v>
      </c>
      <c r="E325" s="329" t="n">
        <v>4452</v>
      </c>
      <c r="F325" s="75" t="inlineStr">
        <is>
          <t>OCP NUTRI</t>
        </is>
      </c>
      <c r="G325" s="81" t="n">
        <v>1</v>
      </c>
      <c r="H325" s="75" t="inlineStr">
        <is>
          <t>TSP</t>
        </is>
      </c>
      <c r="I325" s="306" t="inlineStr">
        <is>
          <t xml:space="preserve">TSP EURO Low Cd </t>
        </is>
      </c>
      <c r="J325" s="75" t="inlineStr">
        <is>
          <t xml:space="preserve">CFR </t>
        </is>
      </c>
      <c r="K325" s="82" t="n">
        <v>529</v>
      </c>
      <c r="L325" s="341">
        <f>D325*K325</f>
        <v/>
      </c>
      <c r="M325" s="14" t="n">
        <v>9.1317</v>
      </c>
      <c r="N325" s="335">
        <f>L325*M325</f>
        <v/>
      </c>
      <c r="P325" s="75" t="inlineStr">
        <is>
          <t>UNIFERT France</t>
        </is>
      </c>
      <c r="Q325" s="75" t="inlineStr">
        <is>
          <t>EUROPE</t>
        </is>
      </c>
      <c r="R325" s="75" t="inlineStr">
        <is>
          <t>FRANCE</t>
        </is>
      </c>
      <c r="T325" s="75" t="inlineStr">
        <is>
          <t>INSPECTORATE</t>
        </is>
      </c>
      <c r="U325" s="81" t="n">
        <v>90</v>
      </c>
      <c r="V325" s="53">
        <f>IF(U325&lt;130, "Mini Bulker", IF(AND(U325&gt;=130, U325&lt;150), "Handysize", IF(AND(U325&gt;=150, U325&lt;200), "Handymax", IF(AND(U325&gt;=200, U325&lt;230), "Panamax", IF(AND(U325&gt;=230, U325&lt;=270), "Capesize", "Autre")))))</f>
        <v/>
      </c>
      <c r="X325" s="14">
        <f>IF(E325&lt;9999,"1",IF(E325&lt;19999,"2",IF(E325&lt;29999,"3",IF(E325&lt;39999,"4",IF(E325&lt;49999,"5",IF(E325&gt;50000,"6"))))))</f>
        <v/>
      </c>
      <c r="Y325" s="99" t="inlineStr">
        <is>
          <t>2N/5/1BIS</t>
        </is>
      </c>
      <c r="AA325" s="26" t="n">
        <v>45811.95833333334</v>
      </c>
      <c r="AB325" s="26" t="n">
        <v>45812.375</v>
      </c>
      <c r="AC325" s="15" t="n">
        <v>45807</v>
      </c>
      <c r="AD325" s="15" t="n">
        <v>45809</v>
      </c>
      <c r="AE325" s="26" t="n">
        <v>45811.89583333334</v>
      </c>
      <c r="AF325" s="26" t="n">
        <v>45820.875</v>
      </c>
      <c r="AG325" s="26" t="n">
        <v>45820.92361111111</v>
      </c>
      <c r="AH325" s="26" t="n">
        <v>45820.93402777778</v>
      </c>
      <c r="AI325" s="26" t="n">
        <v>45821.25694444445</v>
      </c>
      <c r="AJ325" s="26" t="n">
        <v>45821.59722222222</v>
      </c>
      <c r="AK325" s="26" t="n">
        <v>45824.35416666666</v>
      </c>
      <c r="AL325" s="26" t="n">
        <v>45824.45833333334</v>
      </c>
      <c r="AM325" s="26" t="n">
        <v>45824.46875</v>
      </c>
      <c r="AN325" s="26" t="n">
        <v>45824.52083333334</v>
      </c>
      <c r="AO325" s="26" t="n">
        <v>45824.50347222222</v>
      </c>
      <c r="AP325" s="20">
        <f>(AG325-AF325)*1440</f>
        <v/>
      </c>
      <c r="AQ325" s="20">
        <f>(AG325-AE325)*1440</f>
        <v/>
      </c>
      <c r="AR325" s="20">
        <f>(AH325-AF325)*1440</f>
        <v/>
      </c>
      <c r="AS325" s="20">
        <f>(AI325-AH325)*1440</f>
        <v/>
      </c>
      <c r="AT325" s="20">
        <f>(AJ325-AH325)*1440</f>
        <v/>
      </c>
      <c r="AU325" s="20">
        <f>(AL325-AK325)*1440</f>
        <v/>
      </c>
      <c r="AV325" s="20">
        <f>(AM325-AL325)*1440</f>
        <v/>
      </c>
      <c r="AW325" s="20">
        <f>(AO325-AM325)*1440</f>
        <v/>
      </c>
      <c r="AX325" s="19">
        <f>AP325+AS325+AU325+AV325+AW325</f>
        <v/>
      </c>
      <c r="AY325" s="18">
        <f>(AG325-AA325)</f>
        <v/>
      </c>
      <c r="AZ325" s="18">
        <f>(AK325-AJ325)</f>
        <v/>
      </c>
      <c r="BA325" s="18">
        <f>AO325-AG325</f>
        <v/>
      </c>
      <c r="BB325" s="18">
        <f>(AO325-AA325)-(AP325/1440)-(AW325/1440)</f>
        <v/>
      </c>
      <c r="BC325" s="20">
        <f>E325/AZ325</f>
        <v/>
      </c>
      <c r="BE325" s="20">
        <f>IF(E325&lt;10000,3000,IF(E325&lt;15000,3600,IF(E325&lt;20000,4500,IF(E325&lt;25000,6000,IF(E325&lt;30000,7500,IF(E325&lt;40000,9000,IF(E325&gt;40000,10000)))))))</f>
        <v/>
      </c>
      <c r="BF325" s="334">
        <f>(E325/BE325)+2</f>
        <v/>
      </c>
      <c r="BS325" s="97" t="inlineStr">
        <is>
          <t xml:space="preserve">CHANGE DU POSTE 2N VERS LE POSTE 5 LE 14/06- 0057 // CHANGE DU POSTE 5 VERS POSTE 1BIS LE 15/06- 2151 </t>
        </is>
      </c>
      <c r="BT325" s="99" t="n">
        <v>2</v>
      </c>
      <c r="BU325" s="99" t="inlineStr">
        <is>
          <t>NAVIRE NON PRÊT</t>
        </is>
      </c>
      <c r="BV325" s="99" t="inlineStr">
        <is>
          <t>DEBALLASTING ( 6hours)</t>
        </is>
      </c>
      <c r="BW325" s="332">
        <f>AI326-AH326</f>
        <v/>
      </c>
      <c r="CB325" s="14" t="n"/>
    </row>
    <row r="326" ht="14.55" customHeight="1" s="70">
      <c r="A326" s="81" t="n">
        <v>222</v>
      </c>
      <c r="B326" s="343" t="inlineStr">
        <is>
          <t>NEGMAR MEKO</t>
        </is>
      </c>
      <c r="C326" s="15" t="n">
        <v>45825</v>
      </c>
      <c r="D326" s="329" t="n">
        <v>22000</v>
      </c>
      <c r="E326" s="333">
        <f>D326+D327+D328</f>
        <v/>
      </c>
      <c r="F326" s="75" t="n"/>
      <c r="G326" s="81" t="n">
        <v>3</v>
      </c>
      <c r="H326" s="75" t="inlineStr">
        <is>
          <t>MAP</t>
        </is>
      </c>
      <c r="I326" s="306" t="inlineStr">
        <is>
          <t>MAP 12 52 ZAMBIA</t>
        </is>
      </c>
      <c r="J326" s="75" t="inlineStr">
        <is>
          <t>DAT</t>
        </is>
      </c>
      <c r="K326" s="82" t="n"/>
      <c r="L326" s="341">
        <f>D326*K326</f>
        <v/>
      </c>
      <c r="M326" s="14" t="n"/>
      <c r="N326" s="335">
        <f>L326*M326</f>
        <v/>
      </c>
      <c r="P326" s="75" t="n"/>
      <c r="Q326" s="75" t="inlineStr">
        <is>
          <t>AFRIQUE</t>
        </is>
      </c>
      <c r="R326" s="75" t="inlineStr">
        <is>
          <t>MOZAMBIQUE</t>
        </is>
      </c>
      <c r="T326" s="75" t="inlineStr">
        <is>
          <t>INTERTEK</t>
        </is>
      </c>
      <c r="U326" s="81" t="n">
        <v>180</v>
      </c>
      <c r="V326" s="53">
        <f>IF(U326&lt;130, "Mini Bulker", IF(AND(U326&gt;=130, U326&lt;150), "Handysize", IF(AND(U326&gt;=150, U326&lt;200), "Handymax", IF(AND(U326&gt;=200, U326&lt;230), "Panamax", IF(AND(U326&gt;=230, U326&lt;=270), "Capesize", "Autre")))))</f>
        <v/>
      </c>
      <c r="X326" s="14">
        <f>IF(E326&lt;9999,"1",IF(E326&lt;19999,"2",IF(E326&lt;29999,"3",IF(E326&lt;39999,"4",IF(E326&lt;49999,"5",IF(E326&gt;50000,"6"))))))</f>
        <v/>
      </c>
      <c r="Y326" s="99" t="inlineStr">
        <is>
          <t>1BIS/1TER/1BIS</t>
        </is>
      </c>
      <c r="AA326" s="26" t="n">
        <v>45815.88333333333</v>
      </c>
      <c r="AB326" s="26" t="n">
        <v>45817.375</v>
      </c>
      <c r="AC326" s="15" t="inlineStr">
        <is>
          <t>-</t>
        </is>
      </c>
      <c r="AD326" s="15" t="inlineStr">
        <is>
          <t>-</t>
        </is>
      </c>
      <c r="AE326" s="26" t="n">
        <v>45814.75</v>
      </c>
      <c r="AF326" s="26" t="n">
        <v>45815.91666666666</v>
      </c>
      <c r="AG326" s="26" t="n">
        <v>45815.97916666666</v>
      </c>
      <c r="AH326" s="26" t="n">
        <v>45815.99305555555</v>
      </c>
      <c r="AI326" s="26" t="n">
        <v>45816.20833333334</v>
      </c>
      <c r="AJ326" s="26" t="n">
        <v>45816.3125</v>
      </c>
      <c r="AK326" s="26" t="n">
        <v>45825.31944444445</v>
      </c>
      <c r="AL326" s="26" t="n">
        <v>45825.35416666666</v>
      </c>
      <c r="AM326" s="26" t="n">
        <v>45825.375</v>
      </c>
      <c r="AN326" s="26" t="n">
        <v>45825.41666666666</v>
      </c>
      <c r="AO326" s="26" t="n">
        <v>45825.41319444445</v>
      </c>
      <c r="AP326" s="20">
        <f>(AG326-AF326)*1440</f>
        <v/>
      </c>
      <c r="AQ326" s="20">
        <f>(AG326-AE326)*1440</f>
        <v/>
      </c>
      <c r="AR326" s="20">
        <f>(AH326-AF326)*1440</f>
        <v/>
      </c>
      <c r="AS326" s="20">
        <f>(AI326-AH326)*1440</f>
        <v/>
      </c>
      <c r="AT326" s="20">
        <f>(AJ326-AH326)*1440</f>
        <v/>
      </c>
      <c r="AU326" s="20">
        <f>(AL326-AK326)*1440</f>
        <v/>
      </c>
      <c r="AV326" s="20">
        <f>(AM326-AL326)*1440</f>
        <v/>
      </c>
      <c r="AW326" s="20">
        <f>(AO326-AM326)*1440</f>
        <v/>
      </c>
      <c r="AX326" s="19">
        <f>AP326+AS326+AU326+AV326+AW326</f>
        <v/>
      </c>
      <c r="AY326" s="18">
        <f>(AG326-AA326)</f>
        <v/>
      </c>
      <c r="AZ326" s="18">
        <f>(AK326-AJ326)</f>
        <v/>
      </c>
      <c r="BA326" s="18">
        <f>AO326-AG326</f>
        <v/>
      </c>
      <c r="BB326" s="18">
        <f>(AO326-AA326)-(AP326/1440)-(AW326/1440)</f>
        <v/>
      </c>
      <c r="BC326" s="20">
        <f>E326/AZ326</f>
        <v/>
      </c>
      <c r="BE326" s="20">
        <f>IF(E326&lt;10000,3000,IF(E326&lt;15000,3600,IF(E326&lt;20000,4500,IF(E326&lt;25000,6000,IF(E326&lt;30000,7500,IF(E326&lt;40000,9000,IF(E326&gt;40000,10000)))))))</f>
        <v/>
      </c>
      <c r="BF326" s="334">
        <f>(E326/BE326)+2</f>
        <v/>
      </c>
      <c r="BS326" s="97" t="inlineStr">
        <is>
          <t xml:space="preserve"> CHANGE DU POSTE 1BIS VERS LA RADE LE 09/06- 1230 // RE-ACC AU POSTE 1TER LE 11/06- 1518 // CHANGE DU POSTE 1TER VERS LA RADE LE 14/06- 1103 // RE-ACC AU POSTE 1BIS LE 16/06- 1325</t>
        </is>
      </c>
      <c r="BT326" s="99" t="n">
        <v>4</v>
      </c>
      <c r="BU326" s="99" t="n"/>
      <c r="BV326" s="99" t="n"/>
      <c r="BW326" s="332">
        <f>AI327-AH327</f>
        <v/>
      </c>
      <c r="CB326" s="14" t="n">
        <v>23638</v>
      </c>
    </row>
    <row r="327" ht="14.55" customHeight="1" s="70">
      <c r="B327" s="343" t="inlineStr">
        <is>
          <t>NEGMAR MEKO</t>
        </is>
      </c>
      <c r="C327" s="15" t="n">
        <v>45825</v>
      </c>
      <c r="D327" s="329" t="n">
        <v>5500</v>
      </c>
      <c r="E327" s="330" t="n"/>
      <c r="F327" s="75" t="n"/>
      <c r="G327" s="81" t="n">
        <v>3</v>
      </c>
      <c r="H327" s="75" t="inlineStr">
        <is>
          <t>TSP</t>
        </is>
      </c>
      <c r="I327" s="306" t="inlineStr">
        <is>
          <t>TSP JORF</t>
        </is>
      </c>
      <c r="J327" s="75" t="inlineStr">
        <is>
          <t>DAT</t>
        </is>
      </c>
      <c r="K327" s="82" t="n"/>
      <c r="L327" s="341">
        <f>D327*K327</f>
        <v/>
      </c>
      <c r="M327" s="14" t="n"/>
      <c r="N327" s="335">
        <f>L327*M327</f>
        <v/>
      </c>
      <c r="P327" s="75" t="n"/>
      <c r="Q327" s="75" t="inlineStr">
        <is>
          <t>AFRIQUE</t>
        </is>
      </c>
      <c r="R327" s="75" t="inlineStr">
        <is>
          <t>MOZAMBIQUE</t>
        </is>
      </c>
      <c r="T327" s="75" t="inlineStr">
        <is>
          <t>INTERTEK</t>
        </is>
      </c>
      <c r="U327" s="81" t="n">
        <v>180</v>
      </c>
      <c r="V327" s="53">
        <f>IF(U327&lt;130, "Mini Bulker", IF(AND(U327&gt;=130, U327&lt;150), "Handysize", IF(AND(U327&gt;=150, U327&lt;200), "Handymax", IF(AND(U327&gt;=200, U327&lt;230), "Panamax", IF(AND(U327&gt;=230, U327&lt;=270), "Capesize", "Autre")))))</f>
        <v/>
      </c>
      <c r="X327" s="14">
        <f>IF(E327&lt;9999,"1",IF(E327&lt;19999,"2",IF(E327&lt;29999,"3",IF(E327&lt;39999,"4",IF(E327&lt;49999,"5",IF(E327&gt;50000,"6"))))))</f>
        <v/>
      </c>
      <c r="Y327" s="99" t="inlineStr">
        <is>
          <t>1BIS/1TER/1BIS</t>
        </is>
      </c>
      <c r="AA327" s="98" t="n"/>
      <c r="AB327" s="98" t="n"/>
      <c r="AC327" s="98" t="n"/>
      <c r="AD327" s="98" t="n"/>
      <c r="AE327" s="98" t="n"/>
      <c r="AF327" s="98" t="n"/>
      <c r="AG327" s="98" t="n"/>
      <c r="AH327" s="98" t="n"/>
      <c r="AI327" s="98" t="n"/>
      <c r="AJ327" s="98" t="n"/>
      <c r="AK327" s="98" t="n"/>
      <c r="AL327" s="98" t="n"/>
      <c r="AM327" s="98" t="n"/>
      <c r="AN327" s="98" t="n"/>
      <c r="AO327" s="98" t="n"/>
      <c r="AP327" s="98" t="n"/>
      <c r="AQ327" s="98" t="n"/>
      <c r="AR327" s="98" t="n"/>
      <c r="AS327" s="98" t="n"/>
      <c r="AT327" s="98" t="n"/>
      <c r="AU327" s="98" t="n"/>
      <c r="AV327" s="98" t="n"/>
      <c r="AW327" s="98" t="n"/>
      <c r="AX327" s="98" t="n"/>
      <c r="AY327" s="98" t="n"/>
      <c r="AZ327" s="98" t="n"/>
      <c r="BA327" s="98" t="n"/>
      <c r="BB327" s="98" t="n"/>
      <c r="BC327" s="98" t="n"/>
      <c r="BD327" s="98" t="n"/>
      <c r="BE327" s="98" t="n"/>
      <c r="BF327" s="98" t="n"/>
      <c r="BG327" s="98" t="n"/>
      <c r="BH327" s="98" t="n"/>
      <c r="BI327" s="98" t="n"/>
      <c r="BJ327" s="98" t="n"/>
      <c r="BK327" s="98" t="n"/>
      <c r="BL327" s="98" t="n"/>
      <c r="BM327" s="98" t="n"/>
      <c r="BN327" s="98" t="n"/>
      <c r="BO327" s="98" t="n"/>
      <c r="BP327" s="98" t="n"/>
      <c r="BQ327" s="98" t="n"/>
      <c r="BR327" s="98" t="n"/>
      <c r="BS327" s="97" t="inlineStr">
        <is>
          <t xml:space="preserve"> CHANGE DU POSTE 1BIS VERS LA RADE LE 09/06- 1230 // RE-ACC AU POSTE 1TER LE 11/06- 1518 // CHANGE DU POSTE 1TER VERS LA RADE LE 14/06- 1103 // RE-ACC AU POSTE 1BIS LE 16/06- 1325</t>
        </is>
      </c>
      <c r="BT327" s="99" t="n">
        <v>4</v>
      </c>
      <c r="BW327" s="332">
        <f>AI328-AH328</f>
        <v/>
      </c>
      <c r="CB327" s="14" t="n"/>
    </row>
    <row r="328" ht="15" customHeight="1" s="70">
      <c r="B328" s="343" t="inlineStr">
        <is>
          <t>NEGMAR MEKO</t>
        </is>
      </c>
      <c r="C328" s="15" t="n">
        <v>45825</v>
      </c>
      <c r="D328" s="329" t="n">
        <v>5500</v>
      </c>
      <c r="E328" s="330" t="n"/>
      <c r="F328" s="75" t="n"/>
      <c r="G328" s="81" t="n">
        <v>3</v>
      </c>
      <c r="H328" s="75" t="inlineStr">
        <is>
          <t>DAP</t>
        </is>
      </c>
      <c r="I328" s="306" t="inlineStr">
        <is>
          <t>DAP ZAMBIA</t>
        </is>
      </c>
      <c r="J328" s="75" t="inlineStr">
        <is>
          <t>DAT</t>
        </is>
      </c>
      <c r="K328" s="82" t="n"/>
      <c r="L328" s="341">
        <f>D328*K328</f>
        <v/>
      </c>
      <c r="M328" s="14" t="n"/>
      <c r="N328" s="335">
        <f>L328*M328</f>
        <v/>
      </c>
      <c r="P328" s="75" t="n"/>
      <c r="Q328" s="75" t="inlineStr">
        <is>
          <t>AFRIQUE</t>
        </is>
      </c>
      <c r="R328" s="75" t="inlineStr">
        <is>
          <t>MOZAMBIQUE</t>
        </is>
      </c>
      <c r="T328" s="75" t="inlineStr">
        <is>
          <t>INTERTEK</t>
        </is>
      </c>
      <c r="U328" s="81" t="n">
        <v>180</v>
      </c>
      <c r="V328" s="53">
        <f>IF(U328&lt;130, "Mini Bulker", IF(AND(U328&gt;=130, U328&lt;150), "Handysize", IF(AND(U328&gt;=150, U328&lt;200), "Handymax", IF(AND(U328&gt;=200, U328&lt;230), "Panamax", IF(AND(U328&gt;=230, U328&lt;=270), "Capesize", "Autre")))))</f>
        <v/>
      </c>
      <c r="X328" s="14">
        <f>IF(E328&lt;9999,"1",IF(E328&lt;19999,"2",IF(E328&lt;29999,"3",IF(E328&lt;39999,"4",IF(E328&lt;49999,"5",IF(E328&gt;50000,"6"))))))</f>
        <v/>
      </c>
      <c r="Y328" s="99" t="inlineStr">
        <is>
          <t>1BIS/1TER/1BIS</t>
        </is>
      </c>
      <c r="AA328" s="98" t="n"/>
      <c r="AB328" s="98" t="n"/>
      <c r="AC328" s="98" t="n"/>
      <c r="AD328" s="98" t="n"/>
      <c r="AE328" s="98" t="n"/>
      <c r="AF328" s="98" t="n"/>
      <c r="AG328" s="98" t="n"/>
      <c r="AH328" s="98" t="n"/>
      <c r="AI328" s="98" t="n"/>
      <c r="AJ328" s="98" t="n"/>
      <c r="AK328" s="98" t="n"/>
      <c r="AL328" s="98" t="n"/>
      <c r="AM328" s="98" t="n"/>
      <c r="AN328" s="98" t="n"/>
      <c r="AO328" s="98" t="n"/>
      <c r="AP328" s="98" t="n"/>
      <c r="AQ328" s="98" t="n"/>
      <c r="AR328" s="98" t="n"/>
      <c r="AS328" s="98" t="n"/>
      <c r="AT328" s="98" t="n"/>
      <c r="AU328" s="98" t="n"/>
      <c r="AV328" s="98" t="n"/>
      <c r="AW328" s="98" t="n"/>
      <c r="AX328" s="98" t="n"/>
      <c r="AY328" s="98" t="n"/>
      <c r="AZ328" s="98" t="n"/>
      <c r="BA328" s="98" t="n"/>
      <c r="BB328" s="98" t="n"/>
      <c r="BC328" s="98" t="n"/>
      <c r="BD328" s="98" t="n"/>
      <c r="BE328" s="98" t="n"/>
      <c r="BF328" s="98" t="n"/>
      <c r="BG328" s="98" t="n"/>
      <c r="BH328" s="98" t="n"/>
      <c r="BI328" s="98" t="n"/>
      <c r="BJ328" s="98" t="n"/>
      <c r="BK328" s="98" t="n"/>
      <c r="BL328" s="98" t="n"/>
      <c r="BM328" s="98" t="n"/>
      <c r="BN328" s="98" t="n"/>
      <c r="BO328" s="98" t="n"/>
      <c r="BP328" s="98" t="n"/>
      <c r="BQ328" s="98" t="n"/>
      <c r="BR328" s="98" t="n"/>
      <c r="BS328" s="97" t="inlineStr">
        <is>
          <t xml:space="preserve"> CHANGE DU POSTE 1BIS VERS LA RADE LE 09/06- 1230 // RE-ACC AU POSTE 1TER LE 11/06- 1518 // CHANGE DU POSTE 1TER VERS LA RADE LE 14/06- 1103 // RE-ACC AU POSTE 1BIS LE 16/06- 1325</t>
        </is>
      </c>
      <c r="BT328" s="99" t="n">
        <v>4</v>
      </c>
      <c r="BW328" s="332">
        <f>AI329-AH329</f>
        <v/>
      </c>
      <c r="CB328" s="14" t="n"/>
    </row>
    <row r="329" ht="14.55" customHeight="1" s="70">
      <c r="A329" s="81" t="n">
        <v>225</v>
      </c>
      <c r="B329" s="343" t="inlineStr">
        <is>
          <t>NAPHA NAREE</t>
        </is>
      </c>
      <c r="C329" s="15" t="n">
        <v>45827</v>
      </c>
      <c r="D329" s="329" t="n">
        <v>12230</v>
      </c>
      <c r="E329" s="333">
        <f>D329+D330</f>
        <v/>
      </c>
      <c r="F329" s="75" t="n"/>
      <c r="G329" s="81" t="n">
        <v>2</v>
      </c>
      <c r="H329" s="75" t="inlineStr">
        <is>
          <t>MAO</t>
        </is>
      </c>
      <c r="I329" s="306" t="inlineStr">
        <is>
          <t xml:space="preserve">MAP 11 52 SPECIAL </t>
        </is>
      </c>
      <c r="J329" s="75" t="inlineStr">
        <is>
          <t>CFR</t>
        </is>
      </c>
      <c r="K329" s="82" t="n"/>
      <c r="L329" s="341">
        <f>D329*K329</f>
        <v/>
      </c>
      <c r="M329" s="14" t="n"/>
      <c r="N329" s="335">
        <f>L329*M329</f>
        <v/>
      </c>
      <c r="Q329" s="75" t="inlineStr">
        <is>
          <t>AMERIQUE LATINE</t>
        </is>
      </c>
      <c r="R329" s="75" t="inlineStr">
        <is>
          <t>BRAZIL</t>
        </is>
      </c>
      <c r="T329" s="75" t="inlineStr">
        <is>
          <t>INSPECTORATE</t>
        </is>
      </c>
      <c r="U329" s="81" t="n">
        <v>180</v>
      </c>
      <c r="V329" s="53">
        <f>IF(U329&lt;130, "Mini Bulker", IF(AND(U329&gt;=130, U329&lt;150), "Handysize", IF(AND(U329&gt;=150, U329&lt;200), "Handymax", IF(AND(U329&gt;=200, U329&lt;230), "Panamax", IF(AND(U329&gt;=230, U329&lt;=270), "Capesize", "Autre")))))</f>
        <v/>
      </c>
      <c r="W329" s="212" t="n"/>
      <c r="X329" s="14">
        <f>IF(E329&lt;9999,"1",IF(E329&lt;19999,"2",IF(E329&lt;29999,"3",IF(E329&lt;39999,"4",IF(E329&lt;49999,"5",IF(E329&gt;50000,"6"))))))</f>
        <v/>
      </c>
      <c r="Y329" s="99" t="inlineStr">
        <is>
          <t>2BIS/2TER/2N/2BIS/2N</t>
        </is>
      </c>
      <c r="AA329" s="26" t="n">
        <v>45811.00069444445</v>
      </c>
      <c r="AB329" s="26" t="n">
        <v>45811.375</v>
      </c>
      <c r="AC329" s="15" t="n">
        <v>45812</v>
      </c>
      <c r="AD329" s="15" t="n">
        <v>45814</v>
      </c>
      <c r="AE329" s="26" t="n">
        <v>45808.95416666667</v>
      </c>
      <c r="AF329" s="26" t="n">
        <v>45811.78125</v>
      </c>
      <c r="AG329" s="26" t="n">
        <v>45811.84583333333</v>
      </c>
      <c r="AH329" s="26" t="n">
        <v>45811.86111111111</v>
      </c>
      <c r="AI329" s="26" t="n">
        <v>45812.00069444445</v>
      </c>
      <c r="AJ329" s="26" t="n">
        <v>45812.00347222222</v>
      </c>
      <c r="AK329" s="26" t="n">
        <v>45827.34722222222</v>
      </c>
      <c r="AL329" s="26" t="n">
        <v>45827.38541666666</v>
      </c>
      <c r="AM329" s="26" t="n">
        <v>45827.41666666666</v>
      </c>
      <c r="AN329" s="26" t="n">
        <v>45827.47638888889</v>
      </c>
      <c r="AO329" s="26" t="n">
        <v>45827.47569444445</v>
      </c>
      <c r="AP329" s="20">
        <f>(AG329-AF329)*1440</f>
        <v/>
      </c>
      <c r="AQ329" s="20">
        <f>(AG329-AE329)*1440</f>
        <v/>
      </c>
      <c r="AR329" s="20">
        <f>(AH329-AF329)*1440</f>
        <v/>
      </c>
      <c r="AS329" s="20">
        <f>(AI329-AH329)*1440</f>
        <v/>
      </c>
      <c r="AT329" s="20">
        <f>(AJ329-AH329)*1440</f>
        <v/>
      </c>
      <c r="AU329" s="20">
        <f>(AL329-AK329)*1440</f>
        <v/>
      </c>
      <c r="AV329" s="20">
        <f>(AM329-AL329)*1440</f>
        <v/>
      </c>
      <c r="AW329" s="20">
        <f>(AO329-AM329)*1440</f>
        <v/>
      </c>
      <c r="AX329" s="19">
        <f>AP329+AS329+AU329+AV329+AW329</f>
        <v/>
      </c>
      <c r="AY329" s="18">
        <f>(AG329-AA329)</f>
        <v/>
      </c>
      <c r="AZ329" s="18">
        <f>(AK329-AJ329)</f>
        <v/>
      </c>
      <c r="BA329" s="18">
        <f>AO329-AG329</f>
        <v/>
      </c>
      <c r="BB329" s="18">
        <f>(AO329-AA329)-(AP329/1440)-(AW329/1440)</f>
        <v/>
      </c>
      <c r="BC329" s="20">
        <f>E329/AZ329</f>
        <v/>
      </c>
      <c r="BE329" s="20">
        <f>IF(E329&lt;10000,3000,IF(E329&lt;15000,3600,IF(E329&lt;20000,4500,IF(E329&lt;25000,6000,IF(E329&lt;30000,7500,IF(E329&lt;40000,9000,IF(E329&gt;40000,10000)))))))</f>
        <v/>
      </c>
      <c r="BF329" s="334">
        <f>(E329/BE329)+2</f>
        <v/>
      </c>
      <c r="BS329" s="97" t="inlineStr">
        <is>
          <t>CHANGE DU POSTE 2BIS VERS POSTE 2TER LE 04/06- 2012 / CHANGE DU POSTE 2TER VERS LA RADE LE 05/06- 1155 // RE-ACC AU POSTE 2N LE 06/05 - 1530 // CHANGE DU POSTE 2N VERS LA RADE LE 07/06 - 2350 // RE-ACCOSTAGE AU POSTE 2BIS LE 12/06- 1232 // CHANGE VERS LA RADE LE 12/06- 1809 / RE-ACC AU POSTE 2N LE 15/06- 0350</t>
        </is>
      </c>
      <c r="BT329" s="99" t="n">
        <v>7</v>
      </c>
      <c r="BU329" s="99" t="n"/>
      <c r="BW329" s="332">
        <f>AI330-AH330</f>
        <v/>
      </c>
      <c r="CB329" s="14" t="n">
        <v>25442</v>
      </c>
    </row>
    <row r="330" ht="14.55" customHeight="1" s="70" thickBot="1">
      <c r="A330" s="81" t="n"/>
      <c r="B330" s="343" t="inlineStr">
        <is>
          <t>NAPHA NAREE</t>
        </is>
      </c>
      <c r="C330" s="15" t="n">
        <v>45827</v>
      </c>
      <c r="D330" s="329" t="n">
        <v>25477</v>
      </c>
      <c r="E330" s="330" t="n"/>
      <c r="F330" s="75" t="n"/>
      <c r="G330" s="81" t="n">
        <v>2</v>
      </c>
      <c r="H330" s="75" t="inlineStr">
        <is>
          <t>TSP</t>
        </is>
      </c>
      <c r="I330" s="306" t="inlineStr">
        <is>
          <t xml:space="preserve">TSP SPECIAL JORF </t>
        </is>
      </c>
      <c r="J330" s="75" t="inlineStr">
        <is>
          <t>CFR</t>
        </is>
      </c>
      <c r="K330" s="82" t="n"/>
      <c r="L330" s="341">
        <f>D330*K330</f>
        <v/>
      </c>
      <c r="M330" s="14" t="n"/>
      <c r="N330" s="335">
        <f>L330*M330</f>
        <v/>
      </c>
      <c r="P330" s="75" t="n"/>
      <c r="Q330" s="75" t="inlineStr">
        <is>
          <t>AMERIQUE LATINE</t>
        </is>
      </c>
      <c r="R330" s="75" t="inlineStr">
        <is>
          <t>BRAZIL</t>
        </is>
      </c>
      <c r="T330" s="75" t="inlineStr">
        <is>
          <t>INSPECTORATE</t>
        </is>
      </c>
      <c r="U330" s="81" t="n">
        <v>180</v>
      </c>
      <c r="V330" s="53">
        <f>IF(U330&lt;130, "Mini Bulker", IF(AND(U330&gt;=130, U330&lt;150), "Handysize", IF(AND(U330&gt;=150, U330&lt;200), "Handymax", IF(AND(U330&gt;=200, U330&lt;230), "Panamax", IF(AND(U330&gt;=230, U330&lt;=270), "Capesize", "Autre")))))</f>
        <v/>
      </c>
      <c r="X330" s="14">
        <f>IF(E330&lt;9999,"1",IF(E330&lt;19999,"2",IF(E330&lt;29999,"3",IF(E330&lt;39999,"4",IF(E330&lt;49999,"5",IF(E330&gt;50000,"6"))))))</f>
        <v/>
      </c>
      <c r="Y330" s="99" t="inlineStr">
        <is>
          <t>2BIS/2TER/2N/2BIS/2N</t>
        </is>
      </c>
      <c r="AA330" s="98" t="n"/>
      <c r="AB330" s="98" t="n"/>
      <c r="AC330" s="98" t="n"/>
      <c r="AD330" s="98" t="n"/>
      <c r="AE330" s="98" t="n"/>
      <c r="AF330" s="98" t="n"/>
      <c r="AG330" s="98" t="n"/>
      <c r="AH330" s="98" t="n"/>
      <c r="AI330" s="98" t="n"/>
      <c r="AJ330" s="98" t="n"/>
      <c r="AK330" s="98" t="n"/>
      <c r="AL330" s="98" t="n"/>
      <c r="AM330" s="98" t="n"/>
      <c r="AN330" s="98" t="n"/>
      <c r="AO330" s="98" t="n"/>
      <c r="AP330" s="98" t="n"/>
      <c r="AQ330" s="98" t="n"/>
      <c r="AR330" s="98" t="n"/>
      <c r="AS330" s="98" t="n"/>
      <c r="AT330" s="98" t="n"/>
      <c r="AU330" s="98" t="n"/>
      <c r="AV330" s="98" t="n"/>
      <c r="AW330" s="98" t="n"/>
      <c r="AX330" s="98" t="n"/>
      <c r="AY330" s="98" t="n"/>
      <c r="AZ330" s="98" t="n"/>
      <c r="BA330" s="98" t="n"/>
      <c r="BB330" s="98" t="n"/>
      <c r="BC330" s="98" t="n"/>
      <c r="BD330" s="98" t="n"/>
      <c r="BE330" s="98" t="n"/>
      <c r="BF330" s="98" t="n"/>
      <c r="BG330" s="98" t="n"/>
      <c r="BH330" s="98" t="n"/>
      <c r="BI330" s="98" t="n"/>
      <c r="BJ330" s="98" t="n"/>
      <c r="BK330" s="98" t="n"/>
      <c r="BL330" s="98" t="n"/>
      <c r="BM330" s="98" t="n"/>
      <c r="BN330" s="98" t="n"/>
      <c r="BO330" s="98" t="n"/>
      <c r="BP330" s="98" t="n"/>
      <c r="BQ330" s="98" t="n"/>
      <c r="BR330" s="98" t="n"/>
      <c r="BS330" s="97" t="inlineStr">
        <is>
          <t>CHANGE DU POSTE 2BIS VERS POSTE 2TER LE 04/06- 2012 / CHANGE DU POSTE 2TER VERS LA RADE LE 05/06- 1155 // RE-ACC AU POSTE 2N LE 06/05 - 1530 // CHANGE DU POSTE 2N VERS LA RADE LE 07/06 - 2350 // RE-ACCOSTAGE AU POSTE 2BIS LE 12/06- 1232 // CHANGE VERS LA RADE LE 12/06- 1809 / RE-ACC AU POSTE 2N LE 15/06- 0350</t>
        </is>
      </c>
      <c r="BT330" s="99" t="n">
        <v>7</v>
      </c>
      <c r="BU330" s="99" t="n"/>
      <c r="BW330" s="332">
        <f>AI331-AH331</f>
        <v/>
      </c>
      <c r="CB330" s="14" t="n"/>
    </row>
    <row r="331" ht="15" customHeight="1" s="70">
      <c r="A331" s="81" t="n">
        <v>224</v>
      </c>
      <c r="B331" s="343" t="inlineStr">
        <is>
          <t>PAPPOUS YIOS</t>
        </is>
      </c>
      <c r="C331" s="15" t="n">
        <v>45827</v>
      </c>
      <c r="D331" s="329" t="n">
        <v>54880</v>
      </c>
      <c r="E331" s="329" t="n">
        <v>54880</v>
      </c>
      <c r="F331" s="75" t="n"/>
      <c r="G331" s="81" t="n">
        <v>1</v>
      </c>
      <c r="H331" s="75" t="inlineStr">
        <is>
          <t>DAP</t>
        </is>
      </c>
      <c r="I331" s="306" t="inlineStr">
        <is>
          <t xml:space="preserve">DAP STANDARD </t>
        </is>
      </c>
      <c r="J331" s="75" t="inlineStr">
        <is>
          <t>CFR</t>
        </is>
      </c>
      <c r="K331" s="82" t="n"/>
      <c r="L331" s="341">
        <f>D331*K331</f>
        <v/>
      </c>
      <c r="M331" s="14" t="n"/>
      <c r="N331" s="335">
        <f>L331*M331</f>
        <v/>
      </c>
      <c r="Q331" s="75" t="inlineStr">
        <is>
          <t>ASIE</t>
        </is>
      </c>
      <c r="R331" s="75" t="inlineStr">
        <is>
          <t>INDE</t>
        </is>
      </c>
      <c r="T331" s="75" t="inlineStr">
        <is>
          <t>INTERTEK</t>
        </is>
      </c>
      <c r="U331" s="81" t="n">
        <v>190</v>
      </c>
      <c r="V331" s="53">
        <f>IF(U331&lt;130, "Mini Bulker", IF(AND(U331&gt;=130, U331&lt;150), "Handysize", IF(AND(U331&gt;=150, U331&lt;200), "Handymax", IF(AND(U331&gt;=200, U331&lt;230), "Panamax", IF(AND(U331&gt;=230, U331&lt;=270), "Capesize", "Autre")))))</f>
        <v/>
      </c>
      <c r="W331" s="149" t="n"/>
      <c r="X331" s="14">
        <f>IF(E331&lt;9999,"1",IF(E331&lt;19999,"2",IF(E331&lt;29999,"3",IF(E331&lt;39999,"4",IF(E331&lt;49999,"5",IF(E331&gt;50000,"6"))))))</f>
        <v/>
      </c>
      <c r="Y331" s="99" t="inlineStr">
        <is>
          <t>1N/1BIS</t>
        </is>
      </c>
      <c r="AA331" s="26" t="n">
        <v>45813.325</v>
      </c>
      <c r="AB331" s="26" t="n">
        <v>45813.375</v>
      </c>
      <c r="AC331" s="15" t="n">
        <v>45815</v>
      </c>
      <c r="AD331" s="15" t="n">
        <v>45818</v>
      </c>
      <c r="AE331" s="26" t="n">
        <v>45813.26666666667</v>
      </c>
      <c r="AF331" s="26" t="n">
        <v>45820.61805555555</v>
      </c>
      <c r="AG331" s="26" t="n">
        <v>45820.69166666667</v>
      </c>
      <c r="AH331" s="26" t="n">
        <v>45820.71527777778</v>
      </c>
      <c r="AI331" s="26" t="n">
        <v>45820.77430555555</v>
      </c>
      <c r="AJ331" s="26" t="n">
        <v>45820.78125</v>
      </c>
      <c r="AK331" s="26" t="n">
        <v>45827.28125</v>
      </c>
      <c r="AL331" s="26" t="n">
        <v>45827.33333333334</v>
      </c>
      <c r="AM331" s="26" t="n">
        <v>45827.34375</v>
      </c>
      <c r="AN331" s="26" t="n">
        <v>45827.38541666666</v>
      </c>
      <c r="AO331" s="26" t="n">
        <v>45827.41527777778</v>
      </c>
      <c r="AP331" s="20">
        <f>(AG331-AF331)*1440</f>
        <v/>
      </c>
      <c r="AQ331" s="20">
        <f>(AG331-AE331)*1440</f>
        <v/>
      </c>
      <c r="AR331" s="20">
        <f>(AH331-AF331)*1440</f>
        <v/>
      </c>
      <c r="AS331" s="20">
        <f>(AI331-AH331)*1440</f>
        <v/>
      </c>
      <c r="AT331" s="20">
        <f>(AJ331-AH331)*1440</f>
        <v/>
      </c>
      <c r="AU331" s="20">
        <f>(AL331-AK331)*1440</f>
        <v/>
      </c>
      <c r="AV331" s="20">
        <f>(AM331-AL331)*1440</f>
        <v/>
      </c>
      <c r="AW331" s="20">
        <f>(AO331-AM331)*1440</f>
        <v/>
      </c>
      <c r="AX331" s="19">
        <f>AP331+AS331+AU331+AV331+AW331</f>
        <v/>
      </c>
      <c r="AY331" s="18">
        <f>(AG331-AA331)</f>
        <v/>
      </c>
      <c r="AZ331" s="18">
        <f>(AK331-AJ331)</f>
        <v/>
      </c>
      <c r="BA331" s="18">
        <f>AO331-AG331</f>
        <v/>
      </c>
      <c r="BB331" s="18">
        <f>(AO331-AA331)-(AP331/1440)-(AW331/1440)</f>
        <v/>
      </c>
      <c r="BC331" s="20">
        <f>E331/AZ331</f>
        <v/>
      </c>
      <c r="BE331" s="20">
        <f>IF(E331&lt;10000,3000,IF(E331&lt;15000,3600,IF(E331&lt;20000,4500,IF(E331&lt;25000,6000,IF(E331&lt;30000,7500,IF(E331&lt;40000,9000,IF(E331&gt;40000,10000)))))))</f>
        <v/>
      </c>
      <c r="BF331" s="334">
        <f>(E331/BE331)+2</f>
        <v/>
      </c>
      <c r="BS331" s="97" t="inlineStr">
        <is>
          <t>DEHALAGE DU POSTE 1N VERS POSTE 1BIS LE 17/06 - 1440</t>
        </is>
      </c>
      <c r="BT331" s="99" t="n">
        <v>1</v>
      </c>
      <c r="BW331" s="332">
        <f>AI332-AH332</f>
        <v/>
      </c>
      <c r="CB331" s="14" t="n">
        <v>33044</v>
      </c>
    </row>
    <row r="332" ht="14.55" customHeight="1" s="70" thickBot="1">
      <c r="A332" s="81" t="n">
        <v>223</v>
      </c>
      <c r="B332" s="343" t="inlineStr">
        <is>
          <t>VICTORIA MAY</t>
        </is>
      </c>
      <c r="C332" s="15" t="n">
        <v>45827</v>
      </c>
      <c r="D332" s="329" t="n">
        <v>34485</v>
      </c>
      <c r="E332" s="333">
        <f>D332+D333</f>
        <v/>
      </c>
      <c r="F332" s="75" t="n"/>
      <c r="G332" s="81" t="n">
        <v>2</v>
      </c>
      <c r="H332" s="75" t="inlineStr">
        <is>
          <t>DAP</t>
        </is>
      </c>
      <c r="I332" s="306" t="inlineStr">
        <is>
          <t xml:space="preserve">DAP STANDARD </t>
        </is>
      </c>
      <c r="J332" s="75" t="inlineStr">
        <is>
          <t>CFR</t>
        </is>
      </c>
      <c r="K332" s="82" t="n"/>
      <c r="L332" s="341">
        <f>D332*K332</f>
        <v/>
      </c>
      <c r="M332" s="14" t="n"/>
      <c r="N332" s="335">
        <f>L332*M332</f>
        <v/>
      </c>
      <c r="P332" s="75" t="n"/>
      <c r="Q332" s="75" t="inlineStr">
        <is>
          <t>ASIE</t>
        </is>
      </c>
      <c r="R332" s="75" t="inlineStr">
        <is>
          <t>INDE</t>
        </is>
      </c>
      <c r="T332" s="75" t="inlineStr">
        <is>
          <t>INSPECTORATE</t>
        </is>
      </c>
      <c r="U332" s="81" t="n">
        <v>190</v>
      </c>
      <c r="V332" s="53">
        <f>IF(U332&lt;130, "Mini Bulker", IF(AND(U332&gt;=130, U332&lt;150), "Handysize", IF(AND(U332&gt;=150, U332&lt;200), "Handymax", IF(AND(U332&gt;=200, U332&lt;230), "Panamax", IF(AND(U332&gt;=230, U332&lt;=270), "Capesize", "Autre")))))</f>
        <v/>
      </c>
      <c r="W332" s="213" t="n"/>
      <c r="X332" s="14">
        <f>IF(E332&lt;9999,"1",IF(E332&lt;19999,"2",IF(E332&lt;29999,"3",IF(E332&lt;39999,"4",IF(E332&lt;49999,"5",IF(E332&gt;50000,"6"))))))</f>
        <v/>
      </c>
      <c r="Y332" s="99" t="inlineStr">
        <is>
          <t>2BIS/2TER/1N</t>
        </is>
      </c>
      <c r="AA332" s="26" t="n">
        <v>45820.02083333334</v>
      </c>
      <c r="AB332" s="26" t="n">
        <v>45820.375</v>
      </c>
      <c r="AC332" s="15" t="n">
        <v>45820</v>
      </c>
      <c r="AD332" s="15" t="n">
        <v>45823</v>
      </c>
      <c r="AE332" s="26" t="n">
        <v>45819.95833333334</v>
      </c>
      <c r="AF332" s="26" t="n">
        <v>45820.75625</v>
      </c>
      <c r="AG332" s="26" t="n">
        <v>45820.8125</v>
      </c>
      <c r="AH332" s="26" t="n">
        <v>45820.83680555555</v>
      </c>
      <c r="AI332" s="26" t="n">
        <v>45820.90972222222</v>
      </c>
      <c r="AJ332" s="26" t="n">
        <v>45821.04513888889</v>
      </c>
      <c r="AK332" s="26" t="n">
        <v>45827.26388888889</v>
      </c>
      <c r="AL332" s="26" t="n">
        <v>45827.3125</v>
      </c>
      <c r="AM332" s="26" t="n">
        <v>45827.32638888889</v>
      </c>
      <c r="AN332" s="26" t="n">
        <v>45827.36805555555</v>
      </c>
      <c r="AO332" s="26" t="n">
        <v>45827.39375</v>
      </c>
      <c r="AP332" s="20">
        <f>(AG332-AF332)*1440</f>
        <v/>
      </c>
      <c r="AQ332" s="20">
        <f>(AG332-AE332)*1440</f>
        <v/>
      </c>
      <c r="AR332" s="20">
        <f>(AH332-AF332)*1440</f>
        <v/>
      </c>
      <c r="AS332" s="20">
        <f>(AI332-AH332)*1440</f>
        <v/>
      </c>
      <c r="AT332" s="20">
        <f>(AJ332-AH332)*1440</f>
        <v/>
      </c>
      <c r="AU332" s="20">
        <f>(AL332-AK332)*1440</f>
        <v/>
      </c>
      <c r="AV332" s="20">
        <f>(AM332-AL332)*1440</f>
        <v/>
      </c>
      <c r="AW332" s="20">
        <f>(AO332-AM332)*1440</f>
        <v/>
      </c>
      <c r="AX332" s="19">
        <f>AP332+AS332+AU332+AV332+AW332</f>
        <v/>
      </c>
      <c r="AY332" s="18">
        <f>(AG332-AA332)</f>
        <v/>
      </c>
      <c r="AZ332" s="18">
        <f>(AK332-AJ332)</f>
        <v/>
      </c>
      <c r="BA332" s="18">
        <f>AO332-AG332</f>
        <v/>
      </c>
      <c r="BB332" s="18">
        <f>(AO332-AA332)-(AP332/1440)-(AW332/1440)</f>
        <v/>
      </c>
      <c r="BC332" s="20">
        <f>E332/AZ332</f>
        <v/>
      </c>
      <c r="BE332" s="20">
        <f>IF(E332&lt;10000,3000,IF(E332&lt;15000,3600,IF(E332&lt;20000,4500,IF(E332&lt;25000,6000,IF(E332&lt;30000,7500,IF(E332&lt;40000,9000,IF(E332&gt;40000,10000)))))))</f>
        <v/>
      </c>
      <c r="BF332" s="334">
        <f>(E332/BE332)+2</f>
        <v/>
      </c>
      <c r="BS332" s="97" t="inlineStr">
        <is>
          <t>DEHALAGE DU POSTE 2BIS VERS POSTE 2TER LE 16/06- 1608 // CHANGE DU POSTE 2TER VERS POSTE 1N LE 18/06 - 1310</t>
        </is>
      </c>
      <c r="BT332" s="99" t="n">
        <v>2</v>
      </c>
      <c r="BW332" s="332">
        <f>AI333-AH333</f>
        <v/>
      </c>
      <c r="CB332" s="14" t="n">
        <v>34242</v>
      </c>
    </row>
    <row r="333" ht="15" customHeight="1" s="70">
      <c r="B333" s="343" t="inlineStr">
        <is>
          <t>VICTORIA MAY</t>
        </is>
      </c>
      <c r="C333" s="15" t="n">
        <v>45827</v>
      </c>
      <c r="D333" s="329" t="n">
        <v>21820</v>
      </c>
      <c r="E333" s="330" t="n"/>
      <c r="F333" s="75" t="n"/>
      <c r="G333" s="81" t="n">
        <v>2</v>
      </c>
      <c r="H333" s="75" t="inlineStr">
        <is>
          <t>TSP</t>
        </is>
      </c>
      <c r="I333" s="306" t="inlineStr">
        <is>
          <t xml:space="preserve">TSP CIV </t>
        </is>
      </c>
      <c r="J333" s="75" t="inlineStr">
        <is>
          <t>CFR</t>
        </is>
      </c>
      <c r="K333" s="82" t="n"/>
      <c r="L333" s="341">
        <f>D333*K333</f>
        <v/>
      </c>
      <c r="M333" s="14" t="n"/>
      <c r="N333" s="335">
        <f>L333*M333</f>
        <v/>
      </c>
      <c r="Q333" s="75" t="inlineStr">
        <is>
          <t>ASIE</t>
        </is>
      </c>
      <c r="R333" s="75" t="inlineStr">
        <is>
          <t>INDE</t>
        </is>
      </c>
      <c r="T333" s="75" t="inlineStr">
        <is>
          <t>INSPECTORATE</t>
        </is>
      </c>
      <c r="U333" s="81" t="n">
        <v>190</v>
      </c>
      <c r="V333" s="53">
        <f>IF(U333&lt;130, "Mini Bulker", IF(AND(U333&gt;=130, U333&lt;150), "Handysize", IF(AND(U333&gt;=150, U333&lt;200), "Handymax", IF(AND(U333&gt;=200, U333&lt;230), "Panamax", IF(AND(U333&gt;=230, U333&lt;=270), "Capesize", "Autre")))))</f>
        <v/>
      </c>
      <c r="X333" s="14">
        <f>IF(E333&lt;9999,"1",IF(E333&lt;19999,"2",IF(E333&lt;29999,"3",IF(E333&lt;39999,"4",IF(E333&lt;49999,"5",IF(E333&gt;50000,"6"))))))</f>
        <v/>
      </c>
      <c r="Y333" s="99" t="inlineStr">
        <is>
          <t>2BIS/2TER/1N</t>
        </is>
      </c>
      <c r="AA333" s="98" t="n"/>
      <c r="AB333" s="98" t="n"/>
      <c r="AC333" s="98" t="n"/>
      <c r="AD333" s="98" t="n"/>
      <c r="AE333" s="98" t="n"/>
      <c r="AF333" s="98" t="n"/>
      <c r="AG333" s="98" t="n"/>
      <c r="AH333" s="98" t="n"/>
      <c r="AI333" s="98" t="n"/>
      <c r="AJ333" s="98" t="n"/>
      <c r="AK333" s="98" t="n"/>
      <c r="AL333" s="98" t="n"/>
      <c r="AM333" s="98" t="n"/>
      <c r="AN333" s="98" t="n"/>
      <c r="AO333" s="98" t="n"/>
      <c r="AP333" s="98" t="n"/>
      <c r="AQ333" s="98" t="n"/>
      <c r="AR333" s="98" t="n"/>
      <c r="AS333" s="98" t="n"/>
      <c r="AT333" s="98" t="n"/>
      <c r="AU333" s="98" t="n"/>
      <c r="AV333" s="98" t="n"/>
      <c r="AW333" s="98" t="n"/>
      <c r="AX333" s="98" t="n"/>
      <c r="AY333" s="98" t="n"/>
      <c r="AZ333" s="98" t="n"/>
      <c r="BA333" s="98" t="n"/>
      <c r="BB333" s="98" t="n"/>
      <c r="BC333" s="98" t="n"/>
      <c r="BD333" s="98" t="n"/>
      <c r="BE333" s="98" t="n"/>
      <c r="BF333" s="98" t="n"/>
      <c r="BG333" s="98" t="n"/>
      <c r="BH333" s="98" t="n"/>
      <c r="BI333" s="98" t="n"/>
      <c r="BJ333" s="98" t="n"/>
      <c r="BK333" s="98" t="n"/>
      <c r="BL333" s="98" t="n"/>
      <c r="BM333" s="98" t="n"/>
      <c r="BN333" s="98" t="n"/>
      <c r="BO333" s="98" t="n"/>
      <c r="BP333" s="98" t="n"/>
      <c r="BQ333" s="98" t="n"/>
      <c r="BR333" s="98" t="n"/>
      <c r="BS333" s="97" t="inlineStr">
        <is>
          <t>DEHALAGE DU POSTE 2BIS VERS POSTE 2TER LE 16/06- 1608 // CHANGE DU POSTE 2TER VERS POSTE 1N LE 18/06 - 1310</t>
        </is>
      </c>
      <c r="BT333" s="99" t="n">
        <v>2</v>
      </c>
      <c r="BW333" s="332">
        <f>AI334-AH334</f>
        <v/>
      </c>
      <c r="CB333" s="14" t="n"/>
    </row>
    <row r="334" ht="14.55" customHeight="1" s="70">
      <c r="A334" s="81" t="n">
        <v>227</v>
      </c>
      <c r="B334" s="343" t="inlineStr">
        <is>
          <t>ALBIZ</t>
        </is>
      </c>
      <c r="C334" s="15" t="n">
        <v>45830</v>
      </c>
      <c r="D334" s="329" t="n">
        <v>5000</v>
      </c>
      <c r="E334" s="329" t="n">
        <v>5000</v>
      </c>
      <c r="F334" s="75" t="inlineStr">
        <is>
          <t>OCP NUTRI</t>
        </is>
      </c>
      <c r="G334" s="81" t="n">
        <v>1</v>
      </c>
      <c r="H334" s="75" t="inlineStr">
        <is>
          <t>TSP</t>
        </is>
      </c>
      <c r="I334" s="306" t="inlineStr">
        <is>
          <t xml:space="preserve">TSP EURO Low Cd </t>
        </is>
      </c>
      <c r="J334" s="75" t="inlineStr">
        <is>
          <t>CFR</t>
        </is>
      </c>
      <c r="K334" s="82" t="n">
        <v>536.6</v>
      </c>
      <c r="L334" s="341">
        <f>D334*K334</f>
        <v/>
      </c>
      <c r="M334" s="14" t="n">
        <v>9.136799999999999</v>
      </c>
      <c r="N334" s="335">
        <f>L334*M334</f>
        <v/>
      </c>
      <c r="P334" s="75" t="inlineStr">
        <is>
          <t>UNIFERT France</t>
        </is>
      </c>
      <c r="Q334" s="75" t="inlineStr">
        <is>
          <t>EUROPE</t>
        </is>
      </c>
      <c r="R334" s="75" t="inlineStr">
        <is>
          <t>FRANCE</t>
        </is>
      </c>
      <c r="T334" s="75" t="inlineStr">
        <is>
          <t>INSPECTORATE</t>
        </is>
      </c>
      <c r="U334" s="81" t="n">
        <v>100</v>
      </c>
      <c r="V334" s="53">
        <f>IF(U334&lt;130, "Mini Bulker", IF(AND(U334&gt;=130, U334&lt;150), "Handysize", IF(AND(U334&gt;=150, U334&lt;200), "Handymax", IF(AND(U334&gt;=200, U334&lt;230), "Panamax", IF(AND(U334&gt;=230, U334&lt;=270), "Capesize", "Autre")))))</f>
        <v/>
      </c>
      <c r="X334" s="14">
        <f>IF(E334&lt;9999,"1",IF(E334&lt;19999,"2",IF(E334&lt;29999,"3",IF(E334&lt;39999,"4",IF(E334&lt;49999,"5",IF(E334&gt;50000,"6"))))))</f>
        <v/>
      </c>
      <c r="Y334" s="99" t="inlineStr">
        <is>
          <t>1N</t>
        </is>
      </c>
      <c r="AA334" s="26" t="n">
        <v>45825.72916666666</v>
      </c>
      <c r="AB334" s="26" t="n">
        <v>45826.375</v>
      </c>
      <c r="AC334" s="15" t="n">
        <v>45826</v>
      </c>
      <c r="AD334" s="15" t="n">
        <v>45828</v>
      </c>
      <c r="AE334" s="26" t="n">
        <v>45825.8875</v>
      </c>
      <c r="AF334" s="26" t="n">
        <v>45827.46805555555</v>
      </c>
      <c r="AG334" s="26" t="n">
        <v>45827.56666666667</v>
      </c>
      <c r="AH334" s="26" t="n">
        <v>45827.59722222222</v>
      </c>
      <c r="AI334" s="26" t="n">
        <v>45827.71875</v>
      </c>
      <c r="AJ334" s="26" t="n">
        <v>45828.11805555555</v>
      </c>
      <c r="AK334" s="26" t="n">
        <v>45830.72916666666</v>
      </c>
      <c r="AL334" s="26" t="n">
        <v>45830.77291666667</v>
      </c>
      <c r="AM334" s="26" t="n">
        <v>45830.79166666666</v>
      </c>
      <c r="AN334" s="26" t="n">
        <v>45830.8125</v>
      </c>
      <c r="AO334" s="222" t="n">
        <v>45830.81944444445</v>
      </c>
      <c r="AP334" s="20">
        <f>(AG334-AF334)*1440</f>
        <v/>
      </c>
      <c r="AQ334" s="20">
        <f>(AG334-AE334)*1440</f>
        <v/>
      </c>
      <c r="AR334" s="20">
        <f>(AH334-AF334)*1440</f>
        <v/>
      </c>
      <c r="AS334" s="20">
        <f>(AI334-AH334)*1440</f>
        <v/>
      </c>
      <c r="AT334" s="20">
        <f>(AJ334-AH334)*1440</f>
        <v/>
      </c>
      <c r="AU334" s="20">
        <f>(AL334-AK334)*1440</f>
        <v/>
      </c>
      <c r="AV334" s="20">
        <f>(AM334-AL334)*1440</f>
        <v/>
      </c>
      <c r="AW334" s="20">
        <f>(AO334-AM334)*1440</f>
        <v/>
      </c>
      <c r="AX334" s="19">
        <f>AP334+AS334+AU334+AV334+AW334</f>
        <v/>
      </c>
      <c r="AY334" s="18">
        <f>(AG334-AA334)</f>
        <v/>
      </c>
      <c r="AZ334" s="18">
        <f>(AK334-AJ334)</f>
        <v/>
      </c>
      <c r="BA334" s="18">
        <f>AO334-AG334</f>
        <v/>
      </c>
      <c r="BB334" s="18">
        <f>(AO334-AA334)-(AP334/1440)-(AW334/1440)</f>
        <v/>
      </c>
      <c r="BC334" s="20">
        <f>E334/AZ334</f>
        <v/>
      </c>
      <c r="BE334" s="20">
        <f>IF(E334&lt;10000,3000,IF(E334&lt;15000,3600,IF(E334&lt;20000,4500,IF(E334&lt;25000,6000,IF(E334&lt;30000,7500,IF(E334&lt;40000,9000,IF(E334&gt;40000,10000)))))))</f>
        <v/>
      </c>
      <c r="BF334" s="334">
        <f>(E334/BE334)+2</f>
        <v/>
      </c>
      <c r="BS334" s="97" t="inlineStr">
        <is>
          <t>DEHALAGE 30 M VERS LA DIGUE LE 20/06- 1748</t>
        </is>
      </c>
      <c r="BT334" s="99" t="n">
        <v>1</v>
      </c>
      <c r="BU334" s="99" t="n"/>
      <c r="BW334" s="332">
        <f>AI335-AH335</f>
        <v/>
      </c>
      <c r="CB334" s="14" t="n">
        <v>3995</v>
      </c>
    </row>
    <row r="335" ht="14.55" customHeight="1" s="70">
      <c r="A335" s="81" t="n">
        <v>226</v>
      </c>
      <c r="B335" s="343" t="inlineStr">
        <is>
          <t>SAINT DIMITRIOS</t>
        </is>
      </c>
      <c r="C335" s="15" t="n">
        <v>45830</v>
      </c>
      <c r="D335" s="329" t="n">
        <v>22210</v>
      </c>
      <c r="E335" s="333">
        <f>D335+D336+D337</f>
        <v/>
      </c>
      <c r="F335" s="75" t="inlineStr">
        <is>
          <t>JFC1/OCP NUTRI</t>
        </is>
      </c>
      <c r="G335" s="81" t="n">
        <v>3</v>
      </c>
      <c r="H335" s="75" t="inlineStr">
        <is>
          <t>MAP</t>
        </is>
      </c>
      <c r="I335" s="306" t="inlineStr">
        <is>
          <t xml:space="preserve">MAP 11 52 SPECIAL </t>
        </is>
      </c>
      <c r="J335" s="75" t="inlineStr">
        <is>
          <t>CFR</t>
        </is>
      </c>
      <c r="K335" s="82" t="n">
        <v>749</v>
      </c>
      <c r="L335" s="341">
        <f>D335*K335</f>
        <v/>
      </c>
      <c r="M335" s="14" t="n">
        <v>9.136799999999999</v>
      </c>
      <c r="N335" s="335">
        <f>L335*M335</f>
        <v/>
      </c>
      <c r="P335" s="75" t="inlineStr">
        <is>
          <t>COFCO International Paraguay S.A. /COFCO INTERNATIONAL ARGENTINA S.A/ ASOCIACION DE COOPERATIVAS ARGENTINE /BUNGE SA</t>
        </is>
      </c>
      <c r="Q335" s="75" t="inlineStr">
        <is>
          <t>AMERIQUE LATINE</t>
        </is>
      </c>
      <c r="R335" s="75" t="inlineStr">
        <is>
          <t>ARGENTINE</t>
        </is>
      </c>
      <c r="S335" s="75" t="n"/>
      <c r="T335" s="75" t="inlineStr">
        <is>
          <t>INTERTEK</t>
        </is>
      </c>
      <c r="U335" s="81" t="n">
        <v>181</v>
      </c>
      <c r="V335" s="53">
        <f>IF(U335&lt;130, "Mini Bulker", IF(AND(U335&gt;=130, U335&lt;150), "Handysize", IF(AND(U335&gt;=150, U335&lt;200), "Handymax", IF(AND(U335&gt;=200, U335&lt;230), "Panamax", IF(AND(U335&gt;=230, U335&lt;=270), "Capesize", "Autre")))))</f>
        <v/>
      </c>
      <c r="X335" s="14">
        <f>IF(E335&lt;9999,"1",IF(E335&lt;19999,"2",IF(E335&lt;29999,"3",IF(E335&lt;39999,"4",IF(E335&lt;49999,"5",IF(E335&gt;50000,"6"))))))</f>
        <v/>
      </c>
      <c r="Y335" s="99" t="inlineStr">
        <is>
          <t>1TER</t>
        </is>
      </c>
      <c r="AA335" s="17" t="n">
        <v>45824.00069444445</v>
      </c>
      <c r="AB335" s="17" t="n">
        <v>45824.375</v>
      </c>
      <c r="AC335" s="15" t="n">
        <v>45824</v>
      </c>
      <c r="AD335" s="15" t="n">
        <v>45826</v>
      </c>
      <c r="AE335" s="17" t="n">
        <v>45823.98333333333</v>
      </c>
      <c r="AF335" s="17" t="n">
        <v>45824.4375</v>
      </c>
      <c r="AG335" s="17" t="n">
        <v>45824.50833333333</v>
      </c>
      <c r="AH335" s="17" t="n">
        <v>45824.52083333334</v>
      </c>
      <c r="AI335" s="17" t="n">
        <v>45824.58333333334</v>
      </c>
      <c r="AJ335" s="17" t="n">
        <v>45824.625</v>
      </c>
      <c r="AK335" s="17" t="n">
        <v>45830.23958333334</v>
      </c>
      <c r="AL335" s="17" t="n">
        <v>45830.28125</v>
      </c>
      <c r="AM335" s="17" t="n">
        <v>45830.31944444445</v>
      </c>
      <c r="AN335" s="17" t="n">
        <v>45830.36319444444</v>
      </c>
      <c r="AO335" s="208" t="n"/>
      <c r="AP335" s="20">
        <f>(AG335-AF335)*1440</f>
        <v/>
      </c>
      <c r="AQ335" s="20">
        <f>(AG335-AE335)*1440</f>
        <v/>
      </c>
      <c r="AR335" s="20">
        <f>(AH335-AF335)*1440</f>
        <v/>
      </c>
      <c r="AS335" s="20">
        <f>(AI335-AH335)*1440</f>
        <v/>
      </c>
      <c r="AT335" s="20">
        <f>(AJ335-AH335)*1440</f>
        <v/>
      </c>
      <c r="AU335" s="20">
        <f>(AL335-AK335)*1440</f>
        <v/>
      </c>
      <c r="AV335" s="20">
        <f>(AM335-AL335)*1440</f>
        <v/>
      </c>
      <c r="AW335" s="20">
        <f>(AO335-AM335)*1440</f>
        <v/>
      </c>
      <c r="AX335" s="19">
        <f>AP335+AS335+AU335+AV335+AW335</f>
        <v/>
      </c>
      <c r="AY335" s="18">
        <f>(AG335-AA335)</f>
        <v/>
      </c>
      <c r="AZ335" s="18">
        <f>(AK335-AJ335)</f>
        <v/>
      </c>
      <c r="BA335" s="18">
        <f>AO335-AG335</f>
        <v/>
      </c>
      <c r="BB335" s="18">
        <f>(AO335-AA335)-(AP335/1440)-(AW335/1440)</f>
        <v/>
      </c>
      <c r="BC335" s="20">
        <f>E335/AZ335</f>
        <v/>
      </c>
      <c r="BD335" s="208" t="n"/>
      <c r="BE335" s="20">
        <f>IF(E335&lt;10000,3000,IF(E335&lt;15000,3600,IF(E335&lt;20000,4500,IF(E335&lt;25000,6000,IF(E335&lt;30000,7500,IF(E335&lt;40000,9000,IF(E335&gt;40000,10000)))))))</f>
        <v/>
      </c>
      <c r="BF335" s="334">
        <f>(E335/BE335)+2</f>
        <v/>
      </c>
      <c r="BG335" s="208" t="n"/>
      <c r="BH335" s="208" t="n"/>
      <c r="BI335" s="208" t="n"/>
      <c r="BJ335" s="208" t="n"/>
      <c r="BK335" s="208" t="n"/>
      <c r="BL335" s="208" t="n"/>
      <c r="BM335" s="208" t="n"/>
      <c r="BN335" s="208" t="n"/>
      <c r="BO335" s="208" t="n"/>
      <c r="BP335" s="208" t="n"/>
      <c r="BQ335" s="208" t="n"/>
      <c r="BR335" s="208" t="n"/>
      <c r="BS335" s="97" t="inlineStr">
        <is>
          <t>NUL</t>
        </is>
      </c>
      <c r="BT335" s="99" t="n">
        <v>0</v>
      </c>
      <c r="BU335" s="99" t="n"/>
      <c r="BW335" s="332">
        <f>AI336-AH336</f>
        <v/>
      </c>
      <c r="CB335" s="14" t="n">
        <v>23322</v>
      </c>
    </row>
    <row r="336" ht="15" customHeight="1" s="70">
      <c r="A336" s="81" t="n"/>
      <c r="B336" s="343" t="inlineStr">
        <is>
          <t>SAINT DIMITRIOS</t>
        </is>
      </c>
      <c r="C336" s="15" t="n">
        <v>45830</v>
      </c>
      <c r="D336" s="329" t="n">
        <v>6183</v>
      </c>
      <c r="E336" s="330" t="n"/>
      <c r="F336" s="75" t="inlineStr">
        <is>
          <t>JFC1</t>
        </is>
      </c>
      <c r="G336" s="81" t="n">
        <v>3</v>
      </c>
      <c r="H336" s="75" t="inlineStr">
        <is>
          <t>DAP</t>
        </is>
      </c>
      <c r="I336" s="306" t="inlineStr">
        <is>
          <t>DAP SPECIAL</t>
        </is>
      </c>
      <c r="J336" s="75" t="inlineStr">
        <is>
          <t>CFR</t>
        </is>
      </c>
      <c r="K336" s="82" t="n">
        <v>745</v>
      </c>
      <c r="L336" s="341">
        <f>D336*K336</f>
        <v/>
      </c>
      <c r="M336" s="14" t="n">
        <v>9.136799999999999</v>
      </c>
      <c r="N336" s="335">
        <f>L336*M336</f>
        <v/>
      </c>
      <c r="P336" s="75" t="inlineStr">
        <is>
          <t>CHS INC /COFCO INTERNATIONAL ARGENTINA S.A</t>
        </is>
      </c>
      <c r="Q336" s="75" t="inlineStr">
        <is>
          <t>AMERIQUE LATINE</t>
        </is>
      </c>
      <c r="R336" s="75" t="inlineStr">
        <is>
          <t>ARGENTINE</t>
        </is>
      </c>
      <c r="S336" s="75" t="n"/>
      <c r="T336" s="75" t="inlineStr">
        <is>
          <t>INTERTEK</t>
        </is>
      </c>
      <c r="U336" s="81" t="n">
        <v>181</v>
      </c>
      <c r="V336" s="53">
        <f>IF(U336&lt;130, "Mini Bulker", IF(AND(U336&gt;=130, U336&lt;150), "Handysize", IF(AND(U336&gt;=150, U336&lt;200), "Handymax", IF(AND(U336&gt;=200, U336&lt;230), "Panamax", IF(AND(U336&gt;=230, U336&lt;=270), "Capesize", "Autre")))))</f>
        <v/>
      </c>
      <c r="X336" s="14">
        <f>IF(E336&lt;9999,"1",IF(E336&lt;19999,"2",IF(E336&lt;29999,"3",IF(E336&lt;39999,"4",IF(E336&lt;49999,"5",IF(E336&gt;50000,"6"))))))</f>
        <v/>
      </c>
      <c r="Y336" s="99" t="inlineStr">
        <is>
          <t>1TER</t>
        </is>
      </c>
      <c r="AA336" s="98" t="n"/>
      <c r="AB336" s="98" t="n"/>
      <c r="AC336" s="98" t="n"/>
      <c r="AD336" s="98" t="n"/>
      <c r="AE336" s="98" t="n"/>
      <c r="AF336" s="98" t="n"/>
      <c r="AG336" s="98" t="n"/>
      <c r="AH336" s="98" t="n"/>
      <c r="AI336" s="98" t="n"/>
      <c r="AJ336" s="98" t="n"/>
      <c r="AK336" s="98" t="n"/>
      <c r="AL336" s="98" t="n"/>
      <c r="AM336" s="98" t="n"/>
      <c r="AN336" s="98" t="n"/>
      <c r="AO336" s="98" t="n"/>
      <c r="AP336" s="98" t="n"/>
      <c r="AQ336" s="98" t="n"/>
      <c r="AR336" s="98" t="n"/>
      <c r="AS336" s="98" t="n"/>
      <c r="AT336" s="98" t="n"/>
      <c r="AU336" s="98" t="n"/>
      <c r="AV336" s="98" t="n"/>
      <c r="AW336" s="98" t="n"/>
      <c r="AX336" s="98" t="n"/>
      <c r="AY336" s="98" t="n"/>
      <c r="AZ336" s="98" t="n"/>
      <c r="BA336" s="98" t="n"/>
      <c r="BB336" s="98" t="n"/>
      <c r="BC336" s="98" t="n"/>
      <c r="BD336" s="98" t="n"/>
      <c r="BE336" s="98" t="n"/>
      <c r="BF336" s="98" t="n"/>
      <c r="BG336" s="98" t="n"/>
      <c r="BH336" s="98" t="n"/>
      <c r="BI336" s="98" t="n"/>
      <c r="BJ336" s="98" t="n"/>
      <c r="BK336" s="98" t="n"/>
      <c r="BL336" s="98" t="n"/>
      <c r="BM336" s="98" t="n"/>
      <c r="BN336" s="98" t="n"/>
      <c r="BO336" s="98" t="n"/>
      <c r="BP336" s="98" t="n"/>
      <c r="BQ336" s="98" t="n"/>
      <c r="BR336" s="98" t="n"/>
      <c r="BS336" s="97" t="inlineStr">
        <is>
          <t>NUL</t>
        </is>
      </c>
      <c r="BT336" s="99" t="n">
        <v>0</v>
      </c>
      <c r="BU336" s="99" t="n"/>
      <c r="BW336" s="332">
        <f>AI337-AH337</f>
        <v/>
      </c>
      <c r="CB336" s="14" t="n"/>
    </row>
    <row r="337">
      <c r="A337" s="81" t="n"/>
      <c r="B337" s="343" t="inlineStr">
        <is>
          <t>SAINT DIMITRIOS</t>
        </is>
      </c>
      <c r="C337" s="15" t="n">
        <v>45830</v>
      </c>
      <c r="D337" s="329" t="n">
        <v>4101</v>
      </c>
      <c r="E337" s="330" t="n"/>
      <c r="F337" s="75" t="inlineStr">
        <is>
          <t>OCP NUTRI</t>
        </is>
      </c>
      <c r="G337" s="81" t="n">
        <v>3</v>
      </c>
      <c r="H337" s="75" t="inlineStr">
        <is>
          <t>TSP</t>
        </is>
      </c>
      <c r="I337" s="306" t="inlineStr">
        <is>
          <t xml:space="preserve">TSP SPECIAL JORF </t>
        </is>
      </c>
      <c r="J337" s="75" t="inlineStr">
        <is>
          <t>CFR</t>
        </is>
      </c>
      <c r="K337" s="82" t="n">
        <v>575</v>
      </c>
      <c r="L337" s="341">
        <f>D337*K337</f>
        <v/>
      </c>
      <c r="M337" s="14" t="n">
        <v>9.136799999999999</v>
      </c>
      <c r="N337" s="335">
        <f>L337*M337</f>
        <v/>
      </c>
      <c r="P337" s="75" t="inlineStr">
        <is>
          <t>ASOCIACION DE COOPERATIVAS ARGENTINE /BUNGE SA</t>
        </is>
      </c>
      <c r="Q337" s="75" t="inlineStr">
        <is>
          <t>AMERIQUE LATINE</t>
        </is>
      </c>
      <c r="R337" s="75" t="inlineStr">
        <is>
          <t>ARGENTINE</t>
        </is>
      </c>
      <c r="S337" s="75" t="n"/>
      <c r="T337" s="75" t="inlineStr">
        <is>
          <t>INTERTEK</t>
        </is>
      </c>
      <c r="U337" s="81" t="n">
        <v>181</v>
      </c>
      <c r="V337" s="53">
        <f>IF(U337&lt;130, "Mini Bulker", IF(AND(U337&gt;=130, U337&lt;150), "Handysize", IF(AND(U337&gt;=150, U337&lt;200), "Handymax", IF(AND(U337&gt;=200, U337&lt;230), "Panamax", IF(AND(U337&gt;=230, U337&lt;=270), "Capesize", "Autre")))))</f>
        <v/>
      </c>
      <c r="X337" s="14">
        <f>IF(E337&lt;9999,"1",IF(E337&lt;19999,"2",IF(E337&lt;29999,"3",IF(E337&lt;39999,"4",IF(E337&lt;49999,"5",IF(E337&gt;50000,"6"))))))</f>
        <v/>
      </c>
      <c r="Y337" s="99" t="inlineStr">
        <is>
          <t>1TER</t>
        </is>
      </c>
      <c r="AA337" s="218" t="n"/>
      <c r="AB337" s="218" t="n"/>
      <c r="AC337" s="98" t="n"/>
      <c r="AD337" s="98" t="n"/>
      <c r="AE337" s="218" t="n"/>
      <c r="AF337" s="218" t="n"/>
      <c r="AG337" s="218" t="n"/>
      <c r="AH337" s="218" t="n"/>
      <c r="AI337" s="218" t="n"/>
      <c r="AJ337" s="218" t="n"/>
      <c r="AK337" s="218" t="n"/>
      <c r="AL337" s="218" t="n"/>
      <c r="AM337" s="218" t="n"/>
      <c r="AN337" s="218" t="n"/>
      <c r="AO337" s="218" t="n"/>
      <c r="AP337" s="98" t="n"/>
      <c r="AQ337" s="98" t="n"/>
      <c r="AR337" s="98" t="n"/>
      <c r="AS337" s="98" t="n"/>
      <c r="AT337" s="98" t="n"/>
      <c r="AU337" s="98" t="n"/>
      <c r="AV337" s="98" t="n"/>
      <c r="AW337" s="98" t="n"/>
      <c r="AX337" s="98" t="n"/>
      <c r="AY337" s="98" t="n"/>
      <c r="AZ337" s="98" t="n"/>
      <c r="BA337" s="98" t="n"/>
      <c r="BB337" s="98" t="n"/>
      <c r="BC337" s="98" t="n"/>
      <c r="BD337" s="220" t="n"/>
      <c r="BE337" s="98" t="n"/>
      <c r="BF337" s="98" t="n"/>
      <c r="BG337" s="220" t="n"/>
      <c r="BH337" s="220" t="n"/>
      <c r="BI337" s="220" t="n"/>
      <c r="BJ337" s="220" t="n"/>
      <c r="BK337" s="220" t="n"/>
      <c r="BL337" s="220" t="n"/>
      <c r="BM337" s="220" t="n"/>
      <c r="BN337" s="220" t="n"/>
      <c r="BO337" s="220" t="n"/>
      <c r="BP337" s="220" t="n"/>
      <c r="BQ337" s="220" t="n"/>
      <c r="BR337" s="220" t="n"/>
      <c r="BS337" s="97" t="inlineStr">
        <is>
          <t>NUL</t>
        </is>
      </c>
      <c r="BT337" s="99" t="n">
        <v>0</v>
      </c>
      <c r="BU337" s="99" t="n"/>
      <c r="BW337" s="332">
        <f>AI338-AH338</f>
        <v/>
      </c>
      <c r="CB337" s="14" t="n"/>
    </row>
    <row r="338" ht="14.55" customHeight="1" s="70">
      <c r="A338" s="81" t="n">
        <v>228</v>
      </c>
      <c r="B338" s="343" t="inlineStr">
        <is>
          <t>RADIUS</t>
        </is>
      </c>
      <c r="C338" s="15" t="n">
        <v>45831</v>
      </c>
      <c r="D338" s="329" t="n">
        <v>5500</v>
      </c>
      <c r="E338" s="333">
        <f>D338+D339+D340</f>
        <v/>
      </c>
      <c r="F338" s="75" t="n"/>
      <c r="G338" s="81" t="n">
        <v>3</v>
      </c>
      <c r="H338" s="75" t="inlineStr">
        <is>
          <t>DAP</t>
        </is>
      </c>
      <c r="I338" s="306" t="inlineStr">
        <is>
          <t xml:space="preserve">DAP Euro Low Cd </t>
        </is>
      </c>
      <c r="J338" s="75" t="inlineStr">
        <is>
          <t>CFR</t>
        </is>
      </c>
      <c r="K338" s="82" t="n"/>
      <c r="L338" s="341">
        <f>D338*K338</f>
        <v/>
      </c>
      <c r="M338" s="14" t="n"/>
      <c r="N338" s="335">
        <f>L338*M338</f>
        <v/>
      </c>
      <c r="P338" s="75" t="n"/>
      <c r="Q338" s="75" t="inlineStr">
        <is>
          <t>EUROPE</t>
        </is>
      </c>
      <c r="R338" s="75" t="inlineStr">
        <is>
          <t>ROMANIE</t>
        </is>
      </c>
      <c r="T338" s="75" t="inlineStr">
        <is>
          <t>INSPECTORATE</t>
        </is>
      </c>
      <c r="U338" s="81" t="n">
        <v>178</v>
      </c>
      <c r="V338" s="53">
        <f>IF(U338&lt;130, "Mini Bulker", IF(AND(U338&gt;=130, U338&lt;150), "Handysize", IF(AND(U338&gt;=150, U338&lt;200), "Handymax", IF(AND(U338&gt;=200, U338&lt;230), "Panamax", IF(AND(U338&gt;=230, U338&lt;=270), "Capesize", "Autre")))))</f>
        <v/>
      </c>
      <c r="X338" s="14">
        <f>IF(E338&lt;9999,"1",IF(E338&lt;19999,"2",IF(E338&lt;29999,"3",IF(E338&lt;39999,"4",IF(E338&lt;49999,"5",IF(E338&gt;50000,"6"))))))</f>
        <v/>
      </c>
      <c r="Y338" s="99" t="inlineStr">
        <is>
          <t>2BIS/2TER</t>
        </is>
      </c>
      <c r="AA338" s="26" t="n">
        <v>45824.875</v>
      </c>
      <c r="AB338" s="26" t="n">
        <v>45825.375</v>
      </c>
      <c r="AC338" s="15" t="n">
        <v>45825</v>
      </c>
      <c r="AD338" s="15" t="n">
        <v>45827</v>
      </c>
      <c r="AE338" s="26" t="n">
        <v>45824.58333333334</v>
      </c>
      <c r="AF338" s="26" t="n">
        <v>45824.83333333334</v>
      </c>
      <c r="AG338" s="26" t="n">
        <v>45824.9125</v>
      </c>
      <c r="AH338" s="26" t="n">
        <v>45824.9375</v>
      </c>
      <c r="AI338" s="26" t="n">
        <v>45825.0625</v>
      </c>
      <c r="AJ338" s="26" t="n">
        <v>45825.10069444445</v>
      </c>
      <c r="AK338" s="26" t="n">
        <v>45831.79861111111</v>
      </c>
      <c r="AL338" s="26" t="n">
        <v>45831.84027777778</v>
      </c>
      <c r="AM338" s="26" t="n">
        <v>45831.86805555555</v>
      </c>
      <c r="AN338" s="26" t="n">
        <v>45831.91666666666</v>
      </c>
      <c r="AO338" s="26" t="n">
        <v>45831.93333333333</v>
      </c>
      <c r="AP338" s="20">
        <f>(AG338-AF338)*1440</f>
        <v/>
      </c>
      <c r="AQ338" s="20">
        <f>(AG338-AE338)*1440</f>
        <v/>
      </c>
      <c r="AR338" s="20">
        <f>(AH338-AF338)*1440</f>
        <v/>
      </c>
      <c r="AS338" s="20">
        <f>(AI338-AH338)*1440</f>
        <v/>
      </c>
      <c r="AT338" s="20">
        <f>(AJ338-AH338)*1440</f>
        <v/>
      </c>
      <c r="AU338" s="20">
        <f>(AL338-AK338)*1440</f>
        <v/>
      </c>
      <c r="AV338" s="20">
        <f>(AM338-AL338)*1440</f>
        <v/>
      </c>
      <c r="AW338" s="20">
        <f>(AO338-AM338)*1440</f>
        <v/>
      </c>
      <c r="AX338" s="19">
        <f>AP338+AS338+AU338+AV338+AW338</f>
        <v/>
      </c>
      <c r="AY338" s="18">
        <f>(AG338-AA338)</f>
        <v/>
      </c>
      <c r="AZ338" s="18">
        <f>(AK338-AJ338)</f>
        <v/>
      </c>
      <c r="BA338" s="18">
        <f>AO338-AG338</f>
        <v/>
      </c>
      <c r="BB338" s="18">
        <f>(AO338-AA338)-(AP338/1440)-(AW338/1440)</f>
        <v/>
      </c>
      <c r="BC338" s="20">
        <f>E338/AZ338</f>
        <v/>
      </c>
      <c r="BE338" s="20">
        <f>IF(E338&lt;10000,3000,IF(E338&lt;15000,3600,IF(E338&lt;20000,4500,IF(E338&lt;25000,6000,IF(E338&lt;30000,7500,IF(E338&lt;40000,9000,IF(E338&gt;40000,10000)))))))</f>
        <v/>
      </c>
      <c r="BF338" s="334">
        <f>(E338/BE338)+2</f>
        <v/>
      </c>
      <c r="BS338" s="97" t="inlineStr">
        <is>
          <t>CHANGE DU POSTE 2BIS VERS LA RADE LE 22/06- 0026 // RE-ACCOSTAGE AU POSTE 2TER LE 22/06- 1633</t>
        </is>
      </c>
      <c r="BT338" s="99" t="n">
        <v>2</v>
      </c>
      <c r="BU338" s="99" t="inlineStr">
        <is>
          <t>NON CLEAN</t>
        </is>
      </c>
      <c r="BW338" s="332">
        <f>AI339-AH339</f>
        <v/>
      </c>
      <c r="CB338" s="14" t="n">
        <v>22866</v>
      </c>
    </row>
    <row r="339" ht="14.55" customHeight="1" s="70">
      <c r="A339" s="81" t="n"/>
      <c r="B339" s="343" t="inlineStr">
        <is>
          <t>RADIUS</t>
        </is>
      </c>
      <c r="C339" s="15" t="n">
        <v>45831</v>
      </c>
      <c r="D339" s="329" t="n">
        <v>11000</v>
      </c>
      <c r="E339" s="330" t="n"/>
      <c r="F339" s="75" t="n"/>
      <c r="G339" s="81" t="n">
        <v>3</v>
      </c>
      <c r="H339" s="75" t="inlineStr">
        <is>
          <t>ASP</t>
        </is>
      </c>
      <c r="I339" s="306" t="inlineStr">
        <is>
          <t xml:space="preserve">ASP 19 38 6S Euro Low Cd </t>
        </is>
      </c>
      <c r="J339" s="75" t="inlineStr">
        <is>
          <t>CFR</t>
        </is>
      </c>
      <c r="K339" s="82" t="n"/>
      <c r="L339" s="341">
        <f>D339*K339</f>
        <v/>
      </c>
      <c r="M339" s="14" t="n"/>
      <c r="N339" s="335">
        <f>L339*M339</f>
        <v/>
      </c>
      <c r="P339" s="75" t="n"/>
      <c r="Q339" s="75" t="inlineStr">
        <is>
          <t>EUROPE</t>
        </is>
      </c>
      <c r="R339" s="75" t="inlineStr">
        <is>
          <t>ROMANIE</t>
        </is>
      </c>
      <c r="T339" s="75" t="inlineStr">
        <is>
          <t>INSPECTORATE</t>
        </is>
      </c>
      <c r="U339" s="81" t="n">
        <v>178</v>
      </c>
      <c r="V339" s="53">
        <f>IF(U339&lt;130, "Mini Bulker", IF(AND(U339&gt;=130, U339&lt;150), "Handysize", IF(AND(U339&gt;=150, U339&lt;200), "Handymax", IF(AND(U339&gt;=200, U339&lt;230), "Panamax", IF(AND(U339&gt;=230, U339&lt;=270), "Capesize", "Autre")))))</f>
        <v/>
      </c>
      <c r="X339" s="14">
        <f>IF(E339&lt;9999,"1",IF(E339&lt;19999,"2",IF(E339&lt;29999,"3",IF(E339&lt;39999,"4",IF(E339&lt;49999,"5",IF(E339&gt;50000,"6"))))))</f>
        <v/>
      </c>
      <c r="Y339" s="99" t="inlineStr">
        <is>
          <t>2BIS/2TER</t>
        </is>
      </c>
      <c r="AA339" s="98" t="n"/>
      <c r="AB339" s="98" t="n"/>
      <c r="AC339" s="98" t="n"/>
      <c r="AD339" s="98" t="n"/>
      <c r="AE339" s="98" t="n"/>
      <c r="AF339" s="98" t="n"/>
      <c r="AG339" s="98" t="n"/>
      <c r="AH339" s="98" t="n"/>
      <c r="AI339" s="98" t="n"/>
      <c r="AJ339" s="98" t="n"/>
      <c r="AK339" s="98" t="n"/>
      <c r="AL339" s="98" t="n"/>
      <c r="AM339" s="98" t="n"/>
      <c r="AN339" s="98" t="n"/>
      <c r="AO339" s="98" t="n"/>
      <c r="AP339" s="98" t="n"/>
      <c r="AQ339" s="98" t="n"/>
      <c r="AR339" s="98" t="n"/>
      <c r="AS339" s="98" t="n"/>
      <c r="AT339" s="98" t="n"/>
      <c r="AU339" s="98" t="n"/>
      <c r="AV339" s="98" t="n"/>
      <c r="AW339" s="98" t="n"/>
      <c r="AX339" s="98" t="n"/>
      <c r="AY339" s="98" t="n"/>
      <c r="AZ339" s="98" t="n"/>
      <c r="BA339" s="98" t="n"/>
      <c r="BB339" s="98" t="n"/>
      <c r="BC339" s="98" t="n"/>
      <c r="BD339" s="98" t="n"/>
      <c r="BE339" s="98" t="n"/>
      <c r="BF339" s="98" t="n"/>
      <c r="BG339" s="98" t="n"/>
      <c r="BH339" s="98" t="n"/>
      <c r="BI339" s="98" t="n"/>
      <c r="BJ339" s="98" t="n"/>
      <c r="BK339" s="98" t="n"/>
      <c r="BL339" s="98" t="n"/>
      <c r="BM339" s="98" t="n"/>
      <c r="BN339" s="98" t="n"/>
      <c r="BO339" s="98" t="n"/>
      <c r="BP339" s="98" t="n"/>
      <c r="BQ339" s="98" t="n"/>
      <c r="BR339" s="98" t="n"/>
      <c r="BS339" s="97" t="inlineStr">
        <is>
          <t>CHANGE DU POSTE 2BIS VERS LA RADE LE 22/06- 0026 // RE-ACCOSTAGE AU POSTE 2TER LE 22/06- 1633</t>
        </is>
      </c>
      <c r="BT339" s="99" t="n">
        <v>2</v>
      </c>
      <c r="BU339" s="99" t="n"/>
      <c r="BW339" s="332">
        <f>AI340-AH340</f>
        <v/>
      </c>
      <c r="CB339" s="14" t="n"/>
    </row>
    <row r="340" ht="14.55" customHeight="1" s="70">
      <c r="B340" s="343" t="inlineStr">
        <is>
          <t>RADIUS</t>
        </is>
      </c>
      <c r="C340" s="15" t="n">
        <v>45831</v>
      </c>
      <c r="D340" s="329" t="n">
        <v>12100</v>
      </c>
      <c r="E340" s="330" t="n"/>
      <c r="F340" s="75" t="n"/>
      <c r="G340" s="81" t="n">
        <v>3</v>
      </c>
      <c r="H340" s="75" t="inlineStr">
        <is>
          <t>NPK</t>
        </is>
      </c>
      <c r="I340" s="306" t="inlineStr">
        <is>
          <t xml:space="preserve">NPK 14 28 14 Special Low Cd </t>
        </is>
      </c>
      <c r="J340" s="75" t="inlineStr">
        <is>
          <t>CFR</t>
        </is>
      </c>
      <c r="K340" s="82" t="n"/>
      <c r="L340" s="341">
        <f>D340*K340</f>
        <v/>
      </c>
      <c r="M340" s="14" t="n"/>
      <c r="N340" s="335">
        <f>L340*M340</f>
        <v/>
      </c>
      <c r="P340" s="75" t="n"/>
      <c r="Q340" s="75" t="inlineStr">
        <is>
          <t>EUROPE</t>
        </is>
      </c>
      <c r="R340" s="75" t="inlineStr">
        <is>
          <t>ROMANIE</t>
        </is>
      </c>
      <c r="T340" s="75" t="inlineStr">
        <is>
          <t>INSPECTORATE</t>
        </is>
      </c>
      <c r="U340" s="81" t="n">
        <v>178</v>
      </c>
      <c r="V340" s="53">
        <f>IF(U340&lt;130, "Mini Bulker", IF(AND(U340&gt;=130, U340&lt;150), "Handysize", IF(AND(U340&gt;=150, U340&lt;200), "Handymax", IF(AND(U340&gt;=200, U340&lt;230), "Panamax", IF(AND(U340&gt;=230, U340&lt;=270), "Capesize", "Autre")))))</f>
        <v/>
      </c>
      <c r="X340" s="14">
        <f>IF(E340&lt;9999,"1",IF(E340&lt;19999,"2",IF(E340&lt;29999,"3",IF(E340&lt;39999,"4",IF(E340&lt;49999,"5",IF(E340&gt;50000,"6"))))))</f>
        <v/>
      </c>
      <c r="Y340" s="99" t="inlineStr">
        <is>
          <t>2BIS/2TER</t>
        </is>
      </c>
      <c r="AA340" s="98" t="n"/>
      <c r="AB340" s="98" t="n"/>
      <c r="AC340" s="98" t="n"/>
      <c r="AD340" s="98" t="n"/>
      <c r="AE340" s="98" t="n"/>
      <c r="AF340" s="98" t="n"/>
      <c r="AG340" s="98" t="n"/>
      <c r="AH340" s="98" t="n"/>
      <c r="AI340" s="98" t="n"/>
      <c r="AJ340" s="98" t="n"/>
      <c r="AK340" s="98" t="n"/>
      <c r="AL340" s="98" t="n"/>
      <c r="AM340" s="98" t="n"/>
      <c r="AN340" s="98" t="n"/>
      <c r="AO340" s="98" t="n"/>
      <c r="AP340" s="98" t="n"/>
      <c r="AQ340" s="98" t="n"/>
      <c r="AR340" s="98" t="n"/>
      <c r="AS340" s="98" t="n"/>
      <c r="AT340" s="98" t="n"/>
      <c r="AU340" s="98" t="n"/>
      <c r="AV340" s="98" t="n"/>
      <c r="AW340" s="98" t="n"/>
      <c r="AX340" s="98" t="n"/>
      <c r="AY340" s="98" t="n"/>
      <c r="AZ340" s="98" t="n"/>
      <c r="BA340" s="98" t="n"/>
      <c r="BB340" s="98" t="n"/>
      <c r="BC340" s="98" t="n"/>
      <c r="BD340" s="98" t="n"/>
      <c r="BE340" s="98" t="n"/>
      <c r="BF340" s="98" t="n"/>
      <c r="BG340" s="98" t="n"/>
      <c r="BH340" s="98" t="n"/>
      <c r="BI340" s="98" t="n"/>
      <c r="BJ340" s="98" t="n"/>
      <c r="BK340" s="98" t="n"/>
      <c r="BL340" s="98" t="n"/>
      <c r="BM340" s="98" t="n"/>
      <c r="BN340" s="98" t="n"/>
      <c r="BO340" s="98" t="n"/>
      <c r="BP340" s="98" t="n"/>
      <c r="BQ340" s="98" t="n"/>
      <c r="BR340" s="98" t="n"/>
      <c r="BS340" s="97" t="inlineStr">
        <is>
          <t>CHANGE DU POSTE 2BIS VERS LA RADE LE 22/06- 0026 // RE-ACCOSTAGE AU POSTE 2TER LE 22/06- 1633</t>
        </is>
      </c>
      <c r="BT340" s="99" t="n">
        <v>2</v>
      </c>
      <c r="BU340" s="99" t="n"/>
      <c r="BW340" s="332">
        <f>AI341-AH341</f>
        <v/>
      </c>
      <c r="CB340" s="14" t="n"/>
    </row>
    <row r="341">
      <c r="A341" s="81" t="n">
        <v>229</v>
      </c>
      <c r="B341" s="343" t="inlineStr">
        <is>
          <t xml:space="preserve">SIGMA </t>
        </is>
      </c>
      <c r="C341" s="15" t="n">
        <v>45831</v>
      </c>
      <c r="D341" s="329" t="n">
        <v>9363</v>
      </c>
      <c r="E341" s="329" t="n">
        <v>9363</v>
      </c>
      <c r="F341" s="75" t="inlineStr">
        <is>
          <t>OCP NUTRI</t>
        </is>
      </c>
      <c r="G341" s="81" t="n">
        <v>1</v>
      </c>
      <c r="H341" s="75" t="inlineStr">
        <is>
          <t>NPK</t>
        </is>
      </c>
      <c r="I341" s="306" t="inlineStr">
        <is>
          <t xml:space="preserve">NPK 10 26 26 Low Cd </t>
        </is>
      </c>
      <c r="J341" s="75" t="inlineStr">
        <is>
          <t>FOB</t>
        </is>
      </c>
      <c r="K341" s="82" t="n">
        <v>579</v>
      </c>
      <c r="L341" s="341">
        <f>D341*K341</f>
        <v/>
      </c>
      <c r="M341" s="14" t="n">
        <v>9.143000000000001</v>
      </c>
      <c r="N341" s="335">
        <f>L341*M341</f>
        <v/>
      </c>
      <c r="P341" s="75" t="inlineStr">
        <is>
          <t xml:space="preserve">LLC ''TEK-TRANS GROUP ''FORWARD'' /UKRAINIAN AGRICULTURAL COMPANY LLC </t>
        </is>
      </c>
      <c r="Q341" s="75" t="inlineStr">
        <is>
          <t>EUROPE</t>
        </is>
      </c>
      <c r="R341" s="75" t="inlineStr">
        <is>
          <t>UKRAINE</t>
        </is>
      </c>
      <c r="T341" s="75" t="inlineStr">
        <is>
          <t>INSPECTORATE</t>
        </is>
      </c>
      <c r="U341" s="81" t="n">
        <v>128</v>
      </c>
      <c r="V341" s="53">
        <f>IF(U341&lt;130, "Mini Bulker", IF(AND(U341&gt;=130, U341&lt;150), "Handysize", IF(AND(U341&gt;=150, U341&lt;200), "Handymax", IF(AND(U341&gt;=200, U341&lt;230), "Panamax", IF(AND(U341&gt;=230, U341&lt;=270), "Capesize", "Autre")))))</f>
        <v/>
      </c>
      <c r="X341" s="14">
        <f>IF(E341&lt;9999,"1",IF(E341&lt;19999,"2",IF(E341&lt;29999,"3",IF(E341&lt;39999,"4",IF(E341&lt;49999,"5",IF(E341&gt;50000,"6"))))))</f>
        <v/>
      </c>
      <c r="Y341" s="99" t="inlineStr">
        <is>
          <t>1TER</t>
        </is>
      </c>
      <c r="AA341" s="26" t="n">
        <v>45830.22916666666</v>
      </c>
      <c r="AB341" s="26" t="n">
        <v>45831.375</v>
      </c>
      <c r="AC341" s="15" t="n">
        <v>45831</v>
      </c>
      <c r="AD341" s="15" t="n">
        <v>45833</v>
      </c>
      <c r="AE341" s="26" t="n">
        <v>45830.22916666666</v>
      </c>
      <c r="AF341" s="26" t="n">
        <v>45830.69791666666</v>
      </c>
      <c r="AG341" s="26" t="n">
        <v>45830.8125</v>
      </c>
      <c r="AH341" s="26" t="n">
        <v>45830.82291666666</v>
      </c>
      <c r="AI341" s="26" t="n">
        <v>45830.89236111111</v>
      </c>
      <c r="AJ341" s="26" t="n">
        <v>45830.95138888889</v>
      </c>
      <c r="AK341" s="26" t="n">
        <v>45831.04166666666</v>
      </c>
      <c r="AL341" s="26" t="n">
        <v>45831.9375</v>
      </c>
      <c r="AM341" s="26" t="n">
        <v>45831.08333333334</v>
      </c>
      <c r="AN341" s="26" t="n">
        <v>45831.125</v>
      </c>
      <c r="AO341" s="26" t="n">
        <v>45831.22222222222</v>
      </c>
      <c r="AP341" s="20">
        <f>(AG341-AF341)*1440</f>
        <v/>
      </c>
      <c r="AQ341" s="20">
        <f>(AG341-AE341)*1440</f>
        <v/>
      </c>
      <c r="AR341" s="20">
        <f>(AH341-AF341)*1440</f>
        <v/>
      </c>
      <c r="AS341" s="20">
        <f>(AI341-AH341)*1440</f>
        <v/>
      </c>
      <c r="AT341" s="20">
        <f>(AJ341-AH341)*1440</f>
        <v/>
      </c>
      <c r="AU341" s="20">
        <f>(AL341-AK341)*1440</f>
        <v/>
      </c>
      <c r="AV341" s="20">
        <f>(AM341-AL341)*1440</f>
        <v/>
      </c>
      <c r="AW341" s="20">
        <f>(AO341-AM341)*1440</f>
        <v/>
      </c>
      <c r="AX341" s="19">
        <f>AP341+AS341+AU341+AV341+AW341</f>
        <v/>
      </c>
      <c r="AY341" s="18">
        <f>(AG341-AA341)</f>
        <v/>
      </c>
      <c r="AZ341" s="18">
        <f>(AK341-AJ341)</f>
        <v/>
      </c>
      <c r="BA341" s="18">
        <f>AO341-AG341</f>
        <v/>
      </c>
      <c r="BB341" s="18">
        <f>(AO341-AA341)-(AP341/1440)-(AW341/1440)</f>
        <v/>
      </c>
      <c r="BC341" s="20">
        <f>E341/AZ341</f>
        <v/>
      </c>
      <c r="BE341" s="20">
        <f>IF(E341&lt;10000,3000,IF(E341&lt;15000,3600,IF(E341&lt;20000,4500,IF(E341&lt;25000,6000,IF(E341&lt;30000,7500,IF(E341&lt;40000,9000,IF(E341&gt;40000,10000)))))))</f>
        <v/>
      </c>
      <c r="BF341" s="334">
        <f>(E341/BE341)+2</f>
        <v/>
      </c>
      <c r="BS341" s="97" t="inlineStr">
        <is>
          <t>NUL</t>
        </is>
      </c>
      <c r="BT341" s="99" t="n">
        <v>0</v>
      </c>
      <c r="BU341" s="99" t="n"/>
      <c r="BW341" s="332">
        <f>AI342-AH342</f>
        <v/>
      </c>
      <c r="CB341" s="14" t="n">
        <v>6337</v>
      </c>
    </row>
    <row r="342">
      <c r="A342" s="81" t="n">
        <v>230</v>
      </c>
      <c r="B342" s="343" t="inlineStr">
        <is>
          <t>BUNUN ORCHID</t>
        </is>
      </c>
      <c r="C342" s="15" t="n">
        <v>45832</v>
      </c>
      <c r="D342" s="329" t="n">
        <v>5500</v>
      </c>
      <c r="E342" s="329" t="n">
        <v>5500</v>
      </c>
      <c r="F342" s="75" t="inlineStr">
        <is>
          <t>JFC1</t>
        </is>
      </c>
      <c r="G342" s="81" t="n">
        <v>1</v>
      </c>
      <c r="H342" s="75" t="inlineStr">
        <is>
          <t>MAP</t>
        </is>
      </c>
      <c r="I342" s="306" t="inlineStr">
        <is>
          <t xml:space="preserve">MAP 11 52 SPECIAL </t>
        </is>
      </c>
      <c r="J342" s="75" t="inlineStr">
        <is>
          <t>CFR</t>
        </is>
      </c>
      <c r="K342" s="82" t="n">
        <v>700</v>
      </c>
      <c r="L342" s="341">
        <f>D342*K342</f>
        <v/>
      </c>
      <c r="M342" s="14" t="n">
        <v>9.143000000000001</v>
      </c>
      <c r="N342" s="335">
        <f>L342*M342</f>
        <v/>
      </c>
      <c r="P342" s="75" t="inlineStr">
        <is>
          <t>OCP Fertilizantes LTDA</t>
        </is>
      </c>
      <c r="Q342" s="75" t="inlineStr">
        <is>
          <t>AMERIQUE LATINE</t>
        </is>
      </c>
      <c r="R342" s="75" t="inlineStr">
        <is>
          <t>BRAZIL</t>
        </is>
      </c>
      <c r="T342" s="75" t="inlineStr">
        <is>
          <t>INTERTEK</t>
        </is>
      </c>
      <c r="U342" s="81" t="n">
        <v>179</v>
      </c>
      <c r="V342" s="53">
        <f>IF(U342&lt;130, "Mini Bulker", IF(AND(U342&gt;=130, U342&lt;150), "Handysize", IF(AND(U342&gt;=150, U342&lt;200), "Handymax", IF(AND(U342&gt;=200, U342&lt;230), "Panamax", IF(AND(U342&gt;=230, U342&lt;=270), "Capesize", "Autre")))))</f>
        <v/>
      </c>
      <c r="X342" s="14">
        <f>IF(E342&lt;9999,"1",IF(E342&lt;19999,"2",IF(E342&lt;29999,"3",IF(E342&lt;39999,"4",IF(E342&lt;49999,"5",IF(E342&gt;50000,"6"))))))</f>
        <v/>
      </c>
      <c r="Y342" s="99" t="inlineStr">
        <is>
          <t>1N</t>
        </is>
      </c>
      <c r="AA342" s="26" t="n">
        <v>45830.97916666666</v>
      </c>
      <c r="AB342" s="26" t="n">
        <v>45831.375</v>
      </c>
      <c r="AC342" s="15" t="n">
        <v>45817</v>
      </c>
      <c r="AD342" s="15" t="n">
        <v>45819</v>
      </c>
      <c r="AE342" s="26" t="n">
        <v>45830.9375</v>
      </c>
      <c r="AF342" s="26" t="n">
        <v>45831.56944444445</v>
      </c>
      <c r="AG342" s="26" t="n">
        <v>45831.66319444445</v>
      </c>
      <c r="AH342" s="26" t="n">
        <v>45831.67708333334</v>
      </c>
      <c r="AI342" s="26" t="n">
        <v>45831.78472222222</v>
      </c>
      <c r="AJ342" s="26" t="n">
        <v>45831.86458333334</v>
      </c>
      <c r="AK342" s="26" t="n">
        <v>45832.48611111111</v>
      </c>
      <c r="AL342" s="26" t="n">
        <v>45832.55555555555</v>
      </c>
      <c r="AM342" s="26" t="n">
        <v>45832.60416666666</v>
      </c>
      <c r="AN342" s="26" t="n">
        <v>45832.66041666667</v>
      </c>
      <c r="AO342" s="26" t="n">
        <v>45832.68958333333</v>
      </c>
      <c r="AP342" s="20">
        <f>(AG342-AF342)*1440</f>
        <v/>
      </c>
      <c r="AQ342" s="20">
        <f>(AG342-AE342)*1440</f>
        <v/>
      </c>
      <c r="AR342" s="20">
        <f>(AH342-AF342)*1440</f>
        <v/>
      </c>
      <c r="AS342" s="20">
        <f>(AI342-AH342)*1440</f>
        <v/>
      </c>
      <c r="AT342" s="20">
        <f>(AJ342-AH342)*1440</f>
        <v/>
      </c>
      <c r="AU342" s="20">
        <f>(AL342-AK342)*1440</f>
        <v/>
      </c>
      <c r="AV342" s="20">
        <f>(AM342-AL342)*1440</f>
        <v/>
      </c>
      <c r="AW342" s="20">
        <f>(AO342-AM342)*1440</f>
        <v/>
      </c>
      <c r="AX342" s="19">
        <f>AP342+AS342+AU342+AV342+AW342</f>
        <v/>
      </c>
      <c r="AY342" s="18">
        <f>(AG342-AA342)</f>
        <v/>
      </c>
      <c r="AZ342" s="18">
        <f>(AK342-AJ342)</f>
        <v/>
      </c>
      <c r="BA342" s="18">
        <f>AO342-AG342</f>
        <v/>
      </c>
      <c r="BB342" s="18">
        <f>(AO342-AA342)-(AP342/1440)-(AW342/1440)</f>
        <v/>
      </c>
      <c r="BC342" s="20">
        <f>E342/AZ342</f>
        <v/>
      </c>
      <c r="BE342" s="20">
        <f>IF(E342&lt;10000,3000,IF(E342&lt;15000,3600,IF(E342&lt;20000,4500,IF(E342&lt;25000,6000,IF(E342&lt;30000,7500,IF(E342&lt;40000,9000,IF(E342&gt;40000,10000)))))))</f>
        <v/>
      </c>
      <c r="BF342" s="334">
        <f>(E342/BE342)+2</f>
        <v/>
      </c>
      <c r="BS342" s="97" t="inlineStr">
        <is>
          <t>NUL</t>
        </is>
      </c>
      <c r="BT342" s="99" t="n">
        <v>0</v>
      </c>
      <c r="BU342" s="99" t="n"/>
      <c r="BW342" s="332">
        <f>AI343-AH343</f>
        <v/>
      </c>
      <c r="CB342" s="14" t="n">
        <v>23232</v>
      </c>
    </row>
    <row r="343">
      <c r="A343" s="81" t="n">
        <v>231</v>
      </c>
      <c r="B343" s="343" t="inlineStr">
        <is>
          <t xml:space="preserve">TRIPLE S  </t>
        </is>
      </c>
      <c r="C343" s="15" t="n">
        <v>45833</v>
      </c>
      <c r="D343" s="329" t="n">
        <v>4396</v>
      </c>
      <c r="E343" s="329" t="n">
        <v>4396</v>
      </c>
      <c r="F343" s="75" t="inlineStr">
        <is>
          <t>OCP NUTRI</t>
        </is>
      </c>
      <c r="G343" s="81" t="n">
        <v>1</v>
      </c>
      <c r="H343" s="75" t="inlineStr">
        <is>
          <t>DAP</t>
        </is>
      </c>
      <c r="I343" s="306" t="inlineStr">
        <is>
          <t xml:space="preserve">DAP Euro </t>
        </is>
      </c>
      <c r="J343" s="75" t="inlineStr">
        <is>
          <t>CFR</t>
        </is>
      </c>
      <c r="K343" s="82" t="n">
        <v>750</v>
      </c>
      <c r="L343" s="341">
        <f>D343*K343</f>
        <v/>
      </c>
      <c r="M343" s="14" t="n">
        <v>9.104799999999999</v>
      </c>
      <c r="N343" s="335">
        <f>L343*M343</f>
        <v/>
      </c>
      <c r="P343" s="75" t="inlineStr">
        <is>
          <t>ADP FERTILIZANTES SA</t>
        </is>
      </c>
      <c r="Q343" s="75" t="inlineStr">
        <is>
          <t>EUROPE</t>
        </is>
      </c>
      <c r="R343" s="75" t="inlineStr">
        <is>
          <t>PORTUGAL</t>
        </is>
      </c>
      <c r="S343" s="75" t="n"/>
      <c r="T343" s="75" t="inlineStr">
        <is>
          <t>INSPECTORATE</t>
        </is>
      </c>
      <c r="U343" s="81" t="n">
        <v>90</v>
      </c>
      <c r="V343" s="53">
        <f>IF(U343&lt;130, "Mini Bulker", IF(AND(U343&gt;=130, U343&lt;150), "Handysize", IF(AND(U343&gt;=150, U343&lt;200), "Handymax", IF(AND(U343&gt;=200, U343&lt;230), "Panamax", IF(AND(U343&gt;=230, U343&lt;=270), "Capesize", "Autre")))))</f>
        <v/>
      </c>
      <c r="X343" s="14">
        <f>IF(E343&lt;9999,"1",IF(E343&lt;19999,"2",IF(E343&lt;29999,"3",IF(E343&lt;39999,"4",IF(E343&lt;49999,"5",IF(E343&gt;50000,"6"))))))</f>
        <v/>
      </c>
      <c r="Y343" s="99" t="inlineStr">
        <is>
          <t>2TER</t>
        </is>
      </c>
      <c r="AA343" s="26" t="n">
        <v>45830.91666666666</v>
      </c>
      <c r="AB343" s="26" t="n">
        <v>45831.375</v>
      </c>
      <c r="AC343" s="15" t="n">
        <v>45817</v>
      </c>
      <c r="AD343" s="15" t="n">
        <v>45820</v>
      </c>
      <c r="AE343" s="26" t="n">
        <v>45830.91666666666</v>
      </c>
      <c r="AF343" s="26" t="n">
        <v>45831.93333333333</v>
      </c>
      <c r="AG343" s="26" t="n">
        <v>45831.97916666666</v>
      </c>
      <c r="AH343" s="26" t="n">
        <v>45831.98611111111</v>
      </c>
      <c r="AI343" s="26" t="n">
        <v>45832.05208333334</v>
      </c>
      <c r="AJ343" s="26" t="n">
        <v>45832.19791666666</v>
      </c>
      <c r="AK343" s="26" t="n">
        <v>45833.42361111111</v>
      </c>
      <c r="AL343" s="26" t="n">
        <v>45833.46527777778</v>
      </c>
      <c r="AM343" s="26" t="n">
        <v>45833.48611111111</v>
      </c>
      <c r="AN343" s="26" t="n">
        <v>45833.51041666666</v>
      </c>
      <c r="AO343" s="26" t="n">
        <v>45833.50277777778</v>
      </c>
      <c r="AP343" s="20">
        <f>(AG343-AF343)*1440</f>
        <v/>
      </c>
      <c r="AQ343" s="20">
        <f>(AG343-AE343)*1440</f>
        <v/>
      </c>
      <c r="AR343" s="20">
        <f>(AH343-AF343)*1440</f>
        <v/>
      </c>
      <c r="AS343" s="20">
        <f>(AI343-AH343)*1440</f>
        <v/>
      </c>
      <c r="AT343" s="20">
        <f>(AJ343-AH343)*1440</f>
        <v/>
      </c>
      <c r="AU343" s="20">
        <f>(AL343-AK343)*1440</f>
        <v/>
      </c>
      <c r="AV343" s="20">
        <f>(AM343-AL343)*1440</f>
        <v/>
      </c>
      <c r="AW343" s="20">
        <f>(AO343-AM343)*1440</f>
        <v/>
      </c>
      <c r="AX343" s="19">
        <f>AP343+AS343+AU343+AV343+AW343</f>
        <v/>
      </c>
      <c r="AY343" s="18">
        <f>(AG343-AA343)</f>
        <v/>
      </c>
      <c r="AZ343" s="18">
        <f>(AK343-AJ343)</f>
        <v/>
      </c>
      <c r="BA343" s="18">
        <f>AO343-AG343</f>
        <v/>
      </c>
      <c r="BB343" s="18">
        <f>(AO343-AA343)-(AP343/1440)-(AW343/1440)</f>
        <v/>
      </c>
      <c r="BC343" s="20">
        <f>E343/AZ343</f>
        <v/>
      </c>
      <c r="BE343" s="20">
        <f>IF(E343&lt;10000,3000,IF(E343&lt;15000,3600,IF(E343&lt;20000,4500,IF(E343&lt;25000,6000,IF(E343&lt;30000,7500,IF(E343&lt;40000,9000,IF(E343&gt;40000,10000)))))))</f>
        <v/>
      </c>
      <c r="BF343" s="334">
        <f>(E343/BE343)+2</f>
        <v/>
      </c>
      <c r="BS343" s="97" t="inlineStr">
        <is>
          <t>NUL</t>
        </is>
      </c>
      <c r="BT343" s="99" t="n">
        <v>0</v>
      </c>
      <c r="BU343" s="99" t="n"/>
      <c r="BV343" s="99" t="n"/>
      <c r="BW343" s="332">
        <f>AI344-AH344</f>
        <v/>
      </c>
      <c r="CB343" s="14" t="n">
        <v>3845</v>
      </c>
    </row>
    <row r="344" ht="14.55" customHeight="1" s="70">
      <c r="A344" s="81" t="n">
        <v>232</v>
      </c>
      <c r="B344" s="343" t="inlineStr">
        <is>
          <t>HONY FUTURE</t>
        </is>
      </c>
      <c r="C344" s="15" t="n">
        <v>45834</v>
      </c>
      <c r="D344" s="329" t="n">
        <v>38212</v>
      </c>
      <c r="E344" s="333">
        <f>D344+D345</f>
        <v/>
      </c>
      <c r="F344" s="75" t="n"/>
      <c r="G344" s="81" t="n">
        <v>2</v>
      </c>
      <c r="H344" s="75" t="inlineStr">
        <is>
          <t>DAP</t>
        </is>
      </c>
      <c r="I344" s="306" t="inlineStr">
        <is>
          <t xml:space="preserve">DAP STANDARD </t>
        </is>
      </c>
      <c r="J344" s="75" t="inlineStr">
        <is>
          <t>FOB</t>
        </is>
      </c>
      <c r="K344" s="82" t="n"/>
      <c r="P344" s="75" t="n"/>
      <c r="Q344" s="75" t="inlineStr">
        <is>
          <t>ASIE</t>
        </is>
      </c>
      <c r="R344" s="75" t="inlineStr">
        <is>
          <t>INDE</t>
        </is>
      </c>
      <c r="S344" s="75" t="n"/>
      <c r="T344" s="75" t="inlineStr">
        <is>
          <t>INTERTEK</t>
        </is>
      </c>
      <c r="U344" s="81" t="n">
        <v>190</v>
      </c>
      <c r="V344" s="53">
        <f>IF(U344&lt;130, "Mini Bulker", IF(AND(U344&gt;=130, U344&lt;150), "Handysize", IF(AND(U344&gt;=150, U344&lt;200), "Handymax", IF(AND(U344&gt;=200, U344&lt;230), "Panamax", IF(AND(U344&gt;=230, U344&lt;=270), "Capesize", "Autre")))))</f>
        <v/>
      </c>
      <c r="X344" s="14">
        <f>IF(E344&lt;9999,"1",IF(E344&lt;19999,"2",IF(E344&lt;29999,"3",IF(E344&lt;39999,"4",IF(E344&lt;49999,"5",IF(E344&gt;50000,"6"))))))</f>
        <v/>
      </c>
      <c r="Y344" s="99" t="inlineStr">
        <is>
          <t>2N</t>
        </is>
      </c>
      <c r="AA344" s="26" t="n">
        <v>45825.5</v>
      </c>
      <c r="AB344" s="26" t="n">
        <v>45825.5</v>
      </c>
      <c r="AC344" s="15" t="n">
        <v>45826</v>
      </c>
      <c r="AD344" s="15" t="n">
        <v>45829</v>
      </c>
      <c r="AE344" s="26" t="n">
        <v>45825.45833333334</v>
      </c>
      <c r="AF344" s="26" t="n">
        <v>45827.47638888889</v>
      </c>
      <c r="AG344" s="26" t="n">
        <v>45827.56111111111</v>
      </c>
      <c r="AH344" s="26" t="n">
        <v>45827.56944444445</v>
      </c>
      <c r="AI344" s="26" t="n">
        <v>45827.65277777778</v>
      </c>
      <c r="AJ344" s="26" t="n">
        <v>45827.71180555555</v>
      </c>
      <c r="AK344" s="26" t="n">
        <v>45834.48611111111</v>
      </c>
      <c r="AL344" s="26" t="n">
        <v>45834.54513888889</v>
      </c>
      <c r="AM344" s="26" t="n">
        <v>45834.55902777778</v>
      </c>
      <c r="AN344" s="26" t="n">
        <v>45834.60069444445</v>
      </c>
      <c r="AO344" s="26" t="n">
        <v>45834.65972222222</v>
      </c>
      <c r="AP344" s="20">
        <f>(AG344-AF344)*1440</f>
        <v/>
      </c>
      <c r="AQ344" s="20">
        <f>(AG344-AE344)*1440</f>
        <v/>
      </c>
      <c r="AR344" s="20">
        <f>(AH344-AF344)*1440</f>
        <v/>
      </c>
      <c r="AS344" s="20">
        <f>(AI344-AH344)*1440</f>
        <v/>
      </c>
      <c r="AT344" s="20">
        <f>(AJ344-AH344)*1440</f>
        <v/>
      </c>
      <c r="AU344" s="20">
        <f>(AL344-AK344)*1440</f>
        <v/>
      </c>
      <c r="AV344" s="20">
        <f>(AM344-AL344)*1440</f>
        <v/>
      </c>
      <c r="AW344" s="20">
        <f>(AO344-AM344)*1440</f>
        <v/>
      </c>
      <c r="AX344" s="19">
        <f>AP344+AS344+AU344+AV344+AW344</f>
        <v/>
      </c>
      <c r="AY344" s="18">
        <f>(AG344-AA344)</f>
        <v/>
      </c>
      <c r="AZ344" s="18">
        <f>(AK344-AJ344)</f>
        <v/>
      </c>
      <c r="BA344" s="18">
        <f>AO344-AG344</f>
        <v/>
      </c>
      <c r="BB344" s="18">
        <f>(AO344-AA344)-(AP344/1440)-(AW344/1440)</f>
        <v/>
      </c>
      <c r="BC344" s="20">
        <f>E344/AZ344</f>
        <v/>
      </c>
      <c r="BE344" s="20">
        <f>IF(E344&lt;10000,3000,IF(E344&lt;15000,3600,IF(E344&lt;20000,4500,IF(E344&lt;25000,6000,IF(E344&lt;30000,7500,IF(E344&lt;40000,9000,IF(E344&gt;40000,10000)))))))</f>
        <v/>
      </c>
      <c r="BF344" s="334">
        <f>(E344/BE344)+2</f>
        <v/>
      </c>
      <c r="BS344" s="97" t="inlineStr">
        <is>
          <t>NUL</t>
        </is>
      </c>
      <c r="BT344" s="99" t="n">
        <v>0</v>
      </c>
      <c r="BU344" s="99" t="n"/>
      <c r="BV344" s="99" t="n"/>
      <c r="BW344" s="332">
        <f>AI345-AH345</f>
        <v/>
      </c>
      <c r="CB344" s="14" t="n">
        <v>32987</v>
      </c>
    </row>
    <row r="345" ht="15" customHeight="1" s="70">
      <c r="B345" s="343" t="inlineStr">
        <is>
          <t>HONY FUTURE</t>
        </is>
      </c>
      <c r="C345" s="15" t="n">
        <v>45834</v>
      </c>
      <c r="D345" s="329" t="n">
        <v>16500</v>
      </c>
      <c r="E345" s="330" t="n"/>
      <c r="G345" s="81" t="n">
        <v>2</v>
      </c>
      <c r="H345" s="75" t="inlineStr">
        <is>
          <t>TSP</t>
        </is>
      </c>
      <c r="I345" s="306" t="inlineStr">
        <is>
          <t xml:space="preserve">TSP CIV </t>
        </is>
      </c>
      <c r="J345" s="75" t="inlineStr">
        <is>
          <t>FOB</t>
        </is>
      </c>
      <c r="Q345" s="75" t="inlineStr">
        <is>
          <t>ASIE</t>
        </is>
      </c>
      <c r="R345" s="75" t="inlineStr">
        <is>
          <t>INDE</t>
        </is>
      </c>
      <c r="S345" s="75" t="n"/>
      <c r="T345" s="75" t="inlineStr">
        <is>
          <t>INTERTEK</t>
        </is>
      </c>
      <c r="U345" s="81" t="n">
        <v>190</v>
      </c>
      <c r="V345" s="53">
        <f>IF(U345&lt;130, "Mini Bulker", IF(AND(U345&gt;=130, U345&lt;150), "Handysize", IF(AND(U345&gt;=150, U345&lt;200), "Handymax", IF(AND(U345&gt;=200, U345&lt;230), "Panamax", IF(AND(U345&gt;=230, U345&lt;=270), "Capesize", "Autre")))))</f>
        <v/>
      </c>
      <c r="X345" s="14">
        <f>IF(E345&lt;9999,"1",IF(E345&lt;19999,"2",IF(E345&lt;29999,"3",IF(E345&lt;39999,"4",IF(E345&lt;49999,"5",IF(E345&gt;50000,"6"))))))</f>
        <v/>
      </c>
      <c r="Y345" s="99" t="inlineStr">
        <is>
          <t>2N</t>
        </is>
      </c>
      <c r="AA345" s="98" t="n"/>
      <c r="AB345" s="98" t="n"/>
      <c r="AC345" s="98" t="n"/>
      <c r="AD345" s="98" t="n"/>
      <c r="AE345" s="98" t="n"/>
      <c r="AF345" s="98" t="n"/>
      <c r="AG345" s="98" t="n"/>
      <c r="AH345" s="98" t="n"/>
      <c r="AI345" s="98" t="n"/>
      <c r="AJ345" s="98" t="n"/>
      <c r="AK345" s="98" t="n"/>
      <c r="AL345" s="98" t="n"/>
      <c r="AM345" s="98" t="n"/>
      <c r="AN345" s="98" t="n"/>
      <c r="AO345" s="98" t="n"/>
      <c r="AP345" s="98" t="n"/>
      <c r="AQ345" s="98" t="n"/>
      <c r="AR345" s="98" t="n"/>
      <c r="AS345" s="98" t="n"/>
      <c r="AT345" s="98" t="n"/>
      <c r="AU345" s="98" t="n"/>
      <c r="AV345" s="98" t="n"/>
      <c r="AW345" s="98" t="n"/>
      <c r="AX345" s="98" t="n"/>
      <c r="AY345" s="98" t="n"/>
      <c r="AZ345" s="98" t="n"/>
      <c r="BA345" s="98" t="n"/>
      <c r="BB345" s="98" t="n"/>
      <c r="BC345" s="98" t="n"/>
      <c r="BD345" s="98" t="n"/>
      <c r="BE345" s="98" t="n"/>
      <c r="BF345" s="98" t="n"/>
      <c r="BS345" s="97" t="inlineStr">
        <is>
          <t>NUL</t>
        </is>
      </c>
      <c r="BT345" s="99" t="n">
        <v>0</v>
      </c>
      <c r="BU345" s="99" t="n"/>
      <c r="BV345" s="99" t="n"/>
      <c r="BW345" s="332">
        <f>AI346-AH346</f>
        <v/>
      </c>
      <c r="CB345" s="14" t="n"/>
    </row>
    <row r="346">
      <c r="A346" s="81" t="n">
        <v>234</v>
      </c>
      <c r="B346" s="343" t="inlineStr">
        <is>
          <t>HADELAND</t>
        </is>
      </c>
      <c r="C346" s="15" t="n">
        <v>45835</v>
      </c>
      <c r="D346" s="329" t="n">
        <v>4950</v>
      </c>
      <c r="E346" s="333">
        <f>D346+D347+D348</f>
        <v/>
      </c>
      <c r="G346" s="81" t="n">
        <v>3</v>
      </c>
      <c r="H346" s="75" t="inlineStr">
        <is>
          <t>DAP</t>
        </is>
      </c>
      <c r="I346" s="306" t="inlineStr">
        <is>
          <t xml:space="preserve">DAP Euro Low Cd </t>
        </is>
      </c>
      <c r="J346" s="75" t="inlineStr">
        <is>
          <t>FOB</t>
        </is>
      </c>
      <c r="Q346" s="75" t="inlineStr">
        <is>
          <t>EUROPE</t>
        </is>
      </c>
      <c r="R346" s="75" t="inlineStr">
        <is>
          <t>Germany</t>
        </is>
      </c>
      <c r="S346" s="75" t="n"/>
      <c r="T346" s="75" t="inlineStr">
        <is>
          <t>INSPECTORATE</t>
        </is>
      </c>
      <c r="U346" s="81" t="n">
        <v>107</v>
      </c>
      <c r="V346" s="53">
        <f>IF(U346&lt;130, "Mini Bulker", IF(AND(U346&gt;=130, U346&lt;150), "Handysize", IF(AND(U346&gt;=150, U346&lt;200), "Handymax", IF(AND(U346&gt;=200, U346&lt;230), "Panamax", IF(AND(U346&gt;=230, U346&lt;=270), "Capesize", "Autre")))))</f>
        <v/>
      </c>
      <c r="X346" s="14">
        <f>IF(E346&lt;9999,"1",IF(E346&lt;19999,"2",IF(E346&lt;29999,"3",IF(E346&lt;39999,"4",IF(E346&lt;49999,"5",IF(E346&gt;50000,"6"))))))</f>
        <v/>
      </c>
      <c r="Y346" s="99" t="inlineStr">
        <is>
          <t>1TER/16S</t>
        </is>
      </c>
      <c r="AA346" s="26" t="n">
        <v>45819.75</v>
      </c>
      <c r="AB346" s="26" t="n">
        <v>45820.375</v>
      </c>
      <c r="AC346" s="15" t="n">
        <v>45823</v>
      </c>
      <c r="AD346" s="15" t="n">
        <v>45825</v>
      </c>
      <c r="AE346" s="26" t="n">
        <v>45819.75</v>
      </c>
      <c r="AF346" s="26" t="n">
        <v>45823.82777777778</v>
      </c>
      <c r="AG346" s="26" t="n">
        <v>45823.86805555555</v>
      </c>
      <c r="AH346" s="26" t="n">
        <v>45823.875</v>
      </c>
      <c r="AI346" s="26" t="n">
        <v>45823.9375</v>
      </c>
      <c r="AJ346" s="26" t="n">
        <v>45823.96527777778</v>
      </c>
      <c r="AK346" s="26" t="n">
        <v>45835.51388888889</v>
      </c>
      <c r="AL346" s="26" t="n">
        <v>45835.55555555555</v>
      </c>
      <c r="AM346" s="26" t="n">
        <v>45835.63194444445</v>
      </c>
      <c r="AN346" s="26" t="n">
        <v>45835.68333333333</v>
      </c>
      <c r="AO346" s="26" t="n">
        <v>45835.69236111111</v>
      </c>
      <c r="AP346" s="20">
        <f>(AG346-AF346)*1440</f>
        <v/>
      </c>
      <c r="AQ346" s="20">
        <f>(AG346-AE346)*1440</f>
        <v/>
      </c>
      <c r="AR346" s="20">
        <f>(AH346-AF346)*1440</f>
        <v/>
      </c>
      <c r="AS346" s="20">
        <f>(AI346-AH346)*1440</f>
        <v/>
      </c>
      <c r="AT346" s="20">
        <f>(AJ346-AH346)*1440</f>
        <v/>
      </c>
      <c r="AU346" s="20">
        <f>(AL346-AK346)*1440</f>
        <v/>
      </c>
      <c r="AV346" s="20">
        <f>(AM346-AL346)*1440</f>
        <v/>
      </c>
      <c r="AW346" s="20">
        <f>(AO346-AM346)*1440</f>
        <v/>
      </c>
      <c r="AX346" s="19">
        <f>AP346+AS346+AU346+AV346+AW346</f>
        <v/>
      </c>
      <c r="AY346" s="18">
        <f>(AG346-AA346)</f>
        <v/>
      </c>
      <c r="AZ346" s="18">
        <f>(AK346-AJ346)</f>
        <v/>
      </c>
      <c r="BA346" s="18">
        <f>AO346-AG346</f>
        <v/>
      </c>
      <c r="BB346" s="18">
        <f>(AO346-AA346)-(AP346/1440)-(AW346/1440)</f>
        <v/>
      </c>
      <c r="BC346" s="20">
        <f>E346/AZ346</f>
        <v/>
      </c>
      <c r="BE346" s="20">
        <f>IF(E346&lt;10000,3000,IF(E346&lt;15000,3600,IF(E346&lt;20000,4500,IF(E346&lt;25000,6000,IF(E346&lt;30000,7500,IF(E346&lt;40000,9000,IF(E346&gt;40000,10000)))))))</f>
        <v/>
      </c>
      <c r="BF346" s="334">
        <f>(E346/BE346)+2</f>
        <v/>
      </c>
      <c r="BS346" s="97" t="inlineStr">
        <is>
          <t>CHANGE DU POSTE 1TER VERS LA RADE LE 16/06- 1030 // RE-ACCOSTAGE AU POSTE 16S LE 18/06 - 2254</t>
        </is>
      </c>
      <c r="BT346" s="99" t="n">
        <v>2</v>
      </c>
      <c r="BU346" s="99" t="n"/>
      <c r="BV346" s="99" t="n"/>
      <c r="BW346" s="332">
        <f>AI347-AH347</f>
        <v/>
      </c>
      <c r="CB346" s="14" t="n">
        <v>6668</v>
      </c>
    </row>
    <row r="347">
      <c r="B347" s="343" t="inlineStr">
        <is>
          <t>HADELAND</t>
        </is>
      </c>
      <c r="C347" s="15" t="n">
        <v>45835</v>
      </c>
      <c r="D347" s="329" t="n">
        <v>3469</v>
      </c>
      <c r="E347" s="330" t="n"/>
      <c r="F347" s="75" t="n"/>
      <c r="G347" s="81" t="n">
        <v>3</v>
      </c>
      <c r="H347" s="75" t="inlineStr">
        <is>
          <t>TSP</t>
        </is>
      </c>
      <c r="I347" s="306" t="inlineStr">
        <is>
          <t xml:space="preserve">TSP EURO Low Cd </t>
        </is>
      </c>
      <c r="J347" s="75" t="inlineStr">
        <is>
          <t>FOB</t>
        </is>
      </c>
      <c r="Q347" s="75" t="inlineStr">
        <is>
          <t>EUROPE</t>
        </is>
      </c>
      <c r="R347" s="75" t="inlineStr">
        <is>
          <t>Germany</t>
        </is>
      </c>
      <c r="S347" s="75" t="n"/>
      <c r="T347" s="75" t="inlineStr">
        <is>
          <t>INSPECTORATE</t>
        </is>
      </c>
      <c r="U347" s="81" t="n">
        <v>107</v>
      </c>
      <c r="V347" s="53">
        <f>IF(U347&lt;130, "Mini Bulker", IF(AND(U347&gt;=130, U347&lt;150), "Handysize", IF(AND(U347&gt;=150, U347&lt;200), "Handymax", IF(AND(U347&gt;=200, U347&lt;230), "Panamax", IF(AND(U347&gt;=230, U347&lt;=270), "Capesize", "Autre")))))</f>
        <v/>
      </c>
      <c r="X347" s="14">
        <f>IF(E347&lt;9999,"1",IF(E347&lt;19999,"2",IF(E347&lt;29999,"3",IF(E347&lt;39999,"4",IF(E347&lt;49999,"5",IF(E347&gt;50000,"6"))))))</f>
        <v/>
      </c>
      <c r="Y347" s="99" t="inlineStr">
        <is>
          <t>1TER/16S</t>
        </is>
      </c>
      <c r="AA347" s="98" t="n"/>
      <c r="AB347" s="98" t="n"/>
      <c r="AC347" s="98" t="n"/>
      <c r="AD347" s="98" t="n"/>
      <c r="AE347" s="98" t="n"/>
      <c r="AF347" s="98" t="n"/>
      <c r="AG347" s="98" t="n"/>
      <c r="AH347" s="98" t="n"/>
      <c r="AI347" s="98" t="n"/>
      <c r="AJ347" s="98" t="n"/>
      <c r="AK347" s="98" t="n"/>
      <c r="AL347" s="98" t="n"/>
      <c r="AM347" s="98" t="n"/>
      <c r="AN347" s="98" t="n"/>
      <c r="AO347" s="98" t="n"/>
      <c r="AP347" s="98" t="n"/>
      <c r="AQ347" s="98" t="n"/>
      <c r="AR347" s="98" t="n"/>
      <c r="AS347" s="98" t="n"/>
      <c r="AT347" s="98" t="n"/>
      <c r="AU347" s="98" t="n"/>
      <c r="AV347" s="98" t="n"/>
      <c r="AW347" s="98" t="n"/>
      <c r="AX347" s="98" t="n"/>
      <c r="AY347" s="98" t="n"/>
      <c r="AZ347" s="98" t="n"/>
      <c r="BA347" s="98" t="n"/>
      <c r="BB347" s="98" t="n"/>
      <c r="BC347" s="98" t="n"/>
      <c r="BD347" s="98" t="n"/>
      <c r="BE347" s="98" t="n"/>
      <c r="BF347" s="98" t="n"/>
      <c r="BS347" s="97" t="inlineStr">
        <is>
          <t>CHANGE DU POSTE 1TER VERS LA RADE LE 16/06- 1030 // RE-ACCOSTAGE AU POSTE 16S LE 18/06 - 2254</t>
        </is>
      </c>
      <c r="BT347" s="99" t="n">
        <v>2</v>
      </c>
      <c r="BV347" s="99" t="n"/>
      <c r="BW347" s="332">
        <f>AI348-AH348</f>
        <v/>
      </c>
      <c r="CB347" s="14" t="n"/>
    </row>
    <row r="348" ht="14.55" customHeight="1" s="70">
      <c r="A348" s="81" t="n"/>
      <c r="B348" s="343" t="inlineStr">
        <is>
          <t>HADELAND</t>
        </is>
      </c>
      <c r="C348" s="15" t="n">
        <v>45835</v>
      </c>
      <c r="D348" s="329" t="n">
        <v>72</v>
      </c>
      <c r="E348" s="330" t="n"/>
      <c r="F348" s="75" t="n"/>
      <c r="G348" s="81" t="n">
        <v>3</v>
      </c>
      <c r="H348" s="75" t="inlineStr">
        <is>
          <t>TSP</t>
        </is>
      </c>
      <c r="I348" s="306" t="inlineStr">
        <is>
          <t xml:space="preserve">PACKED TSP-JORF </t>
        </is>
      </c>
      <c r="J348" s="75" t="inlineStr">
        <is>
          <t>FOB</t>
        </is>
      </c>
      <c r="Q348" s="75" t="inlineStr">
        <is>
          <t>EUROPE</t>
        </is>
      </c>
      <c r="R348" s="75" t="inlineStr">
        <is>
          <t>Germany</t>
        </is>
      </c>
      <c r="S348" s="75" t="n"/>
      <c r="T348" s="75" t="inlineStr">
        <is>
          <t>INSPECTORATE</t>
        </is>
      </c>
      <c r="U348" s="81" t="n">
        <v>107</v>
      </c>
      <c r="V348" s="53">
        <f>IF(U348&lt;130, "Mini Bulker", IF(AND(U348&gt;=130, U348&lt;150), "Handysize", IF(AND(U348&gt;=150, U348&lt;200), "Handymax", IF(AND(U348&gt;=200, U348&lt;230), "Panamax", IF(AND(U348&gt;=230, U348&lt;=270), "Capesize", "Autre")))))</f>
        <v/>
      </c>
      <c r="X348" s="14">
        <f>IF(E348&lt;9999,"1",IF(E348&lt;19999,"2",IF(E348&lt;29999,"3",IF(E348&lt;39999,"4",IF(E348&lt;49999,"5",IF(E348&gt;50000,"6"))))))</f>
        <v/>
      </c>
      <c r="Y348" s="99" t="inlineStr">
        <is>
          <t>1TER/16S</t>
        </is>
      </c>
      <c r="AA348" s="218" t="n"/>
      <c r="AB348" s="218" t="n"/>
      <c r="AC348" s="98" t="n"/>
      <c r="AD348" s="98" t="n"/>
      <c r="AE348" s="218" t="n"/>
      <c r="AF348" s="218" t="n"/>
      <c r="AG348" s="218" t="n"/>
      <c r="AH348" s="218" t="n"/>
      <c r="AI348" s="218" t="n"/>
      <c r="AJ348" s="218" t="n"/>
      <c r="AK348" s="218" t="n"/>
      <c r="AL348" s="218" t="n"/>
      <c r="AM348" s="218" t="n"/>
      <c r="AN348" s="218" t="n"/>
      <c r="AO348" s="218" t="n"/>
      <c r="AP348" s="98" t="n"/>
      <c r="AQ348" s="98" t="n"/>
      <c r="AR348" s="98" t="n"/>
      <c r="AS348" s="98" t="n"/>
      <c r="AT348" s="98" t="n"/>
      <c r="AU348" s="98" t="n"/>
      <c r="AV348" s="98" t="n"/>
      <c r="AW348" s="98" t="n"/>
      <c r="AX348" s="98" t="n"/>
      <c r="AY348" s="98" t="n"/>
      <c r="AZ348" s="98" t="n"/>
      <c r="BA348" s="98" t="n"/>
      <c r="BB348" s="98" t="n"/>
      <c r="BC348" s="98" t="n"/>
      <c r="BD348" s="220" t="n"/>
      <c r="BE348" s="98" t="n"/>
      <c r="BF348" s="98" t="n"/>
      <c r="BS348" s="97" t="inlineStr">
        <is>
          <t>CHANGE DU POSTE 1TER VERS LA RADE LE 16/06- 1030 // RE-ACCOSTAGE AU POSTE 16S LE 18/06 - 2254</t>
        </is>
      </c>
      <c r="BT348" s="99" t="n">
        <v>2</v>
      </c>
      <c r="BV348" s="99" t="n"/>
      <c r="BW348" s="332">
        <f>AI349-AH349</f>
        <v/>
      </c>
      <c r="CB348" s="14" t="n"/>
    </row>
    <row r="349">
      <c r="A349" s="81" t="n">
        <v>233</v>
      </c>
      <c r="B349" s="343" t="inlineStr">
        <is>
          <t>PROPEL FORTUNE</t>
        </is>
      </c>
      <c r="C349" s="15" t="n">
        <v>45835</v>
      </c>
      <c r="D349" s="329" t="n">
        <v>33707</v>
      </c>
      <c r="E349" s="333">
        <f>D349+D350</f>
        <v/>
      </c>
      <c r="G349" s="81" t="n">
        <v>2</v>
      </c>
      <c r="H349" s="75" t="inlineStr">
        <is>
          <t>DAP</t>
        </is>
      </c>
      <c r="I349" s="306" t="inlineStr">
        <is>
          <t xml:space="preserve">DAP STANDARD </t>
        </is>
      </c>
      <c r="J349" s="75" t="inlineStr">
        <is>
          <t>CFR</t>
        </is>
      </c>
      <c r="Q349" s="75" t="inlineStr">
        <is>
          <t>ASIE</t>
        </is>
      </c>
      <c r="R349" s="75" t="inlineStr">
        <is>
          <t>INDE</t>
        </is>
      </c>
      <c r="S349" s="75" t="inlineStr">
        <is>
          <t>MITRASK</t>
        </is>
      </c>
      <c r="T349" s="75" t="inlineStr">
        <is>
          <t>INTERTEK</t>
        </is>
      </c>
      <c r="U349" s="81" t="n">
        <v>190</v>
      </c>
      <c r="V349" s="53">
        <f>IF(U349&lt;130, "Mini Bulker", IF(AND(U349&gt;=130, U349&lt;150), "Handysize", IF(AND(U349&gt;=150, U349&lt;200), "Handymax", IF(AND(U349&gt;=200, U349&lt;230), "Panamax", IF(AND(U349&gt;=230, U349&lt;=270), "Capesize", "Autre")))))</f>
        <v/>
      </c>
      <c r="X349" s="14">
        <f>IF(E349&lt;9999,"1",IF(E349&lt;19999,"2",IF(E349&lt;29999,"3",IF(E349&lt;39999,"4",IF(E349&lt;49999,"5",IF(E349&gt;50000,"6"))))))</f>
        <v/>
      </c>
      <c r="Y349" s="99" t="inlineStr">
        <is>
          <t>1BIS/2N</t>
        </is>
      </c>
      <c r="AA349" s="17" t="n">
        <v>45825.50416666667</v>
      </c>
      <c r="AB349" s="17" t="n">
        <v>45825.50416666667</v>
      </c>
      <c r="AC349" s="15" t="n">
        <v>45821</v>
      </c>
      <c r="AD349" s="15" t="n">
        <v>45823</v>
      </c>
      <c r="AE349" s="17" t="n">
        <v>45825.425</v>
      </c>
      <c r="AF349" s="17" t="n">
        <v>45827.54166666666</v>
      </c>
      <c r="AG349" s="17" t="n">
        <v>45827.61666666667</v>
      </c>
      <c r="AH349" s="17" t="n">
        <v>45827.64930555555</v>
      </c>
      <c r="AI349" s="17" t="n">
        <v>45827.77777777778</v>
      </c>
      <c r="AJ349" s="17" t="n">
        <v>45827.84027777778</v>
      </c>
      <c r="AK349" s="17" t="n">
        <v>45835.40625</v>
      </c>
      <c r="AL349" s="17" t="n">
        <v>45835.45486111111</v>
      </c>
      <c r="AM349" s="17" t="n">
        <v>45835.46875</v>
      </c>
      <c r="AN349" s="17" t="n">
        <v>45835.52083333334</v>
      </c>
      <c r="AO349" s="17" t="n">
        <v>45835.54166666666</v>
      </c>
      <c r="AP349" s="20">
        <f>(AG349-AF349)*1440</f>
        <v/>
      </c>
      <c r="AQ349" s="20">
        <f>(AG349-AE349)*1440</f>
        <v/>
      </c>
      <c r="AR349" s="20">
        <f>(AH349-AF349)*1440</f>
        <v/>
      </c>
      <c r="AS349" s="20">
        <f>(AI349-AH349)*1440</f>
        <v/>
      </c>
      <c r="AT349" s="20">
        <f>(AJ349-AH349)*1440</f>
        <v/>
      </c>
      <c r="AU349" s="20">
        <f>(AL349-AK349)*1440</f>
        <v/>
      </c>
      <c r="AV349" s="20">
        <f>(AM349-AL349)*1440</f>
        <v/>
      </c>
      <c r="AW349" s="20">
        <f>(AO349-AM349)*1440</f>
        <v/>
      </c>
      <c r="AX349" s="19">
        <f>AP349+AS349+AU349+AV349+AW349</f>
        <v/>
      </c>
      <c r="AY349" s="18">
        <f>(AG349-AA349)</f>
        <v/>
      </c>
      <c r="AZ349" s="18">
        <f>(AK349-AJ349)</f>
        <v/>
      </c>
      <c r="BA349" s="18">
        <f>AO349-AG349</f>
        <v/>
      </c>
      <c r="BB349" s="18">
        <f>(AO349-AA349)-(AP349/1440)-(AW349/1440)</f>
        <v/>
      </c>
      <c r="BC349" s="20">
        <f>E349/AZ349</f>
        <v/>
      </c>
      <c r="BD349" s="208" t="n"/>
      <c r="BE349" s="20">
        <f>IF(E349&lt;10000,3000,IF(E349&lt;15000,3600,IF(E349&lt;20000,4500,IF(E349&lt;25000,6000,IF(E349&lt;30000,7500,IF(E349&lt;40000,9000,IF(E349&gt;40000,10000)))))))</f>
        <v/>
      </c>
      <c r="BF349" s="334">
        <f>(E349/BE349)+2</f>
        <v/>
      </c>
      <c r="BS349" s="97" t="inlineStr">
        <is>
          <t>CHANGE DU POSTE 1BIS VERS POSTE 2N LE 26/06- 1710</t>
        </is>
      </c>
      <c r="BT349" s="99" t="n">
        <v>1</v>
      </c>
      <c r="BU349" s="99" t="inlineStr">
        <is>
          <t>NON CLEAN</t>
        </is>
      </c>
      <c r="BV349" s="99" t="inlineStr">
        <is>
          <t>HUMIDITY</t>
        </is>
      </c>
      <c r="BW349" s="332">
        <f>AI350-AH350</f>
        <v/>
      </c>
      <c r="CB349" s="14" t="n">
        <v>32309</v>
      </c>
    </row>
    <row r="350">
      <c r="B350" s="343" t="inlineStr">
        <is>
          <t>PROPEL FORTUNE</t>
        </is>
      </c>
      <c r="C350" s="15" t="n">
        <v>45835</v>
      </c>
      <c r="D350" s="329" t="n">
        <v>22000</v>
      </c>
      <c r="E350" s="330" t="n"/>
      <c r="G350" s="81" t="n">
        <v>3</v>
      </c>
      <c r="H350" s="75" t="inlineStr">
        <is>
          <t>TSP</t>
        </is>
      </c>
      <c r="I350" s="306" t="inlineStr">
        <is>
          <t xml:space="preserve">TSP CIV </t>
        </is>
      </c>
      <c r="J350" s="75" t="inlineStr">
        <is>
          <t>CFR</t>
        </is>
      </c>
      <c r="Q350" s="75" t="inlineStr">
        <is>
          <t>ASIE</t>
        </is>
      </c>
      <c r="R350" s="75" t="inlineStr">
        <is>
          <t>INDE</t>
        </is>
      </c>
      <c r="S350" s="75" t="n"/>
      <c r="T350" s="75" t="inlineStr">
        <is>
          <t>INTERTEK</t>
        </is>
      </c>
      <c r="U350" s="81" t="n">
        <v>190</v>
      </c>
      <c r="V350" s="53">
        <f>IF(U350&lt;130, "Mini Bulker", IF(AND(U350&gt;=130, U350&lt;150), "Handysize", IF(AND(U350&gt;=150, U350&lt;200), "Handymax", IF(AND(U350&gt;=200, U350&lt;230), "Panamax", IF(AND(U350&gt;=230, U350&lt;=270), "Capesize", "Autre")))))</f>
        <v/>
      </c>
      <c r="X350" s="14">
        <f>IF(E350&lt;9999,"1",IF(E350&lt;19999,"2",IF(E350&lt;29999,"3",IF(E350&lt;39999,"4",IF(E350&lt;49999,"5",IF(E350&gt;50000,"6"))))))</f>
        <v/>
      </c>
      <c r="Y350" s="99" t="inlineStr">
        <is>
          <t>1BIS/2N</t>
        </is>
      </c>
      <c r="AA350" s="98" t="n"/>
      <c r="AB350" s="98" t="n"/>
      <c r="AC350" s="98" t="n"/>
      <c r="AD350" s="98" t="n"/>
      <c r="AE350" s="98" t="n"/>
      <c r="AF350" s="98" t="n"/>
      <c r="AG350" s="98" t="n"/>
      <c r="AH350" s="98" t="n"/>
      <c r="AI350" s="98" t="n"/>
      <c r="AJ350" s="98" t="n"/>
      <c r="AK350" s="98" t="n"/>
      <c r="AL350" s="98" t="n"/>
      <c r="AM350" s="98" t="n"/>
      <c r="AN350" s="98" t="n"/>
      <c r="AO350" s="98" t="n"/>
      <c r="AP350" s="98" t="n"/>
      <c r="AQ350" s="98" t="n"/>
      <c r="AR350" s="98" t="n"/>
      <c r="AS350" s="98" t="n"/>
      <c r="AT350" s="98" t="n"/>
      <c r="AU350" s="98" t="n"/>
      <c r="AV350" s="98" t="n"/>
      <c r="AW350" s="98" t="n"/>
      <c r="AX350" s="98" t="n"/>
      <c r="AY350" s="98" t="n"/>
      <c r="AZ350" s="98" t="n"/>
      <c r="BA350" s="98" t="n"/>
      <c r="BB350" s="98" t="n"/>
      <c r="BC350" s="98" t="n"/>
      <c r="BD350" s="98" t="n"/>
      <c r="BE350" s="98" t="n"/>
      <c r="BF350" s="98" t="n"/>
      <c r="BS350" s="97" t="inlineStr">
        <is>
          <t>CHANGE DU POSTE 1BIS VERS POSTE 2N LE 26/06- 1710</t>
        </is>
      </c>
      <c r="BT350" s="99" t="n">
        <v>1</v>
      </c>
      <c r="BU350" s="99" t="inlineStr">
        <is>
          <t>NON CLEAN</t>
        </is>
      </c>
      <c r="BV350" s="99" t="inlineStr">
        <is>
          <t>HUMIDITY</t>
        </is>
      </c>
      <c r="BW350" s="332">
        <f>AI351-AH351</f>
        <v/>
      </c>
      <c r="CB350" s="14" t="n"/>
    </row>
    <row r="351">
      <c r="A351" s="81" t="n">
        <v>236</v>
      </c>
      <c r="B351" s="343" t="inlineStr">
        <is>
          <t>HG PERTH</t>
        </is>
      </c>
      <c r="C351" s="15" t="n">
        <v>45836</v>
      </c>
      <c r="D351" s="329" t="n">
        <v>16500</v>
      </c>
      <c r="E351" s="333">
        <f>D351+D352+D353</f>
        <v/>
      </c>
      <c r="F351" s="75" t="n"/>
      <c r="G351" s="81" t="n">
        <v>3</v>
      </c>
      <c r="H351" s="75" t="inlineStr">
        <is>
          <t>MAP</t>
        </is>
      </c>
      <c r="I351" s="306" t="inlineStr">
        <is>
          <t xml:space="preserve">MAP 11 52 SPECIAL </t>
        </is>
      </c>
      <c r="J351" s="75" t="inlineStr">
        <is>
          <t>CFR</t>
        </is>
      </c>
      <c r="Q351" s="75" t="inlineStr">
        <is>
          <t>AFRIQUE</t>
        </is>
      </c>
      <c r="R351" s="75" t="inlineStr">
        <is>
          <t>COTE D'IVOIRE</t>
        </is>
      </c>
      <c r="S351" s="75" t="n"/>
      <c r="T351" s="75" t="inlineStr">
        <is>
          <t>INTERTEK</t>
        </is>
      </c>
      <c r="U351" s="81" t="n">
        <v>176</v>
      </c>
      <c r="V351" s="53">
        <f>IF(U351&lt;130, "Mini Bulker", IF(AND(U351&gt;=130, U351&lt;150), "Handysize", IF(AND(U351&gt;=150, U351&lt;200), "Handymax", IF(AND(U351&gt;=200, U351&lt;230), "Panamax", IF(AND(U351&gt;=230, U351&lt;=270), "Capesize", "Autre")))))</f>
        <v/>
      </c>
      <c r="X351" s="14">
        <f>IF(E351&lt;9999,"1",IF(E351&lt;19999,"2",IF(E351&lt;29999,"3",IF(E351&lt;39999,"4",IF(E351&lt;49999,"5",IF(E351&gt;50000,"6"))))))</f>
        <v/>
      </c>
      <c r="Y351" s="99" t="inlineStr">
        <is>
          <t>1TER</t>
        </is>
      </c>
      <c r="AA351" s="26" t="n">
        <v>45830.00069444445</v>
      </c>
      <c r="AB351" s="26" t="n">
        <v>45831.375</v>
      </c>
      <c r="AC351" s="15" t="n">
        <v>45830</v>
      </c>
      <c r="AD351" s="15" t="n">
        <v>45832</v>
      </c>
      <c r="AE351" s="26" t="n">
        <v>45829.87847222222</v>
      </c>
      <c r="AF351" s="26" t="n">
        <v>45832.5</v>
      </c>
      <c r="AG351" s="26" t="n">
        <v>45832.58333333334</v>
      </c>
      <c r="AH351" s="26" t="n">
        <v>45832.61111111111</v>
      </c>
      <c r="AI351" s="26" t="n">
        <v>45832.6875</v>
      </c>
      <c r="AJ351" s="26" t="n">
        <v>45832.80902777778</v>
      </c>
      <c r="AK351" s="26" t="n">
        <v>45836.24305555555</v>
      </c>
      <c r="AL351" s="26" t="n">
        <v>45836.24652777778</v>
      </c>
      <c r="AM351" s="26" t="n">
        <v>45836.27083333334</v>
      </c>
      <c r="AN351" s="26" t="n">
        <v>45836.28472222222</v>
      </c>
      <c r="AO351" s="26" t="n">
        <v>45836.38194444445</v>
      </c>
      <c r="AP351" s="20">
        <f>(AG351-AF351)*1440</f>
        <v/>
      </c>
      <c r="AQ351" s="20">
        <f>(AG351-AE351)*1440</f>
        <v/>
      </c>
      <c r="AR351" s="20">
        <f>(AH351-AF351)*1440</f>
        <v/>
      </c>
      <c r="AS351" s="20">
        <f>(AI351-AH351)*1440</f>
        <v/>
      </c>
      <c r="AT351" s="20">
        <f>(AJ351-AH351)*1440</f>
        <v/>
      </c>
      <c r="AU351" s="20">
        <f>(AL351-AK351)*1440</f>
        <v/>
      </c>
      <c r="AV351" s="20">
        <f>(AM351-AL351)*1440</f>
        <v/>
      </c>
      <c r="AW351" s="20">
        <f>(AO351-AM351)*1440</f>
        <v/>
      </c>
      <c r="AX351" s="19">
        <f>AP351+AS351+AU351+AV351+AW351</f>
        <v/>
      </c>
      <c r="AY351" s="18">
        <f>(AG351-AA351)</f>
        <v/>
      </c>
      <c r="AZ351" s="18">
        <f>(AK351-AJ351)</f>
        <v/>
      </c>
      <c r="BA351" s="18">
        <f>AO351-AG351</f>
        <v/>
      </c>
      <c r="BB351" s="18">
        <f>(AO351-AA351)-(AP351/1440)-(AW351/1440)</f>
        <v/>
      </c>
      <c r="BC351" s="20">
        <f>E351/AZ351</f>
        <v/>
      </c>
      <c r="BE351" s="20">
        <f>IF(E351&lt;10000,3000,IF(E351&lt;15000,3600,IF(E351&lt;20000,4500,IF(E351&lt;25000,6000,IF(E351&lt;30000,7500,IF(E351&lt;40000,9000,IF(E351&gt;40000,10000)))))))</f>
        <v/>
      </c>
      <c r="BF351" s="334">
        <f>(E351/BE351)+2</f>
        <v/>
      </c>
      <c r="BS351" s="97" t="inlineStr">
        <is>
          <t>NUL</t>
        </is>
      </c>
      <c r="BT351" s="99" t="n">
        <v>0</v>
      </c>
      <c r="BU351" s="99" t="inlineStr">
        <is>
          <t>CLEAN</t>
        </is>
      </c>
      <c r="BV351" s="99" t="inlineStr">
        <is>
          <t>NUL</t>
        </is>
      </c>
      <c r="BW351" s="332">
        <f>AI352-AH352</f>
        <v/>
      </c>
      <c r="CB351" s="14" t="n">
        <v>18722</v>
      </c>
    </row>
    <row r="352" ht="14.55" customHeight="1" s="70">
      <c r="A352" s="81" t="n"/>
      <c r="B352" s="343" t="inlineStr">
        <is>
          <t>HG PERTH</t>
        </is>
      </c>
      <c r="C352" s="15" t="n">
        <v>45836</v>
      </c>
      <c r="D352" s="329" t="n">
        <v>11000</v>
      </c>
      <c r="E352" s="330" t="n"/>
      <c r="F352" s="75" t="n"/>
      <c r="G352" s="81" t="n">
        <v>3</v>
      </c>
      <c r="H352" s="75" t="inlineStr">
        <is>
          <t>DAP</t>
        </is>
      </c>
      <c r="I352" s="306" t="inlineStr">
        <is>
          <t xml:space="preserve">DAP Special Dark Low Moisture </t>
        </is>
      </c>
      <c r="J352" s="75" t="inlineStr">
        <is>
          <t>CFR</t>
        </is>
      </c>
      <c r="Q352" s="75" t="inlineStr">
        <is>
          <t>AFRIQUE</t>
        </is>
      </c>
      <c r="R352" s="75" t="inlineStr">
        <is>
          <t>COTE D'IVOIRE</t>
        </is>
      </c>
      <c r="S352" s="75" t="n"/>
      <c r="T352" s="75" t="inlineStr">
        <is>
          <t>INTERTEK</t>
        </is>
      </c>
      <c r="U352" s="81" t="n">
        <v>176</v>
      </c>
      <c r="V352" s="53">
        <f>IF(U352&lt;130, "Mini Bulker", IF(AND(U352&gt;=130, U352&lt;150), "Handysize", IF(AND(U352&gt;=150, U352&lt;200), "Handymax", IF(AND(U352&gt;=200, U352&lt;230), "Panamax", IF(AND(U352&gt;=230, U352&lt;=270), "Capesize", "Autre")))))</f>
        <v/>
      </c>
      <c r="X352" s="14">
        <f>IF(E352&lt;9999,"1",IF(E352&lt;19999,"2",IF(E352&lt;29999,"3",IF(E352&lt;39999,"4",IF(E352&lt;49999,"5",IF(E352&gt;50000,"6"))))))</f>
        <v/>
      </c>
      <c r="Y352" s="99" t="inlineStr">
        <is>
          <t>1TER</t>
        </is>
      </c>
      <c r="AA352" s="218" t="n"/>
      <c r="AB352" s="218" t="n"/>
      <c r="AC352" s="98" t="n"/>
      <c r="AD352" s="98" t="n"/>
      <c r="AE352" s="218" t="n"/>
      <c r="AF352" s="218" t="n"/>
      <c r="AG352" s="218" t="n"/>
      <c r="AH352" s="218" t="n"/>
      <c r="AI352" s="218" t="n"/>
      <c r="AJ352" s="218" t="n"/>
      <c r="AK352" s="218" t="n"/>
      <c r="AL352" s="218" t="n"/>
      <c r="AM352" s="218" t="n"/>
      <c r="AN352" s="218" t="n"/>
      <c r="AO352" s="218" t="n"/>
      <c r="AP352" s="98" t="n"/>
      <c r="AQ352" s="98" t="n"/>
      <c r="AR352" s="98" t="n"/>
      <c r="AS352" s="98" t="n"/>
      <c r="AT352" s="98" t="n"/>
      <c r="AU352" s="98" t="n"/>
      <c r="AV352" s="98" t="n"/>
      <c r="AW352" s="98" t="n"/>
      <c r="AX352" s="98" t="n"/>
      <c r="AY352" s="98" t="n"/>
      <c r="AZ352" s="98" t="n"/>
      <c r="BA352" s="98" t="n"/>
      <c r="BB352" s="98" t="n"/>
      <c r="BC352" s="98" t="n"/>
      <c r="BD352" s="220" t="n"/>
      <c r="BE352" s="98" t="n"/>
      <c r="BF352" s="98" t="n"/>
      <c r="BS352" s="97" t="inlineStr">
        <is>
          <t>NUL</t>
        </is>
      </c>
      <c r="BT352" s="99" t="n">
        <v>0</v>
      </c>
      <c r="BU352" s="99" t="n"/>
      <c r="BV352" s="99" t="n"/>
      <c r="BW352" s="332">
        <f>AI353-AH353</f>
        <v/>
      </c>
      <c r="CB352" s="14" t="n"/>
    </row>
    <row r="353" ht="14.55" customHeight="1" s="70">
      <c r="A353" s="81" t="n"/>
      <c r="B353" s="343" t="inlineStr">
        <is>
          <t>HG PERTH</t>
        </is>
      </c>
      <c r="C353" s="15" t="n">
        <v>45836</v>
      </c>
      <c r="D353" s="329" t="n">
        <v>20</v>
      </c>
      <c r="E353" s="330" t="n"/>
      <c r="F353" s="75" t="n"/>
      <c r="G353" s="81" t="n">
        <v>3</v>
      </c>
      <c r="H353" s="75" t="inlineStr">
        <is>
          <t>NP</t>
        </is>
      </c>
      <c r="I353" s="306" t="inlineStr">
        <is>
          <t xml:space="preserve">NP 5 40 (TSP N Blendable) </t>
        </is>
      </c>
      <c r="J353" s="75" t="inlineStr">
        <is>
          <t>CFR</t>
        </is>
      </c>
      <c r="Q353" s="75" t="inlineStr">
        <is>
          <t>AFRIQUE</t>
        </is>
      </c>
      <c r="R353" s="75" t="inlineStr">
        <is>
          <t>COTE D'IVOIRE</t>
        </is>
      </c>
      <c r="S353" s="75" t="n"/>
      <c r="T353" s="75" t="inlineStr">
        <is>
          <t>INTERTEK</t>
        </is>
      </c>
      <c r="U353" s="81" t="n">
        <v>176</v>
      </c>
      <c r="V353" s="53">
        <f>IF(U353&lt;130, "Mini Bulker", IF(AND(U353&gt;=130, U353&lt;150), "Handysize", IF(AND(U353&gt;=150, U353&lt;200), "Handymax", IF(AND(U353&gt;=200, U353&lt;230), "Panamax", IF(AND(U353&gt;=230, U353&lt;=270), "Capesize", "Autre")))))</f>
        <v/>
      </c>
      <c r="X353" s="14">
        <f>IF(E353&lt;9999,"1",IF(E353&lt;19999,"2",IF(E353&lt;29999,"3",IF(E353&lt;39999,"4",IF(E353&lt;49999,"5",IF(E353&gt;50000,"6"))))))</f>
        <v/>
      </c>
      <c r="Y353" s="99" t="inlineStr">
        <is>
          <t>1TER</t>
        </is>
      </c>
      <c r="AA353" s="98" t="n"/>
      <c r="AB353" s="98" t="n"/>
      <c r="AC353" s="98" t="n"/>
      <c r="AD353" s="98" t="n"/>
      <c r="AE353" s="98" t="n"/>
      <c r="AF353" s="98" t="n"/>
      <c r="AG353" s="98" t="n"/>
      <c r="AH353" s="98" t="n"/>
      <c r="AI353" s="98" t="n"/>
      <c r="AJ353" s="98" t="n"/>
      <c r="AK353" s="98" t="n"/>
      <c r="AL353" s="98" t="n"/>
      <c r="AM353" s="98" t="n"/>
      <c r="AN353" s="98" t="n"/>
      <c r="AO353" s="98" t="n"/>
      <c r="AP353" s="98" t="n"/>
      <c r="AQ353" s="98" t="n"/>
      <c r="AR353" s="98" t="n"/>
      <c r="AS353" s="98" t="n"/>
      <c r="AT353" s="98" t="n"/>
      <c r="AU353" s="98" t="n"/>
      <c r="AV353" s="98" t="n"/>
      <c r="AW353" s="98" t="n"/>
      <c r="AX353" s="98" t="n"/>
      <c r="AY353" s="98" t="n"/>
      <c r="AZ353" s="98" t="n"/>
      <c r="BA353" s="98" t="n"/>
      <c r="BB353" s="98" t="n"/>
      <c r="BC353" s="98" t="n"/>
      <c r="BD353" s="98" t="n"/>
      <c r="BE353" s="98" t="n"/>
      <c r="BF353" s="98" t="n"/>
      <c r="BS353" s="97" t="inlineStr">
        <is>
          <t>NUL</t>
        </is>
      </c>
      <c r="BT353" s="99" t="n">
        <v>0</v>
      </c>
      <c r="BU353" s="99" t="n"/>
      <c r="BV353" s="99" t="n"/>
      <c r="BW353" s="332">
        <f>AI354-AH354</f>
        <v/>
      </c>
      <c r="CB353" s="14" t="n"/>
    </row>
    <row r="354" ht="15" customHeight="1" s="70">
      <c r="A354" s="81" t="n">
        <v>235</v>
      </c>
      <c r="B354" s="343" t="inlineStr">
        <is>
          <t>NORDLOIRE</t>
        </is>
      </c>
      <c r="C354" s="15" t="n">
        <v>45836</v>
      </c>
      <c r="D354" s="329" t="n">
        <v>33000</v>
      </c>
      <c r="E354" s="329" t="n">
        <v>33000</v>
      </c>
      <c r="F354" s="75" t="inlineStr">
        <is>
          <t>KOFERT</t>
        </is>
      </c>
      <c r="G354" s="81" t="n">
        <v>1</v>
      </c>
      <c r="H354" s="75" t="inlineStr">
        <is>
          <t>MAP</t>
        </is>
      </c>
      <c r="I354" s="306" t="inlineStr">
        <is>
          <t xml:space="preserve">MAP 11 52 SPECIAL </t>
        </is>
      </c>
      <c r="J354" s="75" t="inlineStr">
        <is>
          <t>FOB</t>
        </is>
      </c>
      <c r="Q354" s="75" t="inlineStr">
        <is>
          <t>AMERIQUE</t>
        </is>
      </c>
      <c r="R354" s="75" t="inlineStr">
        <is>
          <t>USA</t>
        </is>
      </c>
      <c r="S354" s="75" t="n"/>
      <c r="T354" s="75" t="inlineStr">
        <is>
          <t>INSPECTORATE</t>
        </is>
      </c>
      <c r="U354" s="81" t="n">
        <v>189</v>
      </c>
      <c r="V354" s="53">
        <f>IF(U354&lt;130, "Mini Bulker", IF(AND(U354&gt;=130, U354&lt;150), "Handysize", IF(AND(U354&gt;=150, U354&lt;200), "Handymax", IF(AND(U354&gt;=200, U354&lt;230), "Panamax", IF(AND(U354&gt;=230, U354&lt;=270), "Capesize", "Autre")))))</f>
        <v/>
      </c>
      <c r="X354" s="14">
        <f>IF(E354&lt;9999,"1",IF(E354&lt;19999,"2",IF(E354&lt;29999,"3",IF(E354&lt;39999,"4",IF(E354&lt;49999,"5",IF(E354&gt;50000,"6"))))))</f>
        <v/>
      </c>
      <c r="Y354" s="99" t="inlineStr">
        <is>
          <t>2BIS/2TER</t>
        </is>
      </c>
      <c r="AA354" s="17" t="n">
        <v>45833.39583333334</v>
      </c>
      <c r="AB354" s="17" t="n">
        <v>45833.39583333334</v>
      </c>
      <c r="AC354" s="15" t="n">
        <v>45832</v>
      </c>
      <c r="AD354" s="15" t="n">
        <v>45836</v>
      </c>
      <c r="AE354" s="17" t="n">
        <v>45833.35416666666</v>
      </c>
      <c r="AF354" s="17" t="n">
        <v>45833.44791666666</v>
      </c>
      <c r="AG354" s="17" t="n">
        <v>45833.58333333334</v>
      </c>
      <c r="AH354" s="17" t="n">
        <v>45833.61458333334</v>
      </c>
      <c r="AI354" s="17" t="n">
        <v>45833.69444444445</v>
      </c>
      <c r="AJ354" s="17" t="n">
        <v>45833.76736111111</v>
      </c>
      <c r="AK354" s="17" t="n">
        <v>45836.02777777778</v>
      </c>
      <c r="AL354" s="17" t="n">
        <v>45836.0625</v>
      </c>
      <c r="AM354" s="17" t="n">
        <v>45836.07291666666</v>
      </c>
      <c r="AN354" s="17" t="n">
        <v>45836.11458333334</v>
      </c>
      <c r="AO354" s="17" t="n">
        <v>45836.16388888889</v>
      </c>
      <c r="AP354" s="20">
        <f>(AG354-AF354)*1440</f>
        <v/>
      </c>
      <c r="AQ354" s="20">
        <f>(AG354-AE354)*1440</f>
        <v/>
      </c>
      <c r="AR354" s="20">
        <f>(AH354-AF354)*1440</f>
        <v/>
      </c>
      <c r="AS354" s="20">
        <f>(AI354-AH354)*1440</f>
        <v/>
      </c>
      <c r="AT354" s="20">
        <f>(AJ354-AH354)*1440</f>
        <v/>
      </c>
      <c r="AU354" s="20">
        <f>(AL354-AK354)*1440</f>
        <v/>
      </c>
      <c r="AV354" s="20">
        <f>(AN354-AL354)*1440</f>
        <v/>
      </c>
      <c r="AW354" s="20">
        <f>(AO354-AN354)*1440</f>
        <v/>
      </c>
      <c r="AX354" s="19">
        <f>AP354+AS354+AU354+AV354+AW354</f>
        <v/>
      </c>
      <c r="AY354" s="18">
        <f>(AG354-AA354)</f>
        <v/>
      </c>
      <c r="AZ354" s="18">
        <f>(AK354-AJ354)</f>
        <v/>
      </c>
      <c r="BA354" s="18">
        <f>AO354-AG354</f>
        <v/>
      </c>
      <c r="BB354" s="18">
        <f>(AO354-AA354)-(AP354/1440)-(AW354/1440)</f>
        <v/>
      </c>
      <c r="BC354" s="20">
        <f>E354/AZ354</f>
        <v/>
      </c>
      <c r="BD354" s="208" t="n"/>
      <c r="BE354" s="20">
        <f>IF(E354&lt;10000,3000,IF(E354&lt;15000,3600,IF(E354&lt;20000,4500,IF(E354&lt;25000,6000,IF(E354&lt;30000,7500,IF(E354&lt;40000,9000,IF(E354&gt;40000,10000)))))))</f>
        <v/>
      </c>
      <c r="BF354" s="334">
        <f>(E354/BE354)+2</f>
        <v/>
      </c>
      <c r="BS354" s="97" t="inlineStr">
        <is>
          <t>CHANGE DU POSTE 2BIS VERS POSTE 2TER LE 25/06 - 1736 DEHALAGE VERS USINE LE 26/06 -1220</t>
        </is>
      </c>
      <c r="BT354" s="99" t="n">
        <v>2</v>
      </c>
      <c r="BU354" s="99" t="n"/>
      <c r="BV354" s="99" t="n"/>
      <c r="BW354" s="332">
        <f>AI355-AH355</f>
        <v/>
      </c>
      <c r="CB354" s="14" t="n">
        <v>24195</v>
      </c>
    </row>
    <row r="355">
      <c r="A355" s="81" t="n">
        <v>238</v>
      </c>
      <c r="B355" s="343" t="inlineStr">
        <is>
          <t>BERMEO NM</t>
        </is>
      </c>
      <c r="C355" s="15" t="n">
        <v>45837</v>
      </c>
      <c r="D355" s="329" t="n">
        <v>3000</v>
      </c>
      <c r="E355" s="333">
        <f>D355+D356</f>
        <v/>
      </c>
      <c r="G355" s="81" t="n">
        <v>2</v>
      </c>
      <c r="H355" s="75" t="inlineStr">
        <is>
          <t>NPK</t>
        </is>
      </c>
      <c r="I355" s="306" t="inlineStr">
        <is>
          <t xml:space="preserve">NPK 15 15 15 Low Cd </t>
        </is>
      </c>
      <c r="J355" s="75" t="inlineStr">
        <is>
          <t>CFR</t>
        </is>
      </c>
      <c r="Q355" s="75" t="inlineStr">
        <is>
          <t>EUROPE</t>
        </is>
      </c>
      <c r="R355" s="75" t="inlineStr">
        <is>
          <t>FRANCE</t>
        </is>
      </c>
      <c r="S355" s="75" t="n"/>
      <c r="T355" s="75" t="inlineStr">
        <is>
          <t>INTERTEK</t>
        </is>
      </c>
      <c r="U355" s="81" t="n">
        <v>103</v>
      </c>
      <c r="V355" s="53">
        <f>IF(U355&lt;130, "Mini Bulker", IF(AND(U355&gt;=130, U355&lt;150), "Handysize", IF(AND(U355&gt;=150, U355&lt;200), "Handymax", IF(AND(U355&gt;=200, U355&lt;230), "Panamax", IF(AND(U355&gt;=230, U355&lt;=270), "Capesize", "Autre")))))</f>
        <v/>
      </c>
      <c r="X355" s="14">
        <f>IF(E355&lt;9999,"1",IF(E355&lt;19999,"2",IF(E355&lt;29999,"3",IF(E355&lt;39999,"4",IF(E355&lt;49999,"5",IF(E355&gt;50000,"6"))))))</f>
        <v/>
      </c>
      <c r="Y355" s="99" t="inlineStr">
        <is>
          <t>2TER</t>
        </is>
      </c>
      <c r="AA355" s="26" t="n">
        <v>45834.47916666666</v>
      </c>
      <c r="AB355" s="26" t="n">
        <v>45834.47916666666</v>
      </c>
      <c r="AC355" s="15" t="n">
        <v>45833</v>
      </c>
      <c r="AD355" s="15" t="n">
        <v>45835</v>
      </c>
      <c r="AE355" s="26" t="n">
        <v>45826.60833333333</v>
      </c>
      <c r="AF355" s="26" t="n">
        <v>45836.38888888889</v>
      </c>
      <c r="AG355" s="26" t="n">
        <v>45836.44444444445</v>
      </c>
      <c r="AH355" s="26" t="n">
        <v>45836.44791666666</v>
      </c>
      <c r="AI355" s="26" t="n">
        <v>45836.50694444445</v>
      </c>
      <c r="AJ355" s="26" t="n">
        <v>45836.60069444445</v>
      </c>
      <c r="AK355" s="26" t="n">
        <v>45837.43055555555</v>
      </c>
      <c r="AL355" s="26" t="n">
        <v>45837.48125</v>
      </c>
      <c r="AM355" s="26" t="n">
        <v>45837.51736111111</v>
      </c>
      <c r="AN355" s="26" t="n">
        <v>45837.57222222222</v>
      </c>
      <c r="AO355" s="26" t="n">
        <v>45837.55833333333</v>
      </c>
      <c r="AP355" s="20">
        <f>(AG355-AF355)*1440</f>
        <v/>
      </c>
      <c r="AQ355" s="20">
        <f>(AG355-AE355)*1440</f>
        <v/>
      </c>
      <c r="AR355" s="20">
        <f>(AH355-AF355)*1440</f>
        <v/>
      </c>
      <c r="AS355" s="20">
        <f>(AI355-AH355)*1440</f>
        <v/>
      </c>
      <c r="AT355" s="20">
        <f>(AJ355-AH355)*1440</f>
        <v/>
      </c>
      <c r="AU355" s="20">
        <f>(AL355-AK355)*1440</f>
        <v/>
      </c>
      <c r="AV355" s="20">
        <f>(AM355-AL355)*1440</f>
        <v/>
      </c>
      <c r="AW355" s="20">
        <f>(AO355-AM355)*1440</f>
        <v/>
      </c>
      <c r="AX355" s="19">
        <f>AP355+AS355+AU355+AV355+AW355</f>
        <v/>
      </c>
      <c r="AY355" s="18">
        <f>(AG355-AA355)</f>
        <v/>
      </c>
      <c r="AZ355" s="18">
        <f>(AK355-AJ355)</f>
        <v/>
      </c>
      <c r="BA355" s="18">
        <f>AO355-AG355</f>
        <v/>
      </c>
      <c r="BB355" s="18">
        <f>(AO355-AA355)-(AP355/1440)-(AW355/1440)</f>
        <v/>
      </c>
      <c r="BC355" s="20">
        <f>E355/AZ355</f>
        <v/>
      </c>
      <c r="BE355" s="20">
        <f>IF(E355&lt;10000,3000,IF(E355&lt;15000,3600,IF(E355&lt;20000,4500,IF(E355&lt;25000,6000,IF(E355&lt;30000,7500,IF(E355&lt;40000,9000,IF(E355&gt;40000,10000)))))))</f>
        <v/>
      </c>
      <c r="BF355" s="334">
        <f>(E355/BE355)+2</f>
        <v/>
      </c>
      <c r="BS355" s="97" t="inlineStr">
        <is>
          <t>NUL</t>
        </is>
      </c>
      <c r="BT355" s="99" t="n">
        <v>0</v>
      </c>
      <c r="BU355" s="99" t="n"/>
      <c r="BV355" s="99" t="n"/>
      <c r="BW355" s="332">
        <f>AI356-AH356</f>
        <v/>
      </c>
      <c r="CB355" s="14" t="n">
        <v>4190</v>
      </c>
    </row>
    <row r="356">
      <c r="A356" s="81" t="n"/>
      <c r="B356" s="343" t="inlineStr">
        <is>
          <t>BERMEO NM</t>
        </is>
      </c>
      <c r="C356" s="15" t="n">
        <v>45837</v>
      </c>
      <c r="D356" s="329" t="n">
        <v>1400</v>
      </c>
      <c r="E356" s="330" t="n"/>
      <c r="G356" s="81" t="n">
        <v>2</v>
      </c>
      <c r="H356" s="75" t="inlineStr">
        <is>
          <t>DAP</t>
        </is>
      </c>
      <c r="I356" s="306" t="inlineStr">
        <is>
          <t xml:space="preserve">DAP Euro Low Cd </t>
        </is>
      </c>
      <c r="J356" s="75" t="inlineStr">
        <is>
          <t>CFR</t>
        </is>
      </c>
      <c r="Q356" s="75" t="inlineStr">
        <is>
          <t>EUROPE</t>
        </is>
      </c>
      <c r="R356" s="75" t="inlineStr">
        <is>
          <t>FRANCE</t>
        </is>
      </c>
      <c r="T356" s="75" t="inlineStr">
        <is>
          <t>INTERTEK</t>
        </is>
      </c>
      <c r="U356" s="81" t="n">
        <v>103</v>
      </c>
      <c r="V356" s="53">
        <f>IF(U356&lt;130, "Mini Bulker", IF(AND(U356&gt;=130, U356&lt;150), "Handysize", IF(AND(U356&gt;=150, U356&lt;200), "Handymax", IF(AND(U356&gt;=200, U356&lt;230), "Panamax", IF(AND(U356&gt;=230, U356&lt;=270), "Capesize", "Autre")))))</f>
        <v/>
      </c>
      <c r="X356" s="14">
        <f>IF(E356&lt;9999,"1",IF(E356&lt;19999,"2",IF(E356&lt;29999,"3",IF(E356&lt;39999,"4",IF(E356&lt;49999,"5",IF(E356&gt;50000,"6"))))))</f>
        <v/>
      </c>
      <c r="Y356" s="99" t="inlineStr">
        <is>
          <t>2TER</t>
        </is>
      </c>
      <c r="AA356" s="98" t="n"/>
      <c r="AB356" s="98" t="n"/>
      <c r="AC356" s="98" t="n"/>
      <c r="AD356" s="98" t="n"/>
      <c r="AE356" s="98" t="n"/>
      <c r="AF356" s="98" t="n"/>
      <c r="AG356" s="98" t="n"/>
      <c r="AH356" s="98" t="n"/>
      <c r="AI356" s="98" t="n"/>
      <c r="AJ356" s="98" t="n"/>
      <c r="AK356" s="98" t="n"/>
      <c r="AL356" s="98" t="n"/>
      <c r="AM356" s="98" t="n"/>
      <c r="AN356" s="98" t="n"/>
      <c r="AO356" s="98" t="n"/>
      <c r="AP356" s="98" t="n"/>
      <c r="AQ356" s="98" t="n"/>
      <c r="AR356" s="98" t="n"/>
      <c r="AS356" s="98" t="n"/>
      <c r="AT356" s="98" t="n"/>
      <c r="AU356" s="98" t="n"/>
      <c r="AV356" s="98" t="n"/>
      <c r="AW356" s="98" t="n"/>
      <c r="AX356" s="98" t="n"/>
      <c r="AY356" s="98" t="n"/>
      <c r="AZ356" s="98" t="n"/>
      <c r="BA356" s="98" t="n"/>
      <c r="BB356" s="98" t="n"/>
      <c r="BC356" s="98" t="n"/>
      <c r="BD356" s="98" t="n"/>
      <c r="BE356" s="98" t="n"/>
      <c r="BF356" s="98" t="n"/>
      <c r="BG356" s="220" t="n"/>
      <c r="BH356" s="220" t="n"/>
      <c r="BI356" s="220" t="n"/>
      <c r="BJ356" s="220" t="n"/>
      <c r="BK356" s="220" t="n"/>
      <c r="BL356" s="220" t="n"/>
      <c r="BM356" s="220" t="n"/>
      <c r="BN356" s="220" t="n"/>
      <c r="BO356" s="220" t="n"/>
      <c r="BP356" s="220" t="n"/>
      <c r="BQ356" s="220" t="n"/>
      <c r="BR356" s="220" t="n"/>
      <c r="BS356" s="97" t="inlineStr">
        <is>
          <t>NUL</t>
        </is>
      </c>
      <c r="BT356" s="99" t="n">
        <v>0</v>
      </c>
      <c r="BU356" s="99" t="n"/>
      <c r="BV356" s="99" t="n"/>
      <c r="BW356" s="208" t="n"/>
      <c r="CB356" s="208" t="n"/>
    </row>
    <row r="357" ht="14.55" customHeight="1" s="70">
      <c r="A357" s="81" t="n">
        <v>237</v>
      </c>
      <c r="B357" s="343" t="inlineStr">
        <is>
          <t>CL ZHANGJIAJIE</t>
        </is>
      </c>
      <c r="C357" s="15" t="n">
        <v>45837</v>
      </c>
      <c r="D357" s="329" t="n">
        <v>33000</v>
      </c>
      <c r="E357" s="333">
        <f>D357+D358</f>
        <v/>
      </c>
      <c r="F357" s="75" t="n"/>
      <c r="G357" s="81" t="n">
        <v>2</v>
      </c>
      <c r="H357" s="75" t="inlineStr">
        <is>
          <t>MAP</t>
        </is>
      </c>
      <c r="I357" s="306" t="inlineStr">
        <is>
          <t xml:space="preserve">MAP 11 52 SPECIAL </t>
        </is>
      </c>
      <c r="J357" s="75" t="inlineStr">
        <is>
          <t>CFR</t>
        </is>
      </c>
      <c r="Q357" s="75" t="inlineStr">
        <is>
          <t>AMERIQUE LATINE</t>
        </is>
      </c>
      <c r="R357" s="75" t="inlineStr">
        <is>
          <t>ARGENTINE</t>
        </is>
      </c>
      <c r="S357" s="75" t="inlineStr">
        <is>
          <t>B.V</t>
        </is>
      </c>
      <c r="T357" s="75" t="inlineStr">
        <is>
          <t>INTERTEK</t>
        </is>
      </c>
      <c r="U357" s="81" t="n">
        <v>199</v>
      </c>
      <c r="V357" s="53">
        <f>IF(U357&lt;130, "Mini Bulker", IF(AND(U357&gt;=130, U357&lt;150), "Handysize", IF(AND(U357&gt;=150, U357&lt;200), "Handymax", IF(AND(U357&gt;=200, U357&lt;230), "Panamax", IF(AND(U357&gt;=230, U357&lt;=270), "Capesize", "Autre")))))</f>
        <v/>
      </c>
      <c r="X357" s="14">
        <f>IF(E357&lt;9999,"1",IF(E357&lt;19999,"2",IF(E357&lt;29999,"3",IF(E357&lt;39999,"4",IF(E357&lt;49999,"5",IF(E357&gt;50000,"6"))))))</f>
        <v/>
      </c>
      <c r="Y357" s="99" t="inlineStr">
        <is>
          <t>2BIS/1N</t>
        </is>
      </c>
      <c r="AA357" s="26" t="n">
        <v>45830.87916666667</v>
      </c>
      <c r="AB357" s="26" t="n">
        <v>45831.375</v>
      </c>
      <c r="AC357" s="15" t="n">
        <v>45828</v>
      </c>
      <c r="AD357" s="15" t="n">
        <v>45832</v>
      </c>
      <c r="AE357" s="26" t="n">
        <v>45829.12916666667</v>
      </c>
      <c r="AF357" s="26" t="n">
        <v>45831.01805555556</v>
      </c>
      <c r="AG357" s="26" t="n">
        <v>45831.09583333333</v>
      </c>
      <c r="AH357" s="26" t="n">
        <v>45831.12847222222</v>
      </c>
      <c r="AI357" s="26" t="n">
        <v>45831.19097222222</v>
      </c>
      <c r="AJ357" s="26" t="n">
        <v>45831.27777777778</v>
      </c>
      <c r="AK357" s="26" t="n">
        <v>45837.02777777778</v>
      </c>
      <c r="AL357" s="26" t="n">
        <v>45837.0625</v>
      </c>
      <c r="AM357" s="26" t="n">
        <v>45837.07638888889</v>
      </c>
      <c r="AN357" s="26" t="n">
        <v>45837.10902777778</v>
      </c>
      <c r="AO357" s="26" t="n">
        <v>45837.175</v>
      </c>
      <c r="AP357" s="20">
        <f>(AG357-AF357)*1440</f>
        <v/>
      </c>
      <c r="AQ357" s="20">
        <f>(AG357-AE357)*1440</f>
        <v/>
      </c>
      <c r="AR357" s="20">
        <f>(AH357-AF357)*1440</f>
        <v/>
      </c>
      <c r="AS357" s="20">
        <f>(AI357-AH357)*1440</f>
        <v/>
      </c>
      <c r="AT357" s="20">
        <f>(AJ357-AH357)*1440</f>
        <v/>
      </c>
      <c r="AU357" s="20">
        <f>(AL357-AK357)*1440</f>
        <v/>
      </c>
      <c r="AV357" s="20">
        <f>(AM357-AL357)*1440</f>
        <v/>
      </c>
      <c r="AW357" s="20">
        <f>(AO357-AM357)*1440</f>
        <v/>
      </c>
      <c r="AX357" s="19">
        <f>AP357+AS357+AU357+AV357+AW357</f>
        <v/>
      </c>
      <c r="AY357" s="18">
        <f>(AG357-AA357)</f>
        <v/>
      </c>
      <c r="AZ357" s="18">
        <f>(AK357-AJ357)</f>
        <v/>
      </c>
      <c r="BA357" s="18">
        <f>AO357-AG357</f>
        <v/>
      </c>
      <c r="BB357" s="18">
        <f>(AO357-AA357)-(AP357/1440)-(AW357/1440)</f>
        <v/>
      </c>
      <c r="BC357" s="20">
        <f>E357/AZ357</f>
        <v/>
      </c>
      <c r="BE357" s="20">
        <f>IF(E357&lt;10000,3000,IF(E357&lt;15000,3600,IF(E357&lt;20000,4500,IF(E357&lt;25000,6000,IF(E357&lt;30000,7500,IF(E357&lt;40000,9000,IF(E357&gt;40000,10000)))))))</f>
        <v/>
      </c>
      <c r="BF357" s="334">
        <f>(E357/BE357)+2</f>
        <v/>
      </c>
      <c r="BS357" s="97" t="inlineStr">
        <is>
          <t>CHANGE DU POSTE 2BIS VERS POSTE 1N LE 25/06 - 1257</t>
        </is>
      </c>
      <c r="BT357" s="99" t="n">
        <v>1</v>
      </c>
      <c r="BU357" s="99" t="inlineStr">
        <is>
          <t>CLEAN</t>
        </is>
      </c>
      <c r="BV357" s="99" t="inlineStr">
        <is>
          <t>NUL</t>
        </is>
      </c>
      <c r="BW357" s="332">
        <f>AI358-AH358</f>
        <v/>
      </c>
      <c r="CB357" s="14" t="n">
        <v>36216</v>
      </c>
    </row>
    <row r="358" ht="15" customHeight="1" s="70">
      <c r="B358" s="343" t="inlineStr">
        <is>
          <t>CL ZHANGJIAJIE</t>
        </is>
      </c>
      <c r="C358" s="15" t="n">
        <v>45837</v>
      </c>
      <c r="D358" s="329" t="n">
        <v>11000</v>
      </c>
      <c r="E358" s="330" t="n"/>
      <c r="F358" s="75" t="n"/>
      <c r="G358" s="81" t="n">
        <v>2</v>
      </c>
      <c r="H358" s="75" t="inlineStr">
        <is>
          <t>TSP</t>
        </is>
      </c>
      <c r="I358" s="306" t="inlineStr">
        <is>
          <t xml:space="preserve">TSP SPECIAL JORF </t>
        </is>
      </c>
      <c r="J358" s="75" t="inlineStr">
        <is>
          <t>CFR</t>
        </is>
      </c>
      <c r="Q358" s="75" t="inlineStr">
        <is>
          <t>AMERIQUE LATINE</t>
        </is>
      </c>
      <c r="R358" s="75" t="inlineStr">
        <is>
          <t>ARGENTINE</t>
        </is>
      </c>
      <c r="S358" s="75" t="n"/>
      <c r="T358" s="75" t="inlineStr">
        <is>
          <t>INTERTEK</t>
        </is>
      </c>
      <c r="U358" s="81" t="n">
        <v>199</v>
      </c>
      <c r="V358" s="53">
        <f>IF(U358&lt;130, "Mini Bulker", IF(AND(U358&gt;=130, U358&lt;150), "Handysize", IF(AND(U358&gt;=150, U358&lt;200), "Handymax", IF(AND(U358&gt;=200, U358&lt;230), "Panamax", IF(AND(U358&gt;=230, U358&lt;=270), "Capesize", "Autre")))))</f>
        <v/>
      </c>
      <c r="X358" s="14">
        <f>IF(E358&lt;9999,"1",IF(E358&lt;19999,"2",IF(E358&lt;29999,"3",IF(E358&lt;39999,"4",IF(E358&lt;49999,"5",IF(E358&gt;50000,"6"))))))</f>
        <v/>
      </c>
      <c r="Y358" s="99" t="inlineStr">
        <is>
          <t>2BIS/1N</t>
        </is>
      </c>
      <c r="AA358" s="98" t="n"/>
      <c r="AB358" s="98" t="n"/>
      <c r="AC358" s="98" t="n"/>
      <c r="AD358" s="98" t="n"/>
      <c r="AE358" s="98" t="n"/>
      <c r="AF358" s="98" t="n"/>
      <c r="AG358" s="98" t="n"/>
      <c r="AH358" s="98" t="n"/>
      <c r="AI358" s="98" t="n"/>
      <c r="AJ358" s="98" t="n"/>
      <c r="AK358" s="98" t="n"/>
      <c r="AL358" s="98" t="n"/>
      <c r="AM358" s="98" t="n"/>
      <c r="AN358" s="98" t="n"/>
      <c r="AO358" s="98" t="n"/>
      <c r="AP358" s="98" t="n"/>
      <c r="AQ358" s="98" t="n"/>
      <c r="AR358" s="98" t="n"/>
      <c r="AS358" s="98" t="n"/>
      <c r="AT358" s="98" t="n"/>
      <c r="AU358" s="98" t="n"/>
      <c r="AV358" s="98" t="n"/>
      <c r="AW358" s="98" t="n"/>
      <c r="AX358" s="98" t="n"/>
      <c r="AY358" s="98" t="n"/>
      <c r="AZ358" s="98" t="n"/>
      <c r="BA358" s="98" t="n"/>
      <c r="BB358" s="98" t="n"/>
      <c r="BC358" s="98" t="n"/>
      <c r="BD358" s="98" t="n"/>
      <c r="BE358" s="98" t="n"/>
      <c r="BF358" s="98" t="n"/>
      <c r="BG358" s="208" t="n"/>
      <c r="BH358" s="208" t="n"/>
      <c r="BI358" s="208" t="n"/>
      <c r="BJ358" s="208" t="n"/>
      <c r="BK358" s="208" t="n"/>
      <c r="BL358" s="208" t="n"/>
      <c r="BM358" s="208" t="n"/>
      <c r="BN358" s="208" t="n"/>
      <c r="BO358" s="208" t="n"/>
      <c r="BP358" s="208" t="n"/>
      <c r="BQ358" s="208" t="n"/>
      <c r="BR358" s="208" t="n"/>
      <c r="BS358" s="97" t="inlineStr">
        <is>
          <t>CHANGE DU POSTE 2BIS VERS POSTE 1N LE 25/06 - 1257</t>
        </is>
      </c>
      <c r="BT358" s="99" t="n">
        <v>1</v>
      </c>
      <c r="BU358" s="99" t="n"/>
      <c r="BV358" s="99" t="n"/>
      <c r="BW358" s="345">
        <f>AI359-AH359</f>
        <v/>
      </c>
      <c r="CB358" s="81" t="n"/>
    </row>
    <row r="359" ht="14.55" customHeight="1" s="70">
      <c r="A359" s="81" t="n">
        <v>239</v>
      </c>
      <c r="B359" s="343" t="inlineStr">
        <is>
          <t>MANASSA QUEEN</t>
        </is>
      </c>
      <c r="C359" s="15" t="n">
        <v>45838</v>
      </c>
      <c r="D359" s="329" t="n">
        <v>11000</v>
      </c>
      <c r="E359" s="333">
        <f>D359+D360</f>
        <v/>
      </c>
      <c r="G359" s="81" t="n">
        <v>2</v>
      </c>
      <c r="H359" s="75" t="inlineStr">
        <is>
          <t>DAP</t>
        </is>
      </c>
      <c r="I359" s="306" t="inlineStr">
        <is>
          <t xml:space="preserve">DAP Euro Low Cd </t>
        </is>
      </c>
      <c r="J359" s="75" t="inlineStr">
        <is>
          <t>FOB</t>
        </is>
      </c>
      <c r="Q359" s="75" t="inlineStr">
        <is>
          <t>EUROPE</t>
        </is>
      </c>
      <c r="R359" s="75" t="inlineStr">
        <is>
          <t>BULGARIE</t>
        </is>
      </c>
      <c r="T359" s="75" t="inlineStr">
        <is>
          <t>INTERTEK</t>
        </is>
      </c>
      <c r="U359" s="81" t="n">
        <v>154</v>
      </c>
      <c r="V359" s="53">
        <f>IF(U359&lt;130, "Mini Bulker", IF(AND(U359&gt;=130, U359&lt;150), "Handysize", IF(AND(U359&gt;=150, U359&lt;200), "Handymax", IF(AND(U359&gt;=200, U359&lt;230), "Panamax", IF(AND(U359&gt;=230, U359&lt;=270), "Capesize", "Autre")))))</f>
        <v/>
      </c>
      <c r="X359" s="14">
        <f>IF(E359&lt;9999,"1",IF(E359&lt;19999,"2",IF(E359&lt;29999,"3",IF(E359&lt;39999,"4",IF(E359&lt;49999,"5",IF(E359&gt;50000,"6"))))))</f>
        <v/>
      </c>
      <c r="Y359" s="99" t="inlineStr">
        <is>
          <t>2BIS/1BIS/4BIS/1N</t>
        </is>
      </c>
      <c r="AA359" s="26" t="n">
        <v>45830.23680555556</v>
      </c>
      <c r="AB359" s="26" t="n">
        <v>45831.375</v>
      </c>
      <c r="AC359" s="15" t="n">
        <v>45834</v>
      </c>
      <c r="AD359" s="15" t="n">
        <v>45836</v>
      </c>
      <c r="AE359" s="26" t="n">
        <v>45828.79166666666</v>
      </c>
      <c r="AF359" s="26" t="n">
        <v>45830.22569444445</v>
      </c>
      <c r="AG359" s="26" t="n">
        <v>45830.27291666667</v>
      </c>
      <c r="AH359" s="26" t="n">
        <v>45830.30208333334</v>
      </c>
      <c r="AI359" s="26" t="n">
        <v>45830.45833333334</v>
      </c>
      <c r="AJ359" s="26" t="n">
        <v>45830.50347222222</v>
      </c>
      <c r="AK359" s="26" t="n">
        <v>45838.88541666666</v>
      </c>
      <c r="AL359" s="26" t="n">
        <v>45838.92361111111</v>
      </c>
      <c r="AM359" s="26" t="n">
        <v>45838.96875</v>
      </c>
      <c r="AN359" s="26" t="n">
        <v>45839.01805555556</v>
      </c>
      <c r="AO359" s="26" t="n">
        <v>45839.02569444444</v>
      </c>
      <c r="AP359" s="20">
        <f>(AG359-AF359)*1440</f>
        <v/>
      </c>
      <c r="AQ359" s="20">
        <f>(AG359-AE359)*1440</f>
        <v/>
      </c>
      <c r="AR359" s="20">
        <f>(AH359-AF359)*1440</f>
        <v/>
      </c>
      <c r="AS359" s="20">
        <f>(AI359-AH359)*1440</f>
        <v/>
      </c>
      <c r="AT359" s="20">
        <f>(AJ359-AH359)*1440</f>
        <v/>
      </c>
      <c r="AU359" s="20">
        <f>(AL359-AK359)*1440</f>
        <v/>
      </c>
      <c r="AV359" s="20">
        <f>(AM359-AL359)*1440</f>
        <v/>
      </c>
      <c r="AW359" s="20">
        <f>(AO359-AM359)*1440</f>
        <v/>
      </c>
      <c r="AX359" s="19">
        <f>AP359+AS359+AU359+AV359+AW359</f>
        <v/>
      </c>
      <c r="AY359" s="18">
        <f>(AG359-AA359)</f>
        <v/>
      </c>
      <c r="AZ359" s="18">
        <f>(AK359-AJ359)</f>
        <v/>
      </c>
      <c r="BA359" s="18">
        <f>AO359-AG359</f>
        <v/>
      </c>
      <c r="BB359" s="18">
        <f>(AO359-AA359)-(AP359/1440)-(AW359/1440)</f>
        <v/>
      </c>
      <c r="BC359" s="20">
        <f>E359/AZ359</f>
        <v/>
      </c>
      <c r="BE359" s="20">
        <f>IF(E359&lt;10000,3000,IF(E359&lt;15000,3600,IF(E359&lt;20000,4500,IF(E359&lt;25000,6000,IF(E359&lt;30000,7500,IF(E359&lt;40000,9000,IF(E359&gt;40000,10000)))))))</f>
        <v/>
      </c>
      <c r="BF359" s="334">
        <f>(E359/BE359)+2</f>
        <v/>
      </c>
      <c r="BS359" s="97" t="inlineStr">
        <is>
          <t>CHANGE DU POSTE 2BIS VERS LA RADE LE 23/06- 0026 // RE-ACCOSTAGE AU POSTE 1BIS LE 26/06- 2150 // CHANGE DU POSTE 1BIS VERS POSTE 4BIS LE 27/06 -1818 // CHANGE DU POSTE 4BIS VERS LE POSTE 1N LE 29/06- 1500</t>
        </is>
      </c>
      <c r="BT359" s="99" t="n">
        <v>4</v>
      </c>
      <c r="BU359" s="99" t="inlineStr">
        <is>
          <t>NON CLEAN</t>
        </is>
      </c>
      <c r="BV359" s="99" t="inlineStr">
        <is>
          <t>WATER</t>
        </is>
      </c>
      <c r="BW359" s="332">
        <f>AI360-AH360</f>
        <v/>
      </c>
      <c r="CB359" s="14" t="n">
        <v>14661</v>
      </c>
    </row>
    <row r="360" ht="15" customHeight="1" s="70">
      <c r="A360" s="81" t="n"/>
      <c r="B360" s="343" t="inlineStr">
        <is>
          <t>MANASSA QUEEN</t>
        </is>
      </c>
      <c r="C360" s="15" t="n">
        <v>45838</v>
      </c>
      <c r="D360" s="329" t="n">
        <v>5500</v>
      </c>
      <c r="E360" s="330" t="n"/>
      <c r="G360" s="81" t="n">
        <v>2</v>
      </c>
      <c r="H360" s="75" t="inlineStr">
        <is>
          <t>MAP</t>
        </is>
      </c>
      <c r="I360" s="306" t="inlineStr">
        <is>
          <t xml:space="preserve">MAP 11 52 Special Low Cd </t>
        </is>
      </c>
      <c r="J360" s="75" t="inlineStr">
        <is>
          <t>FOB</t>
        </is>
      </c>
      <c r="Q360" s="75" t="inlineStr">
        <is>
          <t>EUROPE</t>
        </is>
      </c>
      <c r="R360" s="75" t="inlineStr">
        <is>
          <t>BULGARIE</t>
        </is>
      </c>
      <c r="T360" s="75" t="inlineStr">
        <is>
          <t>INTERTEK</t>
        </is>
      </c>
      <c r="U360" s="81" t="n">
        <v>154</v>
      </c>
      <c r="V360" s="53">
        <f>IF(U360&lt;130, "Mini Bulker", IF(AND(U360&gt;=130, U360&lt;150), "Handysize", IF(AND(U360&gt;=150, U360&lt;200), "Handymax", IF(AND(U360&gt;=200, U360&lt;230), "Panamax", IF(AND(U360&gt;=230, U360&lt;=270), "Capesize", "Autre")))))</f>
        <v/>
      </c>
      <c r="X360" s="14">
        <f>IF(E360&lt;9999,"1",IF(E360&lt;19999,"2",IF(E360&lt;29999,"3",IF(E360&lt;39999,"4",IF(E360&lt;49999,"5",IF(E360&gt;50000,"6"))))))</f>
        <v/>
      </c>
      <c r="Y360" s="99" t="inlineStr">
        <is>
          <t>2BIS/1BIS/4BIS/1N</t>
        </is>
      </c>
      <c r="AA360" s="98" t="n"/>
      <c r="AB360" s="98" t="n"/>
      <c r="AC360" s="98" t="n"/>
      <c r="AD360" s="98" t="n"/>
      <c r="AE360" s="98" t="n"/>
      <c r="AF360" s="98" t="n"/>
      <c r="AG360" s="98" t="n"/>
      <c r="AH360" s="98" t="n"/>
      <c r="AI360" s="98" t="n"/>
      <c r="AJ360" s="98" t="n"/>
      <c r="AK360" s="98" t="n"/>
      <c r="AL360" s="98" t="n"/>
      <c r="AM360" s="98" t="n"/>
      <c r="AN360" s="98" t="n"/>
      <c r="AO360" s="98" t="n"/>
      <c r="AP360" s="98" t="n"/>
      <c r="AQ360" s="98" t="n"/>
      <c r="AR360" s="98" t="n"/>
      <c r="AS360" s="98" t="n"/>
      <c r="AT360" s="98" t="n"/>
      <c r="AU360" s="98" t="n"/>
      <c r="AV360" s="98" t="n"/>
      <c r="AW360" s="98" t="n"/>
      <c r="AX360" s="98" t="n"/>
      <c r="AY360" s="98" t="n"/>
      <c r="AZ360" s="98" t="n"/>
      <c r="BA360" s="98" t="n"/>
      <c r="BB360" s="98" t="n"/>
      <c r="BC360" s="98" t="n"/>
      <c r="BD360" s="98" t="n"/>
      <c r="BE360" s="98" t="n"/>
      <c r="BF360" s="98" t="n"/>
      <c r="BG360" s="98" t="n"/>
      <c r="BH360" s="98" t="n"/>
      <c r="BI360" s="98" t="n"/>
      <c r="BJ360" s="98" t="n"/>
      <c r="BK360" s="98" t="n"/>
      <c r="BL360" s="98" t="n"/>
      <c r="BM360" s="98" t="n"/>
      <c r="BN360" s="98" t="n"/>
      <c r="BO360" s="98" t="n"/>
      <c r="BP360" s="98" t="n"/>
      <c r="BQ360" s="98" t="n"/>
      <c r="BR360" s="98" t="n"/>
      <c r="BS360" s="97" t="inlineStr">
        <is>
          <t>CHANGE DU POSTE 2BIS VERS LA RADE LE 23/06- 0026 // RE-ACCOSTAGE AU POSTE 1BIS LE 26/06- 2150 // CHANGE DU POSTE 1BIS VERS POSTE 4BIS LE 27/06 -1818 // CHANGE DU POSTE 4BIS VERS LE POSTE 1N LE 29/06- 1500</t>
        </is>
      </c>
      <c r="BT360" s="99" t="n">
        <v>4</v>
      </c>
      <c r="BU360" s="99" t="n"/>
      <c r="BV360" s="99" t="n"/>
      <c r="CB360" s="14" t="n"/>
    </row>
    <row r="361" ht="14.55" customHeight="1" s="70">
      <c r="A361" s="81" t="n">
        <v>240</v>
      </c>
      <c r="B361" s="343" t="inlineStr">
        <is>
          <t>AVRA GR</t>
        </is>
      </c>
      <c r="C361" s="15" t="n">
        <v>45839</v>
      </c>
      <c r="D361" s="329" t="n">
        <v>21428</v>
      </c>
      <c r="E361" s="333">
        <f>D361+D362</f>
        <v/>
      </c>
      <c r="G361" s="81" t="n">
        <v>2</v>
      </c>
      <c r="H361" s="75" t="inlineStr">
        <is>
          <t>TSP</t>
        </is>
      </c>
      <c r="I361" s="306" t="inlineStr">
        <is>
          <t xml:space="preserve">TSP SPECIAL JORF </t>
        </is>
      </c>
      <c r="J361" s="75" t="inlineStr">
        <is>
          <t>CFR</t>
        </is>
      </c>
      <c r="Q361" s="75" t="inlineStr">
        <is>
          <t>AMERIQUE LATINE</t>
        </is>
      </c>
      <c r="R361" s="75" t="inlineStr">
        <is>
          <t>BRESIL</t>
        </is>
      </c>
      <c r="T361" s="75" t="inlineStr">
        <is>
          <t>INSPECTORATE</t>
        </is>
      </c>
      <c r="U361" s="81" t="n">
        <v>180</v>
      </c>
      <c r="V361" s="53">
        <f>IF(U361&lt;130, "Mini Bulker", IF(AND(U361&gt;=130, U361&lt;150), "Handysize", IF(AND(U361&gt;=150, U361&lt;200), "Handymax", IF(AND(U361&gt;=200, U361&lt;230), "Panamax", IF(AND(U361&gt;=230, U361&lt;=270), "Capesize", "Autre")))))</f>
        <v/>
      </c>
      <c r="X361" s="14">
        <f>IF(E361&lt;9999,"1",IF(E361&lt;19999,"2",IF(E361&lt;29999,"3",IF(E361&lt;39999,"4",IF(E361&lt;49999,"5",IF(E361&gt;50000,"6"))))))</f>
        <v/>
      </c>
      <c r="Y361" s="99" t="inlineStr">
        <is>
          <t>2BIS</t>
        </is>
      </c>
      <c r="AA361" s="26" t="n">
        <v>45832.08333333334</v>
      </c>
      <c r="AB361" s="26" t="n">
        <v>45832.375</v>
      </c>
      <c r="AC361" s="15" t="n">
        <v>45831</v>
      </c>
      <c r="AD361" s="15" t="n">
        <v>45833</v>
      </c>
      <c r="AE361" s="26" t="n">
        <v>45832.025</v>
      </c>
      <c r="AF361" s="26" t="n">
        <v>45835.83333333334</v>
      </c>
      <c r="AG361" s="26" t="n">
        <v>45835.875</v>
      </c>
      <c r="AH361" s="26" t="n">
        <v>45835.88194444445</v>
      </c>
      <c r="AI361" s="26" t="n">
        <v>45835.94444444445</v>
      </c>
      <c r="AJ361" s="26" t="n">
        <v>45836.01041666666</v>
      </c>
      <c r="AK361" s="26" t="n">
        <v>45839.08333333334</v>
      </c>
      <c r="AL361" s="26" t="n">
        <v>45839.11805555555</v>
      </c>
      <c r="AM361" s="26" t="n">
        <v>45839.15277777778</v>
      </c>
      <c r="AN361" s="26" t="n">
        <v>45839.20138888889</v>
      </c>
      <c r="AO361" s="26" t="n">
        <v>45839.20833333334</v>
      </c>
      <c r="AP361" s="20">
        <f>(AG361-AF361)*1440</f>
        <v/>
      </c>
      <c r="AQ361" s="20">
        <f>(AG361-AE361)*1440</f>
        <v/>
      </c>
      <c r="AR361" s="20">
        <f>(AH361-AF361)*1440</f>
        <v/>
      </c>
      <c r="AS361" s="20">
        <f>(AI361-AH361)*1440</f>
        <v/>
      </c>
      <c r="AT361" s="20">
        <f>(AJ361-AH361)*1440</f>
        <v/>
      </c>
      <c r="AU361" s="20">
        <f>(AL361-AK361)*1440</f>
        <v/>
      </c>
      <c r="AV361" s="20">
        <f>(AM361-AL361)*1440</f>
        <v/>
      </c>
      <c r="AW361" s="20">
        <f>(AO361-AM361)*1440</f>
        <v/>
      </c>
      <c r="AX361" s="19">
        <f>AP361+AS361+AU361+AV361+AW361</f>
        <v/>
      </c>
      <c r="AY361" s="18">
        <f>(AG361-AA361)</f>
        <v/>
      </c>
      <c r="AZ361" s="18">
        <f>(AK361-AJ361)</f>
        <v/>
      </c>
      <c r="BA361" s="18">
        <f>AO361-AG361</f>
        <v/>
      </c>
      <c r="BB361" s="18">
        <f>(AO361-AA361)-(AP361/1440)-(AW361/1440)</f>
        <v/>
      </c>
      <c r="BC361" s="20">
        <f>E361/AZ361</f>
        <v/>
      </c>
      <c r="BE361" s="20">
        <f>IF(E361&lt;10000,3000,IF(E361&lt;15000,3600,IF(E361&lt;20000,4500,IF(E361&lt;25000,6000,IF(E361&lt;30000,7500,IF(E361&lt;40000,9000,IF(E361&gt;40000,10000)))))))</f>
        <v/>
      </c>
      <c r="BF361" s="334">
        <f>(E361/BE361)+2</f>
        <v/>
      </c>
      <c r="BS361" s="97" t="inlineStr">
        <is>
          <t>NUL</t>
        </is>
      </c>
      <c r="BT361" s="99" t="n">
        <v>0</v>
      </c>
      <c r="BU361" s="99" t="inlineStr">
        <is>
          <t>CLEAN</t>
        </is>
      </c>
      <c r="BV361" s="99" t="n"/>
      <c r="BW361" s="332">
        <f>AI362-AH362</f>
        <v/>
      </c>
      <c r="CB361" s="14" t="n">
        <v>21547</v>
      </c>
    </row>
    <row r="362" ht="15" customHeight="1" s="70">
      <c r="A362" s="81" t="n"/>
      <c r="B362" s="343" t="inlineStr">
        <is>
          <t>AVRA GR</t>
        </is>
      </c>
      <c r="C362" s="15" t="n">
        <v>45839</v>
      </c>
      <c r="D362" s="329" t="n">
        <v>12210</v>
      </c>
      <c r="E362" s="330" t="n"/>
      <c r="G362" s="81" t="n">
        <v>2</v>
      </c>
      <c r="H362" s="75" t="inlineStr">
        <is>
          <t>MAP</t>
        </is>
      </c>
      <c r="I362" s="306" t="inlineStr">
        <is>
          <t xml:space="preserve">MAP 11 52 SPECIAL </t>
        </is>
      </c>
      <c r="J362" s="75" t="inlineStr">
        <is>
          <t>CFR</t>
        </is>
      </c>
      <c r="Q362" s="75" t="inlineStr">
        <is>
          <t>AMERIQUE LATINE</t>
        </is>
      </c>
      <c r="R362" s="75" t="inlineStr">
        <is>
          <t>BRESIL</t>
        </is>
      </c>
      <c r="T362" s="75" t="inlineStr">
        <is>
          <t>INSPECTORATE</t>
        </is>
      </c>
      <c r="U362" s="81" t="n">
        <v>180</v>
      </c>
      <c r="V362" s="53">
        <f>IF(U362&lt;130, "Mini Bulker", IF(AND(U362&gt;=130, U362&lt;150), "Handysize", IF(AND(U362&gt;=150, U362&lt;200), "Handymax", IF(AND(U362&gt;=200, U362&lt;230), "Panamax", IF(AND(U362&gt;=230, U362&lt;=270), "Capesize", "Autre")))))</f>
        <v/>
      </c>
      <c r="X362" s="14">
        <f>IF(E362&lt;9999,"1",IF(E362&lt;19999,"2",IF(E362&lt;29999,"3",IF(E362&lt;39999,"4",IF(E362&lt;49999,"5",IF(E362&gt;50000,"6"))))))</f>
        <v/>
      </c>
      <c r="Y362" s="99" t="inlineStr">
        <is>
          <t>2BIS</t>
        </is>
      </c>
      <c r="AA362" s="98" t="n"/>
      <c r="AB362" s="98" t="n"/>
      <c r="AC362" s="98" t="n"/>
      <c r="AD362" s="98" t="n"/>
      <c r="AE362" s="98" t="n"/>
      <c r="AF362" s="98" t="n"/>
      <c r="AG362" s="98" t="n"/>
      <c r="AH362" s="98" t="n"/>
      <c r="AI362" s="98" t="n"/>
      <c r="AJ362" s="98" t="n"/>
      <c r="AK362" s="98" t="n"/>
      <c r="AL362" s="98" t="n"/>
      <c r="AM362" s="98" t="n"/>
      <c r="AN362" s="98" t="n"/>
      <c r="AO362" s="98" t="n"/>
      <c r="AP362" s="98" t="n"/>
      <c r="AQ362" s="98" t="n"/>
      <c r="AR362" s="98" t="n"/>
      <c r="AS362" s="98" t="n"/>
      <c r="AT362" s="98" t="n"/>
      <c r="AU362" s="98" t="n"/>
      <c r="AV362" s="98" t="n"/>
      <c r="AW362" s="98" t="n"/>
      <c r="AX362" s="98" t="n"/>
      <c r="AY362" s="98" t="n"/>
      <c r="AZ362" s="98" t="n"/>
      <c r="BA362" s="98" t="n"/>
      <c r="BB362" s="98" t="n"/>
      <c r="BC362" s="98" t="n"/>
      <c r="BD362" s="98" t="n"/>
      <c r="BE362" s="98" t="n"/>
      <c r="BF362" s="98" t="n"/>
      <c r="BG362" s="98" t="n"/>
      <c r="BH362" s="98" t="n"/>
      <c r="BI362" s="98" t="n"/>
      <c r="BJ362" s="98" t="n"/>
      <c r="BK362" s="98" t="n"/>
      <c r="BL362" s="98" t="n"/>
      <c r="BM362" s="98" t="n"/>
      <c r="BN362" s="98" t="n"/>
      <c r="BO362" s="98" t="n"/>
      <c r="BP362" s="98" t="n"/>
      <c r="BQ362" s="98" t="n"/>
      <c r="BR362" s="98" t="n"/>
      <c r="BS362" s="97" t="inlineStr">
        <is>
          <t>NUL</t>
        </is>
      </c>
      <c r="BT362" s="99" t="n">
        <v>0</v>
      </c>
      <c r="BU362" s="99" t="n"/>
      <c r="BV362" s="99" t="n"/>
      <c r="CB362" s="14" t="n"/>
    </row>
    <row r="363" ht="14.55" customHeight="1" s="70">
      <c r="A363" s="81" t="n">
        <v>245</v>
      </c>
      <c r="B363" s="343" t="inlineStr">
        <is>
          <t>ERLYNE</t>
        </is>
      </c>
      <c r="C363" s="15" t="n">
        <v>45840</v>
      </c>
      <c r="D363" s="329" t="n">
        <v>24500</v>
      </c>
      <c r="E363" s="333">
        <f>D363+D364+D365</f>
        <v/>
      </c>
      <c r="G363" s="81" t="n">
        <v>3</v>
      </c>
      <c r="H363" s="75" t="inlineStr">
        <is>
          <t>NPS</t>
        </is>
      </c>
      <c r="I363" s="306" t="inlineStr">
        <is>
          <t xml:space="preserve">NPSB 18.9N 37.7P2O5 6.95S 0.1B Kenya </t>
        </is>
      </c>
      <c r="J363" s="75" t="inlineStr">
        <is>
          <t>CFR</t>
        </is>
      </c>
      <c r="Q363" s="75" t="inlineStr">
        <is>
          <t>AFRIQUE</t>
        </is>
      </c>
      <c r="R363" s="75" t="inlineStr">
        <is>
          <t xml:space="preserve">KENYA </t>
        </is>
      </c>
      <c r="S363" s="75" t="inlineStr">
        <is>
          <t>SGS</t>
        </is>
      </c>
      <c r="T363" s="75" t="inlineStr">
        <is>
          <t>INTERTEK</t>
        </is>
      </c>
      <c r="U363" s="81" t="n">
        <v>189</v>
      </c>
      <c r="V363" s="53">
        <f>IF(U363&lt;130, "Mini Bulker", IF(AND(U363&gt;=130, U363&lt;150), "Handysize", IF(AND(U363&gt;=150, U363&lt;200), "Handymax", IF(AND(U363&gt;=200, U363&lt;230), "Panamax", IF(AND(U363&gt;=230, U363&lt;=270), "Capesize", "Autre")))))</f>
        <v/>
      </c>
      <c r="X363" s="14">
        <f>IF(E363&lt;9999,"1",IF(E363&lt;19999,"2",IF(E363&lt;29999,"3",IF(E363&lt;39999,"4",IF(E363&lt;49999,"5",IF(E363&gt;50000,"6"))))))</f>
        <v/>
      </c>
      <c r="Y363" s="99" t="inlineStr">
        <is>
          <t>2BIS/1BIS/1TER</t>
        </is>
      </c>
      <c r="AA363" s="26" t="n">
        <v>45832.77083333334</v>
      </c>
      <c r="AB363" s="26" t="n">
        <v>45833.375</v>
      </c>
      <c r="AC363" s="15" t="n">
        <v>45832</v>
      </c>
      <c r="AD363" s="15" t="n">
        <v>45832</v>
      </c>
      <c r="AE363" s="26" t="n">
        <v>45832.77083333334</v>
      </c>
      <c r="AF363" s="26" t="n">
        <v>45833.73333333333</v>
      </c>
      <c r="AG363" s="26" t="n">
        <v>45833.8125</v>
      </c>
      <c r="AH363" s="26" t="n">
        <v>45833.82638888889</v>
      </c>
      <c r="AI363" s="26" t="n">
        <v>45834.00694444445</v>
      </c>
      <c r="AJ363" s="26" t="n">
        <v>45834.08333333334</v>
      </c>
      <c r="AK363" s="26" t="n">
        <v>45840.39236111111</v>
      </c>
      <c r="AL363" s="26" t="n">
        <v>45840.43055555555</v>
      </c>
      <c r="AM363" s="26" t="n">
        <v>45840.4375</v>
      </c>
      <c r="AN363" s="26" t="n">
        <v>45840.48194444444</v>
      </c>
      <c r="AO363" s="26" t="n">
        <v>45840.53472222222</v>
      </c>
      <c r="AP363" s="20">
        <f>(AG363-AF363)*1440</f>
        <v/>
      </c>
      <c r="AQ363" s="20">
        <f>(AG363-AE363)*1440</f>
        <v/>
      </c>
      <c r="AR363" s="20">
        <f>(AH363-AF363)*1440</f>
        <v/>
      </c>
      <c r="AS363" s="20">
        <f>(AI363-AH363)*1440</f>
        <v/>
      </c>
      <c r="AT363" s="20">
        <f>(AJ363-AH363)*1440</f>
        <v/>
      </c>
      <c r="AU363" s="20">
        <f>(AL363-AK363)*1440</f>
        <v/>
      </c>
      <c r="AV363" s="20">
        <f>(AM363-AL363)*1440</f>
        <v/>
      </c>
      <c r="AW363" s="20">
        <f>(AO363-AM363)*1440</f>
        <v/>
      </c>
      <c r="AX363" s="19">
        <f>AP363+AS363+AU363+AV363+AW363</f>
        <v/>
      </c>
      <c r="AY363" s="18">
        <f>(AG363-AA363)</f>
        <v/>
      </c>
      <c r="AZ363" s="18">
        <f>(AK363-AJ363)</f>
        <v/>
      </c>
      <c r="BA363" s="18">
        <f>AO363-AG363</f>
        <v/>
      </c>
      <c r="BB363" s="18">
        <f>(AO363-AA363)-(AP363/1440)-(AW363/1440)</f>
        <v/>
      </c>
      <c r="BC363" s="20">
        <f>E363/AZ363</f>
        <v/>
      </c>
      <c r="BE363" s="20">
        <f>IF(E363&lt;10000,3000,IF(E363&lt;15000,3600,IF(E363&lt;20000,4500,IF(E363&lt;25000,6000,IF(E363&lt;30000,7500,IF(E363&lt;40000,9000,IF(E363&gt;40000,10000)))))))</f>
        <v/>
      </c>
      <c r="BF363" s="334">
        <f>(E363/BE363)+2</f>
        <v/>
      </c>
      <c r="BS363" s="97" t="inlineStr">
        <is>
          <t>CHANGE DU POSTE 2BIS VERS POSTE 1BIS LE 27/06- 2000 // CHANGE DU POSTE 1BIS VERS POSTE 1TER LE 28/06- 1400</t>
        </is>
      </c>
      <c r="BT363" s="99" t="n">
        <v>2</v>
      </c>
      <c r="BU363" s="99" t="inlineStr">
        <is>
          <t>NON CLEAN</t>
        </is>
      </c>
      <c r="BV363" s="99" t="inlineStr">
        <is>
          <t>WATER/CHARBON</t>
        </is>
      </c>
      <c r="BW363" s="332">
        <f>AI364-AH364</f>
        <v/>
      </c>
      <c r="CB363" s="14" t="n">
        <v>30351</v>
      </c>
    </row>
    <row r="364" ht="15" customHeight="1" s="70">
      <c r="A364" s="81" t="n"/>
      <c r="B364" s="343" t="inlineStr">
        <is>
          <t>ERLYNE</t>
        </is>
      </c>
      <c r="C364" s="15" t="n">
        <v>45840</v>
      </c>
      <c r="D364" s="329" t="n">
        <v>5500</v>
      </c>
      <c r="E364" s="330" t="n"/>
      <c r="G364" s="81" t="n">
        <v>3</v>
      </c>
      <c r="H364" s="75" t="inlineStr">
        <is>
          <t>NPS</t>
        </is>
      </c>
      <c r="I364" s="306" t="inlineStr">
        <is>
          <t>NPS 19 38 7S</t>
        </is>
      </c>
      <c r="J364" s="75" t="inlineStr">
        <is>
          <t>CFR</t>
        </is>
      </c>
      <c r="Q364" s="75" t="inlineStr">
        <is>
          <t>AFRIQUE</t>
        </is>
      </c>
      <c r="R364" s="75" t="inlineStr">
        <is>
          <t xml:space="preserve">KENYA </t>
        </is>
      </c>
      <c r="S364" s="75" t="n"/>
      <c r="T364" s="75" t="inlineStr">
        <is>
          <t>INTERTEK</t>
        </is>
      </c>
      <c r="U364" s="81" t="n">
        <v>189</v>
      </c>
      <c r="V364" s="53">
        <f>IF(U364&lt;130, "Mini Bulker", IF(AND(U364&gt;=130, U364&lt;150), "Handysize", IF(AND(U364&gt;=150, U364&lt;200), "Handymax", IF(AND(U364&gt;=200, U364&lt;230), "Panamax", IF(AND(U364&gt;=230, U364&lt;=270), "Capesize", "Autre")))))</f>
        <v/>
      </c>
      <c r="X364" s="14">
        <f>IF(E364&lt;9999,"1",IF(E364&lt;19999,"2",IF(E364&lt;29999,"3",IF(E364&lt;39999,"4",IF(E364&lt;49999,"5",IF(E364&gt;50000,"6"))))))</f>
        <v/>
      </c>
      <c r="Y364" s="99" t="inlineStr">
        <is>
          <t>2BIS/1BIS/1TER</t>
        </is>
      </c>
      <c r="AA364" s="218" t="n"/>
      <c r="AB364" s="218" t="n"/>
      <c r="AC364" s="98" t="n"/>
      <c r="AD364" s="98" t="n"/>
      <c r="AE364" s="218" t="n"/>
      <c r="AF364" s="218" t="n"/>
      <c r="AG364" s="218" t="n"/>
      <c r="AH364" s="218" t="n"/>
      <c r="AI364" s="218" t="n"/>
      <c r="AJ364" s="218" t="n"/>
      <c r="AK364" s="218" t="n"/>
      <c r="AL364" s="218" t="n"/>
      <c r="AM364" s="218" t="n"/>
      <c r="AN364" s="218" t="n"/>
      <c r="AO364" s="218" t="n"/>
      <c r="AP364" s="98" t="n"/>
      <c r="AQ364" s="98" t="n"/>
      <c r="AR364" s="98" t="n"/>
      <c r="AS364" s="98" t="n"/>
      <c r="AT364" s="98" t="n"/>
      <c r="AU364" s="98" t="n"/>
      <c r="AV364" s="98" t="n"/>
      <c r="AW364" s="98" t="n"/>
      <c r="AX364" s="98" t="n"/>
      <c r="AY364" s="98" t="n"/>
      <c r="AZ364" s="98" t="n"/>
      <c r="BA364" s="98" t="n"/>
      <c r="BB364" s="98" t="n"/>
      <c r="BC364" s="98" t="n"/>
      <c r="BD364" s="220" t="n"/>
      <c r="BE364" s="98" t="n"/>
      <c r="BF364" s="98" t="n"/>
      <c r="BG364" s="220" t="n"/>
      <c r="BH364" s="220" t="n"/>
      <c r="BI364" s="220" t="n"/>
      <c r="BJ364" s="220" t="n"/>
      <c r="BK364" s="220" t="n"/>
      <c r="BL364" s="220" t="n"/>
      <c r="BM364" s="220" t="n"/>
      <c r="BN364" s="220" t="n"/>
      <c r="BO364" s="220" t="n"/>
      <c r="BP364" s="220" t="n"/>
      <c r="BQ364" s="220" t="n"/>
      <c r="BR364" s="220" t="n"/>
      <c r="BS364" s="97" t="n"/>
      <c r="BT364" s="99" t="n"/>
      <c r="BU364" s="99" t="n"/>
      <c r="BV364" s="99" t="n"/>
      <c r="BW364" s="208" t="n"/>
      <c r="CB364" s="14" t="n"/>
    </row>
    <row r="365" ht="15" customHeight="1" s="70">
      <c r="A365" s="81" t="n"/>
      <c r="B365" s="343" t="inlineStr">
        <is>
          <t>ERLYNE</t>
        </is>
      </c>
      <c r="C365" s="15" t="n">
        <v>45840</v>
      </c>
      <c r="D365" s="329" t="n">
        <v>6600</v>
      </c>
      <c r="E365" s="330" t="n"/>
      <c r="G365" s="81" t="n">
        <v>3</v>
      </c>
      <c r="H365" s="75" t="inlineStr">
        <is>
          <t>DAP</t>
        </is>
      </c>
      <c r="I365" s="306" t="inlineStr">
        <is>
          <t>DAP Tanzanie</t>
        </is>
      </c>
      <c r="J365" s="75" t="inlineStr">
        <is>
          <t>CFR</t>
        </is>
      </c>
      <c r="Q365" s="75" t="inlineStr">
        <is>
          <t>AFRIQUE</t>
        </is>
      </c>
      <c r="R365" s="75" t="inlineStr">
        <is>
          <t xml:space="preserve">KENYA </t>
        </is>
      </c>
      <c r="T365" s="75" t="inlineStr">
        <is>
          <t>INTERTEK</t>
        </is>
      </c>
      <c r="U365" s="81" t="n">
        <v>189</v>
      </c>
      <c r="V365" s="53">
        <f>IF(U365&lt;130, "Mini Bulker", IF(AND(U365&gt;=130, U365&lt;150), "Handysize", IF(AND(U365&gt;=150, U365&lt;200), "Handymax", IF(AND(U365&gt;=200, U365&lt;230), "Panamax", IF(AND(U365&gt;=230, U365&lt;=270), "Capesize", "Autre")))))</f>
        <v/>
      </c>
      <c r="X365" s="14">
        <f>IF(E365&lt;9999,"1",IF(E365&lt;19999,"2",IF(E365&lt;29999,"3",IF(E365&lt;39999,"4",IF(E365&lt;49999,"5",IF(E365&gt;50000,"6"))))))</f>
        <v/>
      </c>
      <c r="Y365" s="99" t="inlineStr">
        <is>
          <t>2BIS/1BIS/1TER</t>
        </is>
      </c>
      <c r="AA365" s="98" t="n"/>
      <c r="AB365" s="98" t="n"/>
      <c r="AC365" s="98" t="n"/>
      <c r="AD365" s="98" t="n"/>
      <c r="AE365" s="98" t="n"/>
      <c r="AF365" s="98" t="n"/>
      <c r="AG365" s="98" t="n"/>
      <c r="AH365" s="98" t="n"/>
      <c r="AI365" s="98" t="n"/>
      <c r="AJ365" s="98" t="n"/>
      <c r="AK365" s="98" t="n"/>
      <c r="AL365" s="98" t="n"/>
      <c r="AM365" s="98" t="n"/>
      <c r="AN365" s="98" t="n"/>
      <c r="AO365" s="98" t="n"/>
      <c r="AP365" s="98" t="n"/>
      <c r="AQ365" s="98" t="n"/>
      <c r="AR365" s="98" t="n"/>
      <c r="AS365" s="98" t="n"/>
      <c r="AT365" s="98" t="n"/>
      <c r="AU365" s="98" t="n"/>
      <c r="AV365" s="98" t="n"/>
      <c r="AW365" s="98" t="n"/>
      <c r="AX365" s="98" t="n"/>
      <c r="AY365" s="98" t="n"/>
      <c r="AZ365" s="98" t="n"/>
      <c r="BA365" s="98" t="n"/>
      <c r="BB365" s="98" t="n"/>
      <c r="BC365" s="98" t="n"/>
      <c r="BD365" s="98" t="n"/>
      <c r="BE365" s="98" t="n"/>
      <c r="BF365" s="98" t="n"/>
      <c r="BG365" s="98" t="n"/>
      <c r="BH365" s="98" t="n"/>
      <c r="BI365" s="98" t="n"/>
      <c r="BJ365" s="98" t="n"/>
      <c r="BK365" s="98" t="n"/>
      <c r="BL365" s="98" t="n"/>
      <c r="BM365" s="98" t="n"/>
      <c r="BN365" s="98" t="n"/>
      <c r="BO365" s="98" t="n"/>
      <c r="BP365" s="98" t="n"/>
      <c r="BQ365" s="98" t="n"/>
      <c r="BR365" s="98" t="n"/>
      <c r="BS365" s="97" t="n"/>
      <c r="BT365" s="99" t="n"/>
      <c r="BU365" s="99" t="n"/>
      <c r="BV365" s="99" t="n"/>
      <c r="CB365" s="14" t="n"/>
    </row>
    <row r="366" ht="14.55" customHeight="1" s="70">
      <c r="A366" s="81" t="n">
        <v>244</v>
      </c>
      <c r="B366" s="343" t="inlineStr">
        <is>
          <t>WAGON B</t>
        </is>
      </c>
      <c r="C366" s="15" t="n">
        <v>45840</v>
      </c>
      <c r="D366" s="329" t="n">
        <v>2141</v>
      </c>
      <c r="E366" s="333">
        <f>D366+D367</f>
        <v/>
      </c>
      <c r="G366" s="81" t="n">
        <v>2</v>
      </c>
      <c r="H366" s="75" t="inlineStr">
        <is>
          <t>MAP</t>
        </is>
      </c>
      <c r="I366" s="306" t="inlineStr">
        <is>
          <t xml:space="preserve">MAP 11 52 Special Low Cd </t>
        </is>
      </c>
      <c r="J366" s="75" t="inlineStr">
        <is>
          <t>FOB</t>
        </is>
      </c>
      <c r="Q366" s="75" t="inlineStr">
        <is>
          <t>EUROPE</t>
        </is>
      </c>
      <c r="R366" s="75" t="inlineStr">
        <is>
          <t>SWEDEN</t>
        </is>
      </c>
      <c r="S366" s="75" t="n"/>
      <c r="T366" s="75" t="inlineStr">
        <is>
          <t>INSPECTORATE</t>
        </is>
      </c>
      <c r="U366" s="81" t="n">
        <v>90</v>
      </c>
      <c r="V366" s="53">
        <f>IF(U366&lt;130, "Mini Bulker", IF(AND(U366&gt;=130, U366&lt;150), "Handysize", IF(AND(U366&gt;=150, U366&lt;200), "Handymax", IF(AND(U366&gt;=200, U366&lt;230), "Panamax", IF(AND(U366&gt;=230, U366&lt;=270), "Capesize", "Autre")))))</f>
        <v/>
      </c>
      <c r="X366" s="14">
        <f>IF(E366&lt;9999,"1",IF(E366&lt;19999,"2",IF(E366&lt;29999,"3",IF(E366&lt;39999,"4",IF(E366&lt;49999,"5",IF(E366&gt;50000,"6"))))))</f>
        <v/>
      </c>
      <c r="Y366" s="97" t="inlineStr">
        <is>
          <t>1N/2TER</t>
        </is>
      </c>
      <c r="AA366" s="26" t="n">
        <v>45831.19444444445</v>
      </c>
      <c r="AB366" s="26" t="n">
        <v>45831.375</v>
      </c>
      <c r="AC366" s="15" t="n">
        <v>45828</v>
      </c>
      <c r="AD366" s="15" t="n">
        <v>45831</v>
      </c>
      <c r="AE366" s="26" t="n">
        <v>45831.19444444445</v>
      </c>
      <c r="AF366" s="26" t="n">
        <v>45837.175</v>
      </c>
      <c r="AG366" s="26" t="n">
        <v>45837.21875</v>
      </c>
      <c r="AH366" s="26" t="n">
        <v>45837.22916666666</v>
      </c>
      <c r="AI366" s="26" t="n">
        <v>45838.51388888889</v>
      </c>
      <c r="AJ366" s="26" t="n">
        <v>45838.6875</v>
      </c>
      <c r="AK366" s="26" t="n">
        <v>45840.91666666666</v>
      </c>
      <c r="AL366" s="26" t="n">
        <v>45840.95833333334</v>
      </c>
      <c r="AM366" s="26" t="n">
        <v>45841.00694444445</v>
      </c>
      <c r="AN366" s="26" t="n">
        <v>45841.0625</v>
      </c>
      <c r="AO366" s="26" t="n">
        <v>45841.07916666667</v>
      </c>
      <c r="AP366" s="20">
        <f>(AG366-AF366)*1440</f>
        <v/>
      </c>
      <c r="AQ366" s="20">
        <f>(AG366-AE366)*1440</f>
        <v/>
      </c>
      <c r="AR366" s="20">
        <f>(AH366-AF366)*1440</f>
        <v/>
      </c>
      <c r="AS366" s="20">
        <f>(AI366-AH366)*1440</f>
        <v/>
      </c>
      <c r="AT366" s="20">
        <f>(AJ366-AH366)*1440</f>
        <v/>
      </c>
      <c r="AU366" s="20">
        <f>(AL366-AK366)*1440</f>
        <v/>
      </c>
      <c r="AV366" s="20">
        <f>(AM366-AL366)*1440</f>
        <v/>
      </c>
      <c r="AW366" s="20">
        <f>(AO366-AM366)*1440</f>
        <v/>
      </c>
      <c r="AX366" s="19">
        <f>AP366+AS366+AU366+AV366+AW366</f>
        <v/>
      </c>
      <c r="AY366" s="18">
        <f>(AG366-AA366)</f>
        <v/>
      </c>
      <c r="AZ366" s="18">
        <f>(AK366-AJ366)</f>
        <v/>
      </c>
      <c r="BA366" s="18">
        <f>AO366-AG366</f>
        <v/>
      </c>
      <c r="BB366" s="18">
        <f>(AO366-AA366)-(AP366/1440)-(AW366/1440)</f>
        <v/>
      </c>
      <c r="BC366" s="20">
        <f>E366/AZ366</f>
        <v/>
      </c>
      <c r="BE366" s="20">
        <f>IF(E366&lt;10000,3000,IF(E366&lt;15000,3600,IF(E366&lt;20000,4500,IF(E366&lt;25000,6000,IF(E366&lt;30000,7500,IF(E366&lt;40000,9000,IF(E366&gt;40000,10000)))))))</f>
        <v/>
      </c>
      <c r="BF366" s="334">
        <f>(E366/BE366)+2</f>
        <v/>
      </c>
      <c r="BS366" s="97" t="inlineStr">
        <is>
          <t>CHANGE DU POSTE 1N VERS LE POSTE 2TER LE 29/06- 1404</t>
        </is>
      </c>
      <c r="BT366" s="99" t="n">
        <v>1</v>
      </c>
      <c r="BU366" s="99" t="inlineStr">
        <is>
          <t>NON CLEAN</t>
        </is>
      </c>
      <c r="BV366" s="99" t="inlineStr">
        <is>
          <t>DEBALLASTING/WATER/HUMIDITY</t>
        </is>
      </c>
      <c r="BW366" s="332">
        <f>AI367-AH367</f>
        <v/>
      </c>
      <c r="CB366" s="14" t="n">
        <v>2846</v>
      </c>
    </row>
    <row r="367" ht="15" customHeight="1" s="70">
      <c r="A367" s="81" t="n"/>
      <c r="B367" s="343" t="inlineStr">
        <is>
          <t>WAGON B</t>
        </is>
      </c>
      <c r="C367" s="15" t="n">
        <v>45840</v>
      </c>
      <c r="D367" s="329" t="n">
        <v>2059</v>
      </c>
      <c r="E367" s="330" t="n"/>
      <c r="G367" s="81" t="n">
        <v>2</v>
      </c>
      <c r="H367" s="75" t="inlineStr">
        <is>
          <t>NPK</t>
        </is>
      </c>
      <c r="I367" s="306" t="inlineStr">
        <is>
          <t xml:space="preserve">NPK 15 15 15 </t>
        </is>
      </c>
      <c r="J367" s="75" t="inlineStr">
        <is>
          <t>FOB</t>
        </is>
      </c>
      <c r="Q367" s="75" t="inlineStr">
        <is>
          <t>EUROPE</t>
        </is>
      </c>
      <c r="R367" s="75" t="inlineStr">
        <is>
          <t>SWEDEN</t>
        </is>
      </c>
      <c r="S367" s="75" t="n"/>
      <c r="T367" s="75" t="inlineStr">
        <is>
          <t>INSPECTORATE</t>
        </is>
      </c>
      <c r="U367" s="81" t="n">
        <v>90</v>
      </c>
      <c r="V367" s="53">
        <f>IF(U367&lt;130, "Mini Bulker", IF(AND(U367&gt;=130, U367&lt;150), "Handysize", IF(AND(U367&gt;=150, U367&lt;200), "Handymax", IF(AND(U367&gt;=200, U367&lt;230), "Panamax", IF(AND(U367&gt;=230, U367&lt;=270), "Capesize", "Autre")))))</f>
        <v/>
      </c>
      <c r="X367" s="14">
        <f>IF(E367&lt;9999,"1",IF(E367&lt;19999,"2",IF(E367&lt;29999,"3",IF(E367&lt;39999,"4",IF(E367&lt;49999,"5",IF(E367&gt;50000,"6"))))))</f>
        <v/>
      </c>
      <c r="Y367" s="97" t="inlineStr">
        <is>
          <t>1N/2TER</t>
        </is>
      </c>
      <c r="AA367" s="98" t="n"/>
      <c r="AB367" s="98" t="n"/>
      <c r="AC367" s="98" t="n"/>
      <c r="AD367" s="98" t="n"/>
      <c r="AE367" s="98" t="n"/>
      <c r="AF367" s="98" t="n"/>
      <c r="AG367" s="98" t="n"/>
      <c r="AH367" s="98" t="n"/>
      <c r="AI367" s="98" t="n"/>
      <c r="AJ367" s="98" t="n"/>
      <c r="AK367" s="98" t="n"/>
      <c r="AL367" s="98" t="n"/>
      <c r="AM367" s="98" t="n"/>
      <c r="AN367" s="98" t="n"/>
      <c r="AO367" s="98" t="n"/>
      <c r="AP367" s="98" t="n"/>
      <c r="AQ367" s="98" t="n"/>
      <c r="AR367" s="98" t="n"/>
      <c r="AS367" s="98" t="n"/>
      <c r="AT367" s="98" t="n"/>
      <c r="AU367" s="98" t="n"/>
      <c r="AV367" s="98" t="n"/>
      <c r="AW367" s="98" t="n"/>
      <c r="AX367" s="98" t="n"/>
      <c r="AY367" s="98" t="n"/>
      <c r="AZ367" s="98" t="n"/>
      <c r="BA367" s="98" t="n"/>
      <c r="BB367" s="98" t="n"/>
      <c r="BC367" s="98" t="n"/>
      <c r="BD367" s="98" t="n"/>
      <c r="BE367" s="98" t="n"/>
      <c r="BF367" s="98" t="n"/>
      <c r="BG367" s="98" t="n"/>
      <c r="BH367" s="98" t="n"/>
      <c r="BI367" s="98" t="n"/>
      <c r="BJ367" s="98" t="n"/>
      <c r="BK367" s="98" t="n"/>
      <c r="BL367" s="98" t="n"/>
      <c r="BM367" s="98" t="n"/>
      <c r="BN367" s="98" t="n"/>
      <c r="BO367" s="98" t="n"/>
      <c r="BP367" s="98" t="n"/>
      <c r="BQ367" s="98" t="n"/>
      <c r="BR367" s="98" t="n"/>
      <c r="BS367" s="97" t="n"/>
      <c r="BT367" s="99" t="n"/>
      <c r="BU367" s="99" t="n"/>
      <c r="BV367" s="99" t="n"/>
      <c r="CB367" s="14" t="n"/>
    </row>
    <row r="368" ht="14.55" customHeight="1" s="70">
      <c r="A368" s="81" t="n">
        <v>241</v>
      </c>
      <c r="B368" s="343" t="inlineStr">
        <is>
          <t>ABYSSINIAN</t>
        </is>
      </c>
      <c r="C368" s="15" t="n">
        <v>45841</v>
      </c>
      <c r="D368" s="329" t="n">
        <v>33000</v>
      </c>
      <c r="E368" s="329" t="n">
        <v>33000</v>
      </c>
      <c r="G368" s="81" t="n">
        <v>1</v>
      </c>
      <c r="H368" s="75" t="inlineStr">
        <is>
          <t>MAP</t>
        </is>
      </c>
      <c r="I368" s="306" t="inlineStr">
        <is>
          <t>MAP 11 52 SPECIAL</t>
        </is>
      </c>
      <c r="J368" s="75" t="inlineStr">
        <is>
          <t>FOB</t>
        </is>
      </c>
      <c r="Q368" s="75" t="inlineStr">
        <is>
          <t>AMERIQUE LATINE</t>
        </is>
      </c>
      <c r="R368" s="75" t="inlineStr">
        <is>
          <t>BRAZIL</t>
        </is>
      </c>
      <c r="S368" s="75" t="n"/>
      <c r="T368" s="75" t="inlineStr">
        <is>
          <t>INSPECTORATE</t>
        </is>
      </c>
      <c r="U368" s="81" t="n">
        <v>606</v>
      </c>
      <c r="V368" s="53">
        <f>IF(U368&lt;130, "Mini Bulker", IF(AND(U368&gt;=130, U368&lt;150), "Handysize", IF(AND(U368&gt;=150, U368&lt;200), "Handymax", IF(AND(U368&gt;=200, U368&lt;230), "Panamax", IF(AND(U368&gt;=230, U368&lt;=270), "Capesize", "Autre")))))</f>
        <v/>
      </c>
      <c r="X368" s="14">
        <f>IF(E368&lt;9999,"1",IF(E368&lt;19999,"2",IF(E368&lt;29999,"3",IF(E368&lt;39999,"4",IF(E368&lt;49999,"5",IF(E368&gt;50000,"6"))))))</f>
        <v/>
      </c>
      <c r="Y368" s="99" t="inlineStr">
        <is>
          <t>2N</t>
        </is>
      </c>
      <c r="AA368" s="26" t="n">
        <v>45838.4875</v>
      </c>
      <c r="AB368" s="26" t="n">
        <v>45838.4875</v>
      </c>
      <c r="AC368" s="15" t="n">
        <v>45841</v>
      </c>
      <c r="AD368" s="15" t="n">
        <v>45845</v>
      </c>
      <c r="AE368" s="26" t="n">
        <v>45838.40833333333</v>
      </c>
      <c r="AF368" s="26" t="n">
        <v>45838.61111111111</v>
      </c>
      <c r="AG368" s="26" t="n">
        <v>45838.70833333334</v>
      </c>
      <c r="AH368" s="26" t="n">
        <v>45838.72222222222</v>
      </c>
      <c r="AI368" s="26" t="n">
        <v>45838.77777777778</v>
      </c>
      <c r="AJ368" s="26" t="n">
        <v>45838.87847222222</v>
      </c>
      <c r="AK368" s="26" t="n">
        <v>45841.30208333334</v>
      </c>
      <c r="AL368" s="26" t="n">
        <v>45841.34027777778</v>
      </c>
      <c r="AM368" s="26" t="n">
        <v>45841.34722222222</v>
      </c>
      <c r="AN368" s="26" t="n">
        <v>45841.39166666667</v>
      </c>
      <c r="AO368" s="26" t="n">
        <v>45841.42013888889</v>
      </c>
      <c r="AP368" s="20">
        <f>(AG368-AF368)*1440</f>
        <v/>
      </c>
      <c r="AQ368" s="20">
        <f>(AG368-AE368)*1440</f>
        <v/>
      </c>
      <c r="AR368" s="20">
        <f>(AH368-AF368)*1440</f>
        <v/>
      </c>
      <c r="AS368" s="20">
        <f>(AI368-AH368)*1440</f>
        <v/>
      </c>
      <c r="AT368" s="20">
        <f>(AJ368-AH368)*1440</f>
        <v/>
      </c>
      <c r="AU368" s="20">
        <f>(AL368-AK368)*1440</f>
        <v/>
      </c>
      <c r="AV368" s="20">
        <f>(AM368-AL368)*1440</f>
        <v/>
      </c>
      <c r="AW368" s="20">
        <f>(AO368-AM368)*1440</f>
        <v/>
      </c>
      <c r="AX368" s="19">
        <f>AP368+AS368+AU368+AV368+AW368</f>
        <v/>
      </c>
      <c r="AY368" s="18">
        <f>(AG368-AA368)</f>
        <v/>
      </c>
      <c r="AZ368" s="18">
        <f>(AK368-AJ368)</f>
        <v/>
      </c>
      <c r="BA368" s="18">
        <f>AO368-AG368</f>
        <v/>
      </c>
      <c r="BB368" s="18">
        <f>(AO368-AA368)-(AP368/1440)-(AW368/1440)</f>
        <v/>
      </c>
      <c r="BC368" s="20">
        <f>E368/AZ368</f>
        <v/>
      </c>
      <c r="BE368" s="20">
        <f>IF(E368&lt;10000,3000,IF(E368&lt;15000,3600,IF(E368&lt;20000,4500,IF(E368&lt;25000,6000,IF(E368&lt;30000,7500,IF(E368&lt;40000,9000,IF(E368&gt;40000,10000)))))))</f>
        <v/>
      </c>
      <c r="BF368" s="334">
        <f>(E368/BE368)+2</f>
        <v/>
      </c>
      <c r="BS368" s="97" t="inlineStr">
        <is>
          <t>NUL</t>
        </is>
      </c>
      <c r="BT368" s="99" t="n">
        <v>0</v>
      </c>
      <c r="BU368" s="99" t="inlineStr">
        <is>
          <t>NON CLEAN</t>
        </is>
      </c>
      <c r="BV368" s="99" t="inlineStr">
        <is>
          <t>WATER/HUMIDITY</t>
        </is>
      </c>
      <c r="BW368" s="332">
        <f>AI369-AH369</f>
        <v/>
      </c>
      <c r="CB368" s="14" t="n">
        <v>24247</v>
      </c>
    </row>
    <row r="369" ht="15" customHeight="1" s="70">
      <c r="A369" s="81" t="n">
        <v>242</v>
      </c>
      <c r="B369" s="343" t="inlineStr">
        <is>
          <t>LEM MARIGOLD</t>
        </is>
      </c>
      <c r="C369" s="15" t="n">
        <v>45841</v>
      </c>
      <c r="D369" s="329" t="n">
        <v>44000</v>
      </c>
      <c r="E369" s="333">
        <f>D369+D370</f>
        <v/>
      </c>
      <c r="G369" s="81" t="n">
        <v>2</v>
      </c>
      <c r="H369" s="75" t="inlineStr">
        <is>
          <t>DAP</t>
        </is>
      </c>
      <c r="I369" s="306" t="inlineStr">
        <is>
          <t xml:space="preserve">DAP STANDARD </t>
        </is>
      </c>
      <c r="J369" s="75" t="inlineStr">
        <is>
          <t>CFR</t>
        </is>
      </c>
      <c r="Q369" s="75" t="inlineStr">
        <is>
          <t>ASIE</t>
        </is>
      </c>
      <c r="R369" s="75" t="inlineStr">
        <is>
          <t>INDE</t>
        </is>
      </c>
      <c r="S369" s="75" t="n"/>
      <c r="T369" s="75" t="inlineStr">
        <is>
          <t>INTERTEK</t>
        </is>
      </c>
      <c r="U369" s="81" t="n">
        <v>200</v>
      </c>
      <c r="V369" s="53">
        <f>IF(U369&lt;130, "Mini Bulker", IF(AND(U369&gt;=130, U369&lt;150), "Handysize", IF(AND(U369&gt;=150, U369&lt;200), "Handymax", IF(AND(U369&gt;=200, U369&lt;230), "Panamax", IF(AND(U369&gt;=230, U369&lt;=270), "Capesize", "Autre")))))</f>
        <v/>
      </c>
      <c r="X369" s="14">
        <f>IF(E369&lt;9999,"1",IF(E369&lt;19999,"2",IF(E369&lt;29999,"3",IF(E369&lt;39999,"4",IF(E369&lt;49999,"5",IF(E369&gt;50000,"6"))))))</f>
        <v/>
      </c>
      <c r="Y369" s="99" t="inlineStr">
        <is>
          <t>1BIS</t>
        </is>
      </c>
      <c r="AA369" s="17" t="n">
        <v>45836.44583333333</v>
      </c>
      <c r="AB369" s="17" t="n">
        <v>45836.44583333333</v>
      </c>
      <c r="AC369" s="15" t="n">
        <v>45832</v>
      </c>
      <c r="AD369" s="15" t="n">
        <v>45832</v>
      </c>
      <c r="AE369" s="17" t="n">
        <v>45836.38333333333</v>
      </c>
      <c r="AF369" s="17" t="n">
        <v>45836.58333333334</v>
      </c>
      <c r="AG369" s="17" t="n">
        <v>45836.62916666667</v>
      </c>
      <c r="AH369" s="17" t="n">
        <v>45836.64930555555</v>
      </c>
      <c r="AI369" s="17" t="n">
        <v>45836.70833333334</v>
      </c>
      <c r="AJ369" s="17" t="n">
        <v>45836.78125</v>
      </c>
      <c r="AK369" s="17" t="n">
        <v>45841.01041666666</v>
      </c>
      <c r="AL369" s="17" t="n">
        <v>45841.04166666666</v>
      </c>
      <c r="AM369" s="17" t="n">
        <v>45841.0625</v>
      </c>
      <c r="AN369" s="17" t="n">
        <v>45841.09027777778</v>
      </c>
      <c r="AO369" s="17" t="n">
        <v>45841.39236111111</v>
      </c>
      <c r="AP369" s="20">
        <f>(AG369-AF369)*1440</f>
        <v/>
      </c>
      <c r="AQ369" s="20">
        <f>(AG369-AE369)*1440</f>
        <v/>
      </c>
      <c r="AR369" s="20">
        <f>(AH369-AF369)*1440</f>
        <v/>
      </c>
      <c r="AS369" s="20">
        <f>(AI369-AH369)*1440</f>
        <v/>
      </c>
      <c r="AT369" s="20">
        <f>(AJ369-AH369)*1440</f>
        <v/>
      </c>
      <c r="AU369" s="20">
        <f>(AL369-AK369)*1440</f>
        <v/>
      </c>
      <c r="AV369" s="20">
        <f>(AM369-AL369)*1440</f>
        <v/>
      </c>
      <c r="AW369" s="20">
        <f>(AO369-AM369)*1440</f>
        <v/>
      </c>
      <c r="AX369" s="19">
        <f>AP369+AS369+AU369+AV369+AW369</f>
        <v/>
      </c>
      <c r="AY369" s="18">
        <f>(AG369-AA369)</f>
        <v/>
      </c>
      <c r="AZ369" s="18">
        <f>(AK369-AJ369)</f>
        <v/>
      </c>
      <c r="BA369" s="18">
        <f>AO369-AG369</f>
        <v/>
      </c>
      <c r="BB369" s="18">
        <f>(AO369-AA369)-(AP369/1440)-(AW369/1440)</f>
        <v/>
      </c>
      <c r="BC369" s="20">
        <f>E369/AZ369</f>
        <v/>
      </c>
      <c r="BD369" s="208" t="n"/>
      <c r="BE369" s="20">
        <f>IF(E369&lt;10000,3000,IF(E369&lt;15000,3600,IF(E369&lt;20000,4500,IF(E369&lt;25000,6000,IF(E369&lt;30000,7500,IF(E369&lt;40000,9000,IF(E369&gt;40000,10000)))))))</f>
        <v/>
      </c>
      <c r="BF369" s="334">
        <f>(E369/BE369)+2</f>
        <v/>
      </c>
      <c r="BG369" s="208" t="n"/>
      <c r="BH369" s="208" t="n"/>
      <c r="BI369" s="208" t="n"/>
      <c r="BJ369" s="208" t="n"/>
      <c r="BK369" s="208" t="n"/>
      <c r="BL369" s="208" t="n"/>
      <c r="BM369" s="208" t="n"/>
      <c r="BN369" s="208" t="n"/>
      <c r="BO369" s="208" t="n"/>
      <c r="BP369" s="208" t="n"/>
      <c r="BQ369" s="208" t="n"/>
      <c r="BR369" s="208" t="n"/>
      <c r="BS369" s="97" t="inlineStr">
        <is>
          <t>NUL</t>
        </is>
      </c>
      <c r="BT369" s="99" t="n">
        <v>0</v>
      </c>
      <c r="BU369" s="99" t="n"/>
      <c r="BV369" s="99" t="n"/>
      <c r="BW369" s="345">
        <f>AI370-AH370</f>
        <v/>
      </c>
      <c r="CB369" s="14" t="n">
        <v>36781</v>
      </c>
    </row>
    <row r="370" ht="14.55" customHeight="1" s="70">
      <c r="B370" s="343" t="inlineStr">
        <is>
          <t>LEM MARIGOLD</t>
        </is>
      </c>
      <c r="C370" s="15" t="n">
        <v>45841</v>
      </c>
      <c r="D370" s="329" t="n">
        <v>16105</v>
      </c>
      <c r="E370" s="330" t="n"/>
      <c r="G370" s="81" t="n">
        <v>2</v>
      </c>
      <c r="H370" s="75" t="inlineStr">
        <is>
          <t>TSP</t>
        </is>
      </c>
      <c r="I370" s="306" t="inlineStr">
        <is>
          <t xml:space="preserve">TSP CIV </t>
        </is>
      </c>
      <c r="J370" s="75" t="inlineStr">
        <is>
          <t>CFR</t>
        </is>
      </c>
      <c r="Q370" s="75" t="inlineStr">
        <is>
          <t>ASIE</t>
        </is>
      </c>
      <c r="R370" s="75" t="inlineStr">
        <is>
          <t>INDE</t>
        </is>
      </c>
      <c r="S370" s="75" t="n"/>
      <c r="T370" s="75" t="inlineStr">
        <is>
          <t>INTERTEK</t>
        </is>
      </c>
      <c r="U370" s="81" t="n">
        <v>200</v>
      </c>
      <c r="V370" s="53">
        <f>IF(U370&lt;130, "Mini Bulker", IF(AND(U370&gt;=130, U370&lt;150), "Handysize", IF(AND(U370&gt;=150, U370&lt;200), "Handymax", IF(AND(U370&gt;=200, U370&lt;230), "Panamax", IF(AND(U370&gt;=230, U370&lt;=270), "Capesize", "Autre")))))</f>
        <v/>
      </c>
      <c r="X370" s="14">
        <f>IF(E370&lt;9999,"1",IF(E370&lt;19999,"2",IF(E370&lt;29999,"3",IF(E370&lt;39999,"4",IF(E370&lt;49999,"5",IF(E370&gt;50000,"6"))))))</f>
        <v/>
      </c>
      <c r="Y370" s="99" t="inlineStr">
        <is>
          <t>1BIS</t>
        </is>
      </c>
      <c r="AA370" s="218" t="n"/>
      <c r="AB370" s="218" t="n"/>
      <c r="AC370" s="98" t="n"/>
      <c r="AD370" s="98" t="n"/>
      <c r="AE370" s="218" t="n"/>
      <c r="AF370" s="218" t="n"/>
      <c r="AG370" s="218" t="n"/>
      <c r="AH370" s="218" t="n"/>
      <c r="AI370" s="218" t="n"/>
      <c r="AJ370" s="218" t="n"/>
      <c r="AK370" s="218" t="n"/>
      <c r="AL370" s="218" t="n"/>
      <c r="AM370" s="218" t="n"/>
      <c r="AN370" s="218" t="n"/>
      <c r="AO370" s="218" t="n"/>
      <c r="AP370" s="98" t="n"/>
      <c r="AQ370" s="98" t="n"/>
      <c r="AR370" s="98" t="n"/>
      <c r="AS370" s="98" t="n"/>
      <c r="AT370" s="98" t="n"/>
      <c r="AU370" s="98" t="n"/>
      <c r="AV370" s="98" t="n"/>
      <c r="AW370" s="98" t="n"/>
      <c r="AX370" s="98" t="n"/>
      <c r="AY370" s="98" t="n"/>
      <c r="AZ370" s="98" t="n"/>
      <c r="BA370" s="98" t="n"/>
      <c r="BB370" s="98" t="n"/>
      <c r="BC370" s="98" t="n"/>
      <c r="BD370" s="220" t="n"/>
      <c r="BE370" s="98" t="n"/>
      <c r="BF370" s="98" t="n"/>
      <c r="BG370" s="220" t="n"/>
      <c r="BH370" s="220" t="n"/>
      <c r="BI370" s="220" t="n"/>
      <c r="BJ370" s="220" t="n"/>
      <c r="BK370" s="220" t="n"/>
      <c r="BL370" s="220" t="n"/>
      <c r="BM370" s="220" t="n"/>
      <c r="BN370" s="220" t="n"/>
      <c r="BO370" s="220" t="n"/>
      <c r="BP370" s="220" t="n"/>
      <c r="BQ370" s="220" t="n"/>
      <c r="BR370" s="220" t="n"/>
      <c r="BS370" s="97" t="n"/>
      <c r="BT370" s="99" t="n"/>
      <c r="BU370" s="99" t="n"/>
      <c r="BV370" s="99" t="n"/>
      <c r="BW370" s="208" t="n"/>
      <c r="CB370" s="14" t="n"/>
    </row>
    <row r="371" ht="14.55" customHeight="1" s="70">
      <c r="A371" s="81" t="n">
        <v>243</v>
      </c>
      <c r="B371" s="343" t="inlineStr">
        <is>
          <t>PARIS TRADER</t>
        </is>
      </c>
      <c r="C371" s="15" t="n">
        <v>45841</v>
      </c>
      <c r="D371" s="329" t="n">
        <v>26262</v>
      </c>
      <c r="E371" s="333">
        <f>D371+D372</f>
        <v/>
      </c>
      <c r="G371" s="81" t="n">
        <v>2</v>
      </c>
      <c r="H371" s="75" t="inlineStr">
        <is>
          <t>TSP</t>
        </is>
      </c>
      <c r="I371" s="306" t="inlineStr">
        <is>
          <t xml:space="preserve">TSP SPECIAL JORF </t>
        </is>
      </c>
      <c r="J371" s="75" t="inlineStr">
        <is>
          <t>CFR</t>
        </is>
      </c>
      <c r="Q371" s="75" t="inlineStr">
        <is>
          <t>AMERIQUE LATINE</t>
        </is>
      </c>
      <c r="R371" s="75" t="inlineStr">
        <is>
          <t>BRAZIL</t>
        </is>
      </c>
      <c r="S371" s="75" t="n"/>
      <c r="T371" s="75" t="inlineStr">
        <is>
          <t>INSPECTORATE</t>
        </is>
      </c>
      <c r="U371" s="81" t="n">
        <v>179</v>
      </c>
      <c r="V371" s="53">
        <f>IF(U371&lt;130, "Mini Bulker", IF(AND(U371&gt;=130, U371&lt;150), "Handysize", IF(AND(U371&gt;=150, U371&lt;200), "Handymax", IF(AND(U371&gt;=200, U371&lt;230), "Panamax", IF(AND(U371&gt;=230, U371&lt;=270), "Capesize", "Autre")))))</f>
        <v/>
      </c>
      <c r="X371" s="14">
        <f>IF(E371&lt;9999,"1",IF(E371&lt;19999,"2",IF(E371&lt;29999,"3",IF(E371&lt;39999,"4",IF(E371&lt;49999,"5",IF(E371&gt;50000,"6"))))))</f>
        <v/>
      </c>
      <c r="Y371" s="99" t="inlineStr">
        <is>
          <t>2TER/16N/16S/1N</t>
        </is>
      </c>
      <c r="AA371" s="17" t="n">
        <v>45828.68055555555</v>
      </c>
      <c r="AB371" s="17" t="n">
        <v>45828.68055555555</v>
      </c>
      <c r="AC371" s="15" t="n">
        <v>45829</v>
      </c>
      <c r="AD371" s="15" t="n">
        <v>45832</v>
      </c>
      <c r="AE371" s="17" t="n">
        <v>45836.38333333333</v>
      </c>
      <c r="AF371" s="17" t="n">
        <v>45828.81666666667</v>
      </c>
      <c r="AG371" s="17" t="n">
        <v>45828.875</v>
      </c>
      <c r="AH371" s="17" t="n">
        <v>45828.89583333334</v>
      </c>
      <c r="AI371" s="17" t="n">
        <v>45828.95486111111</v>
      </c>
      <c r="AJ371" s="17" t="n">
        <v>45829.03819444445</v>
      </c>
      <c r="AK371" s="17" t="n">
        <v>45841.16666666666</v>
      </c>
      <c r="AL371" s="17" t="n">
        <v>45841.20833333334</v>
      </c>
      <c r="AM371" s="17" t="n">
        <v>45841.22916666666</v>
      </c>
      <c r="AN371" s="17" t="n">
        <v>45841.27083333334</v>
      </c>
      <c r="AO371" s="17" t="n">
        <v>45841.31041666667</v>
      </c>
      <c r="AP371" s="20">
        <f>(AG371-AF371)*1440</f>
        <v/>
      </c>
      <c r="AQ371" s="20">
        <f>(AG371-AE371)*1440</f>
        <v/>
      </c>
      <c r="AR371" s="20">
        <f>(AH371-AF371)*1440</f>
        <v/>
      </c>
      <c r="AS371" s="20">
        <f>(AI371-AH371)*1440</f>
        <v/>
      </c>
      <c r="AT371" s="20">
        <f>(AJ371-AH371)*1440</f>
        <v/>
      </c>
      <c r="AU371" s="20">
        <f>(AL371-AK371)*1440</f>
        <v/>
      </c>
      <c r="AV371" s="20">
        <f>(AM371-AL371)*1440</f>
        <v/>
      </c>
      <c r="AW371" s="20">
        <f>(AO371-AM371)*1440</f>
        <v/>
      </c>
      <c r="AX371" s="19">
        <f>AP371+AS371+AU371+AV371+AW371</f>
        <v/>
      </c>
      <c r="AY371" s="18">
        <f>(AG371-AA371)</f>
        <v/>
      </c>
      <c r="AZ371" s="18">
        <f>(AK371-AJ371)</f>
        <v/>
      </c>
      <c r="BA371" s="18">
        <f>AO371-AG371</f>
        <v/>
      </c>
      <c r="BB371" s="18">
        <f>(AO371-AA371)-(AP371/1440)-(AW371/1440)</f>
        <v/>
      </c>
      <c r="BC371" s="20">
        <f>E371/AZ371</f>
        <v/>
      </c>
      <c r="BD371" s="208" t="n"/>
      <c r="BE371" s="20">
        <f>IF(E371&lt;10000,3000,IF(E371&lt;15000,3600,IF(E371&lt;20000,4500,IF(E371&lt;25000,6000,IF(E371&lt;30000,7500,IF(E371&lt;40000,9000,IF(E371&gt;40000,10000)))))))</f>
        <v/>
      </c>
      <c r="BF371" s="334">
        <f>(E371/BE371)+2</f>
        <v/>
      </c>
      <c r="BG371" s="208" t="n"/>
      <c r="BH371" s="208" t="n"/>
      <c r="BI371" s="208" t="n"/>
      <c r="BJ371" s="208" t="n"/>
      <c r="BK371" s="208" t="n"/>
      <c r="BL371" s="208" t="n"/>
      <c r="BM371" s="208" t="n"/>
      <c r="BN371" s="208" t="n"/>
      <c r="BO371" s="208" t="n"/>
      <c r="BP371" s="208" t="n"/>
      <c r="BQ371" s="208" t="n"/>
      <c r="BR371" s="208" t="n"/>
      <c r="BS371" s="97" t="inlineStr">
        <is>
          <t>CHANGE DU POSTE 2TER VERS LA RADE LE 22/06- 1505 // RE-ACC AU POSTE 16 LE 23/06-1718 // CHANGE DU POSTE 16N VERS LA RADE LE 26/06- 0730 // RE-ACCOSTAGE AU POSTE 16S LE 27/06- 2321 // CHANGE DU POSTE 16S VERS LA RADE LE 30/06- 1507 // RE-ACCOSTAGE AU POSTE 1N LE 01/07- 0200</t>
        </is>
      </c>
      <c r="BT371" s="99" t="n">
        <v>6</v>
      </c>
      <c r="BU371" s="99" t="inlineStr">
        <is>
          <t>CLEAN</t>
        </is>
      </c>
      <c r="BV371" s="99" t="inlineStr">
        <is>
          <t>NUL</t>
        </is>
      </c>
      <c r="BW371" s="345">
        <f>AI372-AH372</f>
        <v/>
      </c>
      <c r="CB371" s="14" t="n">
        <v>25163</v>
      </c>
    </row>
    <row r="372" ht="15" customHeight="1" s="70">
      <c r="B372" s="343" t="inlineStr">
        <is>
          <t>PARIS TRADER</t>
        </is>
      </c>
      <c r="C372" s="15" t="n">
        <v>45841</v>
      </c>
      <c r="D372" s="329" t="n">
        <v>11000</v>
      </c>
      <c r="E372" s="330" t="n"/>
      <c r="G372" s="81" t="n">
        <v>2</v>
      </c>
      <c r="H372" s="75" t="inlineStr">
        <is>
          <t>MAP</t>
        </is>
      </c>
      <c r="I372" s="306" t="inlineStr">
        <is>
          <t xml:space="preserve">MAP 11 52 SPECIAL </t>
        </is>
      </c>
      <c r="J372" s="75" t="inlineStr">
        <is>
          <t>CFR</t>
        </is>
      </c>
      <c r="Q372" s="75" t="inlineStr">
        <is>
          <t>AMERIQUE LATINE</t>
        </is>
      </c>
      <c r="R372" s="75" t="inlineStr">
        <is>
          <t>BRAZIL</t>
        </is>
      </c>
      <c r="S372" s="75" t="n"/>
      <c r="T372" s="75" t="inlineStr">
        <is>
          <t>INSPECTORATE</t>
        </is>
      </c>
      <c r="U372" s="81" t="n">
        <v>179</v>
      </c>
      <c r="V372" s="53">
        <f>IF(U372&lt;130, "Mini Bulker", IF(AND(U372&gt;=130, U372&lt;150), "Handysize", IF(AND(U372&gt;=150, U372&lt;200), "Handymax", IF(AND(U372&gt;=200, U372&lt;230), "Panamax", IF(AND(U372&gt;=230, U372&lt;=270), "Capesize", "Autre")))))</f>
        <v/>
      </c>
      <c r="X372" s="14">
        <f>IF(E372&lt;9999,"1",IF(E372&lt;19999,"2",IF(E372&lt;29999,"3",IF(E372&lt;39999,"4",IF(E372&lt;49999,"5",IF(E372&gt;50000,"6"))))))</f>
        <v/>
      </c>
      <c r="Y372" s="99" t="inlineStr">
        <is>
          <t>2TER/16N/16S/1N</t>
        </is>
      </c>
      <c r="AA372" s="98" t="n"/>
      <c r="AB372" s="98" t="n"/>
      <c r="AC372" s="98" t="n"/>
      <c r="AD372" s="98" t="n"/>
      <c r="AE372" s="98" t="n"/>
      <c r="AF372" s="98" t="n"/>
      <c r="AG372" s="98" t="n"/>
      <c r="AH372" s="98" t="n"/>
      <c r="AI372" s="98" t="n"/>
      <c r="AJ372" s="98" t="n"/>
      <c r="AK372" s="98" t="n"/>
      <c r="AL372" s="98" t="n"/>
      <c r="AM372" s="98" t="n"/>
      <c r="AN372" s="98" t="n"/>
      <c r="AO372" s="98" t="n"/>
      <c r="AP372" s="98" t="n"/>
      <c r="AQ372" s="98" t="n"/>
      <c r="AR372" s="98" t="n"/>
      <c r="AS372" s="98" t="n"/>
      <c r="AT372" s="98" t="n"/>
      <c r="AU372" s="98" t="n"/>
      <c r="AV372" s="98" t="n"/>
      <c r="AW372" s="98" t="n"/>
      <c r="AX372" s="98" t="n"/>
      <c r="AY372" s="98" t="n"/>
      <c r="AZ372" s="98" t="n"/>
      <c r="BA372" s="98" t="n"/>
      <c r="BB372" s="98" t="n"/>
      <c r="BC372" s="98" t="n"/>
      <c r="BD372" s="98" t="n"/>
      <c r="BE372" s="98" t="n"/>
      <c r="BF372" s="98" t="n"/>
      <c r="BG372" s="98" t="n"/>
      <c r="BH372" s="98" t="n"/>
      <c r="BI372" s="98" t="n"/>
      <c r="BJ372" s="98" t="n"/>
      <c r="BK372" s="98" t="n"/>
      <c r="BL372" s="98" t="n"/>
      <c r="BM372" s="98" t="n"/>
      <c r="BN372" s="98" t="n"/>
      <c r="BO372" s="98" t="n"/>
      <c r="BP372" s="98" t="n"/>
      <c r="BQ372" s="98" t="n"/>
      <c r="BR372" s="98" t="n"/>
      <c r="BS372" s="97" t="n"/>
      <c r="BT372" s="99" t="n"/>
      <c r="BU372" s="99" t="n"/>
      <c r="BV372" s="99" t="n"/>
      <c r="CB372" s="14" t="n"/>
    </row>
    <row r="373">
      <c r="A373" s="81" t="n">
        <v>248</v>
      </c>
      <c r="B373" s="343" t="inlineStr">
        <is>
          <t>EKMEN SKY</t>
        </is>
      </c>
      <c r="C373" s="15" t="n">
        <v>45842</v>
      </c>
      <c r="D373" s="329" t="n">
        <v>2386</v>
      </c>
      <c r="E373" s="333">
        <f>D373+D374</f>
        <v/>
      </c>
      <c r="G373" s="81" t="n">
        <v>2</v>
      </c>
      <c r="H373" s="75" t="inlineStr">
        <is>
          <t>DAP</t>
        </is>
      </c>
      <c r="I373" s="306" t="inlineStr">
        <is>
          <t xml:space="preserve">DAP STANDARD </t>
        </is>
      </c>
      <c r="J373" s="75" t="inlineStr">
        <is>
          <t>FOB</t>
        </is>
      </c>
      <c r="Q373" s="75" t="inlineStr">
        <is>
          <t>AFRIQUE</t>
        </is>
      </c>
      <c r="R373" s="75" t="inlineStr">
        <is>
          <t>CAMEROUNE</t>
        </is>
      </c>
      <c r="S373" s="75" t="n"/>
      <c r="T373" s="75" t="inlineStr">
        <is>
          <t>INSPECTORATE</t>
        </is>
      </c>
      <c r="U373" s="81" t="n">
        <v>108</v>
      </c>
      <c r="V373" s="53">
        <f>IF(U373&lt;130, "Mini Bulker", IF(AND(U373&gt;=130, U373&lt;150), "Handysize", IF(AND(U373&gt;=150, U373&lt;200), "Handymax", IF(AND(U373&gt;=200, U373&lt;230), "Panamax", IF(AND(U373&gt;=230, U373&lt;=270), "Capesize", "Autre")))))</f>
        <v/>
      </c>
      <c r="X373" s="14">
        <f>IF(E373&lt;9999,"1",IF(E373&lt;19999,"2",IF(E373&lt;29999,"3",IF(E373&lt;39999,"4",IF(E373&lt;49999,"5",IF(E373&gt;50000,"6"))))))</f>
        <v/>
      </c>
      <c r="Y373" s="99" t="inlineStr">
        <is>
          <t>2N</t>
        </is>
      </c>
      <c r="AA373" s="26" t="n">
        <v>45841.91666666666</v>
      </c>
      <c r="AB373" s="26" t="n">
        <v>45842.375</v>
      </c>
      <c r="AC373" s="15" t="n">
        <v>45841</v>
      </c>
      <c r="AD373" s="15" t="n">
        <v>45843</v>
      </c>
      <c r="AE373" s="26" t="n">
        <v>45841.91666666666</v>
      </c>
      <c r="AF373" s="26" t="n">
        <v>45841.93194444444</v>
      </c>
      <c r="AG373" s="26" t="n">
        <v>45841.96875</v>
      </c>
      <c r="AH373" s="26" t="n">
        <v>45841.97916666666</v>
      </c>
      <c r="AI373" s="26" t="n">
        <v>45842.05208333334</v>
      </c>
      <c r="AJ373" s="26" t="n">
        <v>45842.09722222222</v>
      </c>
      <c r="AK373" s="26" t="n">
        <v>45842.80902777778</v>
      </c>
      <c r="AL373" s="26" t="n">
        <v>45842.88888888889</v>
      </c>
      <c r="AM373" s="26" t="n">
        <v>45842.9375</v>
      </c>
      <c r="AN373" s="26" t="n">
        <v>45842.98611111111</v>
      </c>
      <c r="AO373" s="26" t="n">
        <v>45843</v>
      </c>
      <c r="AP373" s="20">
        <f>(AG373-AF373)*1440</f>
        <v/>
      </c>
      <c r="AQ373" s="20">
        <f>(AG373-AE373)*1440</f>
        <v/>
      </c>
      <c r="AR373" s="20">
        <f>(AH373-AF373)*1440</f>
        <v/>
      </c>
      <c r="AS373" s="20">
        <f>(AI373-AH373)*1440</f>
        <v/>
      </c>
      <c r="AT373" s="20">
        <f>(AJ373-AH373)*1440</f>
        <v/>
      </c>
      <c r="AU373" s="20">
        <f>(AL373-AK373)*1440</f>
        <v/>
      </c>
      <c r="AV373" s="20">
        <f>(AM373-AL373)*1440</f>
        <v/>
      </c>
      <c r="AW373" s="20">
        <f>(AO373-AM373)*1440</f>
        <v/>
      </c>
      <c r="AX373" s="19">
        <f>AP373+AS373+AU373+AV373+AW373</f>
        <v/>
      </c>
      <c r="AY373" s="18">
        <f>(AG373-AA373)</f>
        <v/>
      </c>
      <c r="AZ373" s="18">
        <f>(AK373-AJ373)</f>
        <v/>
      </c>
      <c r="BA373" s="18">
        <f>AO373-AG373</f>
        <v/>
      </c>
      <c r="BB373" s="18">
        <f>(AO373-AA373)-(AP373/1440)-(AW373/1440)</f>
        <v/>
      </c>
      <c r="BC373" s="20">
        <f>E373/AZ373</f>
        <v/>
      </c>
      <c r="BE373" s="20">
        <f>IF(E373&lt;10000,3000,IF(E373&lt;15000,3600,IF(E373&lt;20000,4500,IF(E373&lt;25000,6000,IF(E373&lt;30000,7500,IF(E373&lt;40000,9000,IF(E373&gt;40000,10000)))))))</f>
        <v/>
      </c>
      <c r="BF373" s="334">
        <f>(E373/BE373)+2</f>
        <v/>
      </c>
      <c r="BS373" s="97" t="inlineStr">
        <is>
          <t>NUL</t>
        </is>
      </c>
      <c r="BT373" s="99" t="n">
        <v>0</v>
      </c>
      <c r="BU373" s="99" t="inlineStr">
        <is>
          <t>CLEAN</t>
        </is>
      </c>
      <c r="BV373" s="99" t="inlineStr">
        <is>
          <t>NUL</t>
        </is>
      </c>
      <c r="BW373" s="332">
        <f>AI374-AH374</f>
        <v/>
      </c>
      <c r="CB373" s="14" t="n">
        <v>5629</v>
      </c>
    </row>
    <row r="374" ht="14.55" customHeight="1" s="70">
      <c r="B374" s="343" t="inlineStr">
        <is>
          <t>EKMEN SKY</t>
        </is>
      </c>
      <c r="C374" s="15" t="n">
        <v>45842</v>
      </c>
      <c r="D374" s="329" t="n">
        <v>4400</v>
      </c>
      <c r="E374" s="330" t="n"/>
      <c r="G374" s="81" t="n">
        <v>2</v>
      </c>
      <c r="H374" s="75" t="inlineStr">
        <is>
          <t>MAP</t>
        </is>
      </c>
      <c r="I374" s="306" t="inlineStr">
        <is>
          <t xml:space="preserve">MAP 11 52 SPECIAL </t>
        </is>
      </c>
      <c r="J374" s="75" t="inlineStr">
        <is>
          <t>FOB</t>
        </is>
      </c>
      <c r="Q374" s="75" t="inlineStr">
        <is>
          <t>AFRIQUE</t>
        </is>
      </c>
      <c r="R374" s="75" t="inlineStr">
        <is>
          <t>CAMEROUNE</t>
        </is>
      </c>
      <c r="S374" s="75" t="n"/>
      <c r="T374" s="75" t="inlineStr">
        <is>
          <t>INSPECTORATE</t>
        </is>
      </c>
      <c r="U374" s="81" t="n">
        <v>108</v>
      </c>
      <c r="V374" s="53">
        <f>IF(U374&lt;130, "Mini Bulker", IF(AND(U374&gt;=130, U374&lt;150), "Handysize", IF(AND(U374&gt;=150, U374&lt;200), "Handymax", IF(AND(U374&gt;=200, U374&lt;230), "Panamax", IF(AND(U374&gt;=230, U374&lt;=270), "Capesize", "Autre")))))</f>
        <v/>
      </c>
      <c r="X374" s="14">
        <f>IF(E374&lt;9999,"1",IF(E374&lt;19999,"2",IF(E374&lt;29999,"3",IF(E374&lt;39999,"4",IF(E374&lt;49999,"5",IF(E374&gt;50000,"6"))))))</f>
        <v/>
      </c>
      <c r="Y374" s="99" t="inlineStr">
        <is>
          <t>2N</t>
        </is>
      </c>
      <c r="AA374" s="218" t="n"/>
      <c r="AB374" s="218" t="n"/>
      <c r="AC374" s="98" t="n"/>
      <c r="AD374" s="98" t="n"/>
      <c r="AE374" s="218" t="n"/>
      <c r="AF374" s="218" t="n"/>
      <c r="AG374" s="218" t="n"/>
      <c r="AH374" s="218" t="n"/>
      <c r="AI374" s="218" t="n"/>
      <c r="AJ374" s="218" t="n"/>
      <c r="AK374" s="218" t="n"/>
      <c r="AL374" s="218" t="n"/>
      <c r="AM374" s="218" t="n"/>
      <c r="AN374" s="218" t="n"/>
      <c r="AO374" s="218" t="n"/>
      <c r="AP374" s="98" t="n"/>
      <c r="AQ374" s="98" t="n"/>
      <c r="AR374" s="98" t="n"/>
      <c r="AS374" s="98" t="n"/>
      <c r="AT374" s="98" t="n"/>
      <c r="AU374" s="98" t="n"/>
      <c r="AV374" s="98" t="n"/>
      <c r="AW374" s="98" t="n"/>
      <c r="AX374" s="98" t="n"/>
      <c r="AY374" s="98" t="n"/>
      <c r="AZ374" s="98" t="n"/>
      <c r="BA374" s="98" t="n"/>
      <c r="BB374" s="98" t="n"/>
      <c r="BC374" s="98" t="n"/>
      <c r="BD374" s="220" t="n"/>
      <c r="BE374" s="98" t="n"/>
      <c r="BF374" s="98" t="n"/>
      <c r="BG374" s="220" t="n"/>
      <c r="BH374" s="220" t="n"/>
      <c r="BI374" s="220" t="n"/>
      <c r="BJ374" s="220" t="n"/>
      <c r="BK374" s="220" t="n"/>
      <c r="BL374" s="220" t="n"/>
      <c r="BM374" s="220" t="n"/>
      <c r="BN374" s="220" t="n"/>
      <c r="BO374" s="220" t="n"/>
      <c r="BP374" s="220" t="n"/>
      <c r="BQ374" s="220" t="n"/>
      <c r="BR374" s="220" t="n"/>
      <c r="BS374" s="97" t="n"/>
      <c r="BT374" s="99" t="n"/>
      <c r="BU374" s="99" t="n"/>
      <c r="BV374" s="99" t="n"/>
      <c r="BW374" s="208" t="n"/>
      <c r="CB374" s="14" t="n"/>
    </row>
    <row r="375" ht="15" customHeight="1" s="70">
      <c r="A375" s="81" t="n">
        <v>247</v>
      </c>
      <c r="B375" s="343" t="inlineStr">
        <is>
          <t>GRAIN WAY</t>
        </is>
      </c>
      <c r="C375" s="15" t="n">
        <v>45842</v>
      </c>
      <c r="D375" s="329" t="n">
        <v>11000</v>
      </c>
      <c r="E375" s="333">
        <f>D375+D376</f>
        <v/>
      </c>
      <c r="G375" s="81" t="n">
        <v>2</v>
      </c>
      <c r="H375" s="75" t="inlineStr">
        <is>
          <t>NPK</t>
        </is>
      </c>
      <c r="I375" s="306" t="inlineStr">
        <is>
          <t xml:space="preserve">NPK 10 26 26 Low Cd </t>
        </is>
      </c>
      <c r="J375" s="75" t="inlineStr">
        <is>
          <t>FOB</t>
        </is>
      </c>
      <c r="Q375" s="75" t="inlineStr">
        <is>
          <t>EUROPE</t>
        </is>
      </c>
      <c r="R375" s="75" t="inlineStr">
        <is>
          <t>UKRAINE</t>
        </is>
      </c>
      <c r="S375" s="75" t="n"/>
      <c r="T375" s="75" t="inlineStr">
        <is>
          <t>INSPECTORATE</t>
        </is>
      </c>
      <c r="U375" s="81" t="n">
        <v>160</v>
      </c>
      <c r="V375" s="53">
        <f>IF(U375&lt;130, "Mini Bulker", IF(AND(U375&gt;=130, U375&lt;150), "Handysize", IF(AND(U375&gt;=150, U375&lt;200), "Handymax", IF(AND(U375&gt;=200, U375&lt;230), "Panamax", IF(AND(U375&gt;=230, U375&lt;=270), "Capesize", "Autre")))))</f>
        <v/>
      </c>
      <c r="X375" s="14">
        <f>IF(E375&lt;9999,"1",IF(E375&lt;19999,"2",IF(E375&lt;29999,"3",IF(E375&lt;39999,"4",IF(E375&lt;49999,"5",IF(E375&gt;50000,"6"))))))</f>
        <v/>
      </c>
      <c r="Y375" s="99" t="inlineStr">
        <is>
          <t>2TER/1SUD/2N/5/2TER</t>
        </is>
      </c>
      <c r="AA375" s="17" t="n">
        <v>45826.875</v>
      </c>
      <c r="AB375" s="17" t="n">
        <v>45827.375</v>
      </c>
      <c r="AC375" s="15" t="n">
        <v>45825</v>
      </c>
      <c r="AD375" s="15" t="n">
        <v>45827</v>
      </c>
      <c r="AE375" s="17" t="n">
        <v>45826.875</v>
      </c>
      <c r="AF375" s="17" t="n">
        <v>45827.28194444445</v>
      </c>
      <c r="AG375" s="17" t="n">
        <v>45827.34722222222</v>
      </c>
      <c r="AH375" s="17" t="n">
        <v>45827.36111111111</v>
      </c>
      <c r="AI375" s="17" t="n">
        <v>45827.46875</v>
      </c>
      <c r="AJ375" s="17" t="n">
        <v>45827.52777777778</v>
      </c>
      <c r="AK375" s="17" t="n">
        <v>45842.49305555555</v>
      </c>
      <c r="AL375" s="17" t="n">
        <v>45842.52430555555</v>
      </c>
      <c r="AM375" s="17" t="n">
        <v>45842.62152777778</v>
      </c>
      <c r="AN375" s="17" t="n">
        <v>45842.67638888889</v>
      </c>
      <c r="AO375" s="17" t="n">
        <v>45842.70138888889</v>
      </c>
      <c r="AP375" s="20">
        <f>(AG375-AF375)*1440</f>
        <v/>
      </c>
      <c r="AQ375" s="20">
        <f>(AG375-AE375)*1440</f>
        <v/>
      </c>
      <c r="AR375" s="20">
        <f>(AH375-AF375)*1440</f>
        <v/>
      </c>
      <c r="AS375" s="20">
        <f>(AI375-AH375)*1440</f>
        <v/>
      </c>
      <c r="AT375" s="20">
        <f>(AJ375-AH375)*1440</f>
        <v/>
      </c>
      <c r="AU375" s="20">
        <f>(AL375-AK375)*1440</f>
        <v/>
      </c>
      <c r="AV375" s="20">
        <f>(AM375-AL375)*1440</f>
        <v/>
      </c>
      <c r="AW375" s="20">
        <f>(AO375-AM375)*1440</f>
        <v/>
      </c>
      <c r="AX375" s="19">
        <f>AP375+AS375+AU375+AV375+AW375</f>
        <v/>
      </c>
      <c r="AY375" s="18">
        <f>(AG375-AA375)</f>
        <v/>
      </c>
      <c r="AZ375" s="18">
        <f>(AK375-AJ375)</f>
        <v/>
      </c>
      <c r="BA375" s="18">
        <f>AO375-AG375</f>
        <v/>
      </c>
      <c r="BB375" s="18">
        <f>(AO375-AA375)-(AP375/1440)-(AW375/1440)</f>
        <v/>
      </c>
      <c r="BC375" s="20">
        <f>E375/AZ375</f>
        <v/>
      </c>
      <c r="BD375" s="208" t="n"/>
      <c r="BE375" s="20">
        <f>IF(E375&lt;10000,3000,IF(E375&lt;15000,3600,IF(E375&lt;20000,4500,IF(E375&lt;25000,6000,IF(E375&lt;30000,7500,IF(E375&lt;40000,9000,IF(E375&gt;40000,10000)))))))</f>
        <v/>
      </c>
      <c r="BF375" s="334">
        <f>(E375/BE375)+2</f>
        <v/>
      </c>
      <c r="BG375" s="208" t="n"/>
      <c r="BH375" s="208" t="n"/>
      <c r="BI375" s="208" t="n"/>
      <c r="BJ375" s="208" t="n"/>
      <c r="BK375" s="208" t="n"/>
      <c r="BL375" s="208" t="n"/>
      <c r="BM375" s="208" t="n"/>
      <c r="BN375" s="208" t="n"/>
      <c r="BO375" s="208" t="n"/>
      <c r="BP375" s="208" t="n"/>
      <c r="BQ375" s="208" t="n"/>
      <c r="BR375" s="208" t="n"/>
      <c r="BS375" s="97" t="inlineStr">
        <is>
          <t>CHANGE DU POSTE 2TER VERS POSTE 1S LE 20/06- 1932 / CHANGE DU POSTE 1SUD VERS LA RADE LE 23/06- 1335 RE-ACCOSTAGE AU POSTE 2N  LE 27/06- 1412 // CHANGE DU POSTE 2N VERS POSTE 5 LE 30/06- 1440 // CHANGE DU POSTE 5 VERS POSTE 2TER LE 03/07 - 0330</t>
        </is>
      </c>
      <c r="BT375" s="99" t="n">
        <v>5</v>
      </c>
      <c r="BU375" s="99" t="inlineStr">
        <is>
          <t>CLEAN</t>
        </is>
      </c>
      <c r="BV375" s="99" t="inlineStr">
        <is>
          <t>NUL</t>
        </is>
      </c>
      <c r="BW375" s="345">
        <f>AI376-AH376</f>
        <v/>
      </c>
      <c r="CB375" s="14" t="n">
        <v>15808</v>
      </c>
    </row>
    <row r="376" ht="14.55" customHeight="1" s="70">
      <c r="A376" s="81" t="n"/>
      <c r="B376" s="343" t="inlineStr">
        <is>
          <t>GRAIN WAY</t>
        </is>
      </c>
      <c r="C376" s="15" t="n">
        <v>45842</v>
      </c>
      <c r="D376" s="329" t="n">
        <v>10672</v>
      </c>
      <c r="E376" s="330" t="n"/>
      <c r="G376" s="81" t="n">
        <v>2</v>
      </c>
      <c r="H376" s="75" t="inlineStr">
        <is>
          <t>TSP</t>
        </is>
      </c>
      <c r="I376" s="306" t="inlineStr">
        <is>
          <t xml:space="preserve">TSP EURO Low Cd </t>
        </is>
      </c>
      <c r="J376" s="75" t="inlineStr">
        <is>
          <t>FOB</t>
        </is>
      </c>
      <c r="Q376" s="75" t="inlineStr">
        <is>
          <t>EUROPE</t>
        </is>
      </c>
      <c r="R376" s="75" t="inlineStr">
        <is>
          <t>UKRAINE</t>
        </is>
      </c>
      <c r="S376" s="75" t="n"/>
      <c r="T376" s="75" t="inlineStr">
        <is>
          <t>INSPECTORATE</t>
        </is>
      </c>
      <c r="U376" s="81" t="n">
        <v>160</v>
      </c>
      <c r="V376" s="53">
        <f>IF(U376&lt;130, "Mini Bulker", IF(AND(U376&gt;=130, U376&lt;150), "Handysize", IF(AND(U376&gt;=150, U376&lt;200), "Handymax", IF(AND(U376&gt;=200, U376&lt;230), "Panamax", IF(AND(U376&gt;=230, U376&lt;=270), "Capesize", "Autre")))))</f>
        <v/>
      </c>
      <c r="X376" s="14">
        <f>IF(E376&lt;9999,"1",IF(E376&lt;19999,"2",IF(E376&lt;29999,"3",IF(E376&lt;39999,"4",IF(E376&lt;49999,"5",IF(E376&gt;50000,"6"))))))</f>
        <v/>
      </c>
      <c r="Y376" s="99" t="inlineStr">
        <is>
          <t>2TER/1SUD/2N/5/2TER</t>
        </is>
      </c>
      <c r="AA376" s="218" t="n"/>
      <c r="AB376" s="218" t="n"/>
      <c r="AC376" s="98" t="n"/>
      <c r="AD376" s="98" t="n"/>
      <c r="AE376" s="218" t="n"/>
      <c r="AF376" s="218" t="n"/>
      <c r="AG376" s="218" t="n"/>
      <c r="AH376" s="218" t="n"/>
      <c r="AI376" s="218" t="n"/>
      <c r="AJ376" s="218" t="n"/>
      <c r="AK376" s="218" t="n"/>
      <c r="AL376" s="218" t="n"/>
      <c r="AM376" s="218" t="n"/>
      <c r="AN376" s="218" t="n"/>
      <c r="AO376" s="218" t="n"/>
      <c r="AP376" s="98" t="n"/>
      <c r="AQ376" s="98" t="n"/>
      <c r="AR376" s="98" t="n"/>
      <c r="AS376" s="98" t="n"/>
      <c r="AT376" s="98" t="n"/>
      <c r="AU376" s="98" t="n"/>
      <c r="AV376" s="98" t="n"/>
      <c r="AW376" s="98" t="n"/>
      <c r="AX376" s="98" t="n"/>
      <c r="AY376" s="98" t="n"/>
      <c r="AZ376" s="98" t="n"/>
      <c r="BA376" s="98" t="n"/>
      <c r="BB376" s="98" t="n"/>
      <c r="BC376" s="98" t="n"/>
      <c r="BD376" s="220" t="n"/>
      <c r="BE376" s="98" t="n"/>
      <c r="BF376" s="98" t="n"/>
      <c r="BG376" s="220" t="n"/>
      <c r="BH376" s="220" t="n"/>
      <c r="BI376" s="220" t="n"/>
      <c r="BJ376" s="220" t="n"/>
      <c r="BK376" s="220" t="n"/>
      <c r="BL376" s="220" t="n"/>
      <c r="BM376" s="220" t="n"/>
      <c r="BN376" s="220" t="n"/>
      <c r="BO376" s="220" t="n"/>
      <c r="BP376" s="220" t="n"/>
      <c r="BQ376" s="220" t="n"/>
      <c r="BR376" s="220" t="n"/>
      <c r="BS376" s="97" t="n"/>
      <c r="BT376" s="99" t="n"/>
      <c r="BW376" s="208" t="n"/>
      <c r="CB376" s="14" t="n"/>
    </row>
    <row r="377" ht="15" customHeight="1" s="70">
      <c r="A377" s="81" t="n">
        <v>246</v>
      </c>
      <c r="B377" s="343" t="inlineStr">
        <is>
          <t>KAPTAN ERDOGAN</t>
        </is>
      </c>
      <c r="C377" s="15" t="n">
        <v>45842</v>
      </c>
      <c r="D377" s="329" t="n">
        <v>4110</v>
      </c>
      <c r="E377" s="329" t="n">
        <v>4110</v>
      </c>
      <c r="G377" s="81" t="n">
        <v>1</v>
      </c>
      <c r="H377" s="75" t="inlineStr">
        <is>
          <t>MAP</t>
        </is>
      </c>
      <c r="I377" s="306" t="inlineStr">
        <is>
          <t xml:space="preserve">MAP 11 52 Special Low Cd </t>
        </is>
      </c>
      <c r="J377" s="75" t="inlineStr">
        <is>
          <t>FOB</t>
        </is>
      </c>
      <c r="Q377" s="75" t="inlineStr">
        <is>
          <t>EUROPE</t>
        </is>
      </c>
      <c r="R377" s="75" t="inlineStr">
        <is>
          <t>ITALIE</t>
        </is>
      </c>
      <c r="S377" s="75" t="n"/>
      <c r="T377" s="75" t="inlineStr">
        <is>
          <t>INTERTEK</t>
        </is>
      </c>
      <c r="U377" s="81" t="n">
        <v>92</v>
      </c>
      <c r="V377" s="53">
        <f>IF(U377&lt;130, "Mini Bulker", IF(AND(U377&gt;=130, U377&lt;150), "Handysize", IF(AND(U377&gt;=150, U377&lt;200), "Handymax", IF(AND(U377&gt;=200, U377&lt;230), "Panamax", IF(AND(U377&gt;=230, U377&lt;=270), "Capesize", "Autre")))))</f>
        <v/>
      </c>
      <c r="X377" s="14">
        <f>IF(E377&lt;9999,"1",IF(E377&lt;19999,"2",IF(E377&lt;29999,"3",IF(E377&lt;39999,"4",IF(E377&lt;49999,"5",IF(E377&gt;50000,"6"))))))</f>
        <v/>
      </c>
      <c r="Y377" s="99" t="inlineStr">
        <is>
          <t>2BIS</t>
        </is>
      </c>
      <c r="AA377" s="17" t="n">
        <v>45837.33333333334</v>
      </c>
      <c r="AB377" s="17" t="n">
        <v>45838.375</v>
      </c>
      <c r="AC377" s="15" t="n">
        <v>45838</v>
      </c>
      <c r="AD377" s="15" t="n">
        <v>45840</v>
      </c>
      <c r="AE377" s="17" t="n">
        <v>45837.33333333334</v>
      </c>
      <c r="AF377" s="17" t="n">
        <v>45839.5</v>
      </c>
      <c r="AG377" s="17" t="n">
        <v>45839.57291666666</v>
      </c>
      <c r="AH377" s="17" t="n">
        <v>45839.59722222222</v>
      </c>
      <c r="AI377" s="17" t="n">
        <v>45839.65972222222</v>
      </c>
      <c r="AJ377" s="17" t="n">
        <v>45839.95486111111</v>
      </c>
      <c r="AK377" s="17" t="n">
        <v>45842.30555555555</v>
      </c>
      <c r="AL377" s="17" t="n">
        <v>45842.34722222222</v>
      </c>
      <c r="AM377" s="17" t="n">
        <v>45842.38194444445</v>
      </c>
      <c r="AN377" s="17" t="n">
        <v>45842.88958333333</v>
      </c>
      <c r="AO377" s="17" t="n">
        <v>45842.88888888889</v>
      </c>
      <c r="AP377" s="20">
        <f>(AG377-AF377)*1440</f>
        <v/>
      </c>
      <c r="AQ377" s="20">
        <f>(AG377-AE377)*1440</f>
        <v/>
      </c>
      <c r="AR377" s="20">
        <f>(AH377-AF377)*1440</f>
        <v/>
      </c>
      <c r="AS377" s="20">
        <f>(AI377-AH377)*1440</f>
        <v/>
      </c>
      <c r="AT377" s="20">
        <f>(AJ377-AH377)*1440</f>
        <v/>
      </c>
      <c r="AU377" s="20">
        <f>(AL377-AK377)*1440</f>
        <v/>
      </c>
      <c r="AV377" s="20">
        <f>(AM377-AL377)*1440</f>
        <v/>
      </c>
      <c r="AW377" s="20">
        <f>(AO377-AM377)*1440</f>
        <v/>
      </c>
      <c r="AX377" s="19">
        <f>AP377+AS377+AU377+AV377+AW377</f>
        <v/>
      </c>
      <c r="AY377" s="18">
        <f>(AG377-AA377)</f>
        <v/>
      </c>
      <c r="AZ377" s="18">
        <f>(AK377-AJ377)</f>
        <v/>
      </c>
      <c r="BA377" s="18">
        <f>AO377-AG377</f>
        <v/>
      </c>
      <c r="BB377" s="18">
        <f>(AO377-AA377)-(AP377/1440)-(AW377/1440)</f>
        <v/>
      </c>
      <c r="BC377" s="20">
        <f>E377/AZ377</f>
        <v/>
      </c>
      <c r="BD377" s="208" t="n"/>
      <c r="BE377" s="20">
        <f>IF(E377&lt;10000,3000,IF(E377&lt;15000,3600,IF(E377&lt;20000,4500,IF(E377&lt;25000,6000,IF(E377&lt;30000,7500,IF(E377&lt;40000,9000,IF(E377&gt;40000,10000)))))))</f>
        <v/>
      </c>
      <c r="BF377" s="334">
        <f>(E377/BE377)+2</f>
        <v/>
      </c>
      <c r="BG377" s="208" t="n"/>
      <c r="BH377" s="208" t="n"/>
      <c r="BI377" s="208" t="n"/>
      <c r="BJ377" s="208" t="n"/>
      <c r="BK377" s="208" t="n"/>
      <c r="BL377" s="208" t="n"/>
      <c r="BM377" s="208" t="n"/>
      <c r="BN377" s="208" t="n"/>
      <c r="BO377" s="208" t="n"/>
      <c r="BP377" s="208" t="n"/>
      <c r="BQ377" s="208" t="n"/>
      <c r="BR377" s="208" t="n"/>
      <c r="BS377" s="97" t="inlineStr">
        <is>
          <t>NUL</t>
        </is>
      </c>
      <c r="BT377" s="99" t="n">
        <v>0</v>
      </c>
      <c r="BU377" s="99" t="inlineStr">
        <is>
          <t>CLEAN</t>
        </is>
      </c>
      <c r="BV377" s="99" t="inlineStr">
        <is>
          <t>NUL</t>
        </is>
      </c>
      <c r="BW377" s="345">
        <f>AI378-AH378</f>
        <v/>
      </c>
      <c r="CB377" s="14" t="n">
        <v>2484</v>
      </c>
    </row>
    <row r="378" ht="14.55" customHeight="1" s="70">
      <c r="A378" s="81" t="n">
        <v>249</v>
      </c>
      <c r="B378" s="343" t="inlineStr">
        <is>
          <t>MERWEBORG</t>
        </is>
      </c>
      <c r="C378" s="15" t="n">
        <v>45843</v>
      </c>
      <c r="D378" s="329" t="n">
        <v>3300</v>
      </c>
      <c r="E378" s="333">
        <f>D378+D379</f>
        <v/>
      </c>
      <c r="G378" s="81" t="n">
        <v>2</v>
      </c>
      <c r="H378" s="75" t="inlineStr">
        <is>
          <t>TSP</t>
        </is>
      </c>
      <c r="I378" s="306" t="inlineStr">
        <is>
          <t xml:space="preserve">TSP EURO </t>
        </is>
      </c>
      <c r="J378" s="75" t="inlineStr">
        <is>
          <t>FOB</t>
        </is>
      </c>
      <c r="Q378" s="75" t="inlineStr">
        <is>
          <t>EUROPE</t>
        </is>
      </c>
      <c r="R378" s="75" t="inlineStr">
        <is>
          <t>LETTONIA</t>
        </is>
      </c>
      <c r="S378" s="75" t="n"/>
      <c r="T378" s="75" t="inlineStr">
        <is>
          <t>INSPECTORATE</t>
        </is>
      </c>
      <c r="U378" s="81" t="n">
        <v>135</v>
      </c>
      <c r="V378" s="53">
        <f>IF(U378&lt;130, "Mini Bulker", IF(AND(U378&gt;=130, U378&lt;150), "Handysize", IF(AND(U378&gt;=150, U378&lt;200), "Handymax", IF(AND(U378&gt;=200, U378&lt;230), "Panamax", IF(AND(U378&gt;=230, U378&lt;=270), "Capesize", "Autre")))))</f>
        <v/>
      </c>
      <c r="X378" s="14">
        <f>IF(E378&lt;9999,"1",IF(E378&lt;19999,"2",IF(E378&lt;29999,"3",IF(E378&lt;39999,"4",IF(E378&lt;49999,"5",IF(E378&gt;50000,"6"))))))</f>
        <v/>
      </c>
      <c r="Y378" s="99" t="inlineStr">
        <is>
          <t>1TER</t>
        </is>
      </c>
      <c r="AA378" s="26" t="n">
        <v>45827.85416666666</v>
      </c>
      <c r="AB378" s="26" t="n">
        <v>45828.375</v>
      </c>
      <c r="AC378" s="15" t="n">
        <v>45824</v>
      </c>
      <c r="AD378" s="15" t="n">
        <v>45827</v>
      </c>
      <c r="AE378" s="26" t="n">
        <v>45826.95833333334</v>
      </c>
      <c r="AF378" s="26" t="n">
        <v>45840.50208333333</v>
      </c>
      <c r="AG378" s="26" t="n">
        <v>45840.59722222222</v>
      </c>
      <c r="AH378" s="26" t="n">
        <v>45840.61805555555</v>
      </c>
      <c r="AI378" s="26" t="n">
        <v>45840.85416666666</v>
      </c>
      <c r="AJ378" s="26" t="n">
        <v>45841.02777777778</v>
      </c>
      <c r="AK378" s="26" t="n">
        <v>45843.97569444445</v>
      </c>
      <c r="AL378" s="26" t="n">
        <v>45844.02777777778</v>
      </c>
      <c r="AM378" s="26" t="n">
        <v>45844.05555555555</v>
      </c>
      <c r="AN378" s="26" t="n">
        <v>45844.10555555556</v>
      </c>
      <c r="AO378" s="26" t="n">
        <v>45844.19444444445</v>
      </c>
      <c r="AP378" s="20">
        <f>(AG378-AF378)*1440</f>
        <v/>
      </c>
      <c r="AQ378" s="20">
        <f>(AG378-AE378)*1440</f>
        <v/>
      </c>
      <c r="AR378" s="20">
        <f>(AH378-AF378)*1440</f>
        <v/>
      </c>
      <c r="AS378" s="20">
        <f>(AI378-AH378)*1440</f>
        <v/>
      </c>
      <c r="AT378" s="20">
        <f>(AJ378-AH378)*1440</f>
        <v/>
      </c>
      <c r="AU378" s="20">
        <f>(AL378-AK378)*1440</f>
        <v/>
      </c>
      <c r="AV378" s="20">
        <f>(AM378-AL378)*1440</f>
        <v/>
      </c>
      <c r="AW378" s="20">
        <f>(AO378-AM378)*1440</f>
        <v/>
      </c>
      <c r="AX378" s="19">
        <f>AP378+AS378+AU378+AV378+AW378</f>
        <v/>
      </c>
      <c r="AY378" s="18">
        <f>(AG378-AA378)</f>
        <v/>
      </c>
      <c r="AZ378" s="18">
        <f>(AK378-AJ378)</f>
        <v/>
      </c>
      <c r="BA378" s="18">
        <f>AO378-AG378</f>
        <v/>
      </c>
      <c r="BB378" s="18">
        <f>(AO378-AA378)-(AP378/1440)-(AW378/1440)</f>
        <v/>
      </c>
      <c r="BC378" s="20">
        <f>E378/AZ378</f>
        <v/>
      </c>
      <c r="BE378" s="20">
        <f>IF(E378&lt;10000,3000,IF(E378&lt;15000,3600,IF(E378&lt;20000,4500,IF(E378&lt;25000,6000,IF(E378&lt;30000,7500,IF(E378&lt;40000,9000,IF(E378&gt;40000,10000)))))))</f>
        <v/>
      </c>
      <c r="BF378" s="334">
        <f>(E378/BE378)+2</f>
        <v/>
      </c>
      <c r="BS378" s="97" t="inlineStr">
        <is>
          <t>NUL</t>
        </is>
      </c>
      <c r="BT378" s="99" t="n">
        <v>0</v>
      </c>
      <c r="BU378" s="99" t="n"/>
      <c r="BV378" s="99" t="inlineStr">
        <is>
          <t>SEPARATION BULK HEAD/DEBALLASTING</t>
        </is>
      </c>
      <c r="BW378" s="332">
        <f>AI379-AH379</f>
        <v/>
      </c>
      <c r="CB378" s="14" t="n">
        <v>6540</v>
      </c>
    </row>
    <row r="379" ht="15" customHeight="1" s="70">
      <c r="B379" s="343" t="inlineStr">
        <is>
          <t>MERWEBORG</t>
        </is>
      </c>
      <c r="C379" s="15" t="n">
        <v>45843</v>
      </c>
      <c r="D379" s="329" t="n">
        <v>3850</v>
      </c>
      <c r="E379" s="330" t="n"/>
      <c r="G379" s="81" t="n">
        <v>2</v>
      </c>
      <c r="H379" s="75" t="inlineStr">
        <is>
          <t>NPK</t>
        </is>
      </c>
      <c r="I379" s="306" t="inlineStr">
        <is>
          <t xml:space="preserve">NPK 10 26 26 Low Cd </t>
        </is>
      </c>
      <c r="J379" s="75" t="inlineStr">
        <is>
          <t>FOB</t>
        </is>
      </c>
      <c r="Q379" s="75" t="inlineStr">
        <is>
          <t>EUROPE</t>
        </is>
      </c>
      <c r="R379" s="75" t="inlineStr">
        <is>
          <t>LETTONIA</t>
        </is>
      </c>
      <c r="T379" s="75" t="inlineStr">
        <is>
          <t>INSPECTORATE</t>
        </is>
      </c>
      <c r="U379" s="81" t="n">
        <v>135</v>
      </c>
      <c r="V379" s="53">
        <f>IF(U379&lt;130, "Mini Bulker", IF(AND(U379&gt;=130, U379&lt;150), "Handysize", IF(AND(U379&gt;=150, U379&lt;200), "Handymax", IF(AND(U379&gt;=200, U379&lt;230), "Panamax", IF(AND(U379&gt;=230, U379&lt;=270), "Capesize", "Autre")))))</f>
        <v/>
      </c>
      <c r="X379" s="14">
        <f>IF(E379&lt;9999,"1",IF(E379&lt;19999,"2",IF(E379&lt;29999,"3",IF(E379&lt;39999,"4",IF(E379&lt;49999,"5",IF(E379&gt;50000,"6"))))))</f>
        <v/>
      </c>
      <c r="Y379" s="99" t="inlineStr">
        <is>
          <t>1TER</t>
        </is>
      </c>
      <c r="AA379" s="98" t="n"/>
      <c r="AB379" s="98" t="n"/>
      <c r="AC379" s="98" t="n"/>
      <c r="AD379" s="98" t="n"/>
      <c r="AE379" s="98" t="n"/>
      <c r="AF379" s="98" t="n"/>
      <c r="AG379" s="98" t="n"/>
      <c r="AH379" s="98" t="n"/>
      <c r="AI379" s="98" t="n"/>
      <c r="AJ379" s="98" t="n"/>
      <c r="AK379" s="98" t="n"/>
      <c r="AL379" s="98" t="n"/>
      <c r="AM379" s="98" t="n"/>
      <c r="AN379" s="98" t="n"/>
      <c r="AO379" s="98" t="n"/>
      <c r="AP379" s="98" t="n"/>
      <c r="AQ379" s="98" t="n"/>
      <c r="AR379" s="98" t="n"/>
      <c r="AS379" s="98" t="n"/>
      <c r="AT379" s="98" t="n"/>
      <c r="AU379" s="98" t="n"/>
      <c r="AV379" s="98" t="n"/>
      <c r="AW379" s="98" t="n"/>
      <c r="AX379" s="98" t="n"/>
      <c r="AY379" s="98" t="n"/>
      <c r="AZ379" s="98" t="n"/>
      <c r="BA379" s="98" t="n"/>
      <c r="BB379" s="98" t="n"/>
      <c r="BC379" s="98" t="n"/>
      <c r="BD379" s="98" t="n"/>
      <c r="BE379" s="98" t="n"/>
      <c r="BF379" s="98" t="n"/>
      <c r="BG379" s="98" t="n"/>
      <c r="BH379" s="98" t="n"/>
      <c r="BI379" s="98" t="n"/>
      <c r="BJ379" s="98" t="n"/>
      <c r="BK379" s="98" t="n"/>
      <c r="BL379" s="98" t="n"/>
      <c r="BM379" s="98" t="n"/>
      <c r="BN379" s="98" t="n"/>
      <c r="BO379" s="98" t="n"/>
      <c r="BP379" s="98" t="n"/>
      <c r="BQ379" s="98" t="n"/>
      <c r="BR379" s="98" t="n"/>
      <c r="BS379" s="97" t="n"/>
      <c r="BT379" s="99" t="n"/>
      <c r="BU379" s="99" t="n"/>
      <c r="BV379" s="99" t="n"/>
      <c r="CB379" s="14" t="n"/>
    </row>
    <row r="380" ht="14.55" customHeight="1" s="70">
      <c r="A380" s="81" t="n">
        <v>250</v>
      </c>
      <c r="B380" s="343" t="inlineStr">
        <is>
          <t>ALBUFERA TMA</t>
        </is>
      </c>
      <c r="C380" s="15" t="n">
        <v>45844</v>
      </c>
      <c r="D380" s="329" t="n">
        <v>2005</v>
      </c>
      <c r="E380" s="333">
        <f>D380+D381</f>
        <v/>
      </c>
      <c r="G380" s="81" t="n">
        <v>2</v>
      </c>
      <c r="H380" s="75" t="inlineStr">
        <is>
          <t>DAP</t>
        </is>
      </c>
      <c r="I380" s="306" t="inlineStr">
        <is>
          <t xml:space="preserve">DAP Euro Low Cd </t>
        </is>
      </c>
      <c r="J380" s="75" t="inlineStr">
        <is>
          <t>CFR</t>
        </is>
      </c>
      <c r="Q380" s="75" t="inlineStr">
        <is>
          <t>EUROPE</t>
        </is>
      </c>
      <c r="R380" s="75" t="inlineStr">
        <is>
          <t>ESPAGNE</t>
        </is>
      </c>
      <c r="T380" s="75" t="inlineStr">
        <is>
          <t>INSPECTORATE</t>
        </is>
      </c>
      <c r="U380" s="81" t="n">
        <v>100</v>
      </c>
      <c r="V380" s="53">
        <f>IF(U380&lt;130, "Mini Bulker", IF(AND(U380&gt;=130, U380&lt;150), "Handysize", IF(AND(U380&gt;=150, U380&lt;200), "Handymax", IF(AND(U380&gt;=200, U380&lt;230), "Panamax", IF(AND(U380&gt;=230, U380&lt;=270), "Capesize", "Autre")))))</f>
        <v/>
      </c>
      <c r="X380" s="14">
        <f>IF(E380&lt;9999,"1",IF(E380&lt;19999,"2",IF(E380&lt;29999,"3",IF(E380&lt;39999,"4",IF(E380&lt;49999,"5",IF(E380&gt;50000,"6"))))))</f>
        <v/>
      </c>
      <c r="Y380" s="99" t="inlineStr">
        <is>
          <t>2BIS/1TER</t>
        </is>
      </c>
      <c r="AA380" s="26" t="n">
        <v>45841.70833333334</v>
      </c>
      <c r="AB380" s="26" t="n">
        <v>45841.70833333334</v>
      </c>
      <c r="AC380" s="15" t="n">
        <v>45837</v>
      </c>
      <c r="AD380" s="15" t="n">
        <v>45839</v>
      </c>
      <c r="AE380" s="26" t="n">
        <v>45841.92222222222</v>
      </c>
      <c r="AF380" s="26" t="n">
        <v>45842.88888888889</v>
      </c>
      <c r="AG380" s="26" t="n">
        <v>45842.93055555555</v>
      </c>
      <c r="AH380" s="26" t="n">
        <v>45842.96527777778</v>
      </c>
      <c r="AI380" s="26" t="n">
        <v>45843.02777777778</v>
      </c>
      <c r="AJ380" s="26" t="n">
        <v>45843.14583333334</v>
      </c>
      <c r="AK380" s="26" t="n">
        <v>45844.64236111111</v>
      </c>
      <c r="AL380" s="26" t="n">
        <v>45844.68055555555</v>
      </c>
      <c r="AM380" s="26" t="n">
        <v>45844.70833333334</v>
      </c>
      <c r="AN380" s="26" t="n">
        <v>45844.75277777778</v>
      </c>
      <c r="AO380" s="26" t="n">
        <v>45844.79027777778</v>
      </c>
      <c r="AP380" s="20">
        <f>(AG380-AF380)*1440</f>
        <v/>
      </c>
      <c r="AQ380" s="20">
        <f>(AG380-AE380)*1440</f>
        <v/>
      </c>
      <c r="AR380" s="20">
        <f>(AH380-AF380)*1440</f>
        <v/>
      </c>
      <c r="AS380" s="20">
        <f>(AI380-AH380)*1440</f>
        <v/>
      </c>
      <c r="AT380" s="20">
        <f>(AJ380-AH380)*1440</f>
        <v/>
      </c>
      <c r="AU380" s="20">
        <f>(AL380-AK380)*1440</f>
        <v/>
      </c>
      <c r="AV380" s="20">
        <f>(AM380-AL380)*1440</f>
        <v/>
      </c>
      <c r="AW380" s="20">
        <f>(AO380-AM380)*1440</f>
        <v/>
      </c>
      <c r="AX380" s="19">
        <f>AP380+AS380+AU380+AV380+AW380</f>
        <v/>
      </c>
      <c r="AY380" s="18">
        <f>(AG380-AA380)</f>
        <v/>
      </c>
      <c r="AZ380" s="18">
        <f>(AK380-AJ380)</f>
        <v/>
      </c>
      <c r="BA380" s="18">
        <f>AO380-AG380</f>
        <v/>
      </c>
      <c r="BB380" s="18">
        <f>(AO380-AA380)-(AP380/1440)-(AW380/1440)</f>
        <v/>
      </c>
      <c r="BC380" s="20">
        <f>E380/AZ380</f>
        <v/>
      </c>
      <c r="BE380" s="20">
        <f>IF(E380&lt;10000,3000,IF(E380&lt;15000,3600,IF(E380&lt;20000,4500,IF(E380&lt;25000,6000,IF(E380&lt;30000,7500,IF(E380&lt;40000,9000,IF(E380&gt;40000,10000)))))))</f>
        <v/>
      </c>
      <c r="BF380" s="334">
        <f>(E380/BE380)+2</f>
        <v/>
      </c>
      <c r="BS380" s="97" t="inlineStr">
        <is>
          <t>CHANGE VERS LA RADE LE 05/07- 1245 // RE-ACC AU POSTE 1TER LE 06/07- 0535</t>
        </is>
      </c>
      <c r="BT380" s="99" t="n">
        <v>2</v>
      </c>
      <c r="BU380" s="99" t="inlineStr">
        <is>
          <t>CLEAN</t>
        </is>
      </c>
      <c r="BV380" s="99" t="inlineStr">
        <is>
          <t>NUL</t>
        </is>
      </c>
      <c r="BW380" s="332">
        <f>AI381-AH381</f>
        <v/>
      </c>
      <c r="CB380" s="14" t="n">
        <v>3978</v>
      </c>
    </row>
    <row r="381" ht="14.55" customHeight="1" s="70">
      <c r="A381" s="81" t="n"/>
      <c r="B381" s="343" t="inlineStr">
        <is>
          <t>ALBUFERA TMA</t>
        </is>
      </c>
      <c r="C381" s="15" t="n">
        <v>45844</v>
      </c>
      <c r="D381" s="329" t="n">
        <v>3300</v>
      </c>
      <c r="E381" s="330" t="n"/>
      <c r="G381" s="81" t="n">
        <v>2</v>
      </c>
      <c r="H381" s="75" t="inlineStr">
        <is>
          <t>MAP</t>
        </is>
      </c>
      <c r="I381" s="306" t="inlineStr">
        <is>
          <t xml:space="preserve">MAP 11 52 Special Low Cd </t>
        </is>
      </c>
      <c r="J381" s="75" t="inlineStr">
        <is>
          <t>CFR</t>
        </is>
      </c>
      <c r="Q381" s="75" t="inlineStr">
        <is>
          <t>EUROPE</t>
        </is>
      </c>
      <c r="R381" s="75" t="inlineStr">
        <is>
          <t>ESPAGNE</t>
        </is>
      </c>
      <c r="T381" s="75" t="inlineStr">
        <is>
          <t>INSPECTORATE</t>
        </is>
      </c>
      <c r="U381" s="81" t="n">
        <v>100</v>
      </c>
      <c r="V381" s="53">
        <f>IF(U381&lt;130, "Mini Bulker", IF(AND(U381&gt;=130, U381&lt;150), "Handysize", IF(AND(U381&gt;=150, U381&lt;200), "Handymax", IF(AND(U381&gt;=200, U381&lt;230), "Panamax", IF(AND(U381&gt;=230, U381&lt;=270), "Capesize", "Autre")))))</f>
        <v/>
      </c>
      <c r="X381" s="14">
        <f>IF(E381&lt;9999,"1",IF(E381&lt;19999,"2",IF(E381&lt;29999,"3",IF(E381&lt;39999,"4",IF(E381&lt;49999,"5",IF(E381&gt;50000,"6"))))))</f>
        <v/>
      </c>
      <c r="Y381" s="99" t="inlineStr">
        <is>
          <t>2BIS/1TER</t>
        </is>
      </c>
      <c r="AA381" s="98" t="n"/>
      <c r="AB381" s="98" t="n"/>
      <c r="AC381" s="98" t="n"/>
      <c r="AD381" s="98" t="n"/>
      <c r="AE381" s="98" t="n"/>
      <c r="AF381" s="98" t="n"/>
      <c r="AG381" s="98" t="n"/>
      <c r="AH381" s="98" t="n"/>
      <c r="AI381" s="98" t="n"/>
      <c r="AJ381" s="98" t="n"/>
      <c r="AK381" s="98" t="n"/>
      <c r="AL381" s="98" t="n"/>
      <c r="AM381" s="98" t="n"/>
      <c r="AN381" s="98" t="n"/>
      <c r="AO381" s="98" t="n"/>
      <c r="AP381" s="98" t="n"/>
      <c r="AQ381" s="98" t="n"/>
      <c r="AR381" s="98" t="n"/>
      <c r="AS381" s="98" t="n"/>
      <c r="AT381" s="98" t="n"/>
      <c r="AU381" s="98" t="n"/>
      <c r="AV381" s="98" t="n"/>
      <c r="AW381" s="98" t="n"/>
      <c r="AX381" s="98" t="n"/>
      <c r="AY381" s="98" t="n"/>
      <c r="AZ381" s="98" t="n"/>
      <c r="BA381" s="98" t="n"/>
      <c r="BB381" s="98" t="n"/>
      <c r="BC381" s="98" t="n"/>
      <c r="BD381" s="98" t="n"/>
      <c r="BE381" s="98" t="n"/>
      <c r="BF381" s="98" t="n"/>
      <c r="BG381" s="98" t="n"/>
      <c r="BH381" s="98" t="n"/>
      <c r="BI381" s="98" t="n"/>
      <c r="BJ381" s="98" t="n"/>
      <c r="BK381" s="98" t="n"/>
      <c r="BL381" s="98" t="n"/>
      <c r="BM381" s="98" t="n"/>
      <c r="BN381" s="98" t="n"/>
      <c r="BO381" s="98" t="n"/>
      <c r="BP381" s="98" t="n"/>
      <c r="BQ381" s="98" t="n"/>
      <c r="BR381" s="98" t="n"/>
      <c r="BS381" s="97" t="n"/>
      <c r="BT381" s="99" t="n"/>
      <c r="BU381" s="99" t="n"/>
      <c r="BV381" s="99" t="n"/>
      <c r="CB381" s="14" t="n"/>
    </row>
    <row r="382" ht="14.55" customHeight="1" s="70">
      <c r="A382" s="81" t="n">
        <v>251</v>
      </c>
      <c r="B382" s="343" t="inlineStr">
        <is>
          <t>KATUXA NM</t>
        </is>
      </c>
      <c r="C382" s="15" t="n">
        <v>45844</v>
      </c>
      <c r="D382" s="329" t="n">
        <v>3978</v>
      </c>
      <c r="E382" s="333">
        <f>D382+D383</f>
        <v/>
      </c>
      <c r="G382" s="81" t="n">
        <v>2</v>
      </c>
      <c r="H382" s="75" t="inlineStr">
        <is>
          <t>DAP</t>
        </is>
      </c>
      <c r="I382" s="306" t="inlineStr">
        <is>
          <t xml:space="preserve">DAP Euro Low Cd </t>
        </is>
      </c>
      <c r="J382" s="75" t="inlineStr">
        <is>
          <t>FOB</t>
        </is>
      </c>
      <c r="Q382" s="75" t="inlineStr">
        <is>
          <t>EUROPE</t>
        </is>
      </c>
      <c r="R382" s="75" t="inlineStr">
        <is>
          <t xml:space="preserve">France </t>
        </is>
      </c>
      <c r="T382" s="75" t="inlineStr">
        <is>
          <t>INTERTEK</t>
        </is>
      </c>
      <c r="U382" s="81" t="n">
        <v>103</v>
      </c>
      <c r="V382" s="53">
        <f>IF(U382&lt;130, "Mini Bulker", IF(AND(U382&gt;=130, U382&lt;150), "Handysize", IF(AND(U382&gt;=150, U382&lt;200), "Handymax", IF(AND(U382&gt;=200, U382&lt;230), "Panamax", IF(AND(U382&gt;=230, U382&lt;=270), "Capesize", "Autre")))))</f>
        <v/>
      </c>
      <c r="X382" s="14">
        <f>IF(E382&lt;9999,"1",IF(E382&lt;19999,"2",IF(E382&lt;29999,"3",IF(E382&lt;39999,"4",IF(E382&lt;49999,"5",IF(E382&gt;50000,"6"))))))</f>
        <v/>
      </c>
      <c r="Y382" s="99" t="inlineStr">
        <is>
          <t>2TER</t>
        </is>
      </c>
      <c r="AA382" s="26" t="n">
        <v>45840.70416666667</v>
      </c>
      <c r="AB382" s="26" t="n">
        <v>45840.70416666667</v>
      </c>
      <c r="AC382" s="15" t="n">
        <v>45839</v>
      </c>
      <c r="AD382" s="15" t="n">
        <v>45841</v>
      </c>
      <c r="AE382" s="26" t="n">
        <v>45840.70416666667</v>
      </c>
      <c r="AF382" s="26" t="n">
        <v>45842.73611111111</v>
      </c>
      <c r="AG382" s="26" t="n">
        <v>45842.8125</v>
      </c>
      <c r="AH382" s="26" t="n">
        <v>45842.82291666666</v>
      </c>
      <c r="AI382" s="26" t="n">
        <v>45842.88888888889</v>
      </c>
      <c r="AJ382" s="26" t="n">
        <v>45843.03125</v>
      </c>
      <c r="AK382" s="26" t="n">
        <v>45844.70833333334</v>
      </c>
      <c r="AL382" s="26" t="n">
        <v>45844.75</v>
      </c>
      <c r="AM382" s="26" t="n">
        <v>45844.76388888889</v>
      </c>
      <c r="AN382" s="26" t="n">
        <v>45844.81180555555</v>
      </c>
      <c r="AO382" s="26" t="n">
        <v>45844.82430555556</v>
      </c>
      <c r="AP382" s="20">
        <f>(AG382-AF382)*1440</f>
        <v/>
      </c>
      <c r="AQ382" s="20">
        <f>(AG382-AE382)*1440</f>
        <v/>
      </c>
      <c r="AR382" s="20">
        <f>(AH382-AF382)*1440</f>
        <v/>
      </c>
      <c r="AS382" s="20">
        <f>(AI382-AH382)*1440</f>
        <v/>
      </c>
      <c r="AT382" s="20">
        <f>(AJ382-AH382)*1440</f>
        <v/>
      </c>
      <c r="AU382" s="20">
        <f>(AL382-AK382)*1440</f>
        <v/>
      </c>
      <c r="AV382" s="20">
        <f>(AM382-AL382)*1440</f>
        <v/>
      </c>
      <c r="AW382" s="20">
        <f>(AO382-AM382)*1440</f>
        <v/>
      </c>
      <c r="AX382" s="19">
        <f>AP382+AS382+AU382+AV382+AW382</f>
        <v/>
      </c>
      <c r="AY382" s="18">
        <f>(AG382-AA382)</f>
        <v/>
      </c>
      <c r="AZ382" s="18">
        <f>(AK382-AJ382)</f>
        <v/>
      </c>
      <c r="BA382" s="18">
        <f>AO382-AG382</f>
        <v/>
      </c>
      <c r="BB382" s="18">
        <f>(AO382-AA382)-(AP382/1440)-(AW382/1440)</f>
        <v/>
      </c>
      <c r="BC382" s="20">
        <f>E382/AZ382</f>
        <v/>
      </c>
      <c r="BE382" s="20">
        <f>IF(E382&lt;10000,3000,IF(E382&lt;15000,3600,IF(E382&lt;20000,4500,IF(E382&lt;25000,6000,IF(E382&lt;30000,7500,IF(E382&lt;40000,9000,IF(E382&gt;40000,10000)))))))</f>
        <v/>
      </c>
      <c r="BF382" s="334">
        <f>(E382/BE382)+2</f>
        <v/>
      </c>
      <c r="BS382" s="97" t="inlineStr">
        <is>
          <t>NUL</t>
        </is>
      </c>
      <c r="BT382" s="99" t="n">
        <v>0</v>
      </c>
      <c r="BU382" s="99" t="inlineStr">
        <is>
          <t>CLEAN</t>
        </is>
      </c>
      <c r="BV382" s="99" t="inlineStr">
        <is>
          <t>NUL</t>
        </is>
      </c>
      <c r="BW382" s="332">
        <f>AI383-AH383</f>
        <v/>
      </c>
      <c r="CB382" s="14" t="n">
        <v>4137</v>
      </c>
    </row>
    <row r="383" ht="15" customHeight="1" s="70">
      <c r="A383" s="81" t="n"/>
      <c r="B383" s="343" t="inlineStr">
        <is>
          <t>KATUXA NM</t>
        </is>
      </c>
      <c r="C383" s="15" t="n">
        <v>45844</v>
      </c>
      <c r="D383" s="329" t="n">
        <v>2044</v>
      </c>
      <c r="E383" s="330" t="n"/>
      <c r="G383" s="81" t="n">
        <v>2</v>
      </c>
      <c r="H383" s="75" t="inlineStr">
        <is>
          <t>MAP</t>
        </is>
      </c>
      <c r="I383" s="306" t="inlineStr">
        <is>
          <t xml:space="preserve">MAP 11 52 Special Low Cd </t>
        </is>
      </c>
      <c r="J383" s="75" t="inlineStr">
        <is>
          <t>FOB</t>
        </is>
      </c>
      <c r="Q383" s="75" t="inlineStr">
        <is>
          <t>EUROPE</t>
        </is>
      </c>
      <c r="R383" s="75" t="inlineStr">
        <is>
          <t xml:space="preserve">France </t>
        </is>
      </c>
      <c r="T383" s="75" t="inlineStr">
        <is>
          <t>INTERTEK</t>
        </is>
      </c>
      <c r="U383" s="81" t="n">
        <v>103</v>
      </c>
      <c r="V383" s="53">
        <f>IF(U383&lt;130, "Mini Bulker", IF(AND(U383&gt;=130, U383&lt;150), "Handysize", IF(AND(U383&gt;=150, U383&lt;200), "Handymax", IF(AND(U383&gt;=200, U383&lt;230), "Panamax", IF(AND(U383&gt;=230, U383&lt;=270), "Capesize", "Autre")))))</f>
        <v/>
      </c>
      <c r="X383" s="14">
        <f>IF(E383&lt;9999,"1",IF(E383&lt;19999,"2",IF(E383&lt;29999,"3",IF(E383&lt;39999,"4",IF(E383&lt;49999,"5",IF(E383&gt;50000,"6"))))))</f>
        <v/>
      </c>
      <c r="Y383" s="99" t="inlineStr">
        <is>
          <t>2TER</t>
        </is>
      </c>
      <c r="AA383" s="98" t="n"/>
      <c r="AB383" s="98" t="n"/>
      <c r="AC383" s="98" t="n"/>
      <c r="AD383" s="98" t="n"/>
      <c r="AE383" s="98" t="n"/>
      <c r="AF383" s="98" t="n"/>
      <c r="AG383" s="98" t="n"/>
      <c r="AH383" s="98" t="n"/>
      <c r="AI383" s="98" t="n"/>
      <c r="AJ383" s="98" t="n"/>
      <c r="AK383" s="98" t="n"/>
      <c r="AL383" s="98" t="n"/>
      <c r="AM383" s="98" t="n"/>
      <c r="AN383" s="98" t="n"/>
      <c r="AO383" s="98" t="n"/>
      <c r="AP383" s="98" t="n"/>
      <c r="AQ383" s="98" t="n"/>
      <c r="AR383" s="98" t="n"/>
      <c r="AS383" s="98" t="n"/>
      <c r="AT383" s="98" t="n"/>
      <c r="AU383" s="98" t="n"/>
      <c r="AV383" s="98" t="n"/>
      <c r="AW383" s="98" t="n"/>
      <c r="AX383" s="98" t="n"/>
      <c r="AY383" s="98" t="n"/>
      <c r="AZ383" s="98" t="n"/>
      <c r="BA383" s="98" t="n"/>
      <c r="BB383" s="98" t="n"/>
      <c r="BC383" s="98" t="n"/>
      <c r="BD383" s="98" t="n"/>
      <c r="BE383" s="98" t="n"/>
      <c r="BF383" s="98" t="n"/>
      <c r="BG383" s="98" t="n"/>
      <c r="BH383" s="98" t="n"/>
      <c r="BI383" s="98" t="n"/>
      <c r="BJ383" s="98" t="n"/>
      <c r="BK383" s="98" t="n"/>
      <c r="BL383" s="98" t="n"/>
      <c r="BM383" s="98" t="n"/>
      <c r="BN383" s="98" t="n"/>
      <c r="BO383" s="98" t="n"/>
      <c r="BP383" s="98" t="n"/>
      <c r="BQ383" s="98" t="n"/>
      <c r="BR383" s="98" t="n"/>
      <c r="BS383" s="97" t="n"/>
      <c r="BT383" s="99" t="n"/>
      <c r="BU383" s="99" t="n"/>
      <c r="BV383" s="99" t="n"/>
      <c r="CB383" s="14" t="n"/>
    </row>
    <row r="384">
      <c r="A384" s="81" t="n">
        <v>252</v>
      </c>
      <c r="B384" s="343" t="inlineStr">
        <is>
          <t>XIN HAI TONG 60</t>
        </is>
      </c>
      <c r="C384" s="15" t="n">
        <v>45844</v>
      </c>
      <c r="D384" s="329" t="n">
        <v>44000</v>
      </c>
      <c r="E384" s="329" t="n">
        <v>44000</v>
      </c>
      <c r="G384" s="81" t="n">
        <v>1</v>
      </c>
      <c r="H384" s="75" t="inlineStr">
        <is>
          <t>DAP</t>
        </is>
      </c>
      <c r="I384" s="306" t="inlineStr">
        <is>
          <t>DAP STANDARD</t>
        </is>
      </c>
      <c r="J384" s="75" t="inlineStr">
        <is>
          <t>FOB</t>
        </is>
      </c>
      <c r="Q384" s="75" t="inlineStr">
        <is>
          <t>ASIE</t>
        </is>
      </c>
      <c r="R384" s="75" t="inlineStr">
        <is>
          <t>BANGLADESH</t>
        </is>
      </c>
      <c r="T384" s="75" t="inlineStr">
        <is>
          <t>INTERTEK</t>
        </is>
      </c>
      <c r="U384" s="81" t="n">
        <v>190</v>
      </c>
      <c r="V384" s="53">
        <f>IF(U384&lt;130, "Mini Bulker", IF(AND(U384&gt;=130, U384&lt;150), "Handysize", IF(AND(U384&gt;=150, U384&lt;200), "Handymax", IF(AND(U384&gt;=200, U384&lt;230), "Panamax", IF(AND(U384&gt;=230, U384&lt;=270), "Capesize", "Autre")))))</f>
        <v/>
      </c>
      <c r="X384" s="14">
        <f>IF(E384&lt;9999,"1",IF(E384&lt;19999,"2",IF(E384&lt;29999,"3",IF(E384&lt;39999,"4",IF(E384&lt;49999,"5",IF(E384&gt;50000,"6"))))))</f>
        <v/>
      </c>
      <c r="Y384" s="99" t="inlineStr">
        <is>
          <t>1BIS</t>
        </is>
      </c>
      <c r="AA384" s="26" t="n">
        <v>45839.86666666667</v>
      </c>
      <c r="AB384" s="26" t="n">
        <v>45840.375</v>
      </c>
      <c r="AC384" s="15" t="n">
        <v>45836</v>
      </c>
      <c r="AD384" s="15" t="n">
        <v>45838</v>
      </c>
      <c r="AE384" s="26" t="n">
        <v>45839.80416666667</v>
      </c>
      <c r="AF384" s="26" t="n">
        <v>45841.39236111111</v>
      </c>
      <c r="AG384" s="26" t="n">
        <v>45841.4875</v>
      </c>
      <c r="AH384" s="26" t="n">
        <v>45841.50694444445</v>
      </c>
      <c r="AI384" s="26" t="n">
        <v>45841.57291666666</v>
      </c>
      <c r="AJ384" s="26" t="n">
        <v>45841.57638888889</v>
      </c>
      <c r="AK384" s="26" t="n">
        <v>45844.87152777778</v>
      </c>
      <c r="AL384" s="26" t="n">
        <v>45844.92013888889</v>
      </c>
      <c r="AM384" s="26" t="n">
        <v>45844.93402777778</v>
      </c>
      <c r="AN384" s="26" t="n">
        <v>45844.97569444445</v>
      </c>
      <c r="AO384" s="26" t="n">
        <v>45844.98611111111</v>
      </c>
      <c r="AP384" s="20">
        <f>(AG384-AF384)*1440</f>
        <v/>
      </c>
      <c r="AQ384" s="20">
        <f>(AG384-AE384)*1440</f>
        <v/>
      </c>
      <c r="AR384" s="20">
        <f>(AH384-AF384)*1440</f>
        <v/>
      </c>
      <c r="AS384" s="20">
        <f>(AI384-AH384)*1440</f>
        <v/>
      </c>
      <c r="AT384" s="20">
        <f>(AJ384-AH384)*1440</f>
        <v/>
      </c>
      <c r="AU384" s="20">
        <f>(AL384-AK384)*1440</f>
        <v/>
      </c>
      <c r="AV384" s="20">
        <f>(AM384-AL384)*1440</f>
        <v/>
      </c>
      <c r="AW384" s="20">
        <f>(AO384-AM384)*1440</f>
        <v/>
      </c>
      <c r="AX384" s="19">
        <f>AP384+AS384+AU384+AV384+AW384</f>
        <v/>
      </c>
      <c r="AY384" s="18">
        <f>(AG384-AA384)</f>
        <v/>
      </c>
      <c r="AZ384" s="18">
        <f>(AK384-AJ384)</f>
        <v/>
      </c>
      <c r="BA384" s="18">
        <f>AO384-AG384</f>
        <v/>
      </c>
      <c r="BB384" s="18">
        <f>(AO384-AA384)-(AP384/1440)-(AW384/1440)</f>
        <v/>
      </c>
      <c r="BC384" s="20">
        <f>E384/AZ384</f>
        <v/>
      </c>
      <c r="BE384" s="20">
        <f>IF(E384&lt;10000,3000,IF(E384&lt;15000,3600,IF(E384&lt;20000,4500,IF(E384&lt;25000,6000,IF(E384&lt;30000,7500,IF(E384&lt;40000,9000,IF(E384&gt;40000,10000)))))))</f>
        <v/>
      </c>
      <c r="BF384" s="334">
        <f>(E384/BE384)+2</f>
        <v/>
      </c>
      <c r="BS384" s="97" t="inlineStr">
        <is>
          <t>NUL</t>
        </is>
      </c>
      <c r="BT384" s="99" t="n">
        <v>0</v>
      </c>
      <c r="BU384" s="99" t="inlineStr">
        <is>
          <t>CLEAN</t>
        </is>
      </c>
      <c r="BV384" s="99" t="inlineStr">
        <is>
          <t>NUL</t>
        </is>
      </c>
      <c r="BW384" s="332">
        <f>AI385-AH385</f>
        <v/>
      </c>
      <c r="CB384" s="14" t="n">
        <v>33044</v>
      </c>
    </row>
    <row r="385">
      <c r="A385" s="81" t="n">
        <v>253</v>
      </c>
      <c r="B385" s="343" t="inlineStr">
        <is>
          <t>BLUE TUNE</t>
        </is>
      </c>
      <c r="C385" s="15" t="n">
        <v>45845</v>
      </c>
      <c r="D385" s="329" t="n">
        <v>4408</v>
      </c>
      <c r="E385" s="329" t="n">
        <v>4408</v>
      </c>
      <c r="G385" s="81" t="n">
        <v>1</v>
      </c>
      <c r="H385" s="75" t="inlineStr">
        <is>
          <t>DAP</t>
        </is>
      </c>
      <c r="I385" s="306" t="inlineStr">
        <is>
          <t xml:space="preserve">DAP Euro Low Cd </t>
        </is>
      </c>
      <c r="J385" s="75" t="inlineStr">
        <is>
          <t>CFR</t>
        </is>
      </c>
      <c r="Q385" s="75" t="inlineStr">
        <is>
          <t>EUROPE</t>
        </is>
      </c>
      <c r="R385" s="75" t="inlineStr">
        <is>
          <t>ESPAGNE</t>
        </is>
      </c>
      <c r="T385" s="75" t="inlineStr">
        <is>
          <t>INSPECTORATE</t>
        </is>
      </c>
      <c r="U385" s="81" t="n">
        <v>90</v>
      </c>
      <c r="V385" s="53">
        <f>IF(U385&lt;130, "Mini Bulker", IF(AND(U385&gt;=130, U385&lt;150), "Handysize", IF(AND(U385&gt;=150, U385&lt;200), "Handymax", IF(AND(U385&gt;=200, U385&lt;230), "Panamax", IF(AND(U385&gt;=230, U385&lt;=270), "Capesize", "Autre")))))</f>
        <v/>
      </c>
      <c r="X385" s="14">
        <f>IF(E385&lt;9999,"1",IF(E385&lt;19999,"2",IF(E385&lt;29999,"3",IF(E385&lt;39999,"4",IF(E385&lt;49999,"5",IF(E385&gt;50000,"6"))))))</f>
        <v/>
      </c>
      <c r="Y385" s="99" t="inlineStr">
        <is>
          <t>1TER</t>
        </is>
      </c>
      <c r="AA385" s="26" t="n">
        <v>45842.8125</v>
      </c>
      <c r="AB385" s="26" t="n">
        <v>45843.375</v>
      </c>
      <c r="AC385" s="15" t="n">
        <v>45842</v>
      </c>
      <c r="AD385" s="15" t="n">
        <v>45845</v>
      </c>
      <c r="AE385" s="26" t="n">
        <v>45842.8125</v>
      </c>
      <c r="AF385" s="26" t="n">
        <v>45844.73055555556</v>
      </c>
      <c r="AG385" s="26" t="n">
        <v>45844.82291666666</v>
      </c>
      <c r="AH385" s="26" t="n">
        <v>45844.82638888889</v>
      </c>
      <c r="AI385" s="26" t="n">
        <v>45844.87847222222</v>
      </c>
      <c r="AJ385" s="26" t="n">
        <v>45845.01736111111</v>
      </c>
      <c r="AK385" s="26" t="n">
        <v>45845.375</v>
      </c>
      <c r="AL385" s="26" t="n">
        <v>45845.44444444445</v>
      </c>
      <c r="AM385" s="26" t="n">
        <v>45845.52083333334</v>
      </c>
      <c r="AN385" s="26" t="n">
        <v>45845.57291666666</v>
      </c>
      <c r="AO385" s="26" t="n">
        <v>45845.57291666666</v>
      </c>
      <c r="AP385" s="20">
        <f>(AG385-AF385)*1440</f>
        <v/>
      </c>
      <c r="AQ385" s="20">
        <f>(AG385-AE385)*1440</f>
        <v/>
      </c>
      <c r="AR385" s="20">
        <f>(AH385-AF385)*1440</f>
        <v/>
      </c>
      <c r="AS385" s="20">
        <f>(AI385-AH385)*1440</f>
        <v/>
      </c>
      <c r="AT385" s="20">
        <f>(AJ385-AH385)*1440</f>
        <v/>
      </c>
      <c r="AU385" s="20">
        <f>(AL385-AK385)*1440</f>
        <v/>
      </c>
      <c r="AV385" s="20">
        <f>(AM385-AL385)*1440</f>
        <v/>
      </c>
      <c r="AW385" s="20">
        <f>(AO385-AM385)*1440</f>
        <v/>
      </c>
      <c r="AX385" s="19">
        <f>AP385+AS385+AU385+AV385+AW385</f>
        <v/>
      </c>
      <c r="AY385" s="18">
        <f>(AG385-AA385)</f>
        <v/>
      </c>
      <c r="AZ385" s="18">
        <f>(AK385-AJ385)</f>
        <v/>
      </c>
      <c r="BA385" s="18">
        <f>AO385-AG385</f>
        <v/>
      </c>
      <c r="BB385" s="18">
        <f>(AO385-AA385)-(AP385/1440)-(AW385/1440)</f>
        <v/>
      </c>
      <c r="BC385" s="20">
        <f>E385/AZ385</f>
        <v/>
      </c>
      <c r="BE385" s="20">
        <f>IF(E385&lt;10000,3000,IF(E385&lt;15000,3600,IF(E385&lt;20000,4500,IF(E385&lt;25000,6000,IF(E385&lt;30000,7500,IF(E385&lt;40000,9000,IF(E385&gt;40000,10000)))))))</f>
        <v/>
      </c>
      <c r="BF385" s="334">
        <f>(E385/BE385)+2</f>
        <v/>
      </c>
      <c r="BS385" s="97" t="inlineStr">
        <is>
          <t>NUL</t>
        </is>
      </c>
      <c r="BT385" s="99" t="n">
        <v>0</v>
      </c>
      <c r="BU385" s="97" t="inlineStr">
        <is>
          <t>CLEAN</t>
        </is>
      </c>
      <c r="BV385" s="97" t="inlineStr">
        <is>
          <t>NUL</t>
        </is>
      </c>
      <c r="BW385" s="332">
        <f>AI386-AH386</f>
        <v/>
      </c>
      <c r="CB385" s="14" t="n">
        <v>3845</v>
      </c>
    </row>
    <row r="386" ht="14.55" customHeight="1" s="70">
      <c r="A386" s="81" t="n">
        <v>255</v>
      </c>
      <c r="B386" s="343" t="inlineStr">
        <is>
          <t>CIVARINA</t>
        </is>
      </c>
      <c r="C386" s="15" t="n">
        <v>45846</v>
      </c>
      <c r="D386" s="329" t="n">
        <v>4285</v>
      </c>
      <c r="E386" s="329" t="n">
        <v>4285</v>
      </c>
      <c r="G386" s="81" t="n">
        <v>1</v>
      </c>
      <c r="H386" s="75" t="inlineStr">
        <is>
          <t>MAP</t>
        </is>
      </c>
      <c r="I386" s="306" t="inlineStr">
        <is>
          <t xml:space="preserve">MAP 11 52 Special Low Cd </t>
        </is>
      </c>
      <c r="J386" s="75" t="inlineStr">
        <is>
          <t>CFR</t>
        </is>
      </c>
      <c r="Q386" s="75" t="inlineStr">
        <is>
          <t>EUROPE</t>
        </is>
      </c>
      <c r="R386" s="75" t="inlineStr">
        <is>
          <t>Espagne</t>
        </is>
      </c>
      <c r="T386" s="75" t="inlineStr">
        <is>
          <t>INSPECTORATE</t>
        </is>
      </c>
      <c r="U386" s="81" t="n">
        <v>93</v>
      </c>
      <c r="V386" s="53">
        <f>IF(U386&lt;130, "Mini Bulker", IF(AND(U386&gt;=130, U386&lt;150), "Handysize", IF(AND(U386&gt;=150, U386&lt;200), "Handymax", IF(AND(U386&gt;=200, U386&lt;230), "Panamax", IF(AND(U386&gt;=230, U386&lt;=270), "Capesize", "Autre")))))</f>
        <v/>
      </c>
      <c r="X386" s="14">
        <f>IF(E386&lt;9999,"1",IF(E386&lt;19999,"2",IF(E386&lt;29999,"3",IF(E386&lt;39999,"4",IF(E386&lt;49999,"5",IF(E386&gt;50000,"6"))))))</f>
        <v/>
      </c>
      <c r="Y386" s="99" t="inlineStr">
        <is>
          <t>1BIS</t>
        </is>
      </c>
      <c r="AA386" s="26" t="n">
        <v>45843.97916666666</v>
      </c>
      <c r="AB386" s="26" t="n">
        <v>45845.375</v>
      </c>
      <c r="AC386" s="15" t="n">
        <v>45843</v>
      </c>
      <c r="AD386" s="15" t="n">
        <v>45845</v>
      </c>
      <c r="AE386" s="26" t="n">
        <v>45843.97916666666</v>
      </c>
      <c r="AF386" s="26" t="n">
        <v>45844.95833333334</v>
      </c>
      <c r="AG386" s="26" t="n">
        <v>45845.04166666666</v>
      </c>
      <c r="AH386" s="26" t="n">
        <v>45845.05902777778</v>
      </c>
      <c r="AI386" s="26" t="n">
        <v>45845.10416666666</v>
      </c>
      <c r="AJ386" s="26" t="n">
        <v>45845.12847222222</v>
      </c>
      <c r="AK386" s="26" t="n">
        <v>45846.53125</v>
      </c>
      <c r="AL386" s="26" t="n">
        <v>45846.57291666666</v>
      </c>
      <c r="AM386" s="26" t="n">
        <v>45846.61805555555</v>
      </c>
      <c r="AN386" s="26" t="n">
        <v>45846.65972222222</v>
      </c>
      <c r="AO386" s="26" t="n">
        <v>45846.65069444444</v>
      </c>
      <c r="AP386" s="20">
        <f>(AG386-AF386)*1440</f>
        <v/>
      </c>
      <c r="AQ386" s="20">
        <f>(AG386-AE386)*1440</f>
        <v/>
      </c>
      <c r="AR386" s="20">
        <f>(AH386-AF386)*1440</f>
        <v/>
      </c>
      <c r="AS386" s="20">
        <f>(AI386-AH386)*1440</f>
        <v/>
      </c>
      <c r="AT386" s="20">
        <f>(AJ386-AH386)*1440</f>
        <v/>
      </c>
      <c r="AU386" s="20">
        <f>(AL386-AK386)*1440</f>
        <v/>
      </c>
      <c r="AV386" s="20">
        <f>(AM386-AL386)*1440</f>
        <v/>
      </c>
      <c r="AW386" s="20">
        <f>(AO386-AM386)*1440</f>
        <v/>
      </c>
      <c r="AX386" s="19">
        <f>AP386+AS386+AU386+AV386+AW386</f>
        <v/>
      </c>
      <c r="AY386" s="18">
        <f>(AG386-AA386)</f>
        <v/>
      </c>
      <c r="AZ386" s="18">
        <f>(AK386-AJ386)</f>
        <v/>
      </c>
      <c r="BA386" s="18">
        <f>AO386-AG386</f>
        <v/>
      </c>
      <c r="BB386" s="18">
        <f>(AO386-AA386)-(AP386/1440)-(AW386/1440)</f>
        <v/>
      </c>
      <c r="BC386" s="20">
        <f>E386/AZ386</f>
        <v/>
      </c>
      <c r="BE386" s="20">
        <f>IF(E386&lt;10000,3000,IF(E386&lt;15000,3600,IF(E386&lt;20000,4500,IF(E386&lt;25000,6000,IF(E386&lt;30000,7500,IF(E386&lt;40000,9000,IF(E386&gt;40000,10000)))))))</f>
        <v/>
      </c>
      <c r="BF386" s="334">
        <f>(E386/BE386)+2</f>
        <v/>
      </c>
      <c r="BS386" s="97" t="inlineStr">
        <is>
          <t>NUL</t>
        </is>
      </c>
      <c r="BT386" s="99" t="n">
        <v>0</v>
      </c>
      <c r="BU386" s="97" t="inlineStr">
        <is>
          <t>CLEAN</t>
        </is>
      </c>
      <c r="BV386" s="97" t="inlineStr">
        <is>
          <t>NUL</t>
        </is>
      </c>
      <c r="BW386" s="332">
        <f>AI387-AH387</f>
        <v/>
      </c>
      <c r="CB386" s="14" t="n">
        <v>2895</v>
      </c>
    </row>
    <row r="387" ht="14.55" customHeight="1" s="70">
      <c r="A387" s="81" t="n">
        <v>254</v>
      </c>
      <c r="B387" s="343" t="inlineStr">
        <is>
          <t>CORNION</t>
        </is>
      </c>
      <c r="C387" s="15" t="n">
        <v>45846</v>
      </c>
      <c r="D387" s="329" t="n">
        <v>2200</v>
      </c>
      <c r="E387" s="333">
        <f>D387+D388</f>
        <v/>
      </c>
      <c r="G387" s="81" t="n">
        <v>2</v>
      </c>
      <c r="H387" s="75" t="inlineStr">
        <is>
          <t>TSP</t>
        </is>
      </c>
      <c r="I387" s="306" t="inlineStr">
        <is>
          <t xml:space="preserve">TSP EURO Low Cd </t>
        </is>
      </c>
      <c r="J387" s="75" t="inlineStr">
        <is>
          <t>CFR</t>
        </is>
      </c>
      <c r="Q387" s="75" t="inlineStr">
        <is>
          <t>EUROPE</t>
        </is>
      </c>
      <c r="R387" s="75" t="inlineStr">
        <is>
          <t>UK</t>
        </is>
      </c>
      <c r="T387" s="75" t="inlineStr">
        <is>
          <t>INTERTEK</t>
        </is>
      </c>
      <c r="U387" s="81" t="n">
        <v>90</v>
      </c>
      <c r="V387" s="53">
        <f>IF(U387&lt;130, "Mini Bulker", IF(AND(U387&gt;=130, U387&lt;150), "Handysize", IF(AND(U387&gt;=150, U387&lt;200), "Handymax", IF(AND(U387&gt;=200, U387&lt;230), "Panamax", IF(AND(U387&gt;=230, U387&lt;=270), "Capesize", "Autre")))))</f>
        <v/>
      </c>
      <c r="X387" s="14">
        <f>IF(E387&lt;9999,"1",IF(E387&lt;19999,"2",IF(E387&lt;29999,"3",IF(E387&lt;39999,"4",IF(E387&lt;49999,"5",IF(E387&gt;50000,"6"))))))</f>
        <v/>
      </c>
      <c r="Y387" s="99" t="inlineStr">
        <is>
          <t>2BIS/2TER</t>
        </is>
      </c>
      <c r="AA387" s="17" t="n">
        <v>45831.26041666666</v>
      </c>
      <c r="AB387" s="17" t="n">
        <v>45831.375</v>
      </c>
      <c r="AC387" s="15" t="n">
        <v>45833</v>
      </c>
      <c r="AD387" s="15" t="n">
        <v>45835</v>
      </c>
      <c r="AE387" s="17" t="n">
        <v>45831.26041666666</v>
      </c>
      <c r="AF387" s="17" t="n">
        <v>45843</v>
      </c>
      <c r="AG387" s="17" t="n">
        <v>45843.05555555555</v>
      </c>
      <c r="AH387" s="17" t="n">
        <v>45843.06944444445</v>
      </c>
      <c r="AI387" s="17" t="n">
        <v>45843.36805555555</v>
      </c>
      <c r="AJ387" s="17" t="n">
        <v>45844.91666666666</v>
      </c>
      <c r="AK387" s="17" t="n">
        <v>45846.80555555555</v>
      </c>
      <c r="AL387" s="17" t="n">
        <v>45846.85</v>
      </c>
      <c r="AM387" s="17" t="n">
        <v>45846.875</v>
      </c>
      <c r="AN387" s="17" t="n">
        <v>45846.91666666666</v>
      </c>
      <c r="AO387" s="17" t="n">
        <v>45846.92638888889</v>
      </c>
      <c r="AP387" s="20">
        <f>(AG387-AF387)*1440</f>
        <v/>
      </c>
      <c r="AQ387" s="20">
        <f>(AG387-AE387)*1440</f>
        <v/>
      </c>
      <c r="AR387" s="20">
        <f>(AH387-AF387)*1440</f>
        <v/>
      </c>
      <c r="AS387" s="20">
        <f>(AI387-AH387)*1440</f>
        <v/>
      </c>
      <c r="AT387" s="20">
        <f>(AJ387-AH387)*1440</f>
        <v/>
      </c>
      <c r="AU387" s="20">
        <f>(AL387-AK387)*1440</f>
        <v/>
      </c>
      <c r="AV387" s="20">
        <f>(AM387-AL387)*1440</f>
        <v/>
      </c>
      <c r="AW387" s="20">
        <f>(AO387-AM387)*1440</f>
        <v/>
      </c>
      <c r="AX387" s="19">
        <f>AP387+AS387+AU387+AV387+AW387</f>
        <v/>
      </c>
      <c r="AY387" s="18">
        <f>(AG387-AA387)</f>
        <v/>
      </c>
      <c r="AZ387" s="18">
        <f>(AK387-AJ387)</f>
        <v/>
      </c>
      <c r="BA387" s="18">
        <f>AO387-AG387</f>
        <v/>
      </c>
      <c r="BB387" s="18">
        <f>(AO387-AA387)-(AP387/1440)-(AW387/1440)</f>
        <v/>
      </c>
      <c r="BC387" s="20">
        <f>E387/AZ387</f>
        <v/>
      </c>
      <c r="BD387" s="208" t="n"/>
      <c r="BE387" s="20">
        <f>IF(E387&lt;10000,3000,IF(E387&lt;15000,3600,IF(E387&lt;20000,4500,IF(E387&lt;25000,6000,IF(E387&lt;30000,7500,IF(E387&lt;40000,9000,IF(E387&gt;40000,10000)))))))</f>
        <v/>
      </c>
      <c r="BF387" s="334">
        <f>(E387/BE387)+2</f>
        <v/>
      </c>
      <c r="BG387" s="208" t="n"/>
      <c r="BH387" s="208" t="n"/>
      <c r="BI387" s="208" t="n"/>
      <c r="BJ387" s="208" t="n"/>
      <c r="BK387" s="208" t="n"/>
      <c r="BL387" s="208" t="n"/>
      <c r="BM387" s="208" t="n"/>
      <c r="BN387" s="208" t="n"/>
      <c r="BO387" s="208" t="n"/>
      <c r="BP387" s="208" t="n"/>
      <c r="BQ387" s="208" t="n"/>
      <c r="BR387" s="208" t="n"/>
      <c r="BS387" s="97" t="inlineStr">
        <is>
          <t>CHANGE DU POSTE 2BIS VERS POSTE 2TER LE 06/07- 2032</t>
        </is>
      </c>
      <c r="BT387" s="99" t="n">
        <v>1</v>
      </c>
      <c r="BU387" s="97" t="n"/>
      <c r="BV387" s="97" t="inlineStr">
        <is>
          <t>SEPARATION BULK HEAD/DEBALLASTING</t>
        </is>
      </c>
      <c r="BW387" s="345">
        <f>AI388-AH388</f>
        <v/>
      </c>
      <c r="CB387" s="14" t="n">
        <v>2956</v>
      </c>
    </row>
    <row r="388">
      <c r="B388" s="343" t="inlineStr">
        <is>
          <t>CORNION</t>
        </is>
      </c>
      <c r="C388" s="15" t="n">
        <v>45846</v>
      </c>
      <c r="D388" s="329" t="n">
        <v>1650</v>
      </c>
      <c r="E388" s="330" t="n"/>
      <c r="G388" s="81" t="n">
        <v>2</v>
      </c>
      <c r="H388" s="75" t="inlineStr">
        <is>
          <t>DAP</t>
        </is>
      </c>
      <c r="I388" s="306" t="inlineStr">
        <is>
          <t xml:space="preserve">DAP Euro Low Cd </t>
        </is>
      </c>
      <c r="J388" s="75" t="inlineStr">
        <is>
          <t>CFR</t>
        </is>
      </c>
      <c r="Q388" s="75" t="inlineStr">
        <is>
          <t>EUROPE</t>
        </is>
      </c>
      <c r="R388" s="75" t="inlineStr">
        <is>
          <t>UK</t>
        </is>
      </c>
      <c r="T388" s="75" t="inlineStr">
        <is>
          <t>INTERTEK</t>
        </is>
      </c>
      <c r="U388" s="81" t="n">
        <v>90</v>
      </c>
      <c r="V388" s="53">
        <f>IF(U388&lt;130, "Mini Bulker", IF(AND(U388&gt;=130, U388&lt;150), "Handysize", IF(AND(U388&gt;=150, U388&lt;200), "Handymax", IF(AND(U388&gt;=200, U388&lt;230), "Panamax", IF(AND(U388&gt;=230, U388&lt;=270), "Capesize", "Autre")))))</f>
        <v/>
      </c>
      <c r="X388" s="14">
        <f>IF(E388&lt;9999,"1",IF(E388&lt;19999,"2",IF(E388&lt;29999,"3",IF(E388&lt;39999,"4",IF(E388&lt;49999,"5",IF(E388&gt;50000,"6"))))))</f>
        <v/>
      </c>
      <c r="Y388" s="99" t="inlineStr">
        <is>
          <t>2BIS/2TER</t>
        </is>
      </c>
      <c r="AA388" s="218" t="n"/>
      <c r="AB388" s="218" t="n"/>
      <c r="AC388" s="98" t="n"/>
      <c r="AD388" s="98" t="n"/>
      <c r="AE388" s="218" t="n"/>
      <c r="AF388" s="218" t="n"/>
      <c r="AG388" s="218" t="n"/>
      <c r="AH388" s="218" t="n"/>
      <c r="AI388" s="218" t="n"/>
      <c r="AJ388" s="218" t="n"/>
      <c r="AK388" s="218" t="n"/>
      <c r="AL388" s="218" t="n"/>
      <c r="AM388" s="218" t="n"/>
      <c r="AN388" s="218" t="n"/>
      <c r="AO388" s="218" t="n"/>
      <c r="AP388" s="98" t="n"/>
      <c r="AQ388" s="98" t="n"/>
      <c r="AR388" s="98" t="n"/>
      <c r="AS388" s="98" t="n"/>
      <c r="AT388" s="98" t="n"/>
      <c r="AU388" s="98" t="n"/>
      <c r="AV388" s="98" t="n"/>
      <c r="AW388" s="98" t="n"/>
      <c r="AX388" s="98" t="n"/>
      <c r="AY388" s="98" t="n"/>
      <c r="AZ388" s="98" t="n"/>
      <c r="BA388" s="98" t="n"/>
      <c r="BB388" s="98" t="n"/>
      <c r="BC388" s="98" t="n"/>
      <c r="BD388" s="220" t="n"/>
      <c r="BE388" s="98" t="n"/>
      <c r="BF388" s="98" t="n"/>
      <c r="BG388" s="220" t="n"/>
      <c r="BH388" s="220" t="n"/>
      <c r="BI388" s="220" t="n"/>
      <c r="BJ388" s="220" t="n"/>
      <c r="BK388" s="220" t="n"/>
      <c r="BL388" s="220" t="n"/>
      <c r="BM388" s="220" t="n"/>
      <c r="BN388" s="220" t="n"/>
      <c r="BO388" s="220" t="n"/>
      <c r="BP388" s="220" t="n"/>
      <c r="BQ388" s="220" t="n"/>
      <c r="BR388" s="220" t="n"/>
      <c r="BS388" s="97" t="n"/>
      <c r="BT388" s="99" t="n"/>
      <c r="BU388" s="97" t="n"/>
      <c r="BV388" s="97" t="n"/>
      <c r="BW388" s="208" t="n"/>
      <c r="CB388" s="14" t="n"/>
    </row>
    <row r="389" ht="14.55" customHeight="1" s="70">
      <c r="A389" s="81" t="n">
        <v>256</v>
      </c>
      <c r="B389" s="343" t="inlineStr">
        <is>
          <t>MATTEO BR</t>
        </is>
      </c>
      <c r="C389" s="15" t="n">
        <v>45848</v>
      </c>
      <c r="D389" s="329" t="n">
        <v>5500</v>
      </c>
      <c r="E389" s="333">
        <f>D389+D390+D391</f>
        <v/>
      </c>
      <c r="G389" s="81" t="n">
        <v>3</v>
      </c>
      <c r="H389" s="75" t="inlineStr">
        <is>
          <t>NPK</t>
        </is>
      </c>
      <c r="I389" s="306" t="inlineStr">
        <is>
          <t xml:space="preserve">NPK 10 26 26 Low Cd </t>
        </is>
      </c>
      <c r="J389" s="75" t="inlineStr">
        <is>
          <t>FOB</t>
        </is>
      </c>
      <c r="Q389" s="75" t="inlineStr">
        <is>
          <t>EUROPE</t>
        </is>
      </c>
      <c r="R389" s="75" t="inlineStr">
        <is>
          <t>POLANDE</t>
        </is>
      </c>
      <c r="T389" s="75" t="inlineStr">
        <is>
          <t>INSPECTORATE</t>
        </is>
      </c>
      <c r="U389" s="81" t="n">
        <v>157</v>
      </c>
      <c r="V389" s="53">
        <f>IF(U389&lt;130, "Mini Bulker", IF(AND(U389&gt;=130, U389&lt;150), "Handysize", IF(AND(U389&gt;=150, U389&lt;200), "Handymax", IF(AND(U389&gt;=200, U389&lt;230), "Panamax", IF(AND(U389&gt;=230, U389&lt;=270), "Capesize", "Autre")))))</f>
        <v/>
      </c>
      <c r="X389" s="14">
        <f>IF(E389&lt;9999,"1",IF(E389&lt;19999,"2",IF(E389&lt;29999,"3",IF(E389&lt;39999,"4",IF(E389&lt;49999,"5",IF(E389&gt;50000,"6"))))))</f>
        <v/>
      </c>
      <c r="Y389" s="99" t="inlineStr">
        <is>
          <t>1TER</t>
        </is>
      </c>
      <c r="AA389" s="26" t="n">
        <v>45845.625</v>
      </c>
      <c r="AB389" s="26" t="n">
        <v>45845.625</v>
      </c>
      <c r="AC389" s="15" t="n">
        <v>45843</v>
      </c>
      <c r="AD389" s="15" t="n">
        <v>45845</v>
      </c>
      <c r="AE389" s="26" t="n">
        <v>45845.59722222222</v>
      </c>
      <c r="AF389" s="26" t="n">
        <v>45845.61458333334</v>
      </c>
      <c r="AG389" s="26" t="n">
        <v>45845.66666666666</v>
      </c>
      <c r="AH389" s="26" t="n">
        <v>45845.6875</v>
      </c>
      <c r="AI389" s="26" t="n">
        <v>45845.73611111111</v>
      </c>
      <c r="AJ389" s="26" t="n">
        <v>45845.93055555555</v>
      </c>
      <c r="AK389" s="26" t="n">
        <v>45848.02777777778</v>
      </c>
      <c r="AL389" s="26" t="n">
        <v>45848.0625</v>
      </c>
      <c r="AM389" s="26" t="n">
        <v>45848.07291666666</v>
      </c>
      <c r="AN389" s="26" t="n">
        <v>45848.12361111111</v>
      </c>
      <c r="AO389" s="26" t="n">
        <v>45848.13194444445</v>
      </c>
      <c r="AP389" s="20">
        <f>(AG389-AF389)*1440</f>
        <v/>
      </c>
      <c r="AQ389" s="20">
        <f>(AG389-AE389)*1440</f>
        <v/>
      </c>
      <c r="AR389" s="20">
        <f>(AH389-AF389)*1440</f>
        <v/>
      </c>
      <c r="AS389" s="20">
        <f>(AI389-AH389)*1440</f>
        <v/>
      </c>
      <c r="AT389" s="20">
        <f>(AJ389-AH389)*1440</f>
        <v/>
      </c>
      <c r="AU389" s="20">
        <f>(AL389-AK389)*1440</f>
        <v/>
      </c>
      <c r="AV389" s="20">
        <f>(AM389-AL389)*1440</f>
        <v/>
      </c>
      <c r="AW389" s="20">
        <f>(AO389-AM389)*1440</f>
        <v/>
      </c>
      <c r="AX389" s="19">
        <f>AP389+AS389+AU389+AV389+AW389</f>
        <v/>
      </c>
      <c r="AY389" s="18">
        <f>(AG389-AA389)</f>
        <v/>
      </c>
      <c r="AZ389" s="18">
        <f>(AK389-AJ389)</f>
        <v/>
      </c>
      <c r="BA389" s="18">
        <f>AO389-AG389</f>
        <v/>
      </c>
      <c r="BB389" s="18">
        <f>(AO389-AA389)-(AP389/1440)-(AW389/1440)</f>
        <v/>
      </c>
      <c r="BC389" s="20">
        <f>E389/AZ389</f>
        <v/>
      </c>
      <c r="BE389" s="20">
        <f>IF(E389&lt;10000,3000,IF(E389&lt;15000,3600,IF(E389&lt;20000,4500,IF(E389&lt;25000,6000,IF(E389&lt;30000,7500,IF(E389&lt;40000,9000,IF(E389&gt;40000,10000)))))))</f>
        <v/>
      </c>
      <c r="BF389" s="334">
        <f>(E389/BE389)+2</f>
        <v/>
      </c>
      <c r="BS389" s="97" t="inlineStr">
        <is>
          <t>NUL</t>
        </is>
      </c>
      <c r="BT389" s="99" t="n">
        <v>0</v>
      </c>
      <c r="BU389" s="97" t="inlineStr">
        <is>
          <t>CLEAN</t>
        </is>
      </c>
      <c r="BV389" s="97" t="inlineStr">
        <is>
          <t>NUL</t>
        </is>
      </c>
      <c r="BW389" s="332">
        <f>AI390-AH390</f>
        <v/>
      </c>
      <c r="CB389" s="14" t="n">
        <v>15545</v>
      </c>
    </row>
    <row r="390" ht="14.55" customHeight="1" s="70">
      <c r="B390" s="343" t="inlineStr">
        <is>
          <t>MATTEO BR</t>
        </is>
      </c>
      <c r="C390" s="15" t="n">
        <v>45848</v>
      </c>
      <c r="D390" s="329" t="n">
        <v>5500</v>
      </c>
      <c r="E390" s="330" t="n"/>
      <c r="G390" s="81" t="n">
        <v>3</v>
      </c>
      <c r="H390" s="75" t="inlineStr">
        <is>
          <t>DAP</t>
        </is>
      </c>
      <c r="I390" s="306" t="inlineStr">
        <is>
          <t xml:space="preserve">DAP Euro Low Cd </t>
        </is>
      </c>
      <c r="J390" s="75" t="inlineStr">
        <is>
          <t>FOB</t>
        </is>
      </c>
      <c r="Q390" s="75" t="inlineStr">
        <is>
          <t>EUROPE</t>
        </is>
      </c>
      <c r="R390" s="75" t="inlineStr">
        <is>
          <t>POLANDE</t>
        </is>
      </c>
      <c r="T390" s="75" t="inlineStr">
        <is>
          <t>INSPECTORATE</t>
        </is>
      </c>
      <c r="U390" s="81" t="n">
        <v>157</v>
      </c>
      <c r="V390" s="53">
        <f>IF(U390&lt;130, "Mini Bulker", IF(AND(U390&gt;=130, U390&lt;150), "Handysize", IF(AND(U390&gt;=150, U390&lt;200), "Handymax", IF(AND(U390&gt;=200, U390&lt;230), "Panamax", IF(AND(U390&gt;=230, U390&lt;=270), "Capesize", "Autre")))))</f>
        <v/>
      </c>
      <c r="X390" s="14">
        <f>IF(E390&lt;9999,"1",IF(E390&lt;19999,"2",IF(E390&lt;29999,"3",IF(E390&lt;39999,"4",IF(E390&lt;49999,"5",IF(E390&gt;50000,"6"))))))</f>
        <v/>
      </c>
      <c r="Y390" s="99" t="inlineStr">
        <is>
          <t>1TER</t>
        </is>
      </c>
      <c r="AA390" s="98" t="n"/>
      <c r="AB390" s="98" t="n"/>
      <c r="AC390" s="98" t="n"/>
      <c r="AD390" s="98" t="n"/>
      <c r="AE390" s="98" t="n"/>
      <c r="AF390" s="98" t="n"/>
      <c r="AG390" s="98" t="n"/>
      <c r="AH390" s="98" t="n"/>
      <c r="AI390" s="98" t="n"/>
      <c r="AJ390" s="98" t="n"/>
      <c r="AK390" s="98" t="n"/>
      <c r="AL390" s="98" t="n"/>
      <c r="AM390" s="98" t="n"/>
      <c r="AN390" s="98" t="n"/>
      <c r="AO390" s="98" t="n"/>
      <c r="AP390" s="98" t="n"/>
      <c r="AQ390" s="98" t="n"/>
      <c r="AR390" s="98" t="n"/>
      <c r="AS390" s="98" t="n"/>
      <c r="AT390" s="98" t="n"/>
      <c r="AU390" s="98" t="n"/>
      <c r="AV390" s="98" t="n"/>
      <c r="AW390" s="98" t="n"/>
      <c r="AX390" s="98" t="n"/>
      <c r="AY390" s="98" t="n"/>
      <c r="AZ390" s="98" t="n"/>
      <c r="BA390" s="98" t="n"/>
      <c r="BB390" s="98" t="n"/>
      <c r="BC390" s="98" t="n"/>
      <c r="BD390" s="98" t="n"/>
      <c r="BE390" s="98" t="n"/>
      <c r="BF390" s="98" t="n"/>
      <c r="BG390" s="98" t="n"/>
      <c r="BH390" s="98" t="n"/>
      <c r="BI390" s="98" t="n"/>
      <c r="BJ390" s="98" t="n"/>
      <c r="BK390" s="98" t="n"/>
      <c r="BL390" s="98" t="n"/>
      <c r="BM390" s="98" t="n"/>
      <c r="BN390" s="98" t="n"/>
      <c r="BO390" s="98" t="n"/>
      <c r="BP390" s="98" t="n"/>
      <c r="BQ390" s="98" t="n"/>
      <c r="BR390" s="98" t="n"/>
      <c r="BU390" s="97" t="n"/>
      <c r="BV390" s="97" t="n"/>
      <c r="CB390" s="14" t="n"/>
    </row>
    <row r="391" ht="15" customHeight="1" s="70">
      <c r="B391" s="343" t="inlineStr">
        <is>
          <t>MATTEO BR</t>
        </is>
      </c>
      <c r="C391" s="15" t="n">
        <v>45848</v>
      </c>
      <c r="D391" s="329" t="n">
        <v>4638</v>
      </c>
      <c r="E391" s="330" t="n"/>
      <c r="G391" s="81" t="n">
        <v>3</v>
      </c>
      <c r="H391" s="75" t="inlineStr">
        <is>
          <t>MAP</t>
        </is>
      </c>
      <c r="I391" s="306" t="inlineStr">
        <is>
          <t xml:space="preserve">MAP 11 52 Special Low Cd </t>
        </is>
      </c>
      <c r="J391" s="75" t="inlineStr">
        <is>
          <t>FOB</t>
        </is>
      </c>
      <c r="Q391" s="75" t="inlineStr">
        <is>
          <t>EUROPE</t>
        </is>
      </c>
      <c r="R391" s="75" t="inlineStr">
        <is>
          <t>POLANDE</t>
        </is>
      </c>
      <c r="T391" s="75" t="inlineStr">
        <is>
          <t>INSPECTORATE</t>
        </is>
      </c>
      <c r="U391" s="81" t="n">
        <v>157</v>
      </c>
      <c r="V391" s="53">
        <f>IF(U391&lt;130, "Mini Bulker", IF(AND(U391&gt;=130, U391&lt;150), "Handysize", IF(AND(U391&gt;=150, U391&lt;200), "Handymax", IF(AND(U391&gt;=200, U391&lt;230), "Panamax", IF(AND(U391&gt;=230, U391&lt;=270), "Capesize", "Autre")))))</f>
        <v/>
      </c>
      <c r="X391" s="14">
        <f>IF(E391&lt;9999,"1",IF(E391&lt;19999,"2",IF(E391&lt;29999,"3",IF(E391&lt;39999,"4",IF(E391&lt;49999,"5",IF(E391&gt;50000,"6"))))))</f>
        <v/>
      </c>
      <c r="Y391" s="99" t="inlineStr">
        <is>
          <t>1TER</t>
        </is>
      </c>
      <c r="AA391" s="98" t="n"/>
      <c r="AB391" s="98" t="n"/>
      <c r="AC391" s="98" t="n"/>
      <c r="AD391" s="98" t="n"/>
      <c r="AE391" s="98" t="n"/>
      <c r="AF391" s="98" t="n"/>
      <c r="AG391" s="98" t="n"/>
      <c r="AH391" s="98" t="n"/>
      <c r="AI391" s="98" t="n"/>
      <c r="AJ391" s="98" t="n"/>
      <c r="AK391" s="98" t="n"/>
      <c r="AL391" s="98" t="n"/>
      <c r="AM391" s="98" t="n"/>
      <c r="AN391" s="98" t="n"/>
      <c r="AO391" s="98" t="n"/>
      <c r="AP391" s="98" t="n"/>
      <c r="AQ391" s="98" t="n"/>
      <c r="AR391" s="98" t="n"/>
      <c r="AS391" s="98" t="n"/>
      <c r="AT391" s="98" t="n"/>
      <c r="AU391" s="98" t="n"/>
      <c r="AV391" s="98" t="n"/>
      <c r="AW391" s="98" t="n"/>
      <c r="AX391" s="98" t="n"/>
      <c r="AY391" s="98" t="n"/>
      <c r="AZ391" s="98" t="n"/>
      <c r="BA391" s="98" t="n"/>
      <c r="BB391" s="98" t="n"/>
      <c r="BC391" s="98" t="n"/>
      <c r="BD391" s="98" t="n"/>
      <c r="BE391" s="98" t="n"/>
      <c r="BF391" s="98" t="n"/>
      <c r="BG391" s="98" t="n"/>
      <c r="BH391" s="98" t="n"/>
      <c r="BI391" s="98" t="n"/>
      <c r="BJ391" s="98" t="n"/>
      <c r="BK391" s="98" t="n"/>
      <c r="BL391" s="98" t="n"/>
      <c r="BM391" s="98" t="n"/>
      <c r="BN391" s="98" t="n"/>
      <c r="BO391" s="98" t="n"/>
      <c r="BP391" s="98" t="n"/>
      <c r="BQ391" s="98" t="n"/>
      <c r="BR391" s="98" t="n"/>
      <c r="BS391" s="97" t="n"/>
      <c r="BT391" s="97" t="n"/>
      <c r="BU391" s="97" t="n"/>
      <c r="BV391" s="97" t="n"/>
      <c r="CB391" s="14" t="n"/>
    </row>
    <row r="392" ht="14.55" customHeight="1" s="70">
      <c r="A392" s="81" t="n">
        <v>257</v>
      </c>
      <c r="B392" s="343" t="inlineStr">
        <is>
          <t>NAVIN HARRIER</t>
        </is>
      </c>
      <c r="C392" s="15" t="n">
        <v>45848</v>
      </c>
      <c r="D392" s="329" t="n">
        <v>4400</v>
      </c>
      <c r="E392" s="333">
        <f>D392+D393</f>
        <v/>
      </c>
      <c r="G392" s="81" t="n">
        <v>2</v>
      </c>
      <c r="H392" s="75" t="inlineStr">
        <is>
          <t>MAP</t>
        </is>
      </c>
      <c r="I392" s="306" t="inlineStr">
        <is>
          <t>MAP 11 52 Special Low Cd</t>
        </is>
      </c>
      <c r="J392" s="75" t="inlineStr">
        <is>
          <t>FOB</t>
        </is>
      </c>
      <c r="Q392" s="75" t="inlineStr">
        <is>
          <t>EUROPE</t>
        </is>
      </c>
      <c r="R392" s="75" t="inlineStr">
        <is>
          <t xml:space="preserve">Slovenia </t>
        </is>
      </c>
      <c r="T392" s="75" t="inlineStr">
        <is>
          <t>INSPECTORATE</t>
        </is>
      </c>
      <c r="U392" s="81" t="n">
        <v>113</v>
      </c>
      <c r="V392" s="53">
        <f>IF(U392&lt;130, "Mini Bulker", IF(AND(U392&gt;=130, U392&lt;150), "Handysize", IF(AND(U392&gt;=150, U392&lt;200), "Handymax", IF(AND(U392&gt;=200, U392&lt;230), "Panamax", IF(AND(U392&gt;=230, U392&lt;=270), "Capesize", "Autre")))))</f>
        <v/>
      </c>
      <c r="X392" s="14">
        <f>IF(E392&lt;9999,"1",IF(E392&lt;19999,"2",IF(E392&lt;29999,"3",IF(E392&lt;39999,"4",IF(E392&lt;49999,"5",IF(E392&gt;50000,"6"))))))</f>
        <v/>
      </c>
      <c r="Y392" s="99" t="inlineStr">
        <is>
          <t>2TER</t>
        </is>
      </c>
      <c r="AA392" s="26" t="n">
        <v>45847.45833333334</v>
      </c>
      <c r="AB392" s="26" t="n">
        <v>45847.45833333334</v>
      </c>
      <c r="AC392" s="15" t="n">
        <v>45843</v>
      </c>
      <c r="AD392" s="15" t="n">
        <v>45846</v>
      </c>
      <c r="AE392" s="26" t="n">
        <v>45847.45833333334</v>
      </c>
      <c r="AF392" s="26" t="n">
        <v>45847.56388888889</v>
      </c>
      <c r="AG392" s="26" t="n">
        <v>45847.67361111111</v>
      </c>
      <c r="AH392" s="26" t="n">
        <v>45847.69444444445</v>
      </c>
      <c r="AI392" s="26" t="n">
        <v>45847.78472222222</v>
      </c>
      <c r="AJ392" s="26" t="n">
        <v>45847.82638888889</v>
      </c>
      <c r="AK392" s="26" t="n">
        <v>45848.65972222222</v>
      </c>
      <c r="AL392" s="26" t="n">
        <v>45848.70138888889</v>
      </c>
      <c r="AM392" s="26" t="n">
        <v>45848.71875</v>
      </c>
      <c r="AN392" s="26" t="n">
        <v>45848.76041666666</v>
      </c>
      <c r="AO392" s="26" t="n">
        <v>45848.79791666667</v>
      </c>
      <c r="AP392" s="20">
        <f>(AG392-AF392)*1440</f>
        <v/>
      </c>
      <c r="AQ392" s="20">
        <f>(AG392-AE392)*1440</f>
        <v/>
      </c>
      <c r="AR392" s="20">
        <f>(AH392-AF392)*1440</f>
        <v/>
      </c>
      <c r="AS392" s="20">
        <f>(AI392-AH392)*1440</f>
        <v/>
      </c>
      <c r="AT392" s="20">
        <f>(AJ392-AH392)*1440</f>
        <v/>
      </c>
      <c r="AU392" s="20">
        <f>(AL392-AK392)*1440</f>
        <v/>
      </c>
      <c r="AV392" s="20">
        <f>(AM392-AL392)*1440</f>
        <v/>
      </c>
      <c r="AW392" s="20">
        <f>(AO392-AM392)*1440</f>
        <v/>
      </c>
      <c r="AX392" s="19">
        <f>AP392+AS392+AU392+AV392+AW392</f>
        <v/>
      </c>
      <c r="AY392" s="18">
        <f>(AG392-AA392)</f>
        <v/>
      </c>
      <c r="AZ392" s="18">
        <f>(AK392-AJ392)</f>
        <v/>
      </c>
      <c r="BA392" s="18">
        <f>AO392-AG392</f>
        <v/>
      </c>
      <c r="BB392" s="18">
        <f>(AO392-AA392)-(AP392/1440)-(AW392/1440)</f>
        <v/>
      </c>
      <c r="BC392" s="20">
        <f>E392/AZ392</f>
        <v/>
      </c>
      <c r="BE392" s="20">
        <f>IF(E392&lt;10000,3000,IF(E392&lt;15000,3600,IF(E392&lt;20000,4500,IF(E392&lt;25000,6000,IF(E392&lt;30000,7500,IF(E392&lt;40000,9000,IF(E392&gt;40000,10000)))))))</f>
        <v/>
      </c>
      <c r="BF392" s="334">
        <f>(E392/BE392)+2</f>
        <v/>
      </c>
      <c r="BS392" s="97" t="inlineStr">
        <is>
          <t>NUL</t>
        </is>
      </c>
      <c r="BT392" s="97" t="n">
        <v>0</v>
      </c>
      <c r="BU392" s="97" t="inlineStr">
        <is>
          <t>CLEAN</t>
        </is>
      </c>
      <c r="BV392" s="97" t="inlineStr">
        <is>
          <t>NUL</t>
        </is>
      </c>
      <c r="BW392" s="332">
        <f>AI393-AH393</f>
        <v/>
      </c>
      <c r="CB392" s="14" t="n">
        <v>5087</v>
      </c>
      <c r="CF392" s="14" t="n"/>
    </row>
    <row r="393" ht="15" customHeight="1" s="70">
      <c r="B393" s="343" t="inlineStr">
        <is>
          <t>NAVIN HARRIER</t>
        </is>
      </c>
      <c r="C393" s="15" t="n">
        <v>45848</v>
      </c>
      <c r="D393" s="329" t="n">
        <v>1100</v>
      </c>
      <c r="E393" s="330" t="n"/>
      <c r="G393" s="81" t="n">
        <v>2</v>
      </c>
      <c r="H393" s="75" t="inlineStr">
        <is>
          <t>DAP</t>
        </is>
      </c>
      <c r="I393" s="306" t="inlineStr">
        <is>
          <t>DAP Euro Low Cd</t>
        </is>
      </c>
      <c r="J393" s="75" t="inlineStr">
        <is>
          <t>FOB</t>
        </is>
      </c>
      <c r="Q393" s="75" t="inlineStr">
        <is>
          <t>EUROPE</t>
        </is>
      </c>
      <c r="R393" s="75" t="inlineStr">
        <is>
          <t xml:space="preserve">Slovenia </t>
        </is>
      </c>
      <c r="T393" s="75" t="inlineStr">
        <is>
          <t>INSPECTORATE</t>
        </is>
      </c>
      <c r="U393" s="81" t="n">
        <v>113</v>
      </c>
      <c r="V393" s="53">
        <f>IF(U393&lt;130, "Mini Bulker", IF(AND(U393&gt;=130, U393&lt;150), "Handysize", IF(AND(U393&gt;=150, U393&lt;200), "Handymax", IF(AND(U393&gt;=200, U393&lt;230), "Panamax", IF(AND(U393&gt;=230, U393&lt;=270), "Capesize", "Autre")))))</f>
        <v/>
      </c>
      <c r="X393" s="14">
        <f>IF(E393&lt;9999,"1",IF(E393&lt;19999,"2",IF(E393&lt;29999,"3",IF(E393&lt;39999,"4",IF(E393&lt;49999,"5",IF(E393&gt;50000,"6"))))))</f>
        <v/>
      </c>
      <c r="Y393" s="99" t="inlineStr">
        <is>
          <t>2TER</t>
        </is>
      </c>
      <c r="AA393" s="98" t="n"/>
      <c r="AB393" s="98" t="n"/>
      <c r="AC393" s="98" t="n"/>
      <c r="AD393" s="98" t="n"/>
      <c r="AE393" s="98" t="n"/>
      <c r="AF393" s="98" t="n"/>
      <c r="AG393" s="98" t="n"/>
      <c r="AH393" s="98" t="n"/>
      <c r="AI393" s="98" t="n"/>
      <c r="AJ393" s="98" t="n"/>
      <c r="AK393" s="98" t="n"/>
      <c r="AL393" s="98" t="n"/>
      <c r="AM393" s="98" t="n"/>
      <c r="AN393" s="98" t="n"/>
      <c r="AO393" s="98" t="n"/>
      <c r="AP393" s="98" t="n"/>
      <c r="AQ393" s="98" t="n"/>
      <c r="AR393" s="98" t="n"/>
      <c r="AS393" s="98" t="n"/>
      <c r="AT393" s="98" t="n"/>
      <c r="AU393" s="98" t="n"/>
      <c r="AV393" s="98" t="n"/>
      <c r="AW393" s="98" t="n"/>
      <c r="AX393" s="98" t="n"/>
      <c r="AY393" s="98" t="n"/>
      <c r="AZ393" s="98" t="n"/>
      <c r="BA393" s="98" t="n"/>
      <c r="BB393" s="98" t="n"/>
      <c r="BC393" s="98" t="n"/>
      <c r="BD393" s="98" t="n"/>
      <c r="BE393" s="98" t="n"/>
      <c r="BF393" s="98" t="n"/>
      <c r="BG393" s="98" t="n"/>
      <c r="BH393" s="98" t="n"/>
      <c r="BI393" s="98" t="n"/>
      <c r="BJ393" s="98" t="n"/>
      <c r="BK393" s="98" t="n"/>
      <c r="BL393" s="98" t="n"/>
      <c r="BM393" s="98" t="n"/>
      <c r="BN393" s="98" t="n"/>
      <c r="BO393" s="98" t="n"/>
      <c r="BP393" s="98" t="n"/>
      <c r="BQ393" s="98" t="n"/>
      <c r="BR393" s="98" t="n"/>
      <c r="BS393" s="97" t="n"/>
      <c r="BT393" s="97" t="n"/>
      <c r="BU393" s="97" t="n"/>
      <c r="BV393" s="97" t="n"/>
      <c r="CB393" s="14" t="n"/>
    </row>
    <row r="394" ht="14.55" customHeight="1" s="70">
      <c r="A394" s="81" t="n">
        <v>258</v>
      </c>
      <c r="B394" s="343" t="inlineStr">
        <is>
          <t xml:space="preserve">MARIGOLD </t>
        </is>
      </c>
      <c r="C394" s="15" t="n">
        <v>45849</v>
      </c>
      <c r="D394" s="329" t="n">
        <v>17599</v>
      </c>
      <c r="E394" s="333">
        <f>D394+D395</f>
        <v/>
      </c>
      <c r="G394" s="81" t="n">
        <v>2</v>
      </c>
      <c r="H394" s="75" t="inlineStr">
        <is>
          <t>TSP</t>
        </is>
      </c>
      <c r="I394" s="306" t="inlineStr">
        <is>
          <t>TSP CIV</t>
        </is>
      </c>
      <c r="J394" s="75" t="inlineStr">
        <is>
          <t>FOB</t>
        </is>
      </c>
      <c r="Q394" s="75" t="inlineStr">
        <is>
          <t>AFRIQUE</t>
        </is>
      </c>
      <c r="R394" s="75" t="inlineStr">
        <is>
          <t>IVORY COAST &amp; GHANA</t>
        </is>
      </c>
      <c r="T394" s="75" t="inlineStr">
        <is>
          <t>INSPECTORATE</t>
        </is>
      </c>
      <c r="U394" s="81" t="n">
        <v>170</v>
      </c>
      <c r="V394" s="53">
        <f>IF(U394&lt;130, "Mini Bulker", IF(AND(U394&gt;=130, U394&lt;150), "Handysize", IF(AND(U394&gt;=150, U394&lt;200), "Handymax", IF(AND(U394&gt;=200, U394&lt;230), "Panamax", IF(AND(U394&gt;=230, U394&lt;=270), "Capesize", "Autre")))))</f>
        <v/>
      </c>
      <c r="X394" s="14">
        <f>IF(E394&lt;9999,"1",IF(E394&lt;19999,"2",IF(E394&lt;29999,"3",IF(E394&lt;39999,"4",IF(E394&lt;49999,"5",IF(E394&gt;50000,"6"))))))</f>
        <v/>
      </c>
      <c r="Y394" s="99" t="inlineStr">
        <is>
          <t>2BIS/2TER</t>
        </is>
      </c>
      <c r="AA394" s="26" t="n">
        <v>45843.33333333334</v>
      </c>
      <c r="AB394" s="26" t="n">
        <v>45843.375</v>
      </c>
      <c r="AC394" s="15" t="n">
        <v>45843</v>
      </c>
      <c r="AD394" s="15" t="n">
        <v>45845</v>
      </c>
      <c r="AE394" s="26" t="n">
        <v>45843.29861111111</v>
      </c>
      <c r="AF394" s="26" t="n">
        <v>45843.53125</v>
      </c>
      <c r="AG394" s="26" t="n">
        <v>45843.59375</v>
      </c>
      <c r="AH394" s="26" t="n">
        <v>45843.61805555555</v>
      </c>
      <c r="AI394" s="26" t="n">
        <v>45843.67708333334</v>
      </c>
      <c r="AJ394" s="26" t="n">
        <v>45843.84722222222</v>
      </c>
      <c r="AK394" s="26" t="n">
        <v>45849.67708333334</v>
      </c>
      <c r="AL394" s="26" t="n">
        <v>45849.71875</v>
      </c>
      <c r="AM394" s="26" t="n">
        <v>45849.72222222222</v>
      </c>
      <c r="AN394" s="26" t="n">
        <v>45849.76666666667</v>
      </c>
      <c r="AO394" s="26" t="n">
        <v>45849.79513888889</v>
      </c>
      <c r="AP394" s="20">
        <f>(AG394-AF394)*1440</f>
        <v/>
      </c>
      <c r="AQ394" s="20">
        <f>(AG394-AE394)*1440</f>
        <v/>
      </c>
      <c r="AR394" s="20">
        <f>(AH394-AF394)*1440</f>
        <v/>
      </c>
      <c r="AS394" s="20">
        <f>(AI394-AH394)*1440</f>
        <v/>
      </c>
      <c r="AT394" s="20">
        <f>(AJ394-AH394)*1440</f>
        <v/>
      </c>
      <c r="AU394" s="20">
        <f>(AL394-AK394)*1440</f>
        <v/>
      </c>
      <c r="AV394" s="20">
        <f>(AM394-AL394)*1440</f>
        <v/>
      </c>
      <c r="AW394" s="20">
        <f>(AO394-AM394)*1440</f>
        <v/>
      </c>
      <c r="AX394" s="19">
        <f>AP394+AS394+AU394+AV394+AW394</f>
        <v/>
      </c>
      <c r="AY394" s="18">
        <f>(AG394-AA394)</f>
        <v/>
      </c>
      <c r="AZ394" s="18">
        <f>(AK394-AJ394)</f>
        <v/>
      </c>
      <c r="BA394" s="18">
        <f>AO394-AG394</f>
        <v/>
      </c>
      <c r="BB394" s="18">
        <f>(AO394-AA394)-(AP394/1440)-(AW394/1440)</f>
        <v/>
      </c>
      <c r="BC394" s="20">
        <f>E394/AZ394</f>
        <v/>
      </c>
      <c r="BE394" s="20">
        <f>IF(E394&lt;10000,3000,IF(E394&lt;15000,3600,IF(E394&lt;20000,4500,IF(E394&lt;25000,6000,IF(E394&lt;30000,7500,IF(E394&lt;40000,9000,IF(E394&gt;40000,10000)))))))</f>
        <v/>
      </c>
      <c r="BF394" s="334">
        <f>(E394/BE394)+2</f>
        <v/>
      </c>
      <c r="BS394" s="97" t="inlineStr">
        <is>
          <t>CHANGE DU POSTE 2BIS 
VERS LA RADE LE 07/07- 1609 // RE-ACC AU POSTE 2T LE 10/07 - 2030</t>
        </is>
      </c>
      <c r="BT394" s="99" t="n">
        <v>2</v>
      </c>
      <c r="BU394" s="97" t="n"/>
      <c r="BV394" s="97" t="n"/>
      <c r="BW394" s="332">
        <f>AI395-AH395</f>
        <v/>
      </c>
      <c r="CB394" s="14" t="n">
        <v>17025</v>
      </c>
    </row>
    <row r="395" ht="14.55" customHeight="1" s="70">
      <c r="A395" s="81" t="n"/>
      <c r="B395" s="343" t="inlineStr">
        <is>
          <t xml:space="preserve">MARIGOLD </t>
        </is>
      </c>
      <c r="C395" s="15" t="n">
        <v>45849</v>
      </c>
      <c r="D395" s="329" t="n">
        <v>6600</v>
      </c>
      <c r="E395" s="330" t="n"/>
      <c r="G395" s="81" t="n">
        <v>2</v>
      </c>
      <c r="H395" s="75" t="inlineStr">
        <is>
          <t>DAP</t>
        </is>
      </c>
      <c r="I395" s="306" t="inlineStr">
        <is>
          <t>DAP SPECIAL DARK</t>
        </is>
      </c>
      <c r="J395" s="75" t="inlineStr">
        <is>
          <t>DFOB</t>
        </is>
      </c>
      <c r="Q395" s="75" t="inlineStr">
        <is>
          <t>AFRIQUE</t>
        </is>
      </c>
      <c r="R395" s="75" t="inlineStr">
        <is>
          <t>IVORY COAST &amp; GHANA</t>
        </is>
      </c>
      <c r="T395" s="75" t="inlineStr">
        <is>
          <t>INSPECTORATE</t>
        </is>
      </c>
      <c r="U395" s="81" t="n">
        <v>170</v>
      </c>
      <c r="V395" s="53">
        <f>IF(U395&lt;130, "Mini Bulker", IF(AND(U395&gt;=130, U395&lt;150), "Handysize", IF(AND(U395&gt;=150, U395&lt;200), "Handymax", IF(AND(U395&gt;=200, U395&lt;230), "Panamax", IF(AND(U395&gt;=230, U395&lt;=270), "Capesize", "Autre")))))</f>
        <v/>
      </c>
      <c r="X395" s="14">
        <f>IF(E395&lt;9999,"1",IF(E395&lt;19999,"2",IF(E395&lt;29999,"3",IF(E395&lt;39999,"4",IF(E395&lt;49999,"5",IF(E395&gt;50000,"6"))))))</f>
        <v/>
      </c>
      <c r="Y395" s="99" t="inlineStr">
        <is>
          <t>2BIS/2TER</t>
        </is>
      </c>
      <c r="AA395" s="98" t="n"/>
      <c r="AB395" s="98" t="n"/>
      <c r="AC395" s="98" t="n"/>
      <c r="AD395" s="98" t="n"/>
      <c r="AE395" s="98" t="n"/>
      <c r="AF395" s="98" t="n"/>
      <c r="AG395" s="98" t="n"/>
      <c r="AH395" s="98" t="n"/>
      <c r="AI395" s="98" t="n"/>
      <c r="AJ395" s="98" t="n"/>
      <c r="AK395" s="98" t="n"/>
      <c r="AL395" s="98" t="n"/>
      <c r="AM395" s="98" t="n"/>
      <c r="AN395" s="98" t="n"/>
      <c r="AO395" s="98" t="n"/>
      <c r="AP395" s="98" t="n"/>
      <c r="AQ395" s="98" t="n"/>
      <c r="AR395" s="98" t="n"/>
      <c r="AS395" s="98" t="n"/>
      <c r="AT395" s="98" t="n"/>
      <c r="AU395" s="98" t="n"/>
      <c r="AV395" s="98" t="n"/>
      <c r="AW395" s="98" t="n"/>
      <c r="AX395" s="98" t="n"/>
      <c r="AY395" s="98" t="n"/>
      <c r="AZ395" s="98" t="n"/>
      <c r="BA395" s="98" t="n"/>
      <c r="BB395" s="98" t="n"/>
      <c r="BC395" s="98" t="n"/>
      <c r="BD395" s="98" t="n"/>
      <c r="BE395" s="98" t="n"/>
      <c r="BF395" s="98" t="n"/>
      <c r="BG395" s="98" t="n"/>
      <c r="BH395" s="98" t="n"/>
      <c r="BI395" s="98" t="n"/>
      <c r="BJ395" s="98" t="n"/>
      <c r="BK395" s="98" t="n"/>
      <c r="BL395" s="98" t="n"/>
      <c r="BM395" s="98" t="n"/>
      <c r="BN395" s="98" t="n"/>
      <c r="BO395" s="98" t="n"/>
      <c r="BP395" s="98" t="n"/>
      <c r="BQ395" s="98" t="n"/>
      <c r="BR395" s="98" t="n"/>
      <c r="BS395" s="97" t="n"/>
      <c r="BT395" s="99" t="n"/>
      <c r="BU395" s="97" t="n"/>
      <c r="BV395" s="97" t="n"/>
      <c r="CB395" s="14" t="n"/>
    </row>
    <row r="396">
      <c r="A396" s="81" t="n">
        <v>259</v>
      </c>
      <c r="B396" s="343" t="inlineStr">
        <is>
          <t>VERTOM JOSE</t>
        </is>
      </c>
      <c r="C396" s="15" t="n">
        <v>45849</v>
      </c>
      <c r="D396" s="329" t="n">
        <v>4400</v>
      </c>
      <c r="E396" s="329" t="n">
        <v>4400</v>
      </c>
      <c r="G396" s="81" t="n">
        <v>1</v>
      </c>
      <c r="H396" s="75" t="inlineStr">
        <is>
          <t>NPK</t>
        </is>
      </c>
      <c r="I396" s="306" t="inlineStr">
        <is>
          <t xml:space="preserve">NPK 15 15 15  Low Cd </t>
        </is>
      </c>
      <c r="J396" s="75" t="inlineStr">
        <is>
          <t>CFR</t>
        </is>
      </c>
      <c r="Q396" s="75" t="inlineStr">
        <is>
          <t>EUROPE</t>
        </is>
      </c>
      <c r="R396" s="75" t="inlineStr">
        <is>
          <t>France</t>
        </is>
      </c>
      <c r="T396" s="75" t="inlineStr">
        <is>
          <t>INSPECTORATE</t>
        </is>
      </c>
      <c r="U396" s="81" t="n">
        <v>101</v>
      </c>
      <c r="V396" s="53">
        <f>IF(U396&lt;130, "Mini Bulker", IF(AND(U396&gt;=130, U396&lt;150), "Handysize", IF(AND(U396&gt;=150, U396&lt;200), "Handymax", IF(AND(U396&gt;=200, U396&lt;230), "Panamax", IF(AND(U396&gt;=230, U396&lt;=270), "Capesize", "Autre")))))</f>
        <v/>
      </c>
      <c r="X396" s="14">
        <f>IF(E396&lt;9999,"1",IF(E396&lt;19999,"2",IF(E396&lt;29999,"3",IF(E396&lt;39999,"4",IF(E396&lt;49999,"5",IF(E396&gt;50000,"6"))))))</f>
        <v/>
      </c>
      <c r="Y396" s="99" t="inlineStr">
        <is>
          <t>1TER</t>
        </is>
      </c>
      <c r="AA396" s="26" t="n">
        <v>45848.35416666666</v>
      </c>
      <c r="AB396" s="26" t="n">
        <v>45848.375</v>
      </c>
      <c r="AC396" s="15" t="n">
        <v>45845</v>
      </c>
      <c r="AD396" s="15" t="n">
        <v>45847</v>
      </c>
      <c r="AE396" s="26" t="n">
        <v>45848.35416666666</v>
      </c>
      <c r="AF396" s="26" t="n">
        <v>45848.33819444444</v>
      </c>
      <c r="AG396" s="26" t="n">
        <v>45848.40972222222</v>
      </c>
      <c r="AH396" s="26" t="n">
        <v>45848.42708333334</v>
      </c>
      <c r="AI396" s="26" t="n">
        <v>45848.66666666666</v>
      </c>
      <c r="AJ396" s="26" t="n">
        <v>45848.69791666666</v>
      </c>
      <c r="AK396" s="26" t="n">
        <v>45849.93402777778</v>
      </c>
      <c r="AL396" s="26" t="n">
        <v>45849.96527777778</v>
      </c>
      <c r="AM396" s="26" t="n">
        <v>45850</v>
      </c>
      <c r="AN396" s="26" t="n">
        <v>45850.05208333334</v>
      </c>
      <c r="AO396" s="26" t="n">
        <v>45850.06736111111</v>
      </c>
      <c r="AP396" s="20">
        <f>(AG396-AF396)*1440</f>
        <v/>
      </c>
      <c r="AQ396" s="20">
        <f>(AG396-AE396)*1440</f>
        <v/>
      </c>
      <c r="AR396" s="20">
        <f>(AH396-AF396)*1440</f>
        <v/>
      </c>
      <c r="AS396" s="20">
        <f>(AI396-AH396)*1440</f>
        <v/>
      </c>
      <c r="AT396" s="20">
        <f>(AJ396-AH396)*1440</f>
        <v/>
      </c>
      <c r="AU396" s="20">
        <f>(AL396-AK396)*1440</f>
        <v/>
      </c>
      <c r="AV396" s="20">
        <f>(AM396-AL396)*1440</f>
        <v/>
      </c>
      <c r="AW396" s="20">
        <f>(AO396-AM396)*1440</f>
        <v/>
      </c>
      <c r="AX396" s="19">
        <f>AP396+AS396+AU396+AV396+AW396</f>
        <v/>
      </c>
      <c r="AY396" s="18">
        <f>(AG396-AA396)</f>
        <v/>
      </c>
      <c r="AZ396" s="18">
        <f>(AK396-AJ396)</f>
        <v/>
      </c>
      <c r="BA396" s="18">
        <f>AO396-AG396</f>
        <v/>
      </c>
      <c r="BB396" s="18">
        <f>(AO396-AA396)-(AP396/1440)-(AW396/1440)</f>
        <v/>
      </c>
      <c r="BC396" s="20">
        <f>E396/AZ396</f>
        <v/>
      </c>
      <c r="BE396" s="20">
        <f>IF(E396&lt;10000,3000,IF(E396&lt;15000,3600,IF(E396&lt;20000,4500,IF(E396&lt;25000,6000,IF(E396&lt;30000,7500,IF(E396&lt;40000,9000,IF(E396&gt;40000,10000)))))))</f>
        <v/>
      </c>
      <c r="BF396" s="334">
        <f>(E396/BE396)+2</f>
        <v/>
      </c>
      <c r="BS396" s="97" t="inlineStr">
        <is>
          <t>NUL</t>
        </is>
      </c>
      <c r="BT396" s="99" t="n">
        <v>0</v>
      </c>
      <c r="BU396" s="97" t="inlineStr">
        <is>
          <t>NAVIRE NON PRÊT</t>
        </is>
      </c>
      <c r="BV396" s="97" t="inlineStr">
        <is>
          <t>DEBALLASTING</t>
        </is>
      </c>
      <c r="BW396" s="332">
        <f>AI397-AH397</f>
        <v/>
      </c>
      <c r="CB396" s="14" t="n">
        <v>3603</v>
      </c>
    </row>
    <row r="397">
      <c r="A397" s="81" t="n">
        <v>261</v>
      </c>
      <c r="B397" s="343" t="inlineStr">
        <is>
          <t xml:space="preserve">NM COPENHAGEN </t>
        </is>
      </c>
      <c r="C397" s="15" t="n">
        <v>45850</v>
      </c>
      <c r="D397" s="329" t="n">
        <v>2002</v>
      </c>
      <c r="E397" s="333">
        <f>D397+D398</f>
        <v/>
      </c>
      <c r="G397" s="81" t="n">
        <v>2</v>
      </c>
      <c r="H397" s="75" t="inlineStr">
        <is>
          <t>MAP</t>
        </is>
      </c>
      <c r="I397" s="306" t="inlineStr">
        <is>
          <t xml:space="preserve">MAP 11 52 Special Low Cd </t>
        </is>
      </c>
      <c r="J397" s="75" t="inlineStr">
        <is>
          <t>FOB</t>
        </is>
      </c>
      <c r="Q397" s="75" t="inlineStr">
        <is>
          <t>EUROPE</t>
        </is>
      </c>
      <c r="R397" s="75" t="inlineStr">
        <is>
          <t>Lituanie</t>
        </is>
      </c>
      <c r="T397" s="75" t="inlineStr">
        <is>
          <t>INSPECTORATE</t>
        </is>
      </c>
      <c r="U397" s="81" t="n">
        <v>114</v>
      </c>
      <c r="V397" s="53">
        <f>IF(U397&lt;130, "Mini Bulker", IF(AND(U397&gt;=130, U397&lt;150), "Handysize", IF(AND(U397&gt;=150, U397&lt;200), "Handymax", IF(AND(U397&gt;=200, U397&lt;230), "Panamax", IF(AND(U397&gt;=230, U397&lt;=270), "Capesize", "Autre")))))</f>
        <v/>
      </c>
      <c r="X397" s="14">
        <f>IF(E397&lt;9999,"1",IF(E397&lt;19999,"2",IF(E397&lt;29999,"3",IF(E397&lt;39999,"4",IF(E397&lt;49999,"5",IF(E397&gt;50000,"6"))))))</f>
        <v/>
      </c>
      <c r="Y397" s="99" t="inlineStr">
        <is>
          <t>1TER</t>
        </is>
      </c>
      <c r="AA397" s="26" t="n">
        <v>45847.75</v>
      </c>
      <c r="AB397" s="26" t="n">
        <v>45848.375</v>
      </c>
      <c r="AC397" s="15" t="n">
        <v>45847</v>
      </c>
      <c r="AD397" s="15" t="n">
        <v>45849</v>
      </c>
      <c r="AE397" s="26" t="n">
        <v>45847.75</v>
      </c>
      <c r="AF397" s="26" t="n">
        <v>45850.06736111111</v>
      </c>
      <c r="AG397" s="26" t="n">
        <v>45850.10763888889</v>
      </c>
      <c r="AH397" s="26" t="n">
        <v>45850.12847222222</v>
      </c>
      <c r="AI397" s="26" t="n">
        <v>45850.19444444445</v>
      </c>
      <c r="AJ397" s="26" t="n">
        <v>45850.23611111111</v>
      </c>
      <c r="AK397" s="26" t="n">
        <v>45850.98611111111</v>
      </c>
      <c r="AL397" s="26" t="n">
        <v>45851.04166666666</v>
      </c>
      <c r="AM397" s="26" t="n">
        <v>45851.06944444445</v>
      </c>
      <c r="AN397" s="26" t="n">
        <v>45851.12152777778</v>
      </c>
      <c r="AO397" s="26" t="n">
        <v>45851.07291666666</v>
      </c>
      <c r="AP397" s="20">
        <f>(AG397-AF397)*1440</f>
        <v/>
      </c>
      <c r="AQ397" s="20">
        <f>(AG397-AE397)*1440</f>
        <v/>
      </c>
      <c r="AR397" s="20">
        <f>(AH397-AF397)*1440</f>
        <v/>
      </c>
      <c r="AS397" s="20">
        <f>(AI397-AH397)*1440</f>
        <v/>
      </c>
      <c r="AT397" s="20">
        <f>(AJ397-AH397)*1440</f>
        <v/>
      </c>
      <c r="AU397" s="20">
        <f>(AL397-AK397)*1440</f>
        <v/>
      </c>
      <c r="AV397" s="20">
        <f>(AM397-AL397)*1440</f>
        <v/>
      </c>
      <c r="AW397" s="20">
        <f>(AO397-AM397)*1440</f>
        <v/>
      </c>
      <c r="AX397" s="19">
        <f>AP397+AS397+AU397+AV397+AW397</f>
        <v/>
      </c>
      <c r="AY397" s="18">
        <f>(AG397-AA397)</f>
        <v/>
      </c>
      <c r="AZ397" s="18">
        <f>(AK397-AJ397)</f>
        <v/>
      </c>
      <c r="BA397" s="18">
        <f>AO397-AG397</f>
        <v/>
      </c>
      <c r="BB397" s="18">
        <f>(AO397-AA397)-(AP397/1440)-(AW397/1440)</f>
        <v/>
      </c>
      <c r="BC397" s="20">
        <f>E397/AZ397</f>
        <v/>
      </c>
      <c r="BE397" s="20">
        <f>IF(E397&lt;10000,3000,IF(E397&lt;15000,3600,IF(E397&lt;20000,4500,IF(E397&lt;25000,6000,IF(E397&lt;30000,7500,IF(E397&lt;40000,9000,IF(E397&gt;40000,10000)))))))</f>
        <v/>
      </c>
      <c r="BF397" s="334">
        <f>(E397/BE397)+2</f>
        <v/>
      </c>
      <c r="BS397" s="97" t="inlineStr">
        <is>
          <t>NUL</t>
        </is>
      </c>
      <c r="BT397" s="99" t="n">
        <v>0</v>
      </c>
      <c r="BU397" s="97" t="n"/>
      <c r="BV397" s="97" t="n"/>
      <c r="BW397" s="332">
        <f>AI398-AH398</f>
        <v/>
      </c>
      <c r="CB397" s="14" t="n">
        <v>4255</v>
      </c>
    </row>
    <row r="398" ht="14.55" customHeight="1" s="70">
      <c r="A398" s="81" t="n"/>
      <c r="B398" s="343" t="inlineStr">
        <is>
          <t xml:space="preserve">NM COPENHAGEN </t>
        </is>
      </c>
      <c r="C398" s="15" t="n">
        <v>45850</v>
      </c>
      <c r="D398" s="329" t="n">
        <v>3300</v>
      </c>
      <c r="E398" s="330" t="n"/>
      <c r="G398" s="81" t="n">
        <v>2</v>
      </c>
      <c r="H398" s="75" t="inlineStr">
        <is>
          <t>MAP</t>
        </is>
      </c>
      <c r="I398" s="306" t="inlineStr">
        <is>
          <t xml:space="preserve">MAP 11 52 HUNGARY </t>
        </is>
      </c>
      <c r="J398" s="75" t="inlineStr">
        <is>
          <t>FOB</t>
        </is>
      </c>
      <c r="Q398" s="75" t="inlineStr">
        <is>
          <t>EUROPE</t>
        </is>
      </c>
      <c r="R398" s="75" t="inlineStr">
        <is>
          <t>Sweden</t>
        </is>
      </c>
      <c r="T398" s="75" t="inlineStr">
        <is>
          <t>INSPECTORATE</t>
        </is>
      </c>
      <c r="U398" s="81" t="n">
        <v>114</v>
      </c>
      <c r="V398" s="53">
        <f>IF(U398&lt;130, "Mini Bulker", IF(AND(U398&gt;=130, U398&lt;150), "Handysize", IF(AND(U398&gt;=150, U398&lt;200), "Handymax", IF(AND(U398&gt;=200, U398&lt;230), "Panamax", IF(AND(U398&gt;=230, U398&lt;=270), "Capesize", "Autre")))))</f>
        <v/>
      </c>
      <c r="X398" s="14">
        <f>IF(E398&lt;9999,"1",IF(E398&lt;19999,"2",IF(E398&lt;29999,"3",IF(E398&lt;39999,"4",IF(E398&lt;49999,"5",IF(E398&gt;50000,"6"))))))</f>
        <v/>
      </c>
      <c r="Y398" s="99" t="inlineStr">
        <is>
          <t>1TER</t>
        </is>
      </c>
      <c r="AA398" s="218" t="n"/>
      <c r="AB398" s="218" t="n"/>
      <c r="AC398" s="98" t="n"/>
      <c r="AD398" s="98" t="n"/>
      <c r="AE398" s="218" t="n"/>
      <c r="AF398" s="218" t="n"/>
      <c r="AG398" s="218" t="n"/>
      <c r="AH398" s="218" t="n"/>
      <c r="AI398" s="218" t="n"/>
      <c r="AJ398" s="218" t="n"/>
      <c r="AK398" s="218" t="n"/>
      <c r="AL398" s="218" t="n"/>
      <c r="AM398" s="218" t="n"/>
      <c r="AN398" s="218" t="n"/>
      <c r="AO398" s="218" t="n"/>
      <c r="AP398" s="98" t="n"/>
      <c r="AQ398" s="98" t="n"/>
      <c r="AR398" s="98" t="n"/>
      <c r="AS398" s="98" t="n"/>
      <c r="AT398" s="98" t="n"/>
      <c r="AU398" s="98" t="n"/>
      <c r="AV398" s="98" t="n"/>
      <c r="AW398" s="98" t="n"/>
      <c r="AX398" s="98" t="n"/>
      <c r="AY398" s="98" t="n"/>
      <c r="AZ398" s="98" t="n"/>
      <c r="BA398" s="98" t="n"/>
      <c r="BB398" s="98" t="n"/>
      <c r="BC398" s="98" t="n"/>
      <c r="BD398" s="220" t="n"/>
      <c r="BE398" s="98" t="n"/>
      <c r="BF398" s="98" t="n"/>
      <c r="BS398" s="97" t="n"/>
      <c r="BT398" s="99" t="n"/>
      <c r="BU398" s="97" t="n"/>
      <c r="BV398" s="97" t="n"/>
      <c r="BW398" s="208" t="n"/>
      <c r="CB398" s="14" t="n"/>
    </row>
    <row r="399" ht="15" customHeight="1" s="70">
      <c r="A399" s="81" t="n">
        <v>260</v>
      </c>
      <c r="B399" s="343" t="inlineStr">
        <is>
          <t>PAVIDA NAREE</t>
        </is>
      </c>
      <c r="C399" s="15" t="n">
        <v>45850</v>
      </c>
      <c r="D399" s="329" t="n">
        <v>33041</v>
      </c>
      <c r="E399" s="329" t="n">
        <v>33041</v>
      </c>
      <c r="G399" s="81" t="n">
        <v>1</v>
      </c>
      <c r="H399" s="75" t="inlineStr">
        <is>
          <t>MAP</t>
        </is>
      </c>
      <c r="I399" s="306" t="inlineStr">
        <is>
          <t xml:space="preserve">MAP 11 52 SPECIAL </t>
        </is>
      </c>
      <c r="J399" s="75" t="inlineStr">
        <is>
          <t>CFR</t>
        </is>
      </c>
      <c r="Q399" s="75" t="inlineStr">
        <is>
          <t>AMERIQUE LATINE</t>
        </is>
      </c>
      <c r="R399" s="75" t="inlineStr">
        <is>
          <t>BRAZIL</t>
        </is>
      </c>
      <c r="T399" s="75" t="inlineStr">
        <is>
          <t>INTERTEK</t>
        </is>
      </c>
      <c r="U399" s="81" t="n">
        <v>180</v>
      </c>
      <c r="V399" s="53">
        <f>IF(U399&lt;130, "Mini Bulker", IF(AND(U399&gt;=130, U399&lt;150), "Handysize", IF(AND(U399&gt;=150, U399&lt;200), "Handymax", IF(AND(U399&gt;=200, U399&lt;230), "Panamax", IF(AND(U399&gt;=230, U399&lt;=270), "Capesize", "Autre")))))</f>
        <v/>
      </c>
      <c r="X399" s="14">
        <f>IF(E399&lt;9999,"1",IF(E399&lt;19999,"2",IF(E399&lt;29999,"3",IF(E399&lt;39999,"4",IF(E399&lt;49999,"5",IF(E399&gt;50000,"6"))))))</f>
        <v/>
      </c>
      <c r="Y399" s="99" t="inlineStr">
        <is>
          <t>1BIS</t>
        </is>
      </c>
      <c r="AA399" s="17" t="n">
        <v>45847.72916666666</v>
      </c>
      <c r="AB399" s="17" t="n">
        <v>45848.375</v>
      </c>
      <c r="AC399" s="15" t="n">
        <v>45848</v>
      </c>
      <c r="AD399" s="15" t="n">
        <v>45853</v>
      </c>
      <c r="AE399" s="17" t="n">
        <v>45847.47916666666</v>
      </c>
      <c r="AF399" s="17" t="n">
        <v>45847.65763888889</v>
      </c>
      <c r="AG399" s="17" t="n">
        <v>45847.7625</v>
      </c>
      <c r="AH399" s="17" t="n">
        <v>45847.77430555555</v>
      </c>
      <c r="AI399" s="17" t="n">
        <v>45848.00069444445</v>
      </c>
      <c r="AJ399" s="17" t="n">
        <v>45848.00069444445</v>
      </c>
      <c r="AK399" s="17" t="n">
        <v>45850.13888888889</v>
      </c>
      <c r="AL399" s="17" t="n">
        <v>45850.18055555555</v>
      </c>
      <c r="AM399" s="17" t="n">
        <v>45850.20833333334</v>
      </c>
      <c r="AN399" s="17" t="n">
        <v>45850.25</v>
      </c>
      <c r="AO399" s="17" t="n">
        <v>45850.27777777778</v>
      </c>
      <c r="AP399" s="20">
        <f>(AG399-AF399)*1440</f>
        <v/>
      </c>
      <c r="AQ399" s="20">
        <f>(AG399-AE399)*1440</f>
        <v/>
      </c>
      <c r="AR399" s="20">
        <f>(AH399-AF399)*1440</f>
        <v/>
      </c>
      <c r="AS399" s="20">
        <f>(AI399-AH399)*1440</f>
        <v/>
      </c>
      <c r="AT399" s="20">
        <f>(AJ399-AH399)*1440</f>
        <v/>
      </c>
      <c r="AU399" s="20">
        <f>(AL399-AK399)*1440</f>
        <v/>
      </c>
      <c r="AV399" s="20">
        <f>(AM399-AL399)*1440</f>
        <v/>
      </c>
      <c r="AW399" s="20">
        <f>(AO399-AM399)*1440</f>
        <v/>
      </c>
      <c r="AX399" s="19">
        <f>AP399+AS399+AU399+AV399+AW399</f>
        <v/>
      </c>
      <c r="AY399" s="18">
        <f>(AG399-AA399)</f>
        <v/>
      </c>
      <c r="AZ399" s="18">
        <f>(AK399-AJ399)</f>
        <v/>
      </c>
      <c r="BA399" s="18">
        <f>AO399-AG399</f>
        <v/>
      </c>
      <c r="BB399" s="18">
        <f>(AO399-AA399)-(AP399/1440)-(AW399/1440)</f>
        <v/>
      </c>
      <c r="BC399" s="20">
        <f>E399/AZ399</f>
        <v/>
      </c>
      <c r="BD399" s="208" t="n"/>
      <c r="BE399" s="20">
        <f>IF(E399&lt;10000,3000,IF(E399&lt;15000,3600,IF(E399&lt;20000,4500,IF(E399&lt;25000,6000,IF(E399&lt;30000,7500,IF(E399&lt;40000,9000,IF(E399&gt;40000,10000)))))))</f>
        <v/>
      </c>
      <c r="BF399" s="334">
        <f>(E399/BE399)+2</f>
        <v/>
      </c>
      <c r="BS399" s="97" t="inlineStr">
        <is>
          <t>NUL</t>
        </is>
      </c>
      <c r="BT399" s="99" t="n">
        <v>0</v>
      </c>
      <c r="BU399" s="97" t="n"/>
      <c r="BV399" s="97" t="n"/>
      <c r="BW399" s="345">
        <f>AI400-AH400</f>
        <v/>
      </c>
      <c r="CB399" s="14" t="n">
        <v>22860</v>
      </c>
    </row>
    <row r="400" ht="14.55" customHeight="1" s="70">
      <c r="A400" s="81" t="n">
        <v>262</v>
      </c>
      <c r="B400" s="343" t="inlineStr">
        <is>
          <t>GREY LUNA</t>
        </is>
      </c>
      <c r="C400" s="15" t="n">
        <v>45852</v>
      </c>
      <c r="D400" s="329" t="n">
        <v>40424</v>
      </c>
      <c r="E400" s="333">
        <f>D400+D401</f>
        <v/>
      </c>
      <c r="G400" s="81" t="n">
        <v>2</v>
      </c>
      <c r="H400" s="75" t="inlineStr">
        <is>
          <t>DAP</t>
        </is>
      </c>
      <c r="I400" s="306" t="inlineStr">
        <is>
          <t>DAP STANDARD</t>
        </is>
      </c>
      <c r="J400" s="75" t="inlineStr">
        <is>
          <t>CFR</t>
        </is>
      </c>
      <c r="Q400" s="75" t="inlineStr">
        <is>
          <t>ASIE</t>
        </is>
      </c>
      <c r="R400" s="75" t="inlineStr">
        <is>
          <t>INDE</t>
        </is>
      </c>
      <c r="T400" s="75" t="inlineStr">
        <is>
          <t>INTERTEK</t>
        </is>
      </c>
      <c r="U400" s="81" t="n">
        <v>190</v>
      </c>
      <c r="V400" s="53">
        <f>IF(U400&lt;130, "Mini Bulker", IF(AND(U400&gt;=130, U400&lt;150), "Handysize", IF(AND(U400&gt;=150, U400&lt;200), "Handymax", IF(AND(U400&gt;=200, U400&lt;230), "Panamax", IF(AND(U400&gt;=230, U400&lt;=270), "Capesize", "Autre")))))</f>
        <v/>
      </c>
      <c r="X400" s="14">
        <f>IF(E400&lt;9999,"1",IF(E400&lt;19999,"2",IF(E400&lt;29999,"3",IF(E400&lt;39999,"4",IF(E400&lt;49999,"5",IF(E400&gt;50000,"6"))))))</f>
        <v/>
      </c>
      <c r="Y400" s="99" t="inlineStr">
        <is>
          <t>2BIS</t>
        </is>
      </c>
      <c r="AA400" s="26" t="n">
        <v>45845.875</v>
      </c>
      <c r="AB400" s="26" t="n">
        <v>45846.375</v>
      </c>
      <c r="AC400" s="15" t="n">
        <v>45845</v>
      </c>
      <c r="AD400" s="15" t="n">
        <v>45848</v>
      </c>
      <c r="AE400" s="26" t="n">
        <v>45845.83333333334</v>
      </c>
      <c r="AF400" s="26" t="n">
        <v>45845.88888888889</v>
      </c>
      <c r="AG400" s="26" t="n">
        <v>45845.95833333334</v>
      </c>
      <c r="AH400" s="26" t="n">
        <v>45845.97222222222</v>
      </c>
      <c r="AI400" s="26" t="n">
        <v>45846.54166666666</v>
      </c>
      <c r="AJ400" s="26" t="n">
        <v>45846.64583333334</v>
      </c>
      <c r="AK400" s="26" t="n">
        <v>45852.52430555555</v>
      </c>
      <c r="AL400" s="26" t="n">
        <v>45852.57291666666</v>
      </c>
      <c r="AM400" s="26" t="n">
        <v>45852.58680555555</v>
      </c>
      <c r="AN400" s="26" t="n">
        <v>45852.62847222222</v>
      </c>
      <c r="AO400" s="26" t="n">
        <v>45852.66458333333</v>
      </c>
      <c r="AP400" s="20">
        <f>(AG400-AF400)*1440</f>
        <v/>
      </c>
      <c r="AQ400" s="20">
        <f>(AG400-AE400)*1440</f>
        <v/>
      </c>
      <c r="AR400" s="20">
        <f>(AH400-AF400)*1440</f>
        <v/>
      </c>
      <c r="AS400" s="20">
        <f>(AI400-AH400)*1440</f>
        <v/>
      </c>
      <c r="AT400" s="20">
        <f>(AJ400-AH400)*1440</f>
        <v/>
      </c>
      <c r="AU400" s="20">
        <f>(AL400-AK400)*1440</f>
        <v/>
      </c>
      <c r="AV400" s="20">
        <f>(AM400-AL400)*1440</f>
        <v/>
      </c>
      <c r="AW400" s="20">
        <f>(AO400-AM400)*1440</f>
        <v/>
      </c>
      <c r="AX400" s="19">
        <f>AP400+AS400+AU400+AV400+AW400</f>
        <v/>
      </c>
      <c r="AY400" s="18">
        <f>(AG400-AA400)</f>
        <v/>
      </c>
      <c r="AZ400" s="18">
        <f>(AK400-AJ400)</f>
        <v/>
      </c>
      <c r="BA400" s="18">
        <f>AO400-AG400</f>
        <v/>
      </c>
      <c r="BB400" s="18">
        <f>(AO400-AA400)-(AP400/1440)-(AW400/1440)</f>
        <v/>
      </c>
      <c r="BC400" s="20">
        <f>E400/AZ400</f>
        <v/>
      </c>
      <c r="BE400" s="20">
        <f>IF(E400&lt;10000,3000,IF(E400&lt;15000,3600,IF(E400&lt;20000,4500,IF(E400&lt;25000,6000,IF(E400&lt;30000,7500,IF(E400&lt;40000,9000,IF(E400&gt;40000,10000)))))))</f>
        <v/>
      </c>
      <c r="BF400" s="334">
        <f>(E400/BE400)+2</f>
        <v/>
      </c>
      <c r="BS400" s="97" t="inlineStr">
        <is>
          <t>DEHALAGE 20 M VERS 2N LE 10/07 - 1233</t>
        </is>
      </c>
      <c r="BT400" s="99" t="n">
        <v>1</v>
      </c>
      <c r="BU400" s="97" t="n"/>
      <c r="BV400" s="97" t="n"/>
      <c r="BW400" s="332">
        <f>AI401-AH401</f>
        <v/>
      </c>
      <c r="CB400" s="14" t="n">
        <v>33010</v>
      </c>
    </row>
    <row r="401" ht="15" customHeight="1" s="70">
      <c r="B401" s="343" t="inlineStr">
        <is>
          <t>GREY LUNA</t>
        </is>
      </c>
      <c r="C401" s="15" t="n">
        <v>45852</v>
      </c>
      <c r="D401" s="329" t="n">
        <v>14054</v>
      </c>
      <c r="E401" s="330" t="n"/>
      <c r="G401" s="81" t="n">
        <v>2</v>
      </c>
      <c r="H401" s="75" t="inlineStr">
        <is>
          <t>TSP</t>
        </is>
      </c>
      <c r="I401" s="306" t="inlineStr">
        <is>
          <t>TSP CIV</t>
        </is>
      </c>
      <c r="J401" s="75" t="inlineStr">
        <is>
          <t>CFR</t>
        </is>
      </c>
      <c r="Q401" s="75" t="inlineStr">
        <is>
          <t>ASIE</t>
        </is>
      </c>
      <c r="R401" s="75" t="inlineStr">
        <is>
          <t>INDE</t>
        </is>
      </c>
      <c r="T401" s="75" t="inlineStr">
        <is>
          <t>INTERTEK</t>
        </is>
      </c>
      <c r="U401" s="81" t="n">
        <v>190</v>
      </c>
      <c r="V401" s="53">
        <f>IF(U401&lt;130, "Mini Bulker", IF(AND(U401&gt;=130, U401&lt;150), "Handysize", IF(AND(U401&gt;=150, U401&lt;200), "Handymax", IF(AND(U401&gt;=200, U401&lt;230), "Panamax", IF(AND(U401&gt;=230, U401&lt;=270), "Capesize", "Autre")))))</f>
        <v/>
      </c>
      <c r="X401" s="14">
        <f>IF(E401&lt;9999,"1",IF(E401&lt;19999,"2",IF(E401&lt;29999,"3",IF(E401&lt;39999,"4",IF(E401&lt;49999,"5",IF(E401&gt;50000,"6"))))))</f>
        <v/>
      </c>
      <c r="Y401" s="99" t="inlineStr">
        <is>
          <t>2BIS</t>
        </is>
      </c>
      <c r="AA401" s="98" t="n"/>
      <c r="AB401" s="98" t="n"/>
      <c r="AC401" s="98" t="n"/>
      <c r="AD401" s="98" t="n"/>
      <c r="AE401" s="98" t="n"/>
      <c r="AF401" s="98" t="n"/>
      <c r="AG401" s="98" t="n"/>
      <c r="AH401" s="98" t="n"/>
      <c r="AI401" s="98" t="n"/>
      <c r="AJ401" s="98" t="n"/>
      <c r="AK401" s="98" t="n"/>
      <c r="AL401" s="98" t="n"/>
      <c r="AM401" s="98" t="n"/>
      <c r="AN401" s="98" t="n"/>
      <c r="AO401" s="98" t="n"/>
      <c r="AP401" s="98" t="n"/>
      <c r="AQ401" s="98" t="n"/>
      <c r="AR401" s="98" t="n"/>
      <c r="AS401" s="98" t="n"/>
      <c r="AT401" s="98" t="n"/>
      <c r="AU401" s="98" t="n"/>
      <c r="AV401" s="98" t="n"/>
      <c r="AW401" s="98" t="n"/>
      <c r="AX401" s="98" t="n"/>
      <c r="AY401" s="98" t="n"/>
      <c r="AZ401" s="98" t="n"/>
      <c r="BA401" s="98" t="n"/>
      <c r="BB401" s="98" t="n"/>
      <c r="BC401" s="98" t="n"/>
      <c r="BD401" s="98" t="n"/>
      <c r="BE401" s="98" t="n"/>
      <c r="BF401" s="98" t="n"/>
      <c r="BG401" s="98" t="n"/>
      <c r="BH401" s="98" t="n"/>
      <c r="BI401" s="98" t="n"/>
      <c r="BJ401" s="98" t="n"/>
      <c r="BK401" s="98" t="n"/>
      <c r="BL401" s="98" t="n"/>
      <c r="BM401" s="98" t="n"/>
      <c r="BN401" s="98" t="n"/>
      <c r="BO401" s="98" t="n"/>
      <c r="BP401" s="98" t="n"/>
      <c r="BQ401" s="98" t="n"/>
      <c r="BR401" s="98" t="n"/>
      <c r="BS401" s="97" t="n"/>
      <c r="BU401" s="97" t="n"/>
      <c r="BV401" s="97" t="n"/>
      <c r="CB401" s="14" t="n"/>
    </row>
    <row r="402" ht="14.55" customHeight="1" s="70">
      <c r="A402" s="81" t="n">
        <v>263</v>
      </c>
      <c r="B402" s="343" t="inlineStr">
        <is>
          <t>ELONG ELONG</t>
        </is>
      </c>
      <c r="C402" s="15" t="n">
        <v>45853</v>
      </c>
      <c r="D402" s="329" t="n">
        <v>5500</v>
      </c>
      <c r="E402" s="333">
        <f>D402+D403</f>
        <v/>
      </c>
      <c r="G402" s="81" t="n">
        <v>2</v>
      </c>
      <c r="H402" s="75" t="inlineStr">
        <is>
          <t>MAP</t>
        </is>
      </c>
      <c r="I402" s="306" t="inlineStr">
        <is>
          <t xml:space="preserve">MAP 11 52 Special Low Cd </t>
        </is>
      </c>
      <c r="J402" s="75" t="inlineStr">
        <is>
          <t>FOB</t>
        </is>
      </c>
      <c r="Q402" s="75" t="inlineStr">
        <is>
          <t>EUROPE</t>
        </is>
      </c>
      <c r="R402" s="75" t="inlineStr">
        <is>
          <t>ROUMANIE</t>
        </is>
      </c>
      <c r="S402" s="75" t="n"/>
      <c r="T402" s="75" t="inlineStr">
        <is>
          <t>INSPECTORATE</t>
        </is>
      </c>
      <c r="U402" s="81" t="n">
        <v>168</v>
      </c>
      <c r="V402" s="53">
        <f>IF(U402&lt;130, "Mini Bulker", IF(AND(U402&gt;=130, U402&lt;150), "Handysize", IF(AND(U402&gt;=150, U402&lt;200), "Handymax", IF(AND(U402&gt;=200, U402&lt;230), "Panamax", IF(AND(U402&gt;=230, U402&lt;=270), "Capesize", "Autre")))))</f>
        <v/>
      </c>
      <c r="X402" s="14">
        <f>IF(E402&lt;9999,"1",IF(E402&lt;19999,"2",IF(E402&lt;29999,"3",IF(E402&lt;39999,"4",IF(E402&lt;49999,"5",IF(E402&gt;50000,"6"))))))</f>
        <v/>
      </c>
      <c r="Y402" s="99" t="inlineStr">
        <is>
          <t>2TER</t>
        </is>
      </c>
      <c r="AA402" s="26" t="n">
        <v>45849.875</v>
      </c>
      <c r="AB402" s="26" t="n">
        <v>45850.375</v>
      </c>
      <c r="AC402" s="15" t="n">
        <v>45849</v>
      </c>
      <c r="AD402" s="15" t="n">
        <v>45851</v>
      </c>
      <c r="AE402" s="26" t="n">
        <v>45849.83333333334</v>
      </c>
      <c r="AF402" s="26" t="n">
        <v>45849.83333333334</v>
      </c>
      <c r="AG402" s="26" t="n">
        <v>45849.91666666666</v>
      </c>
      <c r="AH402" s="26" t="n">
        <v>45849.94097222222</v>
      </c>
      <c r="AI402" s="26" t="n">
        <v>45850.06597222222</v>
      </c>
      <c r="AK402" s="26" t="n">
        <v>45853.45138888889</v>
      </c>
      <c r="AL402" s="26" t="n">
        <v>45853.50694444445</v>
      </c>
      <c r="AM402" s="26" t="n">
        <v>45853.54513888889</v>
      </c>
      <c r="AN402" s="26" t="n">
        <v>45853.58055555556</v>
      </c>
      <c r="AO402" s="26" t="n">
        <v>45853.61527777778</v>
      </c>
      <c r="AP402" s="20">
        <f>(AG402-AF402)*1440</f>
        <v/>
      </c>
      <c r="AQ402" s="20">
        <f>(AG402-AE402)*1440</f>
        <v/>
      </c>
      <c r="AR402" s="20">
        <f>(AH402-AF402)*1440</f>
        <v/>
      </c>
      <c r="AS402" s="20">
        <f>(AI402-AH402)*1440</f>
        <v/>
      </c>
      <c r="AT402" s="20">
        <f>(AJ402-AH402)*1440</f>
        <v/>
      </c>
      <c r="AU402" s="20">
        <f>(AL402-AK402)*1440</f>
        <v/>
      </c>
      <c r="AV402" s="20">
        <f>(AM402-AL402)*1440</f>
        <v/>
      </c>
      <c r="AW402" s="20">
        <f>(AO402-AM402)*1440</f>
        <v/>
      </c>
      <c r="AX402" s="19">
        <f>AP402+AS402+AU402+AV402+AW402</f>
        <v/>
      </c>
      <c r="AY402" s="18">
        <f>(AG402-AA402)</f>
        <v/>
      </c>
      <c r="AZ402" s="18">
        <f>(AK402-AJ402)</f>
        <v/>
      </c>
      <c r="BA402" s="18">
        <f>AO402-AG402</f>
        <v/>
      </c>
      <c r="BB402" s="18">
        <f>(AO402-AA402)-(AP402/1440)-(AW402/1440)</f>
        <v/>
      </c>
      <c r="BC402" s="20">
        <f>E402/AZ402</f>
        <v/>
      </c>
      <c r="BE402" s="20">
        <f>IF(E402&lt;10000,3000,IF(E402&lt;15000,3600,IF(E402&lt;20000,4500,IF(E402&lt;25000,6000,IF(E402&lt;30000,7500,IF(E402&lt;40000,9000,IF(E402&gt;40000,10000)))))))</f>
        <v/>
      </c>
      <c r="BF402" s="334">
        <f>(E402/BE402)+2</f>
        <v/>
      </c>
      <c r="BS402" s="97" t="inlineStr">
        <is>
          <t>NUL</t>
        </is>
      </c>
      <c r="BT402" s="99" t="n"/>
      <c r="BU402" s="97" t="n"/>
      <c r="BV402" s="97" t="n"/>
      <c r="BW402" s="332">
        <f>AI403-AH403</f>
        <v/>
      </c>
      <c r="CB402" s="14" t="n">
        <v>13691</v>
      </c>
    </row>
    <row r="403" ht="15" customHeight="1" s="70">
      <c r="A403" s="81" t="n"/>
      <c r="B403" s="343" t="inlineStr">
        <is>
          <t>ELONG ELONG</t>
        </is>
      </c>
      <c r="C403" s="15" t="n">
        <v>45853</v>
      </c>
      <c r="D403" s="329" t="n">
        <v>14300</v>
      </c>
      <c r="E403" s="330" t="n"/>
      <c r="G403" s="81" t="n">
        <v>2</v>
      </c>
      <c r="H403" s="75" t="inlineStr">
        <is>
          <t>DAP</t>
        </is>
      </c>
      <c r="I403" s="306" t="inlineStr">
        <is>
          <t xml:space="preserve">DAP Euro Low Cd </t>
        </is>
      </c>
      <c r="J403" s="75" t="inlineStr">
        <is>
          <t>FOB</t>
        </is>
      </c>
      <c r="Q403" s="75" t="inlineStr">
        <is>
          <t>EUROPE</t>
        </is>
      </c>
      <c r="R403" s="75" t="inlineStr">
        <is>
          <t>ROUMANIE</t>
        </is>
      </c>
      <c r="S403" s="75" t="n"/>
      <c r="T403" s="75" t="inlineStr">
        <is>
          <t>INSPECTORATE</t>
        </is>
      </c>
      <c r="U403" s="81" t="n">
        <v>168</v>
      </c>
      <c r="V403" s="53">
        <f>IF(U403&lt;130, "Mini Bulker", IF(AND(U403&gt;=130, U403&lt;150), "Handysize", IF(AND(U403&gt;=150, U403&lt;200), "Handymax", IF(AND(U403&gt;=200, U403&lt;230), "Panamax", IF(AND(U403&gt;=230, U403&lt;=270), "Capesize", "Autre")))))</f>
        <v/>
      </c>
      <c r="X403" s="14">
        <f>IF(E403&lt;9999,"1",IF(E403&lt;19999,"2",IF(E403&lt;29999,"3",IF(E403&lt;39999,"4",IF(E403&lt;49999,"5",IF(E403&gt;50000,"6"))))))</f>
        <v/>
      </c>
      <c r="Y403" s="99" t="inlineStr">
        <is>
          <t>2TER</t>
        </is>
      </c>
      <c r="AA403" s="98" t="n"/>
      <c r="AB403" s="98" t="n"/>
      <c r="AC403" s="98" t="n"/>
      <c r="AD403" s="98" t="n"/>
      <c r="AE403" s="98" t="n"/>
      <c r="AF403" s="98" t="n"/>
      <c r="AG403" s="98" t="n"/>
      <c r="AH403" s="98" t="n"/>
      <c r="AI403" s="98" t="n"/>
      <c r="AJ403" s="98" t="n"/>
      <c r="AK403" s="98" t="n"/>
      <c r="AL403" s="98" t="n"/>
      <c r="AM403" s="98" t="n"/>
      <c r="AN403" s="98" t="n"/>
      <c r="AO403" s="98" t="n"/>
      <c r="AP403" s="98" t="n"/>
      <c r="AQ403" s="98" t="n"/>
      <c r="AR403" s="98" t="n"/>
      <c r="AS403" s="98" t="n"/>
      <c r="AT403" s="98" t="n"/>
      <c r="AU403" s="98" t="n"/>
      <c r="AV403" s="98" t="n"/>
      <c r="AW403" s="98" t="n"/>
      <c r="AX403" s="98" t="n"/>
      <c r="AY403" s="98" t="n"/>
      <c r="AZ403" s="98" t="n"/>
      <c r="BA403" s="98" t="n"/>
      <c r="BB403" s="98" t="n"/>
      <c r="BC403" s="98" t="n"/>
      <c r="BD403" s="98" t="n"/>
      <c r="BE403" s="98" t="n"/>
      <c r="BF403" s="98" t="n"/>
      <c r="BG403" s="98" t="n"/>
      <c r="BH403" s="98" t="n"/>
      <c r="BI403" s="98" t="n"/>
      <c r="BJ403" s="98" t="n"/>
      <c r="BK403" s="98" t="n"/>
      <c r="BL403" s="98" t="n"/>
      <c r="BM403" s="98" t="n"/>
      <c r="BN403" s="98" t="n"/>
      <c r="BO403" s="98" t="n"/>
      <c r="BP403" s="98" t="n"/>
      <c r="BQ403" s="98" t="n"/>
      <c r="BR403" s="98" t="n"/>
      <c r="BS403" s="97" t="n"/>
      <c r="BT403" s="99" t="n"/>
      <c r="BU403" s="97" t="n"/>
      <c r="BV403" s="97" t="n"/>
      <c r="CB403" s="14" t="n"/>
    </row>
    <row r="404">
      <c r="A404" s="81" t="n">
        <v>264</v>
      </c>
      <c r="B404" s="343" t="inlineStr">
        <is>
          <t>SARONIC SPIRIT</t>
        </is>
      </c>
      <c r="C404" s="15" t="n">
        <v>45853</v>
      </c>
      <c r="D404" s="329" t="n">
        <v>33000</v>
      </c>
      <c r="E404" s="329" t="n">
        <v>33000</v>
      </c>
      <c r="G404" s="81" t="n">
        <v>1</v>
      </c>
      <c r="H404" s="75" t="inlineStr">
        <is>
          <t>MAP</t>
        </is>
      </c>
      <c r="I404" s="306" t="inlineStr">
        <is>
          <t xml:space="preserve">MAP 11 52 SPECIAL </t>
        </is>
      </c>
      <c r="J404" s="75" t="inlineStr">
        <is>
          <t>FOB</t>
        </is>
      </c>
      <c r="Q404" s="75" t="inlineStr">
        <is>
          <t>AMERIQUE</t>
        </is>
      </c>
      <c r="R404" s="75" t="inlineStr">
        <is>
          <t>USA</t>
        </is>
      </c>
      <c r="S404" s="75" t="n"/>
      <c r="T404" s="75" t="inlineStr">
        <is>
          <t>INSPECTORATE</t>
        </is>
      </c>
      <c r="U404" s="81" t="n">
        <v>179</v>
      </c>
      <c r="V404" s="53">
        <f>IF(U404&lt;130, "Mini Bulker", IF(AND(U404&gt;=130, U404&lt;150), "Handysize", IF(AND(U404&gt;=150, U404&lt;200), "Handymax", IF(AND(U404&gt;=200, U404&lt;230), "Panamax", IF(AND(U404&gt;=230, U404&lt;=270), "Capesize", "Autre")))))</f>
        <v/>
      </c>
      <c r="X404" s="14">
        <f>IF(E404&lt;9999,"1",IF(E404&lt;19999,"2",IF(E404&lt;29999,"3",IF(E404&lt;39999,"4",IF(E404&lt;49999,"5",IF(E404&gt;50000,"6"))))))</f>
        <v/>
      </c>
      <c r="Y404" s="99" t="inlineStr">
        <is>
          <t>1TER</t>
        </is>
      </c>
      <c r="AA404" s="26" t="n">
        <v>45851.57916666667</v>
      </c>
      <c r="AB404" s="26" t="n">
        <v>45852.375</v>
      </c>
      <c r="AC404" s="15" t="n">
        <v>45853</v>
      </c>
      <c r="AD404" s="15" t="n">
        <v>45858</v>
      </c>
      <c r="AE404" s="26" t="n">
        <v>45851.4625</v>
      </c>
      <c r="AF404" s="26" t="n">
        <v>45851.5625</v>
      </c>
      <c r="AG404" s="26" t="n">
        <v>45851.62916666667</v>
      </c>
      <c r="AH404" s="26" t="n">
        <v>45851.64930555555</v>
      </c>
      <c r="AI404" s="26" t="n">
        <v>45851.72222222222</v>
      </c>
      <c r="AJ404" s="26" t="n">
        <v>45851.80486111111</v>
      </c>
      <c r="AK404" s="26" t="n">
        <v>45853.73958333334</v>
      </c>
      <c r="AL404" s="26" t="n">
        <v>45853.78472222222</v>
      </c>
      <c r="AM404" s="26" t="n">
        <v>45853.79166666666</v>
      </c>
      <c r="AN404" s="26" t="n">
        <v>45853.82986111111</v>
      </c>
      <c r="AO404" s="26" t="n">
        <v>45853.82291666666</v>
      </c>
      <c r="AP404" s="20">
        <f>(AG404-AF404)*1440</f>
        <v/>
      </c>
      <c r="AQ404" s="20">
        <f>(AG404-AE404)*1440</f>
        <v/>
      </c>
      <c r="AR404" s="20">
        <f>(AH404-AF404)*1440</f>
        <v/>
      </c>
      <c r="AS404" s="20">
        <f>(AI404-AH404)*1440</f>
        <v/>
      </c>
      <c r="AT404" s="20">
        <f>(AJ404-AH404)*1440</f>
        <v/>
      </c>
      <c r="AU404" s="20">
        <f>(AL404-AK404)*1440</f>
        <v/>
      </c>
      <c r="AV404" s="20">
        <f>(AM404-AL404)*1440</f>
        <v/>
      </c>
      <c r="AW404" s="20">
        <f>(AO404-AM404)*1440</f>
        <v/>
      </c>
      <c r="AX404" s="19">
        <f>AP404+AS404+AU404+AV404+AW404</f>
        <v/>
      </c>
      <c r="AY404" s="18">
        <f>(AG404-AA404)</f>
        <v/>
      </c>
      <c r="AZ404" s="18">
        <f>(AK404-AJ404)</f>
        <v/>
      </c>
      <c r="BA404" s="18">
        <f>AO404-AG404</f>
        <v/>
      </c>
      <c r="BB404" s="18">
        <f>(AO404-AA404)-(AP404/1440)-(AW404/1440)</f>
        <v/>
      </c>
      <c r="BC404" s="20">
        <f>E404/AZ404</f>
        <v/>
      </c>
      <c r="BE404" s="20">
        <f>IF(E404&lt;10000,3000,IF(E404&lt;15000,3600,IF(E404&lt;20000,4500,IF(E404&lt;25000,6000,IF(E404&lt;30000,7500,IF(E404&lt;40000,9000,IF(E404&gt;40000,10000)))))))</f>
        <v/>
      </c>
      <c r="BF404" s="334">
        <f>(E404/BE404)+2</f>
        <v/>
      </c>
      <c r="BS404" s="97" t="inlineStr">
        <is>
          <t>NUL</t>
        </is>
      </c>
      <c r="BT404" s="99" t="n">
        <v>0</v>
      </c>
      <c r="BU404" s="97" t="n"/>
      <c r="BV404" s="97" t="n"/>
      <c r="BW404" s="332">
        <f>AI405-AH405</f>
        <v/>
      </c>
      <c r="CB404" s="14" t="n">
        <v>24991</v>
      </c>
    </row>
    <row r="405" ht="14.55" customHeight="1" s="70">
      <c r="A405" s="81" t="n">
        <v>265</v>
      </c>
      <c r="B405" s="343" t="inlineStr">
        <is>
          <t>SPANACO LOYALTY</t>
        </is>
      </c>
      <c r="C405" s="15" t="n">
        <v>45854</v>
      </c>
      <c r="D405" s="329" t="n">
        <v>1650</v>
      </c>
      <c r="E405" s="333">
        <f>D405+D406</f>
        <v/>
      </c>
      <c r="G405" s="81" t="n">
        <v>2</v>
      </c>
      <c r="H405" s="75" t="inlineStr">
        <is>
          <t>DAP</t>
        </is>
      </c>
      <c r="I405" s="306" t="inlineStr">
        <is>
          <t xml:space="preserve">DAP Euro Low Cd </t>
        </is>
      </c>
      <c r="J405" s="75" t="inlineStr">
        <is>
          <t>CFR</t>
        </is>
      </c>
      <c r="Q405" s="75" t="inlineStr">
        <is>
          <t>EUROPE</t>
        </is>
      </c>
      <c r="R405" s="75" t="inlineStr">
        <is>
          <t>UK</t>
        </is>
      </c>
      <c r="S405" s="75" t="n"/>
      <c r="T405" s="75" t="inlineStr">
        <is>
          <t>INTERTEK</t>
        </is>
      </c>
      <c r="U405" s="81" t="n">
        <v>90</v>
      </c>
      <c r="V405" s="53">
        <f>IF(U405&lt;130, "Mini Bulker", IF(AND(U405&gt;=130, U405&lt;150), "Handysize", IF(AND(U405&gt;=150, U405&lt;200), "Handymax", IF(AND(U405&gt;=200, U405&lt;230), "Panamax", IF(AND(U405&gt;=230, U405&lt;=270), "Capesize", "Autre")))))</f>
        <v/>
      </c>
      <c r="X405" s="14">
        <f>IF(E405&lt;9999,"1",IF(E405&lt;19999,"2",IF(E405&lt;29999,"3",IF(E405&lt;39999,"4",IF(E405&lt;49999,"5",IF(E405&gt;50000,"6"))))))</f>
        <v/>
      </c>
      <c r="Y405" s="99" t="inlineStr">
        <is>
          <t>1N</t>
        </is>
      </c>
      <c r="AA405" s="26" t="n">
        <v>45850.80555555555</v>
      </c>
      <c r="AB405" s="26" t="n">
        <v>45852.375</v>
      </c>
      <c r="AC405" s="15" t="n">
        <v>45831</v>
      </c>
      <c r="AD405" s="15" t="n">
        <v>45835</v>
      </c>
      <c r="AE405" s="26" t="n">
        <v>45850.80555555555</v>
      </c>
      <c r="AF405" s="26" t="n">
        <v>45852.72291666667</v>
      </c>
      <c r="AG405" s="26" t="n">
        <v>45852.74097222222</v>
      </c>
      <c r="AH405" s="26" t="n">
        <v>45852.75347222222</v>
      </c>
      <c r="AI405" s="26" t="n">
        <v>45853.45486111111</v>
      </c>
      <c r="AJ405" s="26" t="n">
        <v>45853.47916666666</v>
      </c>
      <c r="AK405" s="26" t="n">
        <v>45854.38194444445</v>
      </c>
      <c r="AL405" s="26" t="n">
        <v>45854.41666666666</v>
      </c>
      <c r="AM405" s="26" t="n">
        <v>45854.45138888889</v>
      </c>
      <c r="AN405" s="26" t="n">
        <v>45854.5</v>
      </c>
      <c r="AO405" s="26" t="n">
        <v>45854.54166666666</v>
      </c>
      <c r="AP405" s="20">
        <f>(AG405-AF405)*1440</f>
        <v/>
      </c>
      <c r="AQ405" s="20">
        <f>(AG405-AE405)*1440</f>
        <v/>
      </c>
      <c r="AR405" s="20">
        <f>(AH405-AF405)*1440</f>
        <v/>
      </c>
      <c r="AS405" s="20">
        <f>(AI405-AH405)*1440</f>
        <v/>
      </c>
      <c r="AT405" s="20">
        <f>(AJ405-AH405)*1440</f>
        <v/>
      </c>
      <c r="AU405" s="20">
        <f>(AL405-AK405)*1440</f>
        <v/>
      </c>
      <c r="AV405" s="20">
        <f>(AM405-AL405)*1440</f>
        <v/>
      </c>
      <c r="AW405" s="20">
        <f>(AO405-AM405)*1440</f>
        <v/>
      </c>
      <c r="AX405" s="19">
        <f>AP405+AS405+AU405+AV405+AW405</f>
        <v/>
      </c>
      <c r="AY405" s="18">
        <f>(AG405-AA405)</f>
        <v/>
      </c>
      <c r="AZ405" s="18">
        <f>(AK405-AJ405)</f>
        <v/>
      </c>
      <c r="BA405" s="18">
        <f>AO405-AG405</f>
        <v/>
      </c>
      <c r="BB405" s="18">
        <f>(AO405-AA405)-(AP405/1440)-(AW405/1440)</f>
        <v/>
      </c>
      <c r="BC405" s="20">
        <f>E405/AZ405</f>
        <v/>
      </c>
      <c r="BE405" s="20">
        <f>IF(E405&lt;10000,3000,IF(E405&lt;15000,3600,IF(E405&lt;20000,4500,IF(E405&lt;25000,6000,IF(E405&lt;30000,7500,IF(E405&lt;40000,9000,IF(E405&gt;40000,10000)))))))</f>
        <v/>
      </c>
      <c r="BF405" s="334">
        <f>(E405/BE405)+2</f>
        <v/>
      </c>
      <c r="BS405" s="97" t="inlineStr">
        <is>
          <t>NUL</t>
        </is>
      </c>
      <c r="BT405" s="99" t="n">
        <v>0</v>
      </c>
      <c r="BU405" s="97" t="inlineStr">
        <is>
          <t>NON CLEAN</t>
        </is>
      </c>
      <c r="BV405" s="97" t="inlineStr">
        <is>
          <t>HUMIDITY/BULK HEAD/DEBALLASTING</t>
        </is>
      </c>
      <c r="BW405" s="332">
        <f>AI406-AH406</f>
        <v/>
      </c>
      <c r="CB405" s="14" t="n">
        <v>2990</v>
      </c>
    </row>
    <row r="406" ht="15" customHeight="1" s="70">
      <c r="B406" s="343" t="inlineStr">
        <is>
          <t>SPANACO LOYALTY</t>
        </is>
      </c>
      <c r="C406" s="15" t="n">
        <v>45854</v>
      </c>
      <c r="D406" s="329" t="n">
        <v>2200</v>
      </c>
      <c r="E406" s="330" t="n"/>
      <c r="G406" s="81" t="n">
        <v>2</v>
      </c>
      <c r="H406" s="75" t="inlineStr">
        <is>
          <t>TSP</t>
        </is>
      </c>
      <c r="I406" s="306" t="inlineStr">
        <is>
          <t xml:space="preserve">TSP EURO Low Cd </t>
        </is>
      </c>
      <c r="J406" s="75" t="inlineStr">
        <is>
          <t>CFR</t>
        </is>
      </c>
      <c r="Q406" s="75" t="inlineStr">
        <is>
          <t>EUROPE</t>
        </is>
      </c>
      <c r="R406" s="75" t="inlineStr">
        <is>
          <t>UK</t>
        </is>
      </c>
      <c r="S406" s="75" t="n"/>
      <c r="T406" s="75" t="inlineStr">
        <is>
          <t>INTERTEK</t>
        </is>
      </c>
      <c r="U406" s="81" t="n">
        <v>90</v>
      </c>
      <c r="V406" s="53">
        <f>IF(U406&lt;130, "Mini Bulker", IF(AND(U406&gt;=130, U406&lt;150), "Handysize", IF(AND(U406&gt;=150, U406&lt;200), "Handymax", IF(AND(U406&gt;=200, U406&lt;230), "Panamax", IF(AND(U406&gt;=230, U406&lt;=270), "Capesize", "Autre")))))</f>
        <v/>
      </c>
      <c r="X406" s="14">
        <f>IF(E406&lt;9999,"1",IF(E406&lt;19999,"2",IF(E406&lt;29999,"3",IF(E406&lt;39999,"4",IF(E406&lt;49999,"5",IF(E406&gt;50000,"6"))))))</f>
        <v/>
      </c>
      <c r="Y406" s="99" t="inlineStr">
        <is>
          <t>1N</t>
        </is>
      </c>
      <c r="AA406" s="98" t="n"/>
      <c r="AB406" s="98" t="n"/>
      <c r="AC406" s="98" t="n"/>
      <c r="AD406" s="98" t="n"/>
      <c r="AE406" s="98" t="n"/>
      <c r="AF406" s="98" t="n"/>
      <c r="AG406" s="98" t="n"/>
      <c r="AH406" s="98" t="n"/>
      <c r="AI406" s="98" t="n"/>
      <c r="AJ406" s="98" t="n"/>
      <c r="AK406" s="98" t="n"/>
      <c r="AL406" s="98" t="n"/>
      <c r="AM406" s="98" t="n"/>
      <c r="AN406" s="98" t="n"/>
      <c r="AO406" s="98" t="n"/>
      <c r="AP406" s="98" t="n"/>
      <c r="AQ406" s="98" t="n"/>
      <c r="AR406" s="98" t="n"/>
      <c r="AS406" s="98" t="n"/>
      <c r="AT406" s="98" t="n"/>
      <c r="AU406" s="98" t="n"/>
      <c r="AV406" s="98" t="n"/>
      <c r="AW406" s="98" t="n"/>
      <c r="AX406" s="98" t="n"/>
      <c r="AY406" s="98" t="n"/>
      <c r="AZ406" s="98" t="n"/>
      <c r="BA406" s="98" t="n"/>
      <c r="BB406" s="98" t="n"/>
      <c r="BC406" s="98" t="n"/>
      <c r="BD406" s="98" t="n"/>
      <c r="BE406" s="98" t="n"/>
      <c r="BF406" s="98" t="n"/>
      <c r="BS406" s="97" t="n"/>
      <c r="BT406" s="99" t="n"/>
      <c r="BU406" s="97" t="n"/>
      <c r="BV406" s="97" t="n"/>
      <c r="BW406" s="332">
        <f>AI407-AH407</f>
        <v/>
      </c>
      <c r="CB406" s="14" t="n"/>
    </row>
    <row r="407">
      <c r="A407" s="81" t="n">
        <v>267</v>
      </c>
      <c r="B407" s="343" t="inlineStr">
        <is>
          <t>GOLDEN LEO</t>
        </is>
      </c>
      <c r="C407" s="15" t="n">
        <v>45857</v>
      </c>
      <c r="D407" s="329" t="n">
        <v>7000</v>
      </c>
      <c r="E407" s="329" t="n">
        <v>7000</v>
      </c>
      <c r="G407" s="81" t="n">
        <v>1</v>
      </c>
      <c r="H407" s="75" t="inlineStr">
        <is>
          <t>NPK</t>
        </is>
      </c>
      <c r="I407" s="306" t="inlineStr">
        <is>
          <t>NPK 10 26 26 Low Cd</t>
        </is>
      </c>
      <c r="J407" s="75" t="inlineStr">
        <is>
          <t>FOB</t>
        </is>
      </c>
      <c r="Q407" s="75" t="inlineStr">
        <is>
          <t>EUROPE</t>
        </is>
      </c>
      <c r="R407" s="75" t="inlineStr">
        <is>
          <t>UKRAINE</t>
        </is>
      </c>
      <c r="S407" s="75" t="n"/>
      <c r="T407" s="75" t="inlineStr">
        <is>
          <t>INTERTEK</t>
        </is>
      </c>
      <c r="U407" s="81" t="n">
        <v>100</v>
      </c>
      <c r="V407" s="53">
        <f>IF(U407&lt;130, "Mini Bulker", IF(AND(U407&gt;=130, U407&lt;150), "Handysize", IF(AND(U407&gt;=150, U407&lt;200), "Handymax", IF(AND(U407&gt;=200, U407&lt;230), "Panamax", IF(AND(U407&gt;=230, U407&lt;=270), "Capesize", "Autre")))))</f>
        <v/>
      </c>
      <c r="X407" s="14">
        <f>IF(E407&lt;9999,"1",IF(E407&lt;19999,"2",IF(E407&lt;29999,"3",IF(E407&lt;39999,"4",IF(E407&lt;49999,"5",IF(E407&gt;50000,"6"))))))</f>
        <v/>
      </c>
      <c r="Y407" s="99" t="inlineStr">
        <is>
          <t>1N</t>
        </is>
      </c>
      <c r="AA407" s="26" t="n">
        <v>45855.4375</v>
      </c>
      <c r="AB407" s="26" t="n">
        <v>45855.4375</v>
      </c>
      <c r="AC407" s="15" t="n">
        <v>45854</v>
      </c>
      <c r="AD407" s="15" t="n">
        <v>45856</v>
      </c>
      <c r="AE407" s="26" t="n">
        <v>45855.4375</v>
      </c>
      <c r="AF407" s="26" t="n">
        <v>45855.5625</v>
      </c>
      <c r="AG407" s="26" t="n">
        <v>45855.59236111111</v>
      </c>
      <c r="AH407" s="26" t="n">
        <v>45855.60416666666</v>
      </c>
      <c r="AI407" s="26" t="n">
        <v>45856.43055555555</v>
      </c>
      <c r="AJ407" s="26" t="n">
        <v>45856.45833333334</v>
      </c>
      <c r="AK407" s="26" t="n">
        <v>45857.29861111111</v>
      </c>
      <c r="AL407" s="26" t="n">
        <v>45857.3625</v>
      </c>
      <c r="AM407" s="26" t="n">
        <v>45857.39583333334</v>
      </c>
      <c r="AN407" s="26" t="n">
        <v>45857.45416666667</v>
      </c>
      <c r="AO407" s="26" t="n">
        <v>45857.48611111111</v>
      </c>
      <c r="AP407" s="20">
        <f>(AG407-AF407)*1440</f>
        <v/>
      </c>
      <c r="AQ407" s="20">
        <f>(AG407-AE407)*1440</f>
        <v/>
      </c>
      <c r="AR407" s="20">
        <f>(AH407-AF407)*1440</f>
        <v/>
      </c>
      <c r="AS407" s="20">
        <f>(AI407-AH407)*1440</f>
        <v/>
      </c>
      <c r="AT407" s="20">
        <f>(AJ407-AH407)*1440</f>
        <v/>
      </c>
      <c r="AU407" s="20">
        <f>(AL407-AK407)*1440</f>
        <v/>
      </c>
      <c r="AV407" s="20">
        <f>(AM407-AL407)*1440</f>
        <v/>
      </c>
      <c r="AW407" s="20">
        <f>(AO407-AM407)*1440</f>
        <v/>
      </c>
      <c r="AX407" s="19">
        <f>AP407+AS407+AU407+AV407+AW407</f>
        <v/>
      </c>
      <c r="AY407" s="18">
        <f>(AG407-AA407)</f>
        <v/>
      </c>
      <c r="AZ407" s="18">
        <f>(AK407-AJ407)</f>
        <v/>
      </c>
      <c r="BA407" s="18">
        <f>AO407-AG407</f>
        <v/>
      </c>
      <c r="BB407" s="18">
        <f>(AO407-AA407)-(AP407/1440)-(AW407/1440)</f>
        <v/>
      </c>
      <c r="BC407" s="20">
        <f>E407/AZ407</f>
        <v/>
      </c>
      <c r="BE407" s="20">
        <f>IF(E407&lt;10000,3000,IF(E407&lt;15000,3600,IF(E407&lt;20000,4500,IF(E407&lt;25000,6000,IF(E407&lt;30000,7500,IF(E407&lt;40000,9000,IF(E407&gt;40000,10000)))))))</f>
        <v/>
      </c>
      <c r="BF407" s="334">
        <f>(E407/BE407)+2</f>
        <v/>
      </c>
      <c r="BS407" s="97" t="inlineStr">
        <is>
          <t>NUL</t>
        </is>
      </c>
      <c r="BT407" s="99" t="n">
        <v>0</v>
      </c>
      <c r="BU407" s="97" t="n"/>
      <c r="BV407" s="97" t="n"/>
      <c r="BW407" s="332">
        <f>AI408-AH408</f>
        <v/>
      </c>
      <c r="CB407" s="14" t="n">
        <v>4560</v>
      </c>
    </row>
    <row r="408">
      <c r="A408" s="81" t="n">
        <v>266</v>
      </c>
      <c r="B408" s="343" t="inlineStr">
        <is>
          <t>MBC DAISY</t>
        </is>
      </c>
      <c r="C408" s="15" t="n">
        <v>45857</v>
      </c>
      <c r="D408" s="329" t="n">
        <v>14600</v>
      </c>
      <c r="E408" s="329" t="n">
        <v>14600</v>
      </c>
      <c r="G408" s="81" t="n">
        <v>1</v>
      </c>
      <c r="H408" s="75" t="inlineStr">
        <is>
          <t>DAP</t>
        </is>
      </c>
      <c r="I408" s="306" t="inlineStr">
        <is>
          <t>DAP Euro Low Cd</t>
        </is>
      </c>
      <c r="J408" s="75" t="inlineStr">
        <is>
          <t>DAT</t>
        </is>
      </c>
      <c r="Q408" s="75" t="inlineStr">
        <is>
          <t>EUROPE</t>
        </is>
      </c>
      <c r="R408" s="75" t="inlineStr">
        <is>
          <t>France</t>
        </is>
      </c>
      <c r="S408" s="75" t="n"/>
      <c r="T408" s="75" t="inlineStr">
        <is>
          <t>INSPECTORATE</t>
        </is>
      </c>
      <c r="U408" s="81" t="n">
        <v>146</v>
      </c>
      <c r="V408" s="53">
        <f>IF(U408&lt;130, "Mini Bulker", IF(AND(U408&gt;=130, U408&lt;150), "Handysize", IF(AND(U408&gt;=150, U408&lt;200), "Handymax", IF(AND(U408&gt;=200, U408&lt;230), "Panamax", IF(AND(U408&gt;=230, U408&lt;=270), "Capesize", "Autre")))))</f>
        <v/>
      </c>
      <c r="X408" s="14">
        <f>IF(E408&lt;9999,"1",IF(E408&lt;19999,"2",IF(E408&lt;29999,"3",IF(E408&lt;39999,"4",IF(E408&lt;49999,"5",IF(E408&gt;50000,"6"))))))</f>
        <v/>
      </c>
      <c r="Y408" s="99" t="inlineStr">
        <is>
          <t>2TER</t>
        </is>
      </c>
      <c r="AA408" s="26" t="n">
        <v>45855.75</v>
      </c>
      <c r="AB408" s="26" t="n">
        <v>45856.375</v>
      </c>
      <c r="AC408" s="15" t="n">
        <v>45854</v>
      </c>
      <c r="AD408" s="15" t="n">
        <v>45856</v>
      </c>
      <c r="AE408" s="26" t="n">
        <v>45855.70833333334</v>
      </c>
      <c r="AF408" s="26" t="n">
        <v>45855.71944444445</v>
      </c>
      <c r="AG408" s="26" t="n">
        <v>45855.79166666666</v>
      </c>
      <c r="AH408" s="26" t="n">
        <v>45855.8125</v>
      </c>
      <c r="AI408" s="26" t="n">
        <v>45855.86458333334</v>
      </c>
      <c r="AJ408" s="26" t="n">
        <v>45855.90972222222</v>
      </c>
      <c r="AK408" s="26" t="n">
        <v>45857.09722222222</v>
      </c>
      <c r="AL408" s="26" t="n">
        <v>45857.13888888889</v>
      </c>
      <c r="AM408" s="26" t="n">
        <v>45857.16666666666</v>
      </c>
      <c r="AN408" s="26" t="n">
        <v>45857.21597222222</v>
      </c>
      <c r="AO408" s="26" t="n">
        <v>45857.25694444445</v>
      </c>
      <c r="AP408" s="20">
        <f>(AG408-AF408)*1440</f>
        <v/>
      </c>
      <c r="AQ408" s="20">
        <f>(AG408-AE408)*1440</f>
        <v/>
      </c>
      <c r="AR408" s="20">
        <f>(AH408-AF408)*1440</f>
        <v/>
      </c>
      <c r="AS408" s="20">
        <f>(AI408-AH408)*1440</f>
        <v/>
      </c>
      <c r="AT408" s="20">
        <f>(AJ408-AH408)*1440</f>
        <v/>
      </c>
      <c r="AU408" s="20">
        <f>(AL408-AK408)*1440</f>
        <v/>
      </c>
      <c r="AV408" s="20">
        <f>(AM408-AL408)*1440</f>
        <v/>
      </c>
      <c r="AW408" s="20">
        <f>(AO408-AM408)*1440</f>
        <v/>
      </c>
      <c r="AX408" s="19">
        <f>AP408+AS408+AU408+AV408+AW408</f>
        <v/>
      </c>
      <c r="AY408" s="18">
        <f>(AG408-AA408)</f>
        <v/>
      </c>
      <c r="AZ408" s="18">
        <f>(AK408-AJ408)</f>
        <v/>
      </c>
      <c r="BA408" s="18">
        <f>AO408-AG408</f>
        <v/>
      </c>
      <c r="BB408" s="18">
        <f>(AO408-AA408)-(AP408/1440)-(AW408/1440)</f>
        <v/>
      </c>
      <c r="BC408" s="20">
        <f>E408/AZ408</f>
        <v/>
      </c>
      <c r="BE408" s="20">
        <f>IF(E408&lt;10000,3000,IF(E408&lt;15000,3600,IF(E408&lt;20000,4500,IF(E408&lt;25000,6000,IF(E408&lt;30000,7500,IF(E408&lt;40000,9000,IF(E408&gt;40000,10000)))))))</f>
        <v/>
      </c>
      <c r="BF408" s="334">
        <f>(E408/BE408)+2</f>
        <v/>
      </c>
      <c r="BS408" s="97" t="inlineStr">
        <is>
          <t>NUL</t>
        </is>
      </c>
      <c r="BT408" s="99" t="n">
        <v>0</v>
      </c>
      <c r="BU408" s="97" t="n"/>
      <c r="BV408" s="97" t="n"/>
      <c r="BW408" s="332">
        <f>AI409-AH409</f>
        <v/>
      </c>
      <c r="CB408" s="14" t="n">
        <v>10154</v>
      </c>
    </row>
    <row r="409" ht="14.55" customHeight="1" s="70">
      <c r="A409" s="81" t="n">
        <v>271</v>
      </c>
      <c r="B409" s="343" t="inlineStr">
        <is>
          <t>ALUNA</t>
        </is>
      </c>
      <c r="C409" s="15" t="n">
        <v>45858</v>
      </c>
      <c r="D409" s="329" t="n">
        <v>10834</v>
      </c>
      <c r="E409" s="329" t="n">
        <v>10834</v>
      </c>
      <c r="G409" s="81" t="n">
        <v>1</v>
      </c>
      <c r="H409" s="75" t="inlineStr">
        <is>
          <t>NPK</t>
        </is>
      </c>
      <c r="I409" s="306" t="inlineStr">
        <is>
          <t xml:space="preserve">NPK 10 26 26 Low Cd </t>
        </is>
      </c>
      <c r="J409" s="75" t="inlineStr">
        <is>
          <t>FOB</t>
        </is>
      </c>
      <c r="Q409" s="75" t="inlineStr">
        <is>
          <t>EUROPE</t>
        </is>
      </c>
      <c r="R409" s="75" t="inlineStr">
        <is>
          <t>ROUMANIE</t>
        </is>
      </c>
      <c r="S409" s="75" t="n"/>
      <c r="T409" s="75" t="inlineStr">
        <is>
          <t>INTERTEK</t>
        </is>
      </c>
      <c r="U409" s="81" t="n">
        <v>134</v>
      </c>
      <c r="V409" s="53">
        <f>IF(U409&lt;130, "Mini Bulker", IF(AND(U409&gt;=130, U409&lt;150), "Handysize", IF(AND(U409&gt;=150, U409&lt;200), "Handymax", IF(AND(U409&gt;=200, U409&lt;230), "Panamax", IF(AND(U409&gt;=230, U409&lt;=270), "Capesize", "Autre")))))</f>
        <v/>
      </c>
      <c r="X409" s="14">
        <f>IF(E409&lt;9999,"1",IF(E409&lt;19999,"2",IF(E409&lt;29999,"3",IF(E409&lt;39999,"4",IF(E409&lt;49999,"5",IF(E409&gt;50000,"6"))))))</f>
        <v/>
      </c>
      <c r="Y409" s="99" t="inlineStr">
        <is>
          <t>1SUD</t>
        </is>
      </c>
      <c r="AA409" s="26" t="n">
        <v>45857.70486111111</v>
      </c>
      <c r="AB409" s="26" t="n">
        <v>45856.875</v>
      </c>
      <c r="AC409" s="15" t="n">
        <v>45856</v>
      </c>
      <c r="AD409" s="15" t="n">
        <v>45859</v>
      </c>
      <c r="AE409" s="26" t="n">
        <v>45853.91666666666</v>
      </c>
      <c r="AF409" s="26" t="n">
        <v>45857.10416666666</v>
      </c>
      <c r="AG409" s="26" t="n">
        <v>45857.16666666666</v>
      </c>
      <c r="AH409" s="26" t="n">
        <v>45857.19097222222</v>
      </c>
      <c r="AI409" s="26" t="n">
        <v>45857.67708333334</v>
      </c>
      <c r="AJ409" s="26" t="n">
        <v>45857.69444444445</v>
      </c>
      <c r="AK409" s="26" t="n">
        <v>45858.84722222222</v>
      </c>
      <c r="AL409" s="26" t="n">
        <v>45858.89305555556</v>
      </c>
      <c r="AM409" s="26" t="n">
        <v>45858.9375</v>
      </c>
      <c r="AN409" s="26" t="n">
        <v>45859.00277777778</v>
      </c>
      <c r="AO409" s="26" t="n">
        <v>45859.01458333333</v>
      </c>
      <c r="AP409" s="20">
        <f>(AG409-AF409)*1440</f>
        <v/>
      </c>
      <c r="AQ409" s="20">
        <f>(AG409-AE409)*1440</f>
        <v/>
      </c>
      <c r="AR409" s="20">
        <f>(AH409-AF409)*1440</f>
        <v/>
      </c>
      <c r="AS409" s="20">
        <f>(AI409-AH409)*1440</f>
        <v/>
      </c>
      <c r="AT409" s="20">
        <f>(AJ409-AH409)*1440</f>
        <v/>
      </c>
      <c r="AU409" s="20">
        <f>(AL409-AK409)*1440</f>
        <v/>
      </c>
      <c r="AV409" s="20">
        <f>(AM409-AL409)*1440</f>
        <v/>
      </c>
      <c r="AW409" s="20">
        <f>(AO409-AM409)*1440</f>
        <v/>
      </c>
      <c r="AX409" s="19">
        <f>AP409+AS409+AU409+AV409+AW409</f>
        <v/>
      </c>
      <c r="AY409" s="18">
        <f>(AG409-AA409)</f>
        <v/>
      </c>
      <c r="AZ409" s="18">
        <f>(AK409-AJ409)</f>
        <v/>
      </c>
      <c r="BA409" s="18">
        <f>AO409-AG409</f>
        <v/>
      </c>
      <c r="BB409" s="18">
        <f>(AO409-AA409)-(AP409/1440)-(AW409/1440)</f>
        <v/>
      </c>
      <c r="BC409" s="20">
        <f>E409/AZ409</f>
        <v/>
      </c>
      <c r="BE409" s="20">
        <f>IF(E409&lt;10000,3000,IF(E409&lt;15000,3600,IF(E409&lt;20000,4500,IF(E409&lt;25000,6000,IF(E409&lt;30000,7500,IF(E409&lt;40000,9000,IF(E409&gt;40000,10000)))))))</f>
        <v/>
      </c>
      <c r="BF409" s="334">
        <f>(E409/BE409)+2</f>
        <v/>
      </c>
      <c r="BS409" s="97" t="inlineStr">
        <is>
          <t>NUL</t>
        </is>
      </c>
      <c r="BT409" s="99" t="n">
        <v>0</v>
      </c>
      <c r="BU409" s="97" t="inlineStr">
        <is>
          <t>NON CLEAN</t>
        </is>
      </c>
      <c r="BV409" s="97" t="inlineStr">
        <is>
          <t>WATER/HUMIDITY/LAST CARGO</t>
        </is>
      </c>
      <c r="BW409" s="332">
        <f>AI410-AH410</f>
        <v/>
      </c>
      <c r="CB409" s="14" t="n">
        <v>7426</v>
      </c>
    </row>
    <row r="410" ht="15" customHeight="1" s="70">
      <c r="A410" s="81" t="n">
        <v>269</v>
      </c>
      <c r="B410" s="343" t="inlineStr">
        <is>
          <t>ASL CRYSTAL</t>
        </is>
      </c>
      <c r="C410" s="15" t="n">
        <v>45858</v>
      </c>
      <c r="D410" s="329" t="n">
        <v>11000</v>
      </c>
      <c r="E410" s="333">
        <f>D410+D411</f>
        <v/>
      </c>
      <c r="G410" s="81" t="n">
        <v>2</v>
      </c>
      <c r="H410" s="75" t="inlineStr">
        <is>
          <t>MAP</t>
        </is>
      </c>
      <c r="I410" s="306" t="inlineStr">
        <is>
          <t>MAP 11 52 SPECIAL</t>
        </is>
      </c>
      <c r="J410" s="75" t="inlineStr">
        <is>
          <t xml:space="preserve">CFR </t>
        </is>
      </c>
      <c r="Q410" s="75" t="inlineStr">
        <is>
          <t>AMERIQUE LATINE</t>
        </is>
      </c>
      <c r="R410" s="75" t="inlineStr">
        <is>
          <t>BRASIL</t>
        </is>
      </c>
      <c r="S410" s="75" t="n"/>
      <c r="T410" s="75" t="inlineStr">
        <is>
          <t>INSPECTORATE</t>
        </is>
      </c>
      <c r="U410" s="81" t="n">
        <v>180</v>
      </c>
      <c r="V410" s="53">
        <f>IF(U410&lt;130, "Mini Bulker", IF(AND(U410&gt;=130, U410&lt;150), "Handysize", IF(AND(U410&gt;=150, U410&lt;200), "Handymax", IF(AND(U410&gt;=200, U410&lt;230), "Panamax", IF(AND(U410&gt;=230, U410&lt;=270), "Capesize", "Autre")))))</f>
        <v/>
      </c>
      <c r="X410" s="14">
        <f>IF(E410&lt;9999,"1",IF(E410&lt;19999,"2",IF(E410&lt;29999,"3",IF(E410&lt;39999,"4",IF(E410&lt;49999,"5",IF(E410&gt;50000,"6"))))))</f>
        <v/>
      </c>
      <c r="Y410" s="99" t="inlineStr">
        <is>
          <t>1TER</t>
        </is>
      </c>
      <c r="AA410" s="17" t="n">
        <v>45854.54166666666</v>
      </c>
      <c r="AB410" s="17" t="n">
        <v>45854.54166666666</v>
      </c>
      <c r="AC410" s="15" t="n">
        <v>45858</v>
      </c>
      <c r="AD410" s="15" t="n">
        <v>45860</v>
      </c>
      <c r="AE410" s="17" t="n">
        <v>45853.95833333334</v>
      </c>
      <c r="AF410" s="17" t="n">
        <v>45853.97569444445</v>
      </c>
      <c r="AG410" s="17" t="n">
        <v>45854.02916666667</v>
      </c>
      <c r="AH410" s="17" t="n">
        <v>45854.04861111111</v>
      </c>
      <c r="AI410" s="17" t="n">
        <v>45854.73958333334</v>
      </c>
      <c r="AJ410" s="17" t="n">
        <v>45854.85416666666</v>
      </c>
      <c r="AK410" s="17" t="n">
        <v>45858.875</v>
      </c>
      <c r="AL410" s="17" t="n">
        <v>45858.92361111111</v>
      </c>
      <c r="AM410" s="17" t="n">
        <v>45858.95833333334</v>
      </c>
      <c r="AN410" s="17" t="n">
        <v>45859.0125</v>
      </c>
      <c r="AO410" s="17" t="n">
        <v>45859.02777777778</v>
      </c>
      <c r="AP410" s="20">
        <f>(AG410-AF410)*1440</f>
        <v/>
      </c>
      <c r="AQ410" s="20">
        <f>(AG410-AE410)*1440</f>
        <v/>
      </c>
      <c r="AR410" s="20">
        <f>(AH410-AF410)*1440</f>
        <v/>
      </c>
      <c r="AS410" s="20">
        <f>(AI410-AH410)*1440</f>
        <v/>
      </c>
      <c r="AT410" s="20">
        <f>(AJ410-AH410)*1440</f>
        <v/>
      </c>
      <c r="AU410" s="20">
        <f>(AL410-AK410)*1440</f>
        <v/>
      </c>
      <c r="AV410" s="20">
        <f>(AM410-AL410)*1440</f>
        <v/>
      </c>
      <c r="AW410" s="20">
        <f>(AO410-AM410)*1440</f>
        <v/>
      </c>
      <c r="AX410" s="19">
        <f>AP410+AS410+AU410+AV410+AW410</f>
        <v/>
      </c>
      <c r="AY410" s="18">
        <f>(AG410-AA410)</f>
        <v/>
      </c>
      <c r="AZ410" s="18">
        <f>(AK410-AJ410)</f>
        <v/>
      </c>
      <c r="BA410" s="18">
        <f>AO410-AG410</f>
        <v/>
      </c>
      <c r="BB410" s="18">
        <f>(AO410-AA410)-(AP410/1440)-(AW410/1440)</f>
        <v/>
      </c>
      <c r="BC410" s="20">
        <f>E410/AZ410</f>
        <v/>
      </c>
      <c r="BD410" s="208" t="n"/>
      <c r="BE410" s="20">
        <f>IF(E410&lt;10000,3000,IF(E410&lt;15000,3600,IF(E410&lt;20000,4500,IF(E410&lt;25000,6000,IF(E410&lt;30000,7500,IF(E410&lt;40000,9000,IF(E410&gt;40000,10000)))))))</f>
        <v/>
      </c>
      <c r="BF410" s="334">
        <f>(E410/BE410)+2</f>
        <v/>
      </c>
      <c r="BG410" s="208" t="n"/>
      <c r="BH410" s="208" t="n"/>
      <c r="BI410" s="208" t="n"/>
      <c r="BJ410" s="208" t="n"/>
      <c r="BK410" s="208" t="n"/>
      <c r="BL410" s="208" t="n"/>
      <c r="BM410" s="208" t="n"/>
      <c r="BN410" s="208" t="n"/>
      <c r="BO410" s="208" t="n"/>
      <c r="BP410" s="208" t="n"/>
      <c r="BQ410" s="208" t="n"/>
      <c r="BR410" s="208" t="n"/>
      <c r="BS410" s="97" t="inlineStr">
        <is>
          <t>NUL</t>
        </is>
      </c>
      <c r="BT410" s="99" t="n"/>
      <c r="BU410" s="97" t="inlineStr">
        <is>
          <t>NON CLEAN</t>
        </is>
      </c>
      <c r="BV410" s="97" t="n"/>
      <c r="BW410" s="345">
        <f>AI411-AH411</f>
        <v/>
      </c>
      <c r="CB410" s="14" t="n">
        <v>23703</v>
      </c>
    </row>
    <row r="411" ht="14.55" customHeight="1" s="70">
      <c r="A411" s="81" t="n"/>
      <c r="B411" s="343" t="inlineStr">
        <is>
          <t>ASL CRYSTAL</t>
        </is>
      </c>
      <c r="C411" s="15" t="n">
        <v>45858</v>
      </c>
      <c r="D411" s="329" t="n">
        <v>22880</v>
      </c>
      <c r="E411" s="330" t="n"/>
      <c r="G411" s="81" t="n">
        <v>2</v>
      </c>
      <c r="H411" s="75" t="inlineStr">
        <is>
          <t>TSP</t>
        </is>
      </c>
      <c r="I411" s="75" t="inlineStr">
        <is>
          <t>TSP SPECIAL JORF</t>
        </is>
      </c>
      <c r="J411" s="75" t="inlineStr">
        <is>
          <t xml:space="preserve">CFR </t>
        </is>
      </c>
      <c r="Q411" s="75" t="inlineStr">
        <is>
          <t>AMERIQUE LATINE</t>
        </is>
      </c>
      <c r="R411" s="75" t="inlineStr">
        <is>
          <t>BRASIL</t>
        </is>
      </c>
      <c r="S411" s="75" t="n"/>
      <c r="T411" s="75" t="inlineStr">
        <is>
          <t>INSPECTORATE</t>
        </is>
      </c>
      <c r="U411" s="81" t="n">
        <v>180</v>
      </c>
      <c r="V411" s="53">
        <f>IF(U411&lt;130, "Mini Bulker", IF(AND(U411&gt;=130, U411&lt;150), "Handysize", IF(AND(U411&gt;=150, U411&lt;200), "Handymax", IF(AND(U411&gt;=200, U411&lt;230), "Panamax", IF(AND(U411&gt;=230, U411&lt;=270), "Capesize", "Autre")))))</f>
        <v/>
      </c>
      <c r="X411" s="14">
        <f>IF(E411&lt;9999,"1",IF(E411&lt;19999,"2",IF(E411&lt;29999,"3",IF(E411&lt;39999,"4",IF(E411&lt;49999,"5",IF(E411&gt;50000,"6"))))))</f>
        <v/>
      </c>
      <c r="Y411" s="99" t="inlineStr">
        <is>
          <t>1TER</t>
        </is>
      </c>
      <c r="AA411" s="218" t="n"/>
      <c r="AB411" s="218" t="n"/>
      <c r="AC411" s="98" t="n"/>
      <c r="AD411" s="98" t="n"/>
      <c r="AE411" s="218" t="n"/>
      <c r="AF411" s="218" t="n"/>
      <c r="AG411" s="218" t="n"/>
      <c r="AH411" s="218" t="n"/>
      <c r="AI411" s="218" t="n"/>
      <c r="AJ411" s="218" t="n"/>
      <c r="AK411" s="218" t="n"/>
      <c r="AL411" s="218" t="n"/>
      <c r="AM411" s="218" t="n"/>
      <c r="AN411" s="218" t="n"/>
      <c r="AO411" s="218" t="n"/>
      <c r="AP411" s="98" t="n"/>
      <c r="AQ411" s="98" t="n"/>
      <c r="AR411" s="98" t="n"/>
      <c r="AS411" s="98" t="n"/>
      <c r="AT411" s="98" t="n"/>
      <c r="AU411" s="98" t="n"/>
      <c r="AV411" s="98" t="n"/>
      <c r="AW411" s="98" t="n"/>
      <c r="AX411" s="98" t="n"/>
      <c r="AY411" s="98" t="n"/>
      <c r="AZ411" s="98" t="n"/>
      <c r="BA411" s="98" t="n"/>
      <c r="BB411" s="98" t="n"/>
      <c r="BC411" s="98" t="n"/>
      <c r="BD411" s="220" t="n"/>
      <c r="BE411" s="98" t="n"/>
      <c r="BF411" s="98" t="n"/>
      <c r="BG411" s="220" t="n"/>
      <c r="BH411" s="220" t="n"/>
      <c r="BI411" s="220" t="n"/>
      <c r="BJ411" s="220" t="n"/>
      <c r="BK411" s="220" t="n"/>
      <c r="BL411" s="220" t="n"/>
      <c r="BM411" s="220" t="n"/>
      <c r="BN411" s="220" t="n"/>
      <c r="BO411" s="220" t="n"/>
      <c r="BP411" s="220" t="n"/>
      <c r="BQ411" s="220" t="n"/>
      <c r="BR411" s="220" t="n"/>
      <c r="BS411" s="97" t="n"/>
      <c r="BT411" s="99" t="n"/>
      <c r="BU411" s="97" t="n"/>
      <c r="BV411" s="97" t="n"/>
      <c r="BW411" s="208" t="n"/>
      <c r="CB411" s="14" t="n"/>
    </row>
    <row r="412" ht="14.55" customHeight="1" s="70">
      <c r="A412" s="81" t="n">
        <v>272</v>
      </c>
      <c r="B412" s="343" t="inlineStr">
        <is>
          <t>BARON</t>
        </is>
      </c>
      <c r="C412" s="15" t="n">
        <v>45858</v>
      </c>
      <c r="D412" s="329" t="n">
        <v>4400</v>
      </c>
      <c r="E412" s="329" t="n">
        <v>4400</v>
      </c>
      <c r="G412" s="81" t="n">
        <v>1</v>
      </c>
      <c r="H412" s="75" t="inlineStr">
        <is>
          <t>MAP</t>
        </is>
      </c>
      <c r="I412" s="75" t="inlineStr">
        <is>
          <t xml:space="preserve">MAP 11 52 Special Low Cd </t>
        </is>
      </c>
      <c r="J412" s="75" t="inlineStr">
        <is>
          <t>FOB</t>
        </is>
      </c>
      <c r="Q412" s="75" t="inlineStr">
        <is>
          <t>EUROPE</t>
        </is>
      </c>
      <c r="R412" s="75" t="inlineStr">
        <is>
          <t>ITALY</t>
        </is>
      </c>
      <c r="S412" s="75" t="n"/>
      <c r="T412" s="75" t="inlineStr">
        <is>
          <t>INTERTEK</t>
        </is>
      </c>
      <c r="U412" s="81" t="n">
        <v>104</v>
      </c>
      <c r="V412" s="53">
        <f>IF(U412&lt;130, "Mini Bulker", IF(AND(U412&gt;=130, U412&lt;150), "Handysize", IF(AND(U412&gt;=150, U412&lt;200), "Handymax", IF(AND(U412&gt;=200, U412&lt;230), "Panamax", IF(AND(U412&gt;=230, U412&lt;=270), "Capesize", "Autre")))))</f>
        <v/>
      </c>
      <c r="X412" s="14">
        <f>IF(E412&lt;9999,"1",IF(E412&lt;19999,"2",IF(E412&lt;29999,"3",IF(E412&lt;39999,"4",IF(E412&lt;49999,"5",IF(E412&gt;50000,"6"))))))</f>
        <v/>
      </c>
      <c r="Y412" s="99" t="inlineStr">
        <is>
          <t>2N</t>
        </is>
      </c>
      <c r="AA412" s="17" t="n">
        <v>45857.3125</v>
      </c>
      <c r="AB412" s="17" t="n">
        <v>45857.375</v>
      </c>
      <c r="AC412" s="15" t="n">
        <v>45856</v>
      </c>
      <c r="AD412" s="15" t="n">
        <v>45858</v>
      </c>
      <c r="AE412" s="17" t="n">
        <v>45857.3125</v>
      </c>
      <c r="AF412" s="17" t="n">
        <v>45857.30555555555</v>
      </c>
      <c r="AG412" s="17" t="n">
        <v>45857.40277777778</v>
      </c>
      <c r="AH412" s="17" t="n">
        <v>45857.41666666666</v>
      </c>
      <c r="AI412" s="17" t="n">
        <v>45857.47222222222</v>
      </c>
      <c r="AJ412" s="17" t="n">
        <v>45858.02777777778</v>
      </c>
      <c r="AK412" s="17" t="n">
        <v>45858.55902777778</v>
      </c>
      <c r="AL412" s="17" t="n">
        <v>45858.58958333333</v>
      </c>
      <c r="AM412" s="17" t="n">
        <v>45858.61805555555</v>
      </c>
      <c r="AN412" s="17" t="n">
        <v>45858.66666666666</v>
      </c>
      <c r="AO412" s="17" t="n">
        <v>45858.69097222222</v>
      </c>
      <c r="AP412" s="20">
        <f>(AG412-AF412)*1440</f>
        <v/>
      </c>
      <c r="AQ412" s="20">
        <f>(AG412-AE412)*1440</f>
        <v/>
      </c>
      <c r="AR412" s="20">
        <f>(AH412-AF412)*1440</f>
        <v/>
      </c>
      <c r="AS412" s="20">
        <f>(AI412-AH412)*1440</f>
        <v/>
      </c>
      <c r="AT412" s="20">
        <f>(AJ412-AH412)*1440</f>
        <v/>
      </c>
      <c r="AU412" s="20">
        <f>(AL412-AK412)*1440</f>
        <v/>
      </c>
      <c r="AV412" s="20">
        <f>(AM412-AL412)*1440</f>
        <v/>
      </c>
      <c r="AW412" s="20">
        <f>(AO412-AM412)*1440</f>
        <v/>
      </c>
      <c r="AX412" s="19">
        <f>AP412+AS412+AU412+AV412+AW412</f>
        <v/>
      </c>
      <c r="AY412" s="18">
        <f>(AG412-AA412)</f>
        <v/>
      </c>
      <c r="AZ412" s="18">
        <f>(AK412-AJ412)</f>
        <v/>
      </c>
      <c r="BA412" s="18">
        <f>AO412-AG412</f>
        <v/>
      </c>
      <c r="BB412" s="18">
        <f>(AO412-AA412)-(AP412/1440)-(AW412/1440)</f>
        <v/>
      </c>
      <c r="BC412" s="20">
        <f>E412/AZ412</f>
        <v/>
      </c>
      <c r="BD412" s="208" t="n"/>
      <c r="BE412" s="20">
        <f>IF(E412&lt;10000,3000,IF(E412&lt;15000,3600,IF(E412&lt;20000,4500,IF(E412&lt;25000,6000,IF(E412&lt;30000,7500,IF(E412&lt;40000,9000,IF(E412&gt;40000,10000)))))))</f>
        <v/>
      </c>
      <c r="BF412" s="334">
        <f>(E412/BE412)+2</f>
        <v/>
      </c>
      <c r="BG412" s="208" t="n"/>
      <c r="BH412" s="208" t="n"/>
      <c r="BI412" s="208" t="n"/>
      <c r="BJ412" s="208" t="n"/>
      <c r="BK412" s="208" t="n"/>
      <c r="BL412" s="208" t="n"/>
      <c r="BM412" s="208" t="n"/>
      <c r="BN412" s="208" t="n"/>
      <c r="BO412" s="208" t="n"/>
      <c r="BP412" s="208" t="n"/>
      <c r="BQ412" s="208" t="n"/>
      <c r="BR412" s="208" t="n"/>
      <c r="BS412" s="97" t="inlineStr">
        <is>
          <t>NUL</t>
        </is>
      </c>
      <c r="BT412" s="99" t="n">
        <v>0</v>
      </c>
      <c r="BU412" s="97" t="n"/>
      <c r="BV412" s="97" t="n"/>
      <c r="BW412" s="345">
        <f>AI413-AH413</f>
        <v/>
      </c>
      <c r="CB412" s="14" t="n">
        <v>4382</v>
      </c>
    </row>
    <row r="413" ht="14.55" customHeight="1" s="70">
      <c r="A413" s="81" t="n">
        <v>268</v>
      </c>
      <c r="B413" s="343" t="inlineStr">
        <is>
          <t>CYGNUS</t>
        </is>
      </c>
      <c r="C413" s="15" t="n">
        <v>45858</v>
      </c>
      <c r="D413" s="329" t="n">
        <v>32812</v>
      </c>
      <c r="E413" s="333">
        <f>D413+D414</f>
        <v/>
      </c>
      <c r="G413" s="81" t="n">
        <v>2</v>
      </c>
      <c r="H413" s="75" t="inlineStr">
        <is>
          <t>DAP</t>
        </is>
      </c>
      <c r="I413" s="75" t="inlineStr">
        <is>
          <t xml:space="preserve">DAP STANDARD </t>
        </is>
      </c>
      <c r="J413" s="75" t="inlineStr">
        <is>
          <t>CFR</t>
        </is>
      </c>
      <c r="Q413" s="75" t="inlineStr">
        <is>
          <t>ASIE</t>
        </is>
      </c>
      <c r="R413" s="75" t="inlineStr">
        <is>
          <t>INDE</t>
        </is>
      </c>
      <c r="T413" s="75" t="inlineStr">
        <is>
          <t>INTERTEK</t>
        </is>
      </c>
      <c r="U413" s="81" t="n">
        <v>183</v>
      </c>
      <c r="V413" s="53">
        <f>IF(U413&lt;130, "Mini Bulker", IF(AND(U413&gt;=130, U413&lt;150), "Handysize", IF(AND(U413&gt;=150, U413&lt;200), "Handymax", IF(AND(U413&gt;=200, U413&lt;230), "Panamax", IF(AND(U413&gt;=230, U413&lt;=270), "Capesize", "Autre")))))</f>
        <v/>
      </c>
      <c r="X413" s="14">
        <f>IF(E413&lt;9999,"1",IF(E413&lt;19999,"2",IF(E413&lt;29999,"3",IF(E413&lt;39999,"4",IF(E413&lt;49999,"5",IF(E413&gt;50000,"6"))))))</f>
        <v/>
      </c>
      <c r="Y413" s="99" t="inlineStr">
        <is>
          <t>1N/2BIS</t>
        </is>
      </c>
      <c r="AA413" s="26" t="n">
        <v>45851.03472222222</v>
      </c>
      <c r="AB413" s="26" t="n">
        <v>45852.375</v>
      </c>
      <c r="AC413" s="15" t="n">
        <v>45851</v>
      </c>
      <c r="AD413" s="15" t="n">
        <v>45853</v>
      </c>
      <c r="AE413" s="26" t="n">
        <v>45850.99166666667</v>
      </c>
      <c r="AF413" s="26" t="n">
        <v>45851.41666666666</v>
      </c>
      <c r="AG413" s="26" t="n">
        <v>45851.47638888889</v>
      </c>
      <c r="AH413" s="26" t="n">
        <v>45851.47916666666</v>
      </c>
      <c r="AI413" s="26" t="n">
        <v>45851.55555555555</v>
      </c>
      <c r="AJ413" s="26" t="n">
        <v>45851.67361111111</v>
      </c>
      <c r="AK413" s="26" t="n">
        <v>45858.16666666666</v>
      </c>
      <c r="AL413" s="26" t="n">
        <v>45858.20694444444</v>
      </c>
      <c r="AM413" s="26" t="n">
        <v>45858.22916666666</v>
      </c>
      <c r="AN413" s="26" t="n">
        <v>45858.27083333334</v>
      </c>
      <c r="AO413" s="26" t="n">
        <v>45858.31597222222</v>
      </c>
      <c r="AP413" s="20">
        <f>(AG413-AF413)*1440</f>
        <v/>
      </c>
      <c r="AQ413" s="20">
        <f>(AG413-AE413)*1440</f>
        <v/>
      </c>
      <c r="AR413" s="20">
        <f>(AH413-AF413)*1440</f>
        <v/>
      </c>
      <c r="AS413" s="20">
        <f>(AI413-AH413)*1440</f>
        <v/>
      </c>
      <c r="AT413" s="20">
        <f>(AJ413-AH413)*1440</f>
        <v/>
      </c>
      <c r="AU413" s="20">
        <f>(AL413-AK413)*1440</f>
        <v/>
      </c>
      <c r="AV413" s="20">
        <f>(AM413-AL413)*1440</f>
        <v/>
      </c>
      <c r="AW413" s="20">
        <f>(AO413-AM413)*1440</f>
        <v/>
      </c>
      <c r="AX413" s="19">
        <f>AP413+AS413+AU413+AV413+AW413</f>
        <v/>
      </c>
      <c r="AY413" s="18">
        <f>(AG413-AA413)</f>
        <v/>
      </c>
      <c r="AZ413" s="18">
        <f>(AK413-AJ413)</f>
        <v/>
      </c>
      <c r="BA413" s="18">
        <f>AO413-AG413</f>
        <v/>
      </c>
      <c r="BB413" s="18">
        <f>(AO413-AA413)-(AP413/1440)-(AW413/1440)</f>
        <v/>
      </c>
      <c r="BC413" s="20">
        <f>E413/AZ413</f>
        <v/>
      </c>
      <c r="BE413" s="20">
        <f>IF(E413&lt;10000,3000,IF(E413&lt;15000,3600,IF(E413&lt;20000,4500,IF(E413&lt;25000,6000,IF(E413&lt;30000,7500,IF(E413&lt;40000,9000,IF(E413&gt;40000,10000)))))))</f>
        <v/>
      </c>
      <c r="BF413" s="334">
        <f>(E413/BE413)+2</f>
        <v/>
      </c>
      <c r="BS413" s="97" t="inlineStr">
        <is>
          <t>CHANGE DU POSTE 1N VERS POSTE 2BIS LE 14/07- 1721</t>
        </is>
      </c>
      <c r="BT413" s="99" t="n">
        <v>1</v>
      </c>
      <c r="BU413" s="97" t="inlineStr">
        <is>
          <t>CLEAN</t>
        </is>
      </c>
      <c r="BV413" s="97" t="inlineStr">
        <is>
          <t>NUL</t>
        </is>
      </c>
      <c r="BW413" s="332">
        <f>AI414-AH414</f>
        <v/>
      </c>
      <c r="CB413" s="14" t="n">
        <v>29105</v>
      </c>
    </row>
    <row r="414" ht="14.55" customHeight="1" s="70">
      <c r="B414" s="343" t="inlineStr">
        <is>
          <t>CYGNUS</t>
        </is>
      </c>
      <c r="C414" s="15" t="n">
        <v>45858</v>
      </c>
      <c r="D414" s="329" t="n">
        <v>16082</v>
      </c>
      <c r="E414" s="330" t="n"/>
      <c r="G414" s="81" t="n">
        <v>2</v>
      </c>
      <c r="H414" s="75" t="inlineStr">
        <is>
          <t>TSP</t>
        </is>
      </c>
      <c r="I414" s="75" t="inlineStr">
        <is>
          <t xml:space="preserve">TSP CIV </t>
        </is>
      </c>
      <c r="J414" s="75" t="inlineStr">
        <is>
          <t>CFR</t>
        </is>
      </c>
      <c r="Q414" s="75" t="inlineStr">
        <is>
          <t>ASIE</t>
        </is>
      </c>
      <c r="R414" s="75" t="inlineStr">
        <is>
          <t>INDE</t>
        </is>
      </c>
      <c r="T414" s="75" t="inlineStr">
        <is>
          <t>INTERTEK</t>
        </is>
      </c>
      <c r="U414" s="81" t="n">
        <v>183</v>
      </c>
      <c r="V414" s="53">
        <f>IF(U414&lt;130, "Mini Bulker", IF(AND(U414&gt;=130, U414&lt;150), "Handysize", IF(AND(U414&gt;=150, U414&lt;200), "Handymax", IF(AND(U414&gt;=200, U414&lt;230), "Panamax", IF(AND(U414&gt;=230, U414&lt;=270), "Capesize", "Autre")))))</f>
        <v/>
      </c>
      <c r="X414" s="14">
        <f>IF(E414&lt;9999,"1",IF(E414&lt;19999,"2",IF(E414&lt;29999,"3",IF(E414&lt;39999,"4",IF(E414&lt;49999,"5",IF(E414&gt;50000,"6"))))))</f>
        <v/>
      </c>
      <c r="Y414" s="99" t="inlineStr">
        <is>
          <t>1N/2BIS</t>
        </is>
      </c>
      <c r="AA414" s="98" t="n"/>
      <c r="AB414" s="98" t="n"/>
      <c r="AC414" s="98" t="n"/>
      <c r="AD414" s="98" t="n"/>
      <c r="AE414" s="98" t="n"/>
      <c r="AF414" s="98" t="n"/>
      <c r="AG414" s="98" t="n"/>
      <c r="AH414" s="98" t="n"/>
      <c r="AI414" s="98" t="n"/>
      <c r="AJ414" s="98" t="n"/>
      <c r="AK414" s="98" t="n"/>
      <c r="AL414" s="98" t="n"/>
      <c r="AM414" s="98" t="n"/>
      <c r="AN414" s="98" t="n"/>
      <c r="AO414" s="98" t="n"/>
      <c r="AP414" s="98" t="n"/>
      <c r="AQ414" s="98" t="n"/>
      <c r="AR414" s="98" t="n"/>
      <c r="AS414" s="98" t="n"/>
      <c r="AT414" s="98" t="n"/>
      <c r="AU414" s="98" t="n"/>
      <c r="AV414" s="98" t="n"/>
      <c r="AW414" s="98" t="n"/>
      <c r="AX414" s="98" t="n"/>
      <c r="AY414" s="98" t="n"/>
      <c r="AZ414" s="98" t="n"/>
      <c r="BA414" s="98" t="n"/>
      <c r="BB414" s="98" t="n"/>
      <c r="BC414" s="98" t="n"/>
      <c r="BD414" s="98" t="n"/>
      <c r="BE414" s="98" t="n"/>
      <c r="BF414" s="98" t="n"/>
      <c r="BG414" s="98" t="n"/>
      <c r="BH414" s="98" t="n"/>
      <c r="BI414" s="98" t="n"/>
      <c r="BJ414" s="98" t="n"/>
      <c r="BK414" s="98" t="n"/>
      <c r="BL414" s="98" t="n"/>
      <c r="BM414" s="98" t="n"/>
      <c r="BN414" s="98" t="n"/>
      <c r="BO414" s="98" t="n"/>
      <c r="BP414" s="98" t="n"/>
      <c r="BQ414" s="98" t="n"/>
      <c r="BR414" s="98" t="n"/>
      <c r="BS414" s="97" t="n"/>
      <c r="BT414" s="99" t="n"/>
      <c r="BU414" s="97" t="n"/>
      <c r="BV414" s="97" t="n"/>
      <c r="CB414" s="14" t="n"/>
    </row>
    <row r="415" ht="14.55" customHeight="1" s="70">
      <c r="A415" s="81" t="n">
        <v>273</v>
      </c>
      <c r="B415" s="343" t="inlineStr">
        <is>
          <t>NORSE HOUSTON</t>
        </is>
      </c>
      <c r="C415" s="15" t="n">
        <v>45858</v>
      </c>
      <c r="D415" s="329" t="n">
        <v>16500</v>
      </c>
      <c r="E415" s="333">
        <f>D415+D416+D417</f>
        <v/>
      </c>
      <c r="G415" s="81" t="n">
        <v>3</v>
      </c>
      <c r="H415" s="75" t="inlineStr">
        <is>
          <t>MAP</t>
        </is>
      </c>
      <c r="I415" s="75" t="inlineStr">
        <is>
          <t xml:space="preserve">MAP 11 52 SPECIAL </t>
        </is>
      </c>
      <c r="J415" s="75" t="inlineStr">
        <is>
          <t>FOB</t>
        </is>
      </c>
      <c r="Q415" s="75" t="inlineStr">
        <is>
          <t>AMERIQUE LATINE</t>
        </is>
      </c>
      <c r="R415" s="75" t="inlineStr">
        <is>
          <t>ARGENTINE</t>
        </is>
      </c>
      <c r="S415" s="75" t="n"/>
      <c r="T415" s="75" t="inlineStr">
        <is>
          <t>INSPECTORATE</t>
        </is>
      </c>
      <c r="U415" s="81" t="n">
        <v>183</v>
      </c>
      <c r="V415" s="53">
        <f>IF(U415&lt;130, "Mini Bulker", IF(AND(U415&gt;=130, U415&lt;150), "Handysize", IF(AND(U415&gt;=150, U415&lt;200), "Handymax", IF(AND(U415&gt;=200, U415&lt;230), "Panamax", IF(AND(U415&gt;=230, U415&lt;=270), "Capesize", "Autre")))))</f>
        <v/>
      </c>
      <c r="X415" s="14">
        <f>IF(E415&lt;9999,"1",IF(E415&lt;19999,"2",IF(E415&lt;29999,"3",IF(E415&lt;39999,"4",IF(E415&lt;49999,"5",IF(E415&gt;50000,"6"))))))</f>
        <v/>
      </c>
      <c r="Y415" s="99" t="inlineStr">
        <is>
          <t>1BIS</t>
        </is>
      </c>
      <c r="AA415" s="26" t="n">
        <v>45844.5</v>
      </c>
      <c r="AB415" s="26" t="n">
        <v>45845.375</v>
      </c>
      <c r="AC415" s="15" t="n">
        <v>45850</v>
      </c>
      <c r="AD415" s="15" t="n">
        <v>45853</v>
      </c>
      <c r="AE415" s="26" t="n">
        <v>45844.73333333333</v>
      </c>
      <c r="AF415" s="26" t="n">
        <v>45850.27777777778</v>
      </c>
      <c r="AG415" s="26" t="n">
        <v>45850.3375</v>
      </c>
      <c r="AH415" s="26" t="n">
        <v>45850.35416666666</v>
      </c>
      <c r="AI415" s="26" t="n">
        <v>45850.42361111111</v>
      </c>
      <c r="AJ415" s="26" t="n">
        <v>45850.81944444445</v>
      </c>
      <c r="AK415" s="26" t="n">
        <v>45858.43055555555</v>
      </c>
      <c r="AL415" s="26" t="n">
        <v>45858.46597222222</v>
      </c>
      <c r="AM415" s="26" t="n">
        <v>45858.48333333333</v>
      </c>
      <c r="AN415" s="26" t="n">
        <v>45858.52777777778</v>
      </c>
      <c r="AO415" s="26" t="n">
        <v>45858.54375</v>
      </c>
      <c r="AP415" s="20">
        <f>(AG415-AF415)*1440</f>
        <v/>
      </c>
      <c r="AQ415" s="20">
        <f>(AG415-AE415)*1440</f>
        <v/>
      </c>
      <c r="AR415" s="20">
        <f>(AH415-AF415)*1440</f>
        <v/>
      </c>
      <c r="AS415" s="20">
        <f>(AI415-AH415)*1440</f>
        <v/>
      </c>
      <c r="AT415" s="20">
        <f>(AJ415-AH415)*1440</f>
        <v/>
      </c>
      <c r="AU415" s="20">
        <f>(AL415-AK415)*1440</f>
        <v/>
      </c>
      <c r="AV415" s="20">
        <f>(AM415-AL415)*1440</f>
        <v/>
      </c>
      <c r="AW415" s="20">
        <f>(AO415-AM415)*1440</f>
        <v/>
      </c>
      <c r="AX415" s="19">
        <f>AP415+AS415+AU415+AV415+AW415</f>
        <v/>
      </c>
      <c r="AY415" s="18">
        <f>(AG415-AA415)</f>
        <v/>
      </c>
      <c r="AZ415" s="18">
        <f>(AK415-AJ415)</f>
        <v/>
      </c>
      <c r="BA415" s="18">
        <f>AO415-AG415</f>
        <v/>
      </c>
      <c r="BB415" s="18">
        <f>(AO415-AA415)-(AP415/1440)-(AW415/1440)</f>
        <v/>
      </c>
      <c r="BC415" s="20">
        <f>E415/AZ415</f>
        <v/>
      </c>
      <c r="BE415" s="20">
        <f>IF(E415&lt;10000,3000,IF(E415&lt;15000,3600,IF(E415&lt;20000,4500,IF(E415&lt;25000,6000,IF(E415&lt;30000,7500,IF(E415&lt;40000,9000,IF(E415&gt;40000,10000)))))))</f>
        <v/>
      </c>
      <c r="BF415" s="334">
        <f>(E415/BE415)+2</f>
        <v/>
      </c>
      <c r="BS415" s="97" t="inlineStr">
        <is>
          <t>NUL</t>
        </is>
      </c>
      <c r="BT415" s="99" t="n">
        <v>0</v>
      </c>
      <c r="BU415" s="97" t="n"/>
      <c r="BV415" s="97" t="n"/>
      <c r="BW415" s="332">
        <f>AI416-AH416</f>
        <v/>
      </c>
      <c r="CB415" s="14" t="n">
        <v>24386</v>
      </c>
    </row>
    <row r="416">
      <c r="A416" s="81" t="n"/>
      <c r="B416" s="343" t="inlineStr">
        <is>
          <t>NORSE HOUSTON</t>
        </is>
      </c>
      <c r="C416" s="15" t="n">
        <v>45858</v>
      </c>
      <c r="D416" s="329" t="n">
        <v>8800</v>
      </c>
      <c r="E416" s="330" t="n"/>
      <c r="G416" s="81" t="n">
        <v>3</v>
      </c>
      <c r="H416" s="75" t="inlineStr">
        <is>
          <t>MAP</t>
        </is>
      </c>
      <c r="I416" s="75" t="inlineStr">
        <is>
          <t xml:space="preserve">MAP 10 50 SPECIAL </t>
        </is>
      </c>
      <c r="J416" s="75" t="inlineStr">
        <is>
          <t>FOB</t>
        </is>
      </c>
      <c r="Q416" s="75" t="inlineStr">
        <is>
          <t>AMERIQUE LATINE</t>
        </is>
      </c>
      <c r="R416" s="75" t="inlineStr">
        <is>
          <t>ARGENTINE</t>
        </is>
      </c>
      <c r="S416" s="75" t="n"/>
      <c r="T416" s="75" t="inlineStr">
        <is>
          <t>INSPECTORATE</t>
        </is>
      </c>
      <c r="U416" s="81" t="n">
        <v>183</v>
      </c>
      <c r="V416" s="53">
        <f>IF(U416&lt;130, "Mini Bulker", IF(AND(U416&gt;=130, U416&lt;150), "Handysize", IF(AND(U416&gt;=150, U416&lt;200), "Handymax", IF(AND(U416&gt;=200, U416&lt;230), "Panamax", IF(AND(U416&gt;=230, U416&lt;=270), "Capesize", "Autre")))))</f>
        <v/>
      </c>
      <c r="X416" s="14">
        <f>IF(E416&lt;9999,"1",IF(E416&lt;19999,"2",IF(E416&lt;29999,"3",IF(E416&lt;39999,"4",IF(E416&lt;49999,"5",IF(E416&gt;50000,"6"))))))</f>
        <v/>
      </c>
      <c r="Y416" s="99" t="inlineStr">
        <is>
          <t>1BIS</t>
        </is>
      </c>
      <c r="AA416" s="218" t="n"/>
      <c r="AB416" s="218" t="n"/>
      <c r="AC416" s="98" t="n"/>
      <c r="AD416" s="98" t="n"/>
      <c r="AE416" s="218" t="n"/>
      <c r="AF416" s="218" t="n"/>
      <c r="AG416" s="218" t="n"/>
      <c r="AH416" s="218" t="n"/>
      <c r="AI416" s="218" t="n"/>
      <c r="AJ416" s="218" t="n"/>
      <c r="AK416" s="218" t="n"/>
      <c r="AL416" s="218" t="n"/>
      <c r="AM416" s="218" t="n"/>
      <c r="AN416" s="218" t="n"/>
      <c r="AO416" s="218" t="n"/>
      <c r="AP416" s="98" t="n"/>
      <c r="AQ416" s="98" t="n"/>
      <c r="AR416" s="98" t="n"/>
      <c r="AS416" s="98" t="n"/>
      <c r="AT416" s="98" t="n"/>
      <c r="AU416" s="98" t="n"/>
      <c r="AV416" s="98" t="n"/>
      <c r="AW416" s="98" t="n"/>
      <c r="AX416" s="98" t="n"/>
      <c r="AY416" s="98" t="n"/>
      <c r="AZ416" s="98" t="n"/>
      <c r="BA416" s="98" t="n"/>
      <c r="BB416" s="98" t="n"/>
      <c r="BC416" s="98" t="n"/>
      <c r="BD416" s="220" t="n"/>
      <c r="BE416" s="98" t="n"/>
      <c r="BF416" s="98" t="n"/>
      <c r="BG416" s="220" t="n"/>
      <c r="BH416" s="220" t="n"/>
      <c r="BI416" s="220" t="n"/>
      <c r="BJ416" s="220" t="n"/>
      <c r="BK416" s="220" t="n"/>
      <c r="BL416" s="220" t="n"/>
      <c r="BM416" s="220" t="n"/>
      <c r="BN416" s="220" t="n"/>
      <c r="BO416" s="220" t="n"/>
      <c r="BP416" s="220" t="n"/>
      <c r="BQ416" s="220" t="n"/>
      <c r="BR416" s="220" t="n"/>
      <c r="BS416" s="97" t="n"/>
      <c r="BT416" s="99" t="n"/>
      <c r="BU416" s="97" t="n"/>
      <c r="BV416" s="97" t="n"/>
      <c r="BW416" s="208" t="n"/>
      <c r="CB416" s="14" t="n"/>
    </row>
    <row r="417" ht="14.55" customHeight="1" s="70">
      <c r="A417" s="81" t="n"/>
      <c r="B417" s="343" t="inlineStr">
        <is>
          <t>NORSE HOUSTON</t>
        </is>
      </c>
      <c r="C417" s="15" t="n">
        <v>45858</v>
      </c>
      <c r="D417" s="329" t="n">
        <v>6600</v>
      </c>
      <c r="E417" s="330" t="n"/>
      <c r="G417" s="81" t="n">
        <v>3</v>
      </c>
      <c r="H417" s="75" t="inlineStr">
        <is>
          <t>TSP</t>
        </is>
      </c>
      <c r="I417" s="75" t="inlineStr">
        <is>
          <t xml:space="preserve">TSP SPECIAL JORF </t>
        </is>
      </c>
      <c r="J417" s="75" t="inlineStr">
        <is>
          <t>FOB</t>
        </is>
      </c>
      <c r="Q417" s="75" t="inlineStr">
        <is>
          <t>AMERIQUE LATINE</t>
        </is>
      </c>
      <c r="R417" s="75" t="inlineStr">
        <is>
          <t>ARGENTINE</t>
        </is>
      </c>
      <c r="S417" s="75" t="n"/>
      <c r="T417" s="75" t="inlineStr">
        <is>
          <t>INSPECTORATE</t>
        </is>
      </c>
      <c r="U417" s="81" t="n">
        <v>183</v>
      </c>
      <c r="V417" s="53">
        <f>IF(U417&lt;130, "Mini Bulker", IF(AND(U417&gt;=130, U417&lt;150), "Handysize", IF(AND(U417&gt;=150, U417&lt;200), "Handymax", IF(AND(U417&gt;=200, U417&lt;230), "Panamax", IF(AND(U417&gt;=230, U417&lt;=270), "Capesize", "Autre")))))</f>
        <v/>
      </c>
      <c r="X417" s="14">
        <f>IF(E417&lt;9999,"1",IF(E417&lt;19999,"2",IF(E417&lt;29999,"3",IF(E417&lt;39999,"4",IF(E417&lt;49999,"5",IF(E417&gt;50000,"6"))))))</f>
        <v/>
      </c>
      <c r="Y417" s="99" t="inlineStr">
        <is>
          <t>1BIS</t>
        </is>
      </c>
      <c r="AA417" s="218" t="n"/>
      <c r="AB417" s="218" t="n"/>
      <c r="AC417" s="98" t="n"/>
      <c r="AD417" s="98" t="n"/>
      <c r="AE417" s="218" t="n"/>
      <c r="AF417" s="218" t="n"/>
      <c r="AG417" s="218" t="n"/>
      <c r="AH417" s="218" t="n"/>
      <c r="AI417" s="218" t="n"/>
      <c r="AJ417" s="218" t="n"/>
      <c r="AK417" s="218" t="n"/>
      <c r="AL417" s="218" t="n"/>
      <c r="AM417" s="218" t="n"/>
      <c r="AN417" s="218" t="n"/>
      <c r="AO417" s="218" t="n"/>
      <c r="AP417" s="98" t="n"/>
      <c r="AQ417" s="98" t="n"/>
      <c r="AR417" s="98" t="n"/>
      <c r="AS417" s="98" t="n"/>
      <c r="AT417" s="98" t="n"/>
      <c r="AU417" s="98" t="n"/>
      <c r="AV417" s="98" t="n"/>
      <c r="AW417" s="98" t="n"/>
      <c r="AX417" s="98" t="n"/>
      <c r="AY417" s="98" t="n"/>
      <c r="AZ417" s="98" t="n"/>
      <c r="BA417" s="98" t="n"/>
      <c r="BB417" s="98" t="n"/>
      <c r="BC417" s="98" t="n"/>
      <c r="BD417" s="220" t="n"/>
      <c r="BE417" s="98" t="n"/>
      <c r="BF417" s="98" t="n"/>
      <c r="BG417" s="220" t="n"/>
      <c r="BH417" s="220" t="n"/>
      <c r="BI417" s="220" t="n"/>
      <c r="BJ417" s="220" t="n"/>
      <c r="BK417" s="220" t="n"/>
      <c r="BL417" s="220" t="n"/>
      <c r="BM417" s="220" t="n"/>
      <c r="BN417" s="220" t="n"/>
      <c r="BO417" s="220" t="n"/>
      <c r="BP417" s="220" t="n"/>
      <c r="BQ417" s="220" t="n"/>
      <c r="BR417" s="220" t="n"/>
      <c r="BS417" s="97" t="n"/>
      <c r="BT417" s="99" t="n"/>
      <c r="BU417" s="97" t="n"/>
      <c r="BV417" s="97" t="n"/>
      <c r="BW417" s="208" t="n"/>
      <c r="CB417" s="14" t="n"/>
    </row>
    <row r="418" ht="14.55" customHeight="1" s="70">
      <c r="A418" s="81" t="n">
        <v>270</v>
      </c>
      <c r="B418" s="343" t="inlineStr">
        <is>
          <t>RIX MELODY</t>
        </is>
      </c>
      <c r="C418" s="15" t="n">
        <v>45858</v>
      </c>
      <c r="D418" s="329" t="n">
        <v>1903</v>
      </c>
      <c r="E418" s="333">
        <f>D418+D419</f>
        <v/>
      </c>
      <c r="G418" s="81" t="n">
        <v>2</v>
      </c>
      <c r="H418" s="75" t="inlineStr">
        <is>
          <t>MAP</t>
        </is>
      </c>
      <c r="I418" s="75" t="inlineStr">
        <is>
          <t xml:space="preserve">MAP 11 52 Special Low Cd </t>
        </is>
      </c>
      <c r="J418" s="75" t="inlineStr">
        <is>
          <t>FOB</t>
        </is>
      </c>
      <c r="Q418" s="75" t="inlineStr">
        <is>
          <t>EUROPE</t>
        </is>
      </c>
      <c r="R418" s="75" t="inlineStr">
        <is>
          <t>SWEDEN</t>
        </is>
      </c>
      <c r="S418" s="75" t="n"/>
      <c r="T418" s="75" t="inlineStr">
        <is>
          <t>INSPECTORATE</t>
        </is>
      </c>
      <c r="U418" s="81" t="n">
        <v>89</v>
      </c>
      <c r="V418" s="53">
        <f>IF(U418&lt;130, "Mini Bulker", IF(AND(U418&gt;=130, U418&lt;150), "Handysize", IF(AND(U418&gt;=150, U418&lt;200), "Handymax", IF(AND(U418&gt;=200, U418&lt;230), "Panamax", IF(AND(U418&gt;=230, U418&lt;=270), "Capesize", "Autre")))))</f>
        <v/>
      </c>
      <c r="X418" s="14">
        <f>IF(E418&lt;9999,"1",IF(E418&lt;19999,"2",IF(E418&lt;29999,"3",IF(E418&lt;39999,"4",IF(E418&lt;49999,"5",IF(E418&gt;50000,"6"))))))</f>
        <v/>
      </c>
      <c r="Y418" s="99" t="inlineStr">
        <is>
          <t>2N/2TER</t>
        </is>
      </c>
      <c r="AA418" s="17" t="n">
        <v>45856.41666666666</v>
      </c>
      <c r="AB418" s="17" t="n">
        <v>45856.41666666666</v>
      </c>
      <c r="AC418" s="15" t="n">
        <v>45854</v>
      </c>
      <c r="AD418" s="15" t="n">
        <v>45856</v>
      </c>
      <c r="AE418" s="17" t="n">
        <v>45856.375</v>
      </c>
      <c r="AF418" s="17" t="n">
        <v>45856.71319444444</v>
      </c>
      <c r="AG418" s="17" t="n">
        <v>45856.77777777778</v>
      </c>
      <c r="AH418" s="17" t="n">
        <v>45856.79166666666</v>
      </c>
      <c r="AI418" s="17" t="n">
        <v>45857.6875</v>
      </c>
      <c r="AJ418" s="17" t="n">
        <v>45857.80902777778</v>
      </c>
      <c r="AK418" s="17" t="n">
        <v>45858.8125</v>
      </c>
      <c r="AL418" s="17" t="n">
        <v>45858.83402777778</v>
      </c>
      <c r="AM418" s="17" t="n">
        <v>45858.875</v>
      </c>
      <c r="AN418" s="17" t="n">
        <v>45858.93055555555</v>
      </c>
      <c r="AO418" s="17" t="n">
        <v>45858.95902777778</v>
      </c>
      <c r="AP418" s="20">
        <f>(AG418-AF418)*1440</f>
        <v/>
      </c>
      <c r="AQ418" s="20">
        <f>(AG418-AE418)*1440</f>
        <v/>
      </c>
      <c r="AR418" s="20">
        <f>(AH418-AF418)*1440</f>
        <v/>
      </c>
      <c r="AS418" s="20">
        <f>(AI418-AH418)*1440</f>
        <v/>
      </c>
      <c r="AT418" s="20">
        <f>(AJ418-AH418)*1440</f>
        <v/>
      </c>
      <c r="AU418" s="20">
        <f>(AL418-AK418)*1440</f>
        <v/>
      </c>
      <c r="AV418" s="20">
        <f>(AM418-AL418)*1440</f>
        <v/>
      </c>
      <c r="AW418" s="20">
        <f>(AO418-AM418)*1440</f>
        <v/>
      </c>
      <c r="AX418" s="19">
        <f>AP418+AS418+AU418+AV418+AW418</f>
        <v/>
      </c>
      <c r="AY418" s="18">
        <f>(AG418-AA418)</f>
        <v/>
      </c>
      <c r="AZ418" s="18">
        <f>(AK418-AJ418)</f>
        <v/>
      </c>
      <c r="BA418" s="18">
        <f>AO418-AG418</f>
        <v/>
      </c>
      <c r="BB418" s="18">
        <f>(AO418-AA418)-(AP418/1440)-(AW418/1440)</f>
        <v/>
      </c>
      <c r="BC418" s="20">
        <f>E418/AZ418</f>
        <v/>
      </c>
      <c r="BD418" s="208" t="n"/>
      <c r="BE418" s="20">
        <f>IF(E418&lt;10000,3000,IF(E418&lt;15000,3600,IF(E418&lt;20000,4500,IF(E418&lt;25000,6000,IF(E418&lt;30000,7500,IF(E418&lt;40000,9000,IF(E418&gt;40000,10000)))))))</f>
        <v/>
      </c>
      <c r="BF418" s="334">
        <f>(E418/BE418)+2</f>
        <v/>
      </c>
      <c r="BG418" s="208" t="n"/>
      <c r="BH418" s="208" t="n"/>
      <c r="BI418" s="208" t="n"/>
      <c r="BJ418" s="208" t="n"/>
      <c r="BK418" s="208" t="n"/>
      <c r="BL418" s="208" t="n"/>
      <c r="BM418" s="208" t="n"/>
      <c r="BN418" s="208" t="n"/>
      <c r="BO418" s="208" t="n"/>
      <c r="BP418" s="208" t="n"/>
      <c r="BQ418" s="208" t="n"/>
      <c r="BR418" s="208" t="n"/>
      <c r="BS418" s="97" t="inlineStr">
        <is>
          <t xml:space="preserve"> CHANGE DU POSTE 2N VERS POSTE 2TER LE 19/07- 0715</t>
        </is>
      </c>
      <c r="BT418" s="99" t="n">
        <v>1</v>
      </c>
      <c r="BU418" s="97" t="inlineStr">
        <is>
          <t>NON CLEAN</t>
        </is>
      </c>
      <c r="BV418" s="97" t="n"/>
      <c r="BW418" s="345">
        <f>AI419-AH419</f>
        <v/>
      </c>
      <c r="CB418" s="14" t="n">
        <v>2904</v>
      </c>
    </row>
    <row r="419" ht="14.55" customHeight="1" s="70">
      <c r="A419" s="81" t="n"/>
      <c r="B419" s="343" t="inlineStr">
        <is>
          <t>RIX MELODY</t>
        </is>
      </c>
      <c r="C419" s="15" t="n">
        <v>45858</v>
      </c>
      <c r="D419" s="329" t="n">
        <v>2200</v>
      </c>
      <c r="E419" s="330" t="n"/>
      <c r="G419" s="81" t="n">
        <v>2</v>
      </c>
      <c r="H419" s="75" t="inlineStr">
        <is>
          <t>NPK</t>
        </is>
      </c>
      <c r="I419" s="75" t="inlineStr">
        <is>
          <t xml:space="preserve">NPK 15 15 15 Low Cd </t>
        </is>
      </c>
      <c r="J419" s="75" t="inlineStr">
        <is>
          <t>FOB</t>
        </is>
      </c>
      <c r="Q419" s="75" t="inlineStr">
        <is>
          <t>EUROPE</t>
        </is>
      </c>
      <c r="R419" s="75" t="inlineStr">
        <is>
          <t>SWEDEN</t>
        </is>
      </c>
      <c r="S419" s="75" t="n"/>
      <c r="T419" s="75" t="inlineStr">
        <is>
          <t>INSPECTORATE</t>
        </is>
      </c>
      <c r="U419" s="81" t="n">
        <v>89</v>
      </c>
      <c r="V419" s="53">
        <f>IF(U419&lt;130, "Mini Bulker", IF(AND(U419&gt;=130, U419&lt;150), "Handysize", IF(AND(U419&gt;=150, U419&lt;200), "Handymax", IF(AND(U419&gt;=200, U419&lt;230), "Panamax", IF(AND(U419&gt;=230, U419&lt;=270), "Capesize", "Autre")))))</f>
        <v/>
      </c>
      <c r="X419" s="14">
        <f>IF(E419&lt;9999,"1",IF(E419&lt;19999,"2",IF(E419&lt;29999,"3",IF(E419&lt;39999,"4",IF(E419&lt;49999,"5",IF(E419&gt;50000,"6"))))))</f>
        <v/>
      </c>
      <c r="Y419" s="99" t="inlineStr">
        <is>
          <t>2N/2TER</t>
        </is>
      </c>
      <c r="AA419" s="98" t="n"/>
      <c r="AB419" s="98" t="n"/>
      <c r="AC419" s="98" t="n"/>
      <c r="AD419" s="98" t="n"/>
      <c r="AE419" s="98" t="n"/>
      <c r="AF419" s="98" t="n"/>
      <c r="AG419" s="98" t="n"/>
      <c r="AH419" s="98" t="n"/>
      <c r="AI419" s="98" t="n"/>
      <c r="AJ419" s="98" t="n"/>
      <c r="AK419" s="98" t="n"/>
      <c r="AL419" s="98" t="n"/>
      <c r="AM419" s="98" t="n"/>
      <c r="AN419" s="98" t="n"/>
      <c r="AO419" s="98" t="n"/>
      <c r="AP419" s="98" t="n"/>
      <c r="AQ419" s="98" t="n"/>
      <c r="AR419" s="98" t="n"/>
      <c r="AS419" s="98" t="n"/>
      <c r="AT419" s="98" t="n"/>
      <c r="AU419" s="98" t="n"/>
      <c r="AV419" s="98" t="n"/>
      <c r="AW419" s="98" t="n"/>
      <c r="AX419" s="98" t="n"/>
      <c r="AY419" s="98" t="n"/>
      <c r="AZ419" s="98" t="n"/>
      <c r="BA419" s="98" t="n"/>
      <c r="BB419" s="98" t="n"/>
      <c r="BC419" s="98" t="n"/>
      <c r="BD419" s="98" t="n"/>
      <c r="BE419" s="98" t="n"/>
      <c r="BF419" s="98" t="n"/>
      <c r="BG419" s="98" t="n"/>
      <c r="BH419" s="98" t="n"/>
      <c r="BI419" s="98" t="n"/>
      <c r="BJ419" s="98" t="n"/>
      <c r="BK419" s="98" t="n"/>
      <c r="BL419" s="98" t="n"/>
      <c r="BM419" s="98" t="n"/>
      <c r="BN419" s="98" t="n"/>
      <c r="BO419" s="98" t="n"/>
      <c r="BP419" s="98" t="n"/>
      <c r="BQ419" s="98" t="n"/>
      <c r="BR419" s="98" t="n"/>
      <c r="BS419" s="97" t="n"/>
      <c r="BT419" s="99" t="n"/>
      <c r="BU419" s="97" t="n"/>
      <c r="BV419" s="97" t="n"/>
      <c r="CB419" s="14" t="n"/>
    </row>
    <row r="420" ht="14.55" customHeight="1" s="70">
      <c r="A420" s="81" t="n">
        <v>274</v>
      </c>
      <c r="B420" s="343" t="inlineStr">
        <is>
          <t>MUNDAKA NM</t>
        </is>
      </c>
      <c r="C420" s="15" t="n">
        <v>45859</v>
      </c>
      <c r="D420" s="329" t="n">
        <v>3300</v>
      </c>
      <c r="E420" s="333">
        <f>D420+D421</f>
        <v/>
      </c>
      <c r="G420" s="81" t="n">
        <v>2</v>
      </c>
      <c r="H420" s="75" t="inlineStr">
        <is>
          <t>NPK</t>
        </is>
      </c>
      <c r="I420" s="75" t="inlineStr">
        <is>
          <t xml:space="preserve">NPK 10 26 26 Low Cd </t>
        </is>
      </c>
      <c r="J420" s="75" t="inlineStr">
        <is>
          <t>FOB</t>
        </is>
      </c>
      <c r="Q420" s="75" t="inlineStr">
        <is>
          <t>EUROPE</t>
        </is>
      </c>
      <c r="R420" s="75" t="inlineStr">
        <is>
          <t>LATVIA</t>
        </is>
      </c>
      <c r="S420" s="75" t="n"/>
      <c r="T420" s="75" t="inlineStr">
        <is>
          <t>INSPECTORATE</t>
        </is>
      </c>
      <c r="U420" s="81" t="n">
        <v>104</v>
      </c>
      <c r="V420" s="53">
        <f>IF(U420&lt;130, "Mini Bulker", IF(AND(U420&gt;=130, U420&lt;150), "Handysize", IF(AND(U420&gt;=150, U420&lt;200), "Handymax", IF(AND(U420&gt;=200, U420&lt;230), "Panamax", IF(AND(U420&gt;=230, U420&lt;=270), "Capesize", "Autre")))))</f>
        <v/>
      </c>
      <c r="X420" s="14">
        <f>IF(E420&lt;9999,"1",IF(E420&lt;19999,"2",IF(E420&lt;29999,"3",IF(E420&lt;39999,"4",IF(E420&lt;49999,"5",IF(E420&gt;50000,"6"))))))</f>
        <v/>
      </c>
      <c r="Y420" s="99" t="inlineStr">
        <is>
          <t>1N/1BIS/1TER</t>
        </is>
      </c>
      <c r="AA420" s="26" t="n">
        <v>45857.32777777778</v>
      </c>
      <c r="AB420" s="26" t="n">
        <v>45857.375</v>
      </c>
      <c r="AC420" s="15" t="n">
        <v>45856</v>
      </c>
      <c r="AD420" s="15" t="n">
        <v>45858</v>
      </c>
      <c r="AE420" s="26" t="n">
        <v>45857.32777777778</v>
      </c>
      <c r="AF420" s="26" t="n">
        <v>45857.46388888889</v>
      </c>
      <c r="AG420" s="26" t="n">
        <v>45857.5125</v>
      </c>
      <c r="AH420" s="26" t="n">
        <v>45857.52777777778</v>
      </c>
      <c r="AI420" s="26" t="n">
        <v>45857.76388888889</v>
      </c>
      <c r="AJ420" s="26" t="n">
        <v>45858.95138888889</v>
      </c>
      <c r="AK420" s="26" t="n">
        <v>45859.8125</v>
      </c>
      <c r="AL420" s="26" t="n">
        <v>45859.83333333334</v>
      </c>
      <c r="AM420" s="26" t="n">
        <v>45859.86111111111</v>
      </c>
      <c r="AN420" s="26" t="n">
        <v>45859.90625</v>
      </c>
      <c r="AO420" s="26" t="n">
        <v>45859.9375</v>
      </c>
      <c r="AP420" s="20">
        <f>(AG420-AF420)*1440</f>
        <v/>
      </c>
      <c r="AQ420" s="20">
        <f>(AG420-AE420)*1440</f>
        <v/>
      </c>
      <c r="AR420" s="20">
        <f>(AH420-AF420)*1440</f>
        <v/>
      </c>
      <c r="AS420" s="20">
        <f>(AI420-AH420)*1440</f>
        <v/>
      </c>
      <c r="AT420" s="20">
        <f>(AJ420-AH420)*1440</f>
        <v/>
      </c>
      <c r="AU420" s="20">
        <f>(AL420-AK420)*1440</f>
        <v/>
      </c>
      <c r="AV420" s="20">
        <f>(AM420-AL420)*1440</f>
        <v/>
      </c>
      <c r="AW420" s="20">
        <f>(AO420-AM420)*1440</f>
        <v/>
      </c>
      <c r="AX420" s="19">
        <f>AP420+AS420+AU420+AV420+AW420</f>
        <v/>
      </c>
      <c r="AY420" s="18">
        <f>(AG420-AA420)</f>
        <v/>
      </c>
      <c r="AZ420" s="18">
        <f>(AK420-AJ420)</f>
        <v/>
      </c>
      <c r="BA420" s="18">
        <f>AO420-AG420</f>
        <v/>
      </c>
      <c r="BB420" s="18">
        <f>(AO420-AA420)-(AP420/1440)-(AW420/1440)</f>
        <v/>
      </c>
      <c r="BC420" s="20">
        <f>E420/AZ420</f>
        <v/>
      </c>
      <c r="BE420" s="20">
        <f>IF(E420&lt;10000,3000,IF(E420&lt;15000,3600,IF(E420&lt;20000,4500,IF(E420&lt;25000,6000,IF(E420&lt;30000,7500,IF(E420&lt;40000,9000,IF(E420&gt;40000,10000)))))))</f>
        <v/>
      </c>
      <c r="BF420" s="334">
        <f>(E420/BE420)+2</f>
        <v/>
      </c>
      <c r="BS420" s="97" t="inlineStr">
        <is>
          <t>CHANGE DU POSTE 1N VERS POSTE 1BIS LE 20/07 - 1343 // CHANGE DU POSTE 1BIS VERS LE POSTE 1TER LE 21/07 - 0122</t>
        </is>
      </c>
      <c r="BT420" s="99" t="n">
        <v>2</v>
      </c>
      <c r="BU420" s="97" t="inlineStr">
        <is>
          <t>NON CLEAN</t>
        </is>
      </c>
      <c r="BV420" s="97" t="inlineStr">
        <is>
          <t>WATER/BULK HEAD</t>
        </is>
      </c>
      <c r="BW420" s="332">
        <f>AI421-AH421</f>
        <v/>
      </c>
      <c r="CB420" s="14" t="n">
        <v>4137</v>
      </c>
    </row>
    <row r="421" ht="15" customHeight="1" s="70">
      <c r="B421" s="343" t="inlineStr">
        <is>
          <t>MUNDAKA NM</t>
        </is>
      </c>
      <c r="C421" s="15" t="n">
        <v>45860</v>
      </c>
      <c r="D421" s="329" t="n">
        <v>2200</v>
      </c>
      <c r="E421" s="330" t="n"/>
      <c r="G421" s="81" t="n">
        <v>2</v>
      </c>
      <c r="H421" s="75" t="inlineStr">
        <is>
          <t>TSP</t>
        </is>
      </c>
      <c r="I421" s="75" t="inlineStr">
        <is>
          <t xml:space="preserve">TSP EURO Low Cd </t>
        </is>
      </c>
      <c r="J421" s="75" t="inlineStr">
        <is>
          <t>FOB</t>
        </is>
      </c>
      <c r="Q421" s="75" t="inlineStr">
        <is>
          <t>EUROPE</t>
        </is>
      </c>
      <c r="R421" s="75" t="inlineStr">
        <is>
          <t>LATVIA</t>
        </is>
      </c>
      <c r="S421" s="75" t="n"/>
      <c r="T421" s="75" t="inlineStr">
        <is>
          <t>INSPECTORATE</t>
        </is>
      </c>
      <c r="U421" s="81" t="n">
        <v>104</v>
      </c>
      <c r="V421" s="53">
        <f>IF(U421&lt;130, "Mini Bulker", IF(AND(U421&gt;=130, U421&lt;150), "Handysize", IF(AND(U421&gt;=150, U421&lt;200), "Handymax", IF(AND(U421&gt;=200, U421&lt;230), "Panamax", IF(AND(U421&gt;=230, U421&lt;=270), "Capesize", "Autre")))))</f>
        <v/>
      </c>
      <c r="X421" s="14">
        <f>IF(E421&lt;9999,"1",IF(E421&lt;19999,"2",IF(E421&lt;29999,"3",IF(E421&lt;39999,"4",IF(E421&lt;49999,"5",IF(E421&gt;50000,"6"))))))</f>
        <v/>
      </c>
      <c r="Y421" s="99" t="inlineStr">
        <is>
          <t>1N/1BIS/1TER</t>
        </is>
      </c>
      <c r="AA421" s="98" t="n"/>
      <c r="AB421" s="98" t="n"/>
      <c r="AC421" s="98" t="n"/>
      <c r="AD421" s="98" t="n"/>
      <c r="AE421" s="98" t="n"/>
      <c r="AF421" s="98" t="n"/>
      <c r="AG421" s="98" t="n"/>
      <c r="AH421" s="98" t="n"/>
      <c r="AI421" s="98" t="n"/>
      <c r="AJ421" s="98" t="n"/>
      <c r="AK421" s="98" t="n"/>
      <c r="AL421" s="98" t="n"/>
      <c r="AM421" s="98" t="n"/>
      <c r="AN421" s="98" t="n"/>
      <c r="AO421" s="98" t="n"/>
      <c r="AP421" s="98" t="n"/>
      <c r="AQ421" s="98" t="n"/>
      <c r="AR421" s="98" t="n"/>
      <c r="AS421" s="98" t="n"/>
      <c r="AT421" s="98" t="n"/>
      <c r="AU421" s="98" t="n"/>
      <c r="AV421" s="98" t="n"/>
      <c r="AW421" s="98" t="n"/>
      <c r="AX421" s="98" t="n"/>
      <c r="AY421" s="98" t="n"/>
      <c r="AZ421" s="98" t="n"/>
      <c r="BA421" s="98" t="n"/>
      <c r="BB421" s="98" t="n"/>
      <c r="BC421" s="98" t="n"/>
      <c r="BD421" s="98" t="n"/>
      <c r="BE421" s="98" t="n"/>
      <c r="BF421" s="98" t="n"/>
      <c r="BG421" s="98" t="n"/>
      <c r="BH421" s="98" t="n"/>
      <c r="BI421" s="98" t="n"/>
      <c r="BJ421" s="98" t="n"/>
      <c r="BK421" s="98" t="n"/>
      <c r="BL421" s="98" t="n"/>
      <c r="BM421" s="98" t="n"/>
      <c r="BN421" s="98" t="n"/>
      <c r="BO421" s="98" t="n"/>
      <c r="BP421" s="98" t="n"/>
      <c r="BQ421" s="98" t="n"/>
      <c r="BR421" s="98" t="n"/>
      <c r="BS421" s="97" t="n"/>
      <c r="BT421" s="99" t="n"/>
      <c r="BU421" s="97" t="n"/>
      <c r="BV421" s="97" t="n"/>
      <c r="CB421" s="14" t="n"/>
    </row>
    <row r="422">
      <c r="A422" s="81" t="n">
        <v>275</v>
      </c>
      <c r="B422" s="343" t="inlineStr">
        <is>
          <t>SUURHUSEN.S</t>
        </is>
      </c>
      <c r="C422" s="15" t="n">
        <v>45860</v>
      </c>
      <c r="D422" s="329" t="n">
        <v>3300</v>
      </c>
      <c r="E422" s="329" t="n">
        <v>3300</v>
      </c>
      <c r="G422" s="81" t="n">
        <v>1</v>
      </c>
      <c r="H422" s="75" t="inlineStr">
        <is>
          <t>DAP</t>
        </is>
      </c>
      <c r="I422" s="75" t="inlineStr">
        <is>
          <t>DAP Euro Low Cd</t>
        </is>
      </c>
      <c r="J422" s="75" t="inlineStr">
        <is>
          <t>FOB</t>
        </is>
      </c>
      <c r="Q422" s="75" t="inlineStr">
        <is>
          <t>EUROPE</t>
        </is>
      </c>
      <c r="R422" s="75" t="inlineStr">
        <is>
          <t>Allemagne</t>
        </is>
      </c>
      <c r="T422" s="75" t="inlineStr">
        <is>
          <t>INSPECTORATE</t>
        </is>
      </c>
      <c r="U422" s="81" t="n">
        <v>90</v>
      </c>
      <c r="V422" s="53">
        <f>IF(U422&lt;130, "Mini Bulker", IF(AND(U422&gt;=130, U422&lt;150), "Handysize", IF(AND(U422&gt;=150, U422&lt;200), "Handymax", IF(AND(U422&gt;=200, U422&lt;230), "Panamax", IF(AND(U422&gt;=230, U422&lt;=270), "Capesize", "Autre")))))</f>
        <v/>
      </c>
      <c r="X422" s="14">
        <f>IF(E422&lt;9999,"1",IF(E422&lt;19999,"2",IF(E422&lt;29999,"3",IF(E422&lt;39999,"4",IF(E422&lt;49999,"5",IF(E422&gt;50000,"6"))))))</f>
        <v/>
      </c>
      <c r="Y422" s="99" t="inlineStr">
        <is>
          <t>2TER</t>
        </is>
      </c>
      <c r="AA422" s="26" t="n">
        <v>45857.83333333334</v>
      </c>
      <c r="AB422" s="26" t="n">
        <v>45859.375</v>
      </c>
      <c r="AC422" s="15" t="n">
        <v>45858</v>
      </c>
      <c r="AD422" s="15" t="n">
        <v>45860</v>
      </c>
      <c r="AE422" s="26" t="n">
        <v>45857.83333333334</v>
      </c>
      <c r="AF422" s="26" t="n">
        <v>45859.54513888889</v>
      </c>
      <c r="AG422" s="26" t="n">
        <v>45859.57638888889</v>
      </c>
      <c r="AH422" s="26" t="n">
        <v>45859.59375</v>
      </c>
      <c r="AI422" s="26" t="n">
        <v>45859.65277777778</v>
      </c>
      <c r="AJ422" s="26" t="n">
        <v>45859.84375</v>
      </c>
      <c r="AK422" s="26" t="n">
        <v>45860.14583333334</v>
      </c>
      <c r="AL422" s="26" t="n">
        <v>45860.16319444445</v>
      </c>
      <c r="AM422" s="26" t="n">
        <v>45860.18055555555</v>
      </c>
      <c r="AN422" s="26" t="n">
        <v>45860.22986111111</v>
      </c>
      <c r="AO422" s="26" t="n">
        <v>45860.28125</v>
      </c>
      <c r="AP422" s="20">
        <f>(AG422-AF422)*1440</f>
        <v/>
      </c>
      <c r="AQ422" s="20">
        <f>(AG422-AE422)*1440</f>
        <v/>
      </c>
      <c r="AR422" s="20">
        <f>(AH422-AF422)*1440</f>
        <v/>
      </c>
      <c r="AS422" s="20">
        <f>(AI422-AH422)*1440</f>
        <v/>
      </c>
      <c r="AT422" s="20">
        <f>(AJ422-AH422)*1440</f>
        <v/>
      </c>
      <c r="AU422" s="20">
        <f>(AL422-AK422)*1440</f>
        <v/>
      </c>
      <c r="AV422" s="20">
        <f>(AM422-AL422)*1440</f>
        <v/>
      </c>
      <c r="AW422" s="20">
        <f>(AO422-AM422)*1440</f>
        <v/>
      </c>
      <c r="AX422" s="19">
        <f>AP422+AS422+AU422+AV422+AW422</f>
        <v/>
      </c>
      <c r="AY422" s="18">
        <f>(AG422-AA422)</f>
        <v/>
      </c>
      <c r="AZ422" s="18">
        <f>(AK422-AJ422)</f>
        <v/>
      </c>
      <c r="BA422" s="18">
        <f>AO422-AG422</f>
        <v/>
      </c>
      <c r="BB422" s="18">
        <f>(AO422-AA422)-(AP422/1440)-(AW422/1440)</f>
        <v/>
      </c>
      <c r="BC422" s="20">
        <f>E422/AZ422</f>
        <v/>
      </c>
      <c r="BE422" s="20">
        <f>IF(E422&lt;10000,3000,IF(E422&lt;15000,3600,IF(E422&lt;20000,4500,IF(E422&lt;25000,6000,IF(E422&lt;30000,7500,IF(E422&lt;40000,9000,IF(E422&gt;40000,10000)))))))</f>
        <v/>
      </c>
      <c r="BF422" s="334">
        <f>(E422/BE422)+2</f>
        <v/>
      </c>
      <c r="BS422" s="97" t="inlineStr">
        <is>
          <t>NUL</t>
        </is>
      </c>
      <c r="BT422" s="99" t="n">
        <v>0</v>
      </c>
      <c r="BU422" s="97" t="n"/>
      <c r="BV422" s="97" t="n"/>
      <c r="BW422" s="332">
        <f>AI423-AH423</f>
        <v/>
      </c>
      <c r="CB422" s="14" t="n">
        <v>2805</v>
      </c>
    </row>
    <row r="423">
      <c r="A423" s="81" t="n">
        <v>276</v>
      </c>
      <c r="B423" s="343" t="inlineStr">
        <is>
          <t>S NEPTUNE</t>
        </is>
      </c>
      <c r="C423" s="15" t="n">
        <v>45861</v>
      </c>
      <c r="D423" s="329" t="n">
        <v>18000</v>
      </c>
      <c r="E423" s="329" t="n">
        <v>18000</v>
      </c>
      <c r="G423" s="81" t="n">
        <v>1</v>
      </c>
      <c r="H423" s="75" t="inlineStr">
        <is>
          <t>NPK</t>
        </is>
      </c>
      <c r="I423" s="75" t="inlineStr">
        <is>
          <t>NPK 12 24 12 SP</t>
        </is>
      </c>
      <c r="J423" s="75" t="inlineStr">
        <is>
          <t>FOB</t>
        </is>
      </c>
      <c r="Q423" s="75" t="inlineStr">
        <is>
          <t>AFRIQUE</t>
        </is>
      </c>
      <c r="R423" s="75" t="inlineStr">
        <is>
          <t>ANGOLA</t>
        </is>
      </c>
      <c r="T423" s="75" t="inlineStr">
        <is>
          <t>INTERTEK</t>
        </is>
      </c>
      <c r="U423" s="81" t="n">
        <v>170</v>
      </c>
      <c r="V423" s="53">
        <f>IF(U423&lt;130, "Mini Bulker", IF(AND(U423&gt;=130, U423&lt;150), "Handysize", IF(AND(U423&gt;=150, U423&lt;200), "Handymax", IF(AND(U423&gt;=200, U423&lt;230), "Panamax", IF(AND(U423&gt;=230, U423&lt;=270), "Capesize", "Autre")))))</f>
        <v/>
      </c>
      <c r="X423" s="14">
        <f>IF(E423&lt;9999,"1",IF(E423&lt;19999,"2",IF(E423&lt;29999,"3",IF(E423&lt;39999,"4",IF(E423&lt;49999,"5",IF(E423&gt;50000,"6"))))))</f>
        <v/>
      </c>
      <c r="Y423" s="99" t="inlineStr">
        <is>
          <t>2N</t>
        </is>
      </c>
      <c r="AA423" s="26" t="n">
        <v>45857.875</v>
      </c>
      <c r="AB423" s="26" t="n">
        <v>45859.375</v>
      </c>
      <c r="AC423" s="15" t="n">
        <v>45858</v>
      </c>
      <c r="AD423" s="15" t="n">
        <v>45863</v>
      </c>
      <c r="AE423" s="26" t="n">
        <v>45857.875</v>
      </c>
      <c r="AF423" s="26" t="n">
        <v>45858.69097222222</v>
      </c>
      <c r="AG423" s="26" t="n">
        <v>45858.8125</v>
      </c>
      <c r="AH423" s="26" t="n">
        <v>45858.82291666666</v>
      </c>
      <c r="AI423" s="26" t="n">
        <v>45858.90625</v>
      </c>
      <c r="AJ423" s="26" t="n">
        <v>45859.01041666666</v>
      </c>
      <c r="AK423" s="26" t="n">
        <v>45861.79513888889</v>
      </c>
      <c r="AL423" s="26" t="n">
        <v>45861.83333333334</v>
      </c>
      <c r="AM423" s="26" t="n">
        <v>45861.875</v>
      </c>
      <c r="AN423" s="26" t="n">
        <v>45861.93263888889</v>
      </c>
      <c r="AO423" s="26" t="n">
        <v>45861.97222222222</v>
      </c>
      <c r="AP423" s="20">
        <f>(AG423-AF423)*1440</f>
        <v/>
      </c>
      <c r="AQ423" s="20">
        <f>(AG423-AE423)*1440</f>
        <v/>
      </c>
      <c r="AR423" s="20">
        <f>(AH423-AF423)*1440</f>
        <v/>
      </c>
      <c r="AS423" s="20">
        <f>(AI423-AH423)*1440</f>
        <v/>
      </c>
      <c r="AT423" s="20">
        <f>(AJ423-AH423)*1440</f>
        <v/>
      </c>
      <c r="AU423" s="20">
        <f>(AL423-AK423)*1440</f>
        <v/>
      </c>
      <c r="AV423" s="20">
        <f>(AM423-AL423)*1440</f>
        <v/>
      </c>
      <c r="AW423" s="20">
        <f>(AO423-AM423)*1440</f>
        <v/>
      </c>
      <c r="AX423" s="19">
        <f>AP423+AS423+AU423+AV423+AW423</f>
        <v/>
      </c>
      <c r="AY423" s="18">
        <f>(AG423-AA423)</f>
        <v/>
      </c>
      <c r="AZ423" s="18">
        <f>(AK423-AJ423)</f>
        <v/>
      </c>
      <c r="BA423" s="18">
        <f>AO423-AG423</f>
        <v/>
      </c>
      <c r="BB423" s="18">
        <f>(AO423-AA423)-(AP423/1440)-(AW423/1440)</f>
        <v/>
      </c>
      <c r="BC423" s="20">
        <f>E423/AZ423</f>
        <v/>
      </c>
      <c r="BE423" s="20">
        <f>IF(E423&lt;10000,3000,IF(E423&lt;15000,3600,IF(E423&lt;20000,4500,IF(E423&lt;25000,6000,IF(E423&lt;30000,7500,IF(E423&lt;40000,9000,IF(E423&gt;40000,10000)))))))</f>
        <v/>
      </c>
      <c r="BF423" s="334">
        <f>(E423/BE423)+2</f>
        <v/>
      </c>
      <c r="BS423" s="97" t="inlineStr">
        <is>
          <t>NUL</t>
        </is>
      </c>
      <c r="BT423" s="99" t="n">
        <v>0</v>
      </c>
      <c r="BU423" s="97" t="n"/>
      <c r="BV423" s="97" t="n"/>
      <c r="BW423" s="332">
        <f>AI424-AH424</f>
        <v/>
      </c>
      <c r="CB423" s="14" t="n">
        <v>18462</v>
      </c>
    </row>
    <row r="424" ht="14.55" customHeight="1" s="70">
      <c r="A424" s="81" t="n">
        <v>277</v>
      </c>
      <c r="B424" s="343" t="inlineStr">
        <is>
          <t>ES JASMINE</t>
        </is>
      </c>
      <c r="C424" s="15" t="n">
        <v>45862</v>
      </c>
      <c r="D424" s="329" t="n">
        <v>13000</v>
      </c>
      <c r="E424" s="333">
        <f>D424+D425</f>
        <v/>
      </c>
      <c r="G424" s="81" t="n">
        <v>2</v>
      </c>
      <c r="H424" s="75" t="inlineStr">
        <is>
          <t>MAP</t>
        </is>
      </c>
      <c r="I424" s="75" t="inlineStr">
        <is>
          <t>MAP 11 52 SPECIAL</t>
        </is>
      </c>
      <c r="J424" s="75" t="inlineStr">
        <is>
          <t>CFR</t>
        </is>
      </c>
      <c r="Q424" s="75" t="inlineStr">
        <is>
          <t>AMERIQUE LATINE</t>
        </is>
      </c>
      <c r="R424" s="75" t="inlineStr">
        <is>
          <t>BRESIL</t>
        </is>
      </c>
      <c r="T424" s="75" t="inlineStr">
        <is>
          <t>INTERTEK</t>
        </is>
      </c>
      <c r="U424" s="81" t="n">
        <v>182</v>
      </c>
      <c r="V424" s="53">
        <f>IF(U424&lt;130, "Mini Bulker", IF(AND(U424&gt;=130, U424&lt;150), "Handysize", IF(AND(U424&gt;=150, U424&lt;200), "Handymax", IF(AND(U424&gt;=200, U424&lt;230), "Panamax", IF(AND(U424&gt;=230, U424&lt;=270), "Capesize", "Autre")))))</f>
        <v/>
      </c>
      <c r="X424" s="14">
        <f>IF(E424&lt;9999,"1",IF(E424&lt;19999,"2",IF(E424&lt;29999,"3",IF(E424&lt;39999,"4",IF(E424&lt;49999,"5",IF(E424&gt;50000,"6"))))))</f>
        <v/>
      </c>
      <c r="Y424" s="99" t="inlineStr">
        <is>
          <t>2BIS</t>
        </is>
      </c>
      <c r="AA424" s="26" t="n">
        <v>45858.26666666667</v>
      </c>
      <c r="AB424" s="26" t="n">
        <v>45859.375</v>
      </c>
      <c r="AC424" s="15" t="n">
        <v>45856</v>
      </c>
      <c r="AD424" s="15" t="n">
        <v>45858</v>
      </c>
      <c r="AE424" s="26" t="n">
        <v>45858.225</v>
      </c>
      <c r="AF424" s="26" t="n">
        <v>45858.41666666666</v>
      </c>
      <c r="AG424" s="26" t="n">
        <v>45858.5375</v>
      </c>
      <c r="AH424" s="26" t="n">
        <v>45858.56597222222</v>
      </c>
      <c r="AI424" s="26" t="n">
        <v>45858.63472222222</v>
      </c>
      <c r="AJ424" s="26" t="n">
        <v>45858.70486111111</v>
      </c>
      <c r="AK424" s="26" t="n">
        <v>45862.20833333334</v>
      </c>
      <c r="AL424" s="26" t="n">
        <v>45862.25138888889</v>
      </c>
      <c r="AM424" s="26" t="n">
        <v>45862.28819444445</v>
      </c>
      <c r="AN424" s="26" t="n">
        <v>45862.375</v>
      </c>
      <c r="AO424" s="26" t="n">
        <v>45862.44166666667</v>
      </c>
      <c r="AP424" s="20">
        <f>(AG424-AF424)*1440</f>
        <v/>
      </c>
      <c r="AQ424" s="20">
        <f>(AG424-AE424)*1440</f>
        <v/>
      </c>
      <c r="AR424" s="20">
        <f>(AH424-AF424)*1440</f>
        <v/>
      </c>
      <c r="AS424" s="20">
        <f>(AI424-AH424)*1440</f>
        <v/>
      </c>
      <c r="AT424" s="20">
        <f>(AJ424-AH424)*1440</f>
        <v/>
      </c>
      <c r="AU424" s="20">
        <f>(AL424-AK424)*1440</f>
        <v/>
      </c>
      <c r="AV424" s="20">
        <f>(AM424-AL424)*1440</f>
        <v/>
      </c>
      <c r="AW424" s="20">
        <f>(AO424-AM424)*1440</f>
        <v/>
      </c>
      <c r="AX424" s="19">
        <f>AP424+AS424+AU424+AV424+AW424</f>
        <v/>
      </c>
      <c r="AY424" s="18">
        <f>(AG424-AA424)</f>
        <v/>
      </c>
      <c r="AZ424" s="18">
        <f>(AK424-AJ424)</f>
        <v/>
      </c>
      <c r="BA424" s="18">
        <f>AO424-AG424</f>
        <v/>
      </c>
      <c r="BB424" s="18">
        <f>(AO424-AA424)-(AP424/1440)-(AW424/1440)</f>
        <v/>
      </c>
      <c r="BC424" s="20">
        <f>E424/AZ424</f>
        <v/>
      </c>
      <c r="BE424" s="20">
        <f>IF(E424&lt;10000,3000,IF(E424&lt;15000,3600,IF(E424&lt;20000,4500,IF(E424&lt;25000,6000,IF(E424&lt;30000,7500,IF(E424&lt;40000,9000,IF(E424&gt;40000,10000)))))))</f>
        <v/>
      </c>
      <c r="BF424" s="334">
        <f>(E424/BE424)+2</f>
        <v/>
      </c>
      <c r="BS424" s="97" t="inlineStr">
        <is>
          <t>CHANGE DU POSTE 2BIS VERS LA RADE LE 22/07- 2107 // RE-ACCOSTAGE AU POSTE 2BIS LE 23/07- 0300</t>
        </is>
      </c>
      <c r="BT424" s="99" t="n">
        <v>2</v>
      </c>
      <c r="BU424" s="97" t="inlineStr">
        <is>
          <t>CLEAN</t>
        </is>
      </c>
      <c r="BV424" s="97" t="inlineStr">
        <is>
          <t>NUL</t>
        </is>
      </c>
      <c r="BW424" s="332">
        <f>AI425-AH425</f>
        <v/>
      </c>
      <c r="CB424" s="14" t="n">
        <v>24159</v>
      </c>
    </row>
    <row r="425" ht="14.55" customHeight="1" s="70">
      <c r="A425" s="81" t="n"/>
      <c r="B425" s="343" t="inlineStr">
        <is>
          <t>ES JASMINE</t>
        </is>
      </c>
      <c r="C425" s="15" t="n">
        <v>45862</v>
      </c>
      <c r="D425" s="329" t="n">
        <v>19525</v>
      </c>
      <c r="E425" s="330" t="n"/>
      <c r="G425" s="81" t="n">
        <v>2</v>
      </c>
      <c r="H425" s="75" t="inlineStr">
        <is>
          <t>TSP</t>
        </is>
      </c>
      <c r="I425" s="75" t="inlineStr">
        <is>
          <t>TSP SPECIAL JORF</t>
        </is>
      </c>
      <c r="J425" s="75" t="inlineStr">
        <is>
          <t>CFR</t>
        </is>
      </c>
      <c r="Q425" s="75" t="inlineStr">
        <is>
          <t>AMERIQUE LATINE</t>
        </is>
      </c>
      <c r="R425" s="75" t="inlineStr">
        <is>
          <t>BRESIL</t>
        </is>
      </c>
      <c r="T425" s="75" t="inlineStr">
        <is>
          <t>INTERTEK</t>
        </is>
      </c>
      <c r="U425" s="81" t="n">
        <v>182</v>
      </c>
      <c r="V425" s="53">
        <f>IF(U425&lt;130, "Mini Bulker", IF(AND(U425&gt;=130, U425&lt;150), "Handysize", IF(AND(U425&gt;=150, U425&lt;200), "Handymax", IF(AND(U425&gt;=200, U425&lt;230), "Panamax", IF(AND(U425&gt;=230, U425&lt;=270), "Capesize", "Autre")))))</f>
        <v/>
      </c>
      <c r="X425" s="14">
        <f>IF(E425&lt;9999,"1",IF(E425&lt;19999,"2",IF(E425&lt;29999,"3",IF(E425&lt;39999,"4",IF(E425&lt;49999,"5",IF(E425&gt;50000,"6"))))))</f>
        <v/>
      </c>
      <c r="Y425" s="99" t="inlineStr">
        <is>
          <t>2BIS</t>
        </is>
      </c>
      <c r="AA425" s="98" t="n"/>
      <c r="AB425" s="98" t="n"/>
      <c r="AC425" s="98" t="n"/>
      <c r="AD425" s="98" t="n"/>
      <c r="AE425" s="98" t="n"/>
      <c r="AF425" s="98" t="n"/>
      <c r="AG425" s="98" t="n"/>
      <c r="AH425" s="98" t="n"/>
      <c r="AI425" s="98" t="n"/>
      <c r="AJ425" s="98" t="n"/>
      <c r="AK425" s="98" t="n"/>
      <c r="AL425" s="98" t="n"/>
      <c r="AM425" s="98" t="n"/>
      <c r="AN425" s="98" t="n"/>
      <c r="AO425" s="98" t="n"/>
      <c r="AP425" s="98" t="n"/>
      <c r="AQ425" s="98" t="n"/>
      <c r="AR425" s="98" t="n"/>
      <c r="AS425" s="98" t="n"/>
      <c r="AT425" s="98" t="n"/>
      <c r="AU425" s="98" t="n"/>
      <c r="AV425" s="98" t="n"/>
      <c r="AW425" s="98" t="n"/>
      <c r="AX425" s="98" t="n"/>
      <c r="AY425" s="98" t="n"/>
      <c r="AZ425" s="98" t="n"/>
      <c r="BA425" s="98" t="n"/>
      <c r="BB425" s="98" t="n"/>
      <c r="BC425" s="98" t="n"/>
      <c r="BD425" s="98" t="n"/>
      <c r="BE425" s="98" t="n"/>
      <c r="BF425" s="98" t="n"/>
      <c r="BG425" s="98" t="n"/>
      <c r="BH425" s="98" t="n"/>
      <c r="BI425" s="98" t="n"/>
      <c r="BJ425" s="98" t="n"/>
      <c r="BK425" s="98" t="n"/>
      <c r="BL425" s="98" t="n"/>
      <c r="BM425" s="98" t="n"/>
      <c r="BN425" s="98" t="n"/>
      <c r="BO425" s="98" t="n"/>
      <c r="BP425" s="98" t="n"/>
      <c r="BQ425" s="98" t="n"/>
      <c r="BR425" s="98" t="n"/>
      <c r="BS425" s="97" t="n"/>
      <c r="BT425" s="99" t="n"/>
      <c r="BU425" s="97" t="n"/>
      <c r="BV425" s="97" t="n"/>
      <c r="CB425" s="14" t="n"/>
    </row>
    <row r="426" ht="14.55" customHeight="1" s="70">
      <c r="A426" s="81" t="n">
        <v>278</v>
      </c>
      <c r="B426" s="343" t="inlineStr">
        <is>
          <t>NARIE</t>
        </is>
      </c>
      <c r="C426" s="15" t="n">
        <v>45862</v>
      </c>
      <c r="D426" s="329" t="n">
        <v>18720</v>
      </c>
      <c r="E426" s="333">
        <f>D426+D427</f>
        <v/>
      </c>
      <c r="G426" s="81" t="n">
        <v>2</v>
      </c>
      <c r="H426" s="75" t="inlineStr">
        <is>
          <t>MAP</t>
        </is>
      </c>
      <c r="I426" s="75" t="inlineStr">
        <is>
          <t>MAP 11 52 SPECIAL</t>
        </is>
      </c>
      <c r="J426" s="75" t="inlineStr">
        <is>
          <t>CFR</t>
        </is>
      </c>
      <c r="Q426" s="75" t="inlineStr">
        <is>
          <t>AMERIQUE</t>
        </is>
      </c>
      <c r="R426" s="75" t="inlineStr">
        <is>
          <t>CANADA</t>
        </is>
      </c>
      <c r="T426" s="75" t="inlineStr">
        <is>
          <t>INTERTEK</t>
        </is>
      </c>
      <c r="U426" s="81" t="n">
        <v>200</v>
      </c>
      <c r="V426" s="53">
        <f>IF(U426&lt;130, "Mini Bulker", IF(AND(U426&gt;=130, U426&lt;150), "Handysize", IF(AND(U426&gt;=150, U426&lt;200), "Handymax", IF(AND(U426&gt;=200, U426&lt;230), "Panamax", IF(AND(U426&gt;=230, U426&lt;=270), "Capesize", "Autre")))))</f>
        <v/>
      </c>
      <c r="X426" s="14">
        <f>IF(E426&lt;9999,"1",IF(E426&lt;19999,"2",IF(E426&lt;29999,"3",IF(E426&lt;39999,"4",IF(E426&lt;49999,"5",IF(E426&gt;50000,"6"))))))</f>
        <v/>
      </c>
      <c r="Y426" s="99" t="inlineStr">
        <is>
          <t>1BIS/1TER</t>
        </is>
      </c>
      <c r="AA426" s="26" t="n">
        <v>45857.78472222222</v>
      </c>
      <c r="AB426" s="26" t="n">
        <v>45859.375</v>
      </c>
      <c r="AC426" s="15" t="n">
        <v>45859</v>
      </c>
      <c r="AD426" s="15" t="n">
        <v>45861</v>
      </c>
      <c r="AE426" s="26" t="n">
        <v>45857.72916666666</v>
      </c>
      <c r="AF426" s="26" t="n">
        <v>45859.05694444444</v>
      </c>
      <c r="AG426" s="26" t="n">
        <v>45859.16666666666</v>
      </c>
      <c r="AH426" s="26" t="n">
        <v>45859.1875</v>
      </c>
      <c r="AI426" s="26" t="n">
        <v>45859.25</v>
      </c>
      <c r="AJ426" s="26" t="n">
        <v>45859.45833333334</v>
      </c>
      <c r="AK426" s="26" t="n">
        <v>45862.8125</v>
      </c>
      <c r="AL426" s="26" t="n">
        <v>45862.86805555555</v>
      </c>
      <c r="AM426" s="26" t="n">
        <v>45862.90972222222</v>
      </c>
      <c r="AN426" s="26" t="n">
        <v>45862.95416666667</v>
      </c>
      <c r="AO426" s="26" t="n">
        <v>45862.97569444445</v>
      </c>
      <c r="AP426" s="20">
        <f>(AG426-AF426)*1440</f>
        <v/>
      </c>
      <c r="AQ426" s="20">
        <f>(AG426-AE426)*1440</f>
        <v/>
      </c>
      <c r="AR426" s="20">
        <f>(AH426-AF426)*1440</f>
        <v/>
      </c>
      <c r="AS426" s="20">
        <f>(AI426-AH426)*1440</f>
        <v/>
      </c>
      <c r="AT426" s="20">
        <f>(AJ426-AH426)*1440</f>
        <v/>
      </c>
      <c r="AU426" s="20">
        <f>(AL426-AK426)*1440</f>
        <v/>
      </c>
      <c r="AV426" s="20">
        <f>(AM426-AL426)*1440</f>
        <v/>
      </c>
      <c r="AW426" s="20">
        <f>(AO426-AM426)*1440</f>
        <v/>
      </c>
      <c r="AX426" s="19">
        <f>AP426+AS426+AU426+AV426+AW426</f>
        <v/>
      </c>
      <c r="AY426" s="18">
        <f>(AG426-AA426)</f>
        <v/>
      </c>
      <c r="AZ426" s="18">
        <f>(AK426-AJ426)</f>
        <v/>
      </c>
      <c r="BA426" s="18">
        <f>AO426-AG426</f>
        <v/>
      </c>
      <c r="BB426" s="18">
        <f>(AO426-AA426)-(AP426/1440)-(AW426/1440)</f>
        <v/>
      </c>
      <c r="BC426" s="20">
        <f>E426/AZ426</f>
        <v/>
      </c>
      <c r="BE426" s="20">
        <f>IF(E426&lt;10000,3000,IF(E426&lt;15000,3600,IF(E426&lt;20000,4500,IF(E426&lt;25000,6000,IF(E426&lt;30000,7500,IF(E426&lt;40000,9000,IF(E426&gt;40000,10000)))))))</f>
        <v/>
      </c>
      <c r="BF426" s="334">
        <f>(E426/BE426)+2</f>
        <v/>
      </c>
      <c r="BS426" s="97" t="inlineStr">
        <is>
          <t>CHANGE DU POSTE 1BIS VERS POSTE 1TER LE 22/07- 1050</t>
        </is>
      </c>
      <c r="BT426" s="99" t="n">
        <v>1</v>
      </c>
      <c r="BU426" s="97" t="n"/>
      <c r="BV426" s="97" t="n"/>
      <c r="BW426" s="332">
        <f>AI427-AH427</f>
        <v/>
      </c>
      <c r="CB426" s="14" t="n">
        <v>22982</v>
      </c>
    </row>
    <row r="427" ht="15" customHeight="1" s="70">
      <c r="A427" s="81" t="n"/>
      <c r="B427" s="343" t="inlineStr">
        <is>
          <t>NARIE</t>
        </is>
      </c>
      <c r="C427" s="15" t="n">
        <v>45862</v>
      </c>
      <c r="D427" s="329" t="n">
        <v>15198</v>
      </c>
      <c r="E427" s="330" t="n"/>
      <c r="G427" s="81" t="n">
        <v>2</v>
      </c>
      <c r="H427" s="75" t="inlineStr">
        <is>
          <t>TSP</t>
        </is>
      </c>
      <c r="I427" s="75" t="inlineStr">
        <is>
          <t>TSP Euro Hors EU</t>
        </is>
      </c>
      <c r="J427" s="75" t="inlineStr">
        <is>
          <t>CFR</t>
        </is>
      </c>
      <c r="Q427" s="75" t="inlineStr">
        <is>
          <t>AMERIQUE</t>
        </is>
      </c>
      <c r="R427" s="75" t="inlineStr">
        <is>
          <t>CANADA</t>
        </is>
      </c>
      <c r="T427" s="75" t="inlineStr">
        <is>
          <t>INTERTEK</t>
        </is>
      </c>
      <c r="U427" s="81" t="n">
        <v>200</v>
      </c>
      <c r="V427" s="53">
        <f>IF(U427&lt;130, "Mini Bulker", IF(AND(U427&gt;=130, U427&lt;150), "Handysize", IF(AND(U427&gt;=150, U427&lt;200), "Handymax", IF(AND(U427&gt;=200, U427&lt;230), "Panamax", IF(AND(U427&gt;=230, U427&lt;=270), "Capesize", "Autre")))))</f>
        <v/>
      </c>
      <c r="X427" s="14">
        <f>IF(E427&lt;9999,"1",IF(E427&lt;19999,"2",IF(E427&lt;29999,"3",IF(E427&lt;39999,"4",IF(E427&lt;49999,"5",IF(E427&gt;50000,"6"))))))</f>
        <v/>
      </c>
      <c r="Y427" s="99" t="inlineStr">
        <is>
          <t>1BIS/1TER</t>
        </is>
      </c>
      <c r="AA427" s="98" t="n"/>
      <c r="AB427" s="98" t="n"/>
      <c r="AC427" s="98" t="n"/>
      <c r="AD427" s="98" t="n"/>
      <c r="AE427" s="98" t="n"/>
      <c r="AF427" s="98" t="n"/>
      <c r="AG427" s="98" t="n"/>
      <c r="AH427" s="98" t="n"/>
      <c r="AI427" s="98" t="n"/>
      <c r="AJ427" s="98" t="n"/>
      <c r="AK427" s="98" t="n"/>
      <c r="AL427" s="98" t="n"/>
      <c r="AM427" s="98" t="n"/>
      <c r="AN427" s="98" t="n"/>
      <c r="AO427" s="98" t="n"/>
      <c r="AP427" s="98" t="n"/>
      <c r="AQ427" s="98" t="n"/>
      <c r="AR427" s="98" t="n"/>
      <c r="AS427" s="98" t="n"/>
      <c r="AT427" s="98" t="n"/>
      <c r="AU427" s="98" t="n"/>
      <c r="AV427" s="98" t="n"/>
      <c r="AW427" s="98" t="n"/>
      <c r="AX427" s="98" t="n"/>
      <c r="AY427" s="98" t="n"/>
      <c r="AZ427" s="98" t="n"/>
      <c r="BA427" s="98" t="n"/>
      <c r="BB427" s="98" t="n"/>
      <c r="BC427" s="98" t="n"/>
      <c r="BD427" s="98" t="n"/>
      <c r="BE427" s="98" t="n"/>
      <c r="BF427" s="98" t="n"/>
      <c r="BG427" s="98" t="n"/>
      <c r="BH427" s="98" t="n"/>
      <c r="BI427" s="98" t="n"/>
      <c r="BJ427" s="98" t="n"/>
      <c r="BK427" s="98" t="n"/>
      <c r="BL427" s="98" t="n"/>
      <c r="BM427" s="98" t="n"/>
      <c r="BN427" s="98" t="n"/>
      <c r="BO427" s="98" t="n"/>
      <c r="BP427" s="98" t="n"/>
      <c r="BQ427" s="98" t="n"/>
      <c r="BR427" s="98" t="n"/>
      <c r="BS427" s="97" t="n"/>
      <c r="BT427" s="99" t="n"/>
      <c r="BU427" s="97" t="n"/>
      <c r="BV427" s="97" t="n"/>
      <c r="CB427" s="14" t="n"/>
    </row>
    <row r="428" ht="14.55" customHeight="1" s="70">
      <c r="A428" s="81" t="n">
        <v>280</v>
      </c>
      <c r="B428" s="343" t="inlineStr">
        <is>
          <t>FRIEDRICH SCHULTE</t>
        </is>
      </c>
      <c r="C428" s="15" t="n">
        <v>45863</v>
      </c>
      <c r="D428" s="329" t="n">
        <v>25111</v>
      </c>
      <c r="E428" s="333">
        <f>D428+D429</f>
        <v/>
      </c>
      <c r="G428" s="81" t="n">
        <v>2</v>
      </c>
      <c r="H428" s="75" t="inlineStr">
        <is>
          <t>NPS</t>
        </is>
      </c>
      <c r="I428" s="75" t="inlineStr">
        <is>
          <t xml:space="preserve">NPS 1 30 8.5S Jorf </t>
        </is>
      </c>
      <c r="J428" s="75" t="inlineStr">
        <is>
          <t>CFR</t>
        </is>
      </c>
      <c r="Q428" s="75" t="inlineStr">
        <is>
          <t>AMERIQUE LATINE</t>
        </is>
      </c>
      <c r="R428" s="75" t="inlineStr">
        <is>
          <t>BRASIL</t>
        </is>
      </c>
      <c r="T428" s="75" t="inlineStr">
        <is>
          <t>INTERTEK</t>
        </is>
      </c>
      <c r="U428" s="81" t="n">
        <v>180</v>
      </c>
      <c r="V428" s="53">
        <f>IF(U428&lt;130, "Mini Bulker", IF(AND(U428&gt;=130, U428&lt;150), "Handysize", IF(AND(U428&gt;=150, U428&lt;200), "Handymax", IF(AND(U428&gt;=200, U428&lt;230), "Panamax", IF(AND(U428&gt;=230, U428&lt;=270), "Capesize", "Autre")))))</f>
        <v/>
      </c>
      <c r="X428" s="14">
        <f>IF(E428&lt;9999,"1",IF(E428&lt;19999,"2",IF(E428&lt;29999,"3",IF(E428&lt;39999,"4",IF(E428&lt;49999,"5",IF(E428&gt;50000,"6"))))))</f>
        <v/>
      </c>
      <c r="Y428" s="99" t="inlineStr">
        <is>
          <t>1N/1BIS</t>
        </is>
      </c>
      <c r="AA428" s="26" t="n">
        <v>45840.45833333334</v>
      </c>
      <c r="AB428" s="26" t="n">
        <v>45840.45833333334</v>
      </c>
      <c r="AC428" s="15" t="n">
        <v>45839</v>
      </c>
      <c r="AD428" s="15" t="n">
        <v>45841</v>
      </c>
      <c r="AE428" s="26" t="n">
        <v>45840.425</v>
      </c>
      <c r="AF428" s="26" t="n">
        <v>45841.5625</v>
      </c>
      <c r="AG428" s="26" t="n">
        <v>45841.64166666667</v>
      </c>
      <c r="AH428" s="26" t="n">
        <v>45841.65625</v>
      </c>
      <c r="AI428" s="26" t="n">
        <v>45841.71875</v>
      </c>
      <c r="AJ428" s="26" t="n">
        <v>45841.86111111111</v>
      </c>
      <c r="AK428" s="26" t="n">
        <v>45863.875</v>
      </c>
      <c r="AL428" s="26" t="n">
        <v>45863.91666666666</v>
      </c>
      <c r="AM428" s="26" t="n">
        <v>45863.94097222222</v>
      </c>
      <c r="AN428" s="26" t="n">
        <v>45863.99375</v>
      </c>
      <c r="AO428" s="26" t="n">
        <v>45864.43055555555</v>
      </c>
      <c r="AP428" s="20">
        <f>(AG428-AF428)*1440</f>
        <v/>
      </c>
      <c r="AQ428" s="20">
        <f>(AG428-AE428)*1440</f>
        <v/>
      </c>
      <c r="AR428" s="20">
        <f>(AH428-AF428)*1440</f>
        <v/>
      </c>
      <c r="AS428" s="20">
        <f>(AI428-AH428)*1440</f>
        <v/>
      </c>
      <c r="AT428" s="20">
        <f>(AJ428-AH428)*1440</f>
        <v/>
      </c>
      <c r="AU428" s="20">
        <f>(AL428-AK428)*1440</f>
        <v/>
      </c>
      <c r="AV428" s="20">
        <f>(AM428-AL428)*1440</f>
        <v/>
      </c>
      <c r="AW428" s="20">
        <f>(AO428-AM428)*1440</f>
        <v/>
      </c>
      <c r="AX428" s="19">
        <f>AP428+AS428+AU428+AV428+AW428</f>
        <v/>
      </c>
      <c r="AY428" s="18">
        <f>(AG428-AA428)</f>
        <v/>
      </c>
      <c r="AZ428" s="18">
        <f>(AK428-AJ428)</f>
        <v/>
      </c>
      <c r="BA428" s="18">
        <f>AO428-AG428</f>
        <v/>
      </c>
      <c r="BB428" s="18">
        <f>(AO428-AA428)-(AP428/1440)-(AW428/1440)</f>
        <v/>
      </c>
      <c r="BC428" s="20">
        <f>E428/AZ428</f>
        <v/>
      </c>
      <c r="BE428" s="20">
        <f>IF(E428&lt;10000,3000,IF(E428&lt;15000,3600,IF(E428&lt;20000,4500,IF(E428&lt;25000,6000,IF(E428&lt;30000,7500,IF(E428&lt;40000,9000,IF(E428&gt;40000,10000)))))))</f>
        <v/>
      </c>
      <c r="BF428" s="334">
        <f>(E428/BE428)+2</f>
        <v/>
      </c>
      <c r="BS428" s="97" t="inlineStr">
        <is>
          <t>CHANGE DU POSTE 1N VERS LA RADE LE 13/07- 1000 - RE-ACC AU POSTE 1BIS LE 22/07- 1140</t>
        </is>
      </c>
      <c r="BT428" s="99" t="n">
        <v>2</v>
      </c>
      <c r="BU428" s="97" t="n"/>
      <c r="BV428" s="97" t="n"/>
      <c r="BW428" s="332">
        <f>AI429-AH429</f>
        <v/>
      </c>
      <c r="CB428" s="14" t="n">
        <v>25696</v>
      </c>
    </row>
    <row r="429" ht="14.55" customHeight="1" s="70">
      <c r="A429" s="81" t="n"/>
      <c r="B429" s="343" t="inlineStr">
        <is>
          <t>FRIEDRICH SCHULTE</t>
        </is>
      </c>
      <c r="C429" s="15" t="n">
        <v>45863</v>
      </c>
      <c r="D429" s="329" t="n">
        <v>13010</v>
      </c>
      <c r="E429" s="330" t="n"/>
      <c r="G429" s="81" t="n">
        <v>2</v>
      </c>
      <c r="H429" s="75" t="inlineStr">
        <is>
          <t>NPS</t>
        </is>
      </c>
      <c r="I429" s="75" t="inlineStr">
        <is>
          <t xml:space="preserve">NPS 3 30 9S 0.6Zn 0.14Cu 0.5B2O3 </t>
        </is>
      </c>
      <c r="J429" s="75" t="inlineStr">
        <is>
          <t>CFR</t>
        </is>
      </c>
      <c r="Q429" s="75" t="inlineStr">
        <is>
          <t>AMERIQUE LATINE</t>
        </is>
      </c>
      <c r="R429" s="75" t="inlineStr">
        <is>
          <t>BRASIL</t>
        </is>
      </c>
      <c r="T429" s="75" t="inlineStr">
        <is>
          <t>INTERTEK</t>
        </is>
      </c>
      <c r="U429" s="81" t="n">
        <v>180</v>
      </c>
      <c r="V429" s="53">
        <f>IF(U429&lt;130, "Mini Bulker", IF(AND(U429&gt;=130, U429&lt;150), "Handysize", IF(AND(U429&gt;=150, U429&lt;200), "Handymax", IF(AND(U429&gt;=200, U429&lt;230), "Panamax", IF(AND(U429&gt;=230, U429&lt;=270), "Capesize", "Autre")))))</f>
        <v/>
      </c>
      <c r="X429" s="14">
        <f>IF(E429&lt;9999,"1",IF(E429&lt;19999,"2",IF(E429&lt;29999,"3",IF(E429&lt;39999,"4",IF(E429&lt;49999,"5",IF(E429&gt;50000,"6"))))))</f>
        <v/>
      </c>
      <c r="Y429" s="99" t="inlineStr">
        <is>
          <t>1N/1BIS</t>
        </is>
      </c>
      <c r="AA429" s="98" t="n"/>
      <c r="AB429" s="98" t="n"/>
      <c r="AC429" s="98" t="n"/>
      <c r="AD429" s="98" t="n"/>
      <c r="AE429" s="98" t="n"/>
      <c r="AF429" s="98" t="n"/>
      <c r="AG429" s="98" t="n"/>
      <c r="AH429" s="98" t="n"/>
      <c r="AI429" s="98" t="n"/>
      <c r="AJ429" s="98" t="n"/>
      <c r="AK429" s="98" t="n"/>
      <c r="AL429" s="98" t="n"/>
      <c r="AM429" s="98" t="n"/>
      <c r="AN429" s="98" t="n"/>
      <c r="AO429" s="98" t="n"/>
      <c r="AP429" s="98" t="n"/>
      <c r="AQ429" s="98" t="n"/>
      <c r="AR429" s="98" t="n"/>
      <c r="AS429" s="98" t="n"/>
      <c r="AT429" s="98" t="n"/>
      <c r="AU429" s="98" t="n"/>
      <c r="AV429" s="98" t="n"/>
      <c r="AW429" s="98" t="n"/>
      <c r="AX429" s="98" t="n"/>
      <c r="AY429" s="98" t="n"/>
      <c r="AZ429" s="98" t="n"/>
      <c r="BA429" s="98" t="n"/>
      <c r="BB429" s="98" t="n"/>
      <c r="BC429" s="98" t="n"/>
      <c r="BD429" s="98" t="n"/>
      <c r="BE429" s="98" t="n"/>
      <c r="BF429" s="98" t="n"/>
      <c r="BG429" s="98" t="n"/>
      <c r="BH429" s="98" t="n"/>
      <c r="BI429" s="98" t="n"/>
      <c r="BJ429" s="98" t="n"/>
      <c r="BK429" s="98" t="n"/>
      <c r="BL429" s="98" t="n"/>
      <c r="BM429" s="98" t="n"/>
      <c r="BN429" s="98" t="n"/>
      <c r="BO429" s="98" t="n"/>
      <c r="BP429" s="98" t="n"/>
      <c r="BQ429" s="98" t="n"/>
      <c r="BR429" s="98" t="n"/>
      <c r="BS429" s="97" t="n"/>
      <c r="BT429" s="99" t="n"/>
      <c r="BU429" s="97" t="n"/>
      <c r="BV429" s="97" t="n"/>
      <c r="CB429" s="14" t="n"/>
    </row>
    <row r="430" ht="15" customHeight="1" s="70">
      <c r="A430" s="81" t="n">
        <v>279</v>
      </c>
      <c r="B430" s="343" t="inlineStr">
        <is>
          <t>LADY SEMA</t>
        </is>
      </c>
      <c r="C430" s="15" t="n">
        <v>45863</v>
      </c>
      <c r="D430" s="329" t="n">
        <v>7700</v>
      </c>
      <c r="E430" s="333">
        <f>D430+D431</f>
        <v/>
      </c>
      <c r="G430" s="81" t="n">
        <v>2</v>
      </c>
      <c r="H430" s="75" t="inlineStr">
        <is>
          <t>TSP</t>
        </is>
      </c>
      <c r="I430" s="75" t="inlineStr">
        <is>
          <t xml:space="preserve">TSP EURO </t>
        </is>
      </c>
      <c r="J430" s="75" t="inlineStr">
        <is>
          <t>FOB</t>
        </is>
      </c>
      <c r="Q430" s="75" t="inlineStr">
        <is>
          <t>EUROPE</t>
        </is>
      </c>
      <c r="R430" s="75" t="inlineStr">
        <is>
          <t>TURQUIE</t>
        </is>
      </c>
      <c r="T430" s="75" t="inlineStr">
        <is>
          <t>INSPECTORATE</t>
        </is>
      </c>
      <c r="U430" s="81" t="n">
        <v>137</v>
      </c>
      <c r="V430" s="53">
        <f>IF(U430&lt;130, "Mini Bulker", IF(AND(U430&gt;=130, U430&lt;150), "Handysize", IF(AND(U430&gt;=150, U430&lt;200), "Handymax", IF(AND(U430&gt;=200, U430&lt;230), "Panamax", IF(AND(U430&gt;=230, U430&lt;=270), "Capesize", "Autre")))))</f>
        <v/>
      </c>
      <c r="X430" s="14">
        <f>IF(E430&lt;9999,"1",IF(E430&lt;19999,"2",IF(E430&lt;29999,"3",IF(E430&lt;39999,"4",IF(E430&lt;49999,"5",IF(E430&gt;50000,"6"))))))</f>
        <v/>
      </c>
      <c r="Y430" s="99" t="inlineStr">
        <is>
          <t>2TER/1N</t>
        </is>
      </c>
      <c r="AA430" s="26" t="n">
        <v>45856.66666666666</v>
      </c>
      <c r="AB430" s="26" t="n">
        <v>45856.66666666666</v>
      </c>
      <c r="AC430" s="15" t="n">
        <v>45860</v>
      </c>
      <c r="AD430" s="15" t="n">
        <v>45862</v>
      </c>
      <c r="AE430" s="26" t="n">
        <v>45852.27083333334</v>
      </c>
      <c r="AF430" s="26" t="n">
        <v>45860.67152777778</v>
      </c>
      <c r="AG430" s="26" t="n">
        <v>45860.79166666666</v>
      </c>
      <c r="AH430" s="26" t="n">
        <v>45860.8125</v>
      </c>
      <c r="AI430" s="26" t="n">
        <v>45860.85763888889</v>
      </c>
      <c r="AJ430" s="26" t="n">
        <v>45860.88888888889</v>
      </c>
      <c r="AK430" s="26" t="n">
        <v>45863.36111111111</v>
      </c>
      <c r="AL430" s="26" t="n">
        <v>45863.40277777778</v>
      </c>
      <c r="AM430" s="26" t="n">
        <v>45863.43055555555</v>
      </c>
      <c r="AN430" s="26" t="n">
        <v>45863.49166666667</v>
      </c>
      <c r="AO430" s="26" t="n">
        <v>45863.51388888889</v>
      </c>
      <c r="AP430" s="20">
        <f>(AG430-AF430)*1440</f>
        <v/>
      </c>
      <c r="AQ430" s="20">
        <f>(AG430-AE430)*1440</f>
        <v/>
      </c>
      <c r="AR430" s="20">
        <f>(AH430-AF430)*1440</f>
        <v/>
      </c>
      <c r="AS430" s="20">
        <f>(AI430-AH430)*1440</f>
        <v/>
      </c>
      <c r="AT430" s="20">
        <f>(AJ430-AH430)*1440</f>
        <v/>
      </c>
      <c r="AU430" s="20">
        <f>(AL430-AK430)*1440</f>
        <v/>
      </c>
      <c r="AV430" s="20">
        <f>(AM430-AL430)*1440</f>
        <v/>
      </c>
      <c r="AW430" s="20">
        <f>(AO430-AM430)*1440</f>
        <v/>
      </c>
      <c r="AX430" s="19">
        <f>AP430+AS430+AU430+AV430+AW430</f>
        <v/>
      </c>
      <c r="AY430" s="18">
        <f>(AG430-AA430)</f>
        <v/>
      </c>
      <c r="AZ430" s="18">
        <f>(AK430-AJ430)</f>
        <v/>
      </c>
      <c r="BA430" s="18">
        <f>AO430-AG430</f>
        <v/>
      </c>
      <c r="BB430" s="18">
        <f>(AO430-AA430)-(AP430/1440)-(AW430/1440)</f>
        <v/>
      </c>
      <c r="BC430" s="20">
        <f>E430/AZ430</f>
        <v/>
      </c>
      <c r="BE430" s="20">
        <f>IF(E430&lt;10000,3000,IF(E430&lt;15000,3600,IF(E430&lt;20000,4500,IF(E430&lt;25000,6000,IF(E430&lt;30000,7500,IF(E430&lt;40000,9000,IF(E430&gt;40000,10000)))))))</f>
        <v/>
      </c>
      <c r="BF430" s="334">
        <f>(E430/BE430)+2</f>
        <v/>
      </c>
      <c r="BS430" s="97" t="inlineStr">
        <is>
          <t>CHANGE DU POSTE 2TER VERS POSTE 1N LE 23/07- 1947</t>
        </is>
      </c>
      <c r="BT430" s="99" t="n">
        <v>1</v>
      </c>
      <c r="BU430" s="97" t="n"/>
      <c r="BV430" s="97" t="n"/>
      <c r="BW430" s="332">
        <f>AI431-AH431</f>
        <v/>
      </c>
      <c r="CB430" s="14" t="n">
        <v>9978</v>
      </c>
    </row>
    <row r="431" ht="15" customHeight="1" s="70">
      <c r="B431" s="343" t="inlineStr">
        <is>
          <t>LADY SEMA</t>
        </is>
      </c>
      <c r="C431" s="15" t="n">
        <v>45863</v>
      </c>
      <c r="D431" s="329" t="n">
        <v>7700</v>
      </c>
      <c r="E431" s="330" t="n"/>
      <c r="G431" s="81" t="n">
        <v>2</v>
      </c>
      <c r="H431" s="75" t="inlineStr">
        <is>
          <t>DAP</t>
        </is>
      </c>
      <c r="I431" s="75" t="inlineStr">
        <is>
          <t xml:space="preserve">DAP Euro Low Cd </t>
        </is>
      </c>
      <c r="J431" s="75" t="inlineStr">
        <is>
          <t>FOB</t>
        </is>
      </c>
      <c r="Q431" s="75" t="inlineStr">
        <is>
          <t>EUROPE</t>
        </is>
      </c>
      <c r="R431" s="75" t="inlineStr">
        <is>
          <t>TURQUIE</t>
        </is>
      </c>
      <c r="T431" s="75" t="inlineStr">
        <is>
          <t>INSPECTORATE</t>
        </is>
      </c>
      <c r="U431" s="81" t="n">
        <v>137</v>
      </c>
      <c r="V431" s="53">
        <f>IF(U431&lt;130, "Mini Bulker", IF(AND(U431&gt;=130, U431&lt;150), "Handysize", IF(AND(U431&gt;=150, U431&lt;200), "Handymax", IF(AND(U431&gt;=200, U431&lt;230), "Panamax", IF(AND(U431&gt;=230, U431&lt;=270), "Capesize", "Autre")))))</f>
        <v/>
      </c>
      <c r="X431" s="14">
        <f>IF(E431&lt;9999,"1",IF(E431&lt;19999,"2",IF(E431&lt;29999,"3",IF(E431&lt;39999,"4",IF(E431&lt;49999,"5",IF(E431&gt;50000,"6"))))))</f>
        <v/>
      </c>
      <c r="Y431" s="99" t="inlineStr">
        <is>
          <t>2TER/1N</t>
        </is>
      </c>
      <c r="AA431" s="98" t="n"/>
      <c r="AB431" s="98" t="n"/>
      <c r="AC431" s="98" t="n"/>
      <c r="AD431" s="98" t="n"/>
      <c r="AE431" s="98" t="n"/>
      <c r="AF431" s="98" t="n"/>
      <c r="AG431" s="98" t="n"/>
      <c r="AH431" s="98" t="n"/>
      <c r="AI431" s="98" t="n"/>
      <c r="AJ431" s="98" t="n"/>
      <c r="AK431" s="98" t="n"/>
      <c r="AL431" s="98" t="n"/>
      <c r="AM431" s="98" t="n"/>
      <c r="AN431" s="98" t="n"/>
      <c r="AO431" s="98" t="n"/>
      <c r="AP431" s="98" t="n"/>
      <c r="AQ431" s="98" t="n"/>
      <c r="AR431" s="98" t="n"/>
      <c r="AS431" s="98" t="n"/>
      <c r="AT431" s="98" t="n"/>
      <c r="AU431" s="98" t="n"/>
      <c r="AV431" s="98" t="n"/>
      <c r="AW431" s="98" t="n"/>
      <c r="AX431" s="98" t="n"/>
      <c r="AY431" s="98" t="n"/>
      <c r="AZ431" s="98" t="n"/>
      <c r="BA431" s="98" t="n"/>
      <c r="BB431" s="98" t="n"/>
      <c r="BC431" s="98" t="n"/>
      <c r="BD431" s="98" t="n"/>
      <c r="BE431" s="98" t="n"/>
      <c r="BF431" s="98" t="n"/>
      <c r="BG431" s="98" t="n"/>
      <c r="BH431" s="98" t="n"/>
      <c r="BI431" s="98" t="n"/>
      <c r="BJ431" s="98" t="n"/>
      <c r="BK431" s="98" t="n"/>
      <c r="BL431" s="98" t="n"/>
      <c r="BM431" s="98" t="n"/>
      <c r="BN431" s="98" t="n"/>
      <c r="BO431" s="98" t="n"/>
      <c r="BP431" s="98" t="n"/>
      <c r="BQ431" s="98" t="n"/>
      <c r="BR431" s="98" t="n"/>
      <c r="BS431" s="97" t="n"/>
      <c r="BU431" s="97" t="n"/>
      <c r="BV431" s="97" t="n"/>
      <c r="CB431" s="14" t="n"/>
    </row>
    <row r="432">
      <c r="A432" s="81" t="n">
        <v>281</v>
      </c>
      <c r="B432" s="343" t="inlineStr">
        <is>
          <t>MOTHER M</t>
        </is>
      </c>
      <c r="C432" s="15" t="n">
        <v>45864</v>
      </c>
      <c r="D432" s="329" t="n">
        <v>30000</v>
      </c>
      <c r="E432" s="329" t="n">
        <v>30000</v>
      </c>
      <c r="G432" s="81" t="n">
        <v>1</v>
      </c>
      <c r="H432" s="75" t="inlineStr">
        <is>
          <t>MAP</t>
        </is>
      </c>
      <c r="I432" s="75" t="inlineStr">
        <is>
          <t xml:space="preserve">MAP 11 52 SPECIAL </t>
        </is>
      </c>
      <c r="J432" s="75" t="inlineStr">
        <is>
          <t>CFR</t>
        </is>
      </c>
      <c r="Q432" s="75" t="inlineStr">
        <is>
          <t>AMERIQUE LATINE</t>
        </is>
      </c>
      <c r="R432" s="75" t="inlineStr">
        <is>
          <t>BRASIL</t>
        </is>
      </c>
      <c r="T432" s="75" t="inlineStr">
        <is>
          <t>INSPECTORATE</t>
        </is>
      </c>
      <c r="U432" s="81" t="n">
        <v>180</v>
      </c>
      <c r="V432" s="53">
        <f>IF(U432&lt;130, "Mini Bulker", IF(AND(U432&gt;=130, U432&lt;150), "Handysize", IF(AND(U432&gt;=150, U432&lt;200), "Handymax", IF(AND(U432&gt;=200, U432&lt;230), "Panamax", IF(AND(U432&gt;=230, U432&lt;=270), "Capesize", "Autre")))))</f>
        <v/>
      </c>
      <c r="X432" s="14">
        <f>IF(E432&lt;9999,"1",IF(E432&lt;19999,"2",IF(E432&lt;29999,"3",IF(E432&lt;39999,"4",IF(E432&lt;49999,"5",IF(E432&gt;50000,"6"))))))</f>
        <v/>
      </c>
      <c r="Y432" s="99" t="inlineStr">
        <is>
          <t>2N</t>
        </is>
      </c>
      <c r="AA432" s="26" t="n">
        <v>45858.23958333334</v>
      </c>
      <c r="AB432" s="26" t="n">
        <v>45859.375</v>
      </c>
      <c r="AC432" s="15" t="n">
        <v>45860</v>
      </c>
      <c r="AD432" s="15" t="n">
        <v>45862</v>
      </c>
      <c r="AE432" s="26" t="n">
        <v>45858.2125</v>
      </c>
      <c r="AF432" s="26" t="n">
        <v>45862.5</v>
      </c>
      <c r="AG432" s="26" t="n">
        <v>45862.59166666667</v>
      </c>
      <c r="AH432" s="26" t="n">
        <v>45862.60763888889</v>
      </c>
      <c r="AI432" s="26" t="n">
        <v>45862.66666666666</v>
      </c>
      <c r="AJ432" s="26" t="n">
        <v>45862.69791666666</v>
      </c>
      <c r="AK432" s="26" t="n">
        <v>45864.86111111111</v>
      </c>
      <c r="AL432" s="26" t="n">
        <v>45864.90277777778</v>
      </c>
      <c r="AM432" s="26" t="n">
        <v>45864.94097222222</v>
      </c>
      <c r="AN432" s="26" t="n">
        <v>45864.98263888889</v>
      </c>
      <c r="AO432" s="26" t="n">
        <v>45864.98958333334</v>
      </c>
      <c r="AP432" s="20">
        <f>(AG432-AF432)*1440</f>
        <v/>
      </c>
      <c r="AQ432" s="20">
        <f>(AG432-AE432)*1440</f>
        <v/>
      </c>
      <c r="AR432" s="20">
        <f>(AH432-AF432)*1440</f>
        <v/>
      </c>
      <c r="AS432" s="20">
        <f>(AI432-AH432)*1440</f>
        <v/>
      </c>
      <c r="AT432" s="20">
        <f>(AJ432-AH432)*1440</f>
        <v/>
      </c>
      <c r="AU432" s="20">
        <f>(AL432-AK432)*1440</f>
        <v/>
      </c>
      <c r="AV432" s="20">
        <f>(AM432-AL432)*1440</f>
        <v/>
      </c>
      <c r="AW432" s="20">
        <f>(AO432-AM432)*1440</f>
        <v/>
      </c>
      <c r="AX432" s="19">
        <f>AP432+AS432+AU432+AV432+AW432</f>
        <v/>
      </c>
      <c r="AY432" s="18">
        <f>(AG432-AA432)</f>
        <v/>
      </c>
      <c r="AZ432" s="18">
        <f>(AK432-AJ432)</f>
        <v/>
      </c>
      <c r="BA432" s="18">
        <f>AO432-AG432</f>
        <v/>
      </c>
      <c r="BB432" s="18">
        <f>(AO432-AA432)-(AP432/1440)-(AW432/1440)</f>
        <v/>
      </c>
      <c r="BC432" s="20">
        <f>E432/AZ432</f>
        <v/>
      </c>
      <c r="BE432" s="20">
        <f>IF(E432&lt;10000,3000,IF(E432&lt;15000,3600,IF(E432&lt;20000,4500,IF(E432&lt;25000,6000,IF(E432&lt;30000,7500,IF(E432&lt;40000,9000,IF(E432&gt;40000,10000)))))))</f>
        <v/>
      </c>
      <c r="BF432" s="334">
        <f>(E432/BE432)+2</f>
        <v/>
      </c>
      <c r="BS432" s="97" t="inlineStr">
        <is>
          <t>NUL</t>
        </is>
      </c>
      <c r="BT432" s="99" t="n">
        <v>0</v>
      </c>
      <c r="BU432" s="97" t="n"/>
      <c r="BV432" s="97" t="n"/>
      <c r="BW432" s="332">
        <f>AI433-AH433</f>
        <v/>
      </c>
      <c r="CB432" s="14" t="n">
        <v>24212</v>
      </c>
    </row>
    <row r="433">
      <c r="A433" s="81" t="n">
        <v>282</v>
      </c>
      <c r="B433" s="343" t="inlineStr">
        <is>
          <t>SEA DHYANA</t>
        </is>
      </c>
      <c r="C433" s="15" t="n">
        <v>45865</v>
      </c>
      <c r="D433" s="329" t="n">
        <v>53827</v>
      </c>
      <c r="E433" s="329" t="n">
        <v>53827</v>
      </c>
      <c r="G433" s="81" t="n">
        <v>1</v>
      </c>
      <c r="H433" s="75" t="inlineStr">
        <is>
          <t>DAP</t>
        </is>
      </c>
      <c r="I433" s="75" t="inlineStr">
        <is>
          <t xml:space="preserve">DAP STANDARD </t>
        </is>
      </c>
      <c r="J433" s="75" t="inlineStr">
        <is>
          <t>CFR</t>
        </is>
      </c>
      <c r="Q433" s="75" t="inlineStr">
        <is>
          <t>ASIE</t>
        </is>
      </c>
      <c r="R433" s="75" t="inlineStr">
        <is>
          <t>INDE</t>
        </is>
      </c>
      <c r="T433" s="75" t="inlineStr">
        <is>
          <t>INTERTEK</t>
        </is>
      </c>
      <c r="U433" s="81" t="n">
        <v>190</v>
      </c>
      <c r="V433" s="53">
        <f>IF(U433&lt;130, "Mini Bulker", IF(AND(U433&gt;=130, U433&lt;150), "Handysize", IF(AND(U433&gt;=150, U433&lt;200), "Handymax", IF(AND(U433&gt;=200, U433&lt;230), "Panamax", IF(AND(U433&gt;=230, U433&lt;=270), "Capesize", "Autre")))))</f>
        <v/>
      </c>
      <c r="X433" s="14">
        <f>IF(E433&lt;9999,"1",IF(E433&lt;19999,"2",IF(E433&lt;29999,"3",IF(E433&lt;39999,"4",IF(E433&lt;49999,"5",IF(E433&gt;50000,"6"))))))</f>
        <v/>
      </c>
      <c r="Y433" s="99" t="inlineStr">
        <is>
          <t>2TER/2BIS</t>
        </is>
      </c>
      <c r="AA433" s="26" t="n">
        <v>45855.00833333333</v>
      </c>
      <c r="AB433" s="26" t="n">
        <v>45855.375</v>
      </c>
      <c r="AC433" s="15" t="n">
        <v>45858</v>
      </c>
      <c r="AD433" s="15" t="n">
        <v>45861</v>
      </c>
      <c r="AE433" s="26" t="n">
        <v>45854.95833333334</v>
      </c>
      <c r="AF433" s="26" t="n">
        <v>45862.53194444445</v>
      </c>
      <c r="AG433" s="26" t="n">
        <v>45862.675</v>
      </c>
      <c r="AH433" s="26" t="n">
        <v>45862.69791666666</v>
      </c>
      <c r="AI433" s="26" t="n">
        <v>45862.90972222222</v>
      </c>
      <c r="AJ433" s="26" t="n">
        <v>45862.91319444445</v>
      </c>
      <c r="AK433" s="26" t="n">
        <v>45865.67361111111</v>
      </c>
      <c r="AL433" s="26" t="n">
        <v>45865.69444444445</v>
      </c>
      <c r="AM433" s="26" t="n">
        <v>45865.70833333334</v>
      </c>
      <c r="AN433" s="26" t="n">
        <v>45865.70833333334</v>
      </c>
      <c r="AO433" s="26" t="n">
        <v>45865.72222222222</v>
      </c>
      <c r="AP433" s="20">
        <f>(AG433-AF433)*1440</f>
        <v/>
      </c>
      <c r="AQ433" s="20">
        <f>(AG433-AE433)*1440</f>
        <v/>
      </c>
      <c r="AR433" s="20">
        <f>(AH433-AF433)*1440</f>
        <v/>
      </c>
      <c r="AS433" s="20">
        <f>(AI433-AH433)*1440</f>
        <v/>
      </c>
      <c r="AT433" s="20">
        <f>(AJ433-AH433)*1440</f>
        <v/>
      </c>
      <c r="AU433" s="20">
        <f>(AL433-AK433)*1440</f>
        <v/>
      </c>
      <c r="AV433" s="20">
        <f>(AM433-AL433)*1440</f>
        <v/>
      </c>
      <c r="AW433" s="20">
        <f>(AO433-AM433)*1440</f>
        <v/>
      </c>
      <c r="AX433" s="19">
        <f>AP433+AS433+AU433+AV433+AW433</f>
        <v/>
      </c>
      <c r="AY433" s="18">
        <f>(AG433-AA433)</f>
        <v/>
      </c>
      <c r="AZ433" s="18">
        <f>(AK433-AJ433)</f>
        <v/>
      </c>
      <c r="BA433" s="18">
        <f>AO433-AG433</f>
        <v/>
      </c>
      <c r="BB433" s="18">
        <f>(AO433-AA433)-(AP433/1440)-(AW433/1440)</f>
        <v/>
      </c>
      <c r="BC433" s="20">
        <f>E433/AZ433</f>
        <v/>
      </c>
      <c r="BE433" s="20">
        <f>IF(E433&lt;10000,3000,IF(E433&lt;15000,3600,IF(E433&lt;20000,4500,IF(E433&lt;25000,6000,IF(E433&lt;30000,7500,IF(E433&lt;40000,9000,IF(E433&gt;40000,10000)))))))</f>
        <v/>
      </c>
      <c r="BF433" s="334">
        <f>(E433/BE433)+2</f>
        <v/>
      </c>
      <c r="BS433" s="97" t="inlineStr">
        <is>
          <t>DEHALAGE DU POSTE 2TER VERS POSTE 2BIS LE 26/07- 1645</t>
        </is>
      </c>
      <c r="BT433" s="99" t="n">
        <v>1</v>
      </c>
      <c r="BU433" s="97" t="n"/>
      <c r="BV433" s="97" t="n"/>
      <c r="BW433" s="332">
        <f>AI434-AH434</f>
        <v/>
      </c>
      <c r="CB433" s="14" t="n">
        <v>33057</v>
      </c>
    </row>
    <row r="434">
      <c r="A434" s="81" t="n">
        <v>284</v>
      </c>
      <c r="B434" s="343" t="inlineStr">
        <is>
          <t>FOUR RIGOLETTO</t>
        </is>
      </c>
      <c r="C434" s="15" t="n">
        <v>45867</v>
      </c>
      <c r="D434" s="329" t="n">
        <v>33000</v>
      </c>
      <c r="E434" s="329" t="n">
        <v>33000</v>
      </c>
      <c r="G434" s="81" t="n">
        <v>1</v>
      </c>
      <c r="H434" s="75" t="inlineStr">
        <is>
          <t>MAP</t>
        </is>
      </c>
      <c r="I434" s="75" t="inlineStr">
        <is>
          <t xml:space="preserve">MAP 11 52 SPECIAL </t>
        </is>
      </c>
      <c r="J434" s="75" t="inlineStr">
        <is>
          <t>FOB</t>
        </is>
      </c>
      <c r="Q434" s="75" t="inlineStr">
        <is>
          <t>AMERIQUE</t>
        </is>
      </c>
      <c r="R434" s="75" t="inlineStr">
        <is>
          <t>USA</t>
        </is>
      </c>
      <c r="T434" s="75" t="inlineStr">
        <is>
          <t>INSPECTORATE</t>
        </is>
      </c>
      <c r="U434" s="81" t="n">
        <v>181</v>
      </c>
      <c r="V434" s="53">
        <f>IF(U434&lt;130, "Mini Bulker", IF(AND(U434&gt;=130, U434&lt;150), "Handysize", IF(AND(U434&gt;=150, U434&lt;200), "Handymax", IF(AND(U434&gt;=200, U434&lt;230), "Panamax", IF(AND(U434&gt;=230, U434&lt;=270), "Capesize", "Autre")))))</f>
        <v/>
      </c>
      <c r="X434" s="14">
        <f>IF(E434&lt;9999,"1",IF(E434&lt;19999,"2",IF(E434&lt;29999,"3",IF(E434&lt;39999,"4",IF(E434&lt;49999,"5",IF(E434&gt;50000,"6"))))))</f>
        <v/>
      </c>
      <c r="Y434" s="99" t="inlineStr">
        <is>
          <t>2N</t>
        </is>
      </c>
      <c r="AA434" s="26" t="n">
        <v>45859.53819444445</v>
      </c>
      <c r="AB434" s="26" t="n">
        <v>45859.53819444445</v>
      </c>
      <c r="AC434" s="15" t="n">
        <v>45866</v>
      </c>
      <c r="AD434" s="15" t="n">
        <v>45870</v>
      </c>
      <c r="AE434" s="26" t="n">
        <v>45859.1375</v>
      </c>
      <c r="AF434" s="26" t="n">
        <v>45865.46527777778</v>
      </c>
      <c r="AG434" s="26" t="n">
        <v>45865.57291666666</v>
      </c>
      <c r="AH434" s="26" t="n">
        <v>45865.59375</v>
      </c>
      <c r="AI434" s="26" t="n">
        <v>45865.73611111111</v>
      </c>
      <c r="AJ434" s="26" t="n">
        <v>45865.77777777778</v>
      </c>
      <c r="AK434" s="26" t="n">
        <v>45867.87847222222</v>
      </c>
      <c r="AL434" s="26" t="n">
        <v>45867.90972222222</v>
      </c>
      <c r="AM434" s="26" t="n">
        <v>45867.91666666666</v>
      </c>
      <c r="AN434" s="26" t="n">
        <v>45867.96388888889</v>
      </c>
      <c r="AO434" s="26" t="n">
        <v>45867.97916666666</v>
      </c>
      <c r="AP434" s="20">
        <f>(AG434-AF434)*1440</f>
        <v/>
      </c>
      <c r="AQ434" s="20">
        <f>(AG434-AE434)*1440</f>
        <v/>
      </c>
      <c r="AR434" s="20">
        <f>(AH434-AF434)*1440</f>
        <v/>
      </c>
      <c r="AS434" s="20">
        <f>(AI434-AH434)*1440</f>
        <v/>
      </c>
      <c r="AT434" s="20">
        <f>(AJ434-AH434)*1440</f>
        <v/>
      </c>
      <c r="AU434" s="20">
        <f>(AL434-AK434)*1440</f>
        <v/>
      </c>
      <c r="AV434" s="20">
        <f>(AM434-AL434)*1440</f>
        <v/>
      </c>
      <c r="AW434" s="20">
        <f>(AO434-AM434)*1440</f>
        <v/>
      </c>
      <c r="AX434" s="19">
        <f>AP434+AS434+AU434+AV434+AW434</f>
        <v/>
      </c>
      <c r="AY434" s="18">
        <f>(AG434-AA434)</f>
        <v/>
      </c>
      <c r="AZ434" s="18">
        <f>(AK434-AJ434)</f>
        <v/>
      </c>
      <c r="BA434" s="18">
        <f>AO434-AG434</f>
        <v/>
      </c>
      <c r="BB434" s="18">
        <f>(AO434-AA434)-(AP434/1440)-(AW434/1440)</f>
        <v/>
      </c>
      <c r="BC434" s="20">
        <f>E434/AZ434</f>
        <v/>
      </c>
      <c r="BE434" s="20">
        <f>IF(E434&lt;10000,3000,IF(E434&lt;15000,3600,IF(E434&lt;20000,4500,IF(E434&lt;25000,6000,IF(E434&lt;30000,7500,IF(E434&lt;40000,9000,IF(E434&gt;40000,10000)))))))</f>
        <v/>
      </c>
      <c r="BF434" s="334">
        <f>(E434/BE434)+2</f>
        <v/>
      </c>
      <c r="BS434" s="97" t="inlineStr">
        <is>
          <t>NUL</t>
        </is>
      </c>
      <c r="BT434" s="99" t="n">
        <v>0</v>
      </c>
      <c r="BU434" s="97" t="n"/>
      <c r="BV434" s="97" t="n"/>
      <c r="BW434" s="332">
        <f>AI435-AH435</f>
        <v/>
      </c>
      <c r="CB434" s="14" t="n">
        <v>23456</v>
      </c>
    </row>
    <row r="435">
      <c r="A435" s="81" t="n">
        <v>283</v>
      </c>
      <c r="B435" s="343" t="inlineStr">
        <is>
          <t>MARYAM</t>
        </is>
      </c>
      <c r="C435" s="15" t="n">
        <v>45867</v>
      </c>
      <c r="D435" s="329" t="n">
        <v>24548</v>
      </c>
      <c r="E435" s="333">
        <f>D435+D436</f>
        <v/>
      </c>
      <c r="G435" s="81" t="n">
        <v>2</v>
      </c>
      <c r="H435" s="75" t="inlineStr">
        <is>
          <t>DAP</t>
        </is>
      </c>
      <c r="I435" s="75" t="inlineStr">
        <is>
          <t xml:space="preserve">DAP STANDARD </t>
        </is>
      </c>
      <c r="J435" s="75" t="inlineStr">
        <is>
          <t>CFR</t>
        </is>
      </c>
      <c r="Q435" s="75" t="inlineStr">
        <is>
          <t>ASIE</t>
        </is>
      </c>
      <c r="R435" s="75" t="inlineStr">
        <is>
          <t>INDE</t>
        </is>
      </c>
      <c r="S435" s="75" t="inlineStr">
        <is>
          <t xml:space="preserve">INSPECTORATE </t>
        </is>
      </c>
      <c r="T435" s="75" t="inlineStr">
        <is>
          <t>INTERTEK</t>
        </is>
      </c>
      <c r="U435" s="81" t="n">
        <v>189</v>
      </c>
      <c r="V435" s="53">
        <f>IF(U435&lt;130, "Mini Bulker", IF(AND(U435&gt;=130, U435&lt;150), "Handysize", IF(AND(U435&gt;=150, U435&lt;200), "Handymax", IF(AND(U435&gt;=200, U435&lt;230), "Panamax", IF(AND(U435&gt;=230, U435&lt;=270), "Capesize", "Autre")))))</f>
        <v/>
      </c>
      <c r="X435" s="14">
        <f>IF(E435&lt;9999,"1",IF(E435&lt;19999,"2",IF(E435&lt;29999,"3",IF(E435&lt;39999,"4",IF(E435&lt;49999,"5",IF(E435&gt;50000,"6"))))))</f>
        <v/>
      </c>
      <c r="Y435" s="99" t="inlineStr">
        <is>
          <t>1TER/2BIS</t>
        </is>
      </c>
      <c r="AA435" s="17" t="n">
        <v>45863.16666666666</v>
      </c>
      <c r="AB435" s="17" t="n">
        <v>45863.375</v>
      </c>
      <c r="AC435" s="15" t="n">
        <v>45861</v>
      </c>
      <c r="AD435" s="15" t="n">
        <v>45866</v>
      </c>
      <c r="AE435" s="17" t="n">
        <v>45863.08333333334</v>
      </c>
      <c r="AF435" s="17" t="n">
        <v>45863.20833333334</v>
      </c>
      <c r="AG435" s="17" t="n">
        <v>45863.32083333333</v>
      </c>
      <c r="AH435" s="17" t="n">
        <v>45863.35069444445</v>
      </c>
      <c r="AI435" s="17" t="n">
        <v>45863.40625</v>
      </c>
      <c r="AJ435" s="17" t="n">
        <v>45863.42708333334</v>
      </c>
      <c r="AK435" s="17" t="n">
        <v>45867.75</v>
      </c>
      <c r="AL435" s="17" t="n">
        <v>45867.78472222222</v>
      </c>
      <c r="AM435" s="17" t="n">
        <v>45867.79166666666</v>
      </c>
      <c r="AN435" s="17" t="n">
        <v>45867.79166666666</v>
      </c>
      <c r="AO435" s="17" t="n">
        <v>45867.80555555555</v>
      </c>
      <c r="AP435" s="20">
        <f>(AG435-AF435)*1440</f>
        <v/>
      </c>
      <c r="AQ435" s="20">
        <f>(AG435-AE435)*1440</f>
        <v/>
      </c>
      <c r="AR435" s="20">
        <f>(AH435-AF435)*1440</f>
        <v/>
      </c>
      <c r="AS435" s="20">
        <f>(AI435-AH435)*1440</f>
        <v/>
      </c>
      <c r="AT435" s="20">
        <f>(AJ435-AH435)*1440</f>
        <v/>
      </c>
      <c r="AU435" s="20">
        <f>(AL435-AK435)*1440</f>
        <v/>
      </c>
      <c r="AV435" s="20">
        <f>(AM435-AL435)*1440</f>
        <v/>
      </c>
      <c r="AW435" s="20">
        <f>(AO435-AM435)*1440</f>
        <v/>
      </c>
      <c r="AX435" s="19">
        <f>AP435+AS435+AU435+AV435+AW435</f>
        <v/>
      </c>
      <c r="AY435" s="18">
        <f>(AG435-AA435)</f>
        <v/>
      </c>
      <c r="AZ435" s="18">
        <f>(AK435-AJ435)</f>
        <v/>
      </c>
      <c r="BA435" s="18">
        <f>AO435-AG435</f>
        <v/>
      </c>
      <c r="BB435" s="18">
        <f>(AO435-AA435)-(AP435/1440)-(AW435/1440)</f>
        <v/>
      </c>
      <c r="BC435" s="20">
        <f>E435/AZ435</f>
        <v/>
      </c>
      <c r="BD435" s="208" t="n"/>
      <c r="BE435" s="20">
        <f>IF(E435&lt;10000,3000,IF(E435&lt;15000,3600,IF(E435&lt;20000,4500,IF(E435&lt;25000,6000,IF(E435&lt;30000,7500,IF(E435&lt;40000,9000,IF(E435&gt;40000,10000)))))))</f>
        <v/>
      </c>
      <c r="BF435" s="334">
        <f>(E435/BE435)+2</f>
        <v/>
      </c>
      <c r="BG435" s="208" t="n"/>
      <c r="BH435" s="208" t="n"/>
      <c r="BI435" s="208" t="n"/>
      <c r="BJ435" s="208" t="n"/>
      <c r="BK435" s="208" t="n"/>
      <c r="BL435" s="208" t="n"/>
      <c r="BM435" s="208" t="n"/>
      <c r="BN435" s="208" t="n"/>
      <c r="BO435" s="208" t="n"/>
      <c r="BP435" s="208" t="n"/>
      <c r="BQ435" s="208" t="n"/>
      <c r="BR435" s="208" t="n"/>
      <c r="BS435" s="99" t="inlineStr">
        <is>
          <t>CHANGE DU POSTE 1TER VERS POSTE 2BIS LE 27/07 - 1837</t>
        </is>
      </c>
      <c r="BT435" s="99" t="n">
        <v>1</v>
      </c>
      <c r="BU435" s="97" t="n"/>
      <c r="BV435" s="97" t="n"/>
      <c r="BW435" s="345">
        <f>AI436-AH436</f>
        <v/>
      </c>
      <c r="CB435" s="14" t="n">
        <v>32964</v>
      </c>
    </row>
    <row r="436">
      <c r="B436" s="343" t="inlineStr">
        <is>
          <t>MARYAM</t>
        </is>
      </c>
      <c r="C436" s="15" t="n">
        <v>45867</v>
      </c>
      <c r="D436" s="329" t="n">
        <v>30701</v>
      </c>
      <c r="E436" s="330" t="n"/>
      <c r="G436" s="81" t="n">
        <v>2</v>
      </c>
      <c r="H436" s="75" t="inlineStr">
        <is>
          <t>TSP</t>
        </is>
      </c>
      <c r="I436" s="75" t="inlineStr">
        <is>
          <t xml:space="preserve">TSP CIV </t>
        </is>
      </c>
      <c r="J436" s="75" t="inlineStr">
        <is>
          <t>CFR</t>
        </is>
      </c>
      <c r="Q436" s="75" t="inlineStr">
        <is>
          <t>ASIE</t>
        </is>
      </c>
      <c r="R436" s="75" t="inlineStr">
        <is>
          <t>INDE</t>
        </is>
      </c>
      <c r="T436" s="75" t="inlineStr">
        <is>
          <t>INTERTEK</t>
        </is>
      </c>
      <c r="U436" s="81" t="n">
        <v>189</v>
      </c>
      <c r="V436" s="53">
        <f>IF(U436&lt;130, "Mini Bulker", IF(AND(U436&gt;=130, U436&lt;150), "Handysize", IF(AND(U436&gt;=150, U436&lt;200), "Handymax", IF(AND(U436&gt;=200, U436&lt;230), "Panamax", IF(AND(U436&gt;=230, U436&lt;=270), "Capesize", "Autre")))))</f>
        <v/>
      </c>
      <c r="X436" s="14">
        <f>IF(E436&lt;9999,"1",IF(E436&lt;19999,"2",IF(E436&lt;29999,"3",IF(E436&lt;39999,"4",IF(E436&lt;49999,"5",IF(E436&gt;50000,"6"))))))</f>
        <v/>
      </c>
      <c r="Y436" s="99" t="inlineStr">
        <is>
          <t>1TER/2BIS</t>
        </is>
      </c>
      <c r="AA436" s="218" t="n"/>
      <c r="AB436" s="218" t="n"/>
      <c r="AC436" s="98" t="n"/>
      <c r="AD436" s="98" t="n"/>
      <c r="AE436" s="218" t="n"/>
      <c r="AF436" s="218" t="n"/>
      <c r="AG436" s="218" t="n"/>
      <c r="AH436" s="218" t="n"/>
      <c r="AI436" s="218" t="n"/>
      <c r="AJ436" s="218" t="n"/>
      <c r="AK436" s="218" t="n"/>
      <c r="AL436" s="218" t="n"/>
      <c r="AM436" s="218" t="n"/>
      <c r="AN436" s="218" t="n"/>
      <c r="AO436" s="218" t="n"/>
      <c r="AP436" s="98" t="n"/>
      <c r="AQ436" s="98" t="n"/>
      <c r="AR436" s="98" t="n"/>
      <c r="AS436" s="98" t="n"/>
      <c r="AT436" s="98" t="n"/>
      <c r="AU436" s="98" t="n"/>
      <c r="AV436" s="98" t="n"/>
      <c r="AW436" s="98" t="n"/>
      <c r="AX436" s="98" t="n"/>
      <c r="AY436" s="98" t="n"/>
      <c r="AZ436" s="98" t="n"/>
      <c r="BA436" s="98" t="n"/>
      <c r="BB436" s="98" t="n"/>
      <c r="BC436" s="98" t="n"/>
      <c r="BD436" s="220" t="n"/>
      <c r="BE436" s="98" t="n"/>
      <c r="BF436" s="98" t="n"/>
      <c r="BG436" s="220" t="n"/>
      <c r="BH436" s="220" t="n"/>
      <c r="BI436" s="220" t="n"/>
      <c r="BJ436" s="220" t="n"/>
      <c r="BK436" s="220" t="n"/>
      <c r="BL436" s="220" t="n"/>
      <c r="BM436" s="220" t="n"/>
      <c r="BN436" s="220" t="n"/>
      <c r="BO436" s="220" t="n"/>
      <c r="BP436" s="220" t="n"/>
      <c r="BQ436" s="220" t="n"/>
      <c r="BR436" s="220" t="n"/>
      <c r="BS436" s="203" t="n"/>
      <c r="BT436" s="99" t="n"/>
      <c r="BU436" s="97" t="n"/>
      <c r="BV436" s="97" t="n"/>
      <c r="BW436" s="208" t="n"/>
      <c r="CB436" s="14" t="n"/>
    </row>
    <row r="437" ht="14.55" customHeight="1" s="70">
      <c r="A437" s="81" t="n">
        <v>285</v>
      </c>
      <c r="B437" s="343" t="inlineStr">
        <is>
          <t>AQUAMAR</t>
        </is>
      </c>
      <c r="C437" s="15" t="n">
        <v>45868</v>
      </c>
      <c r="D437" s="329" t="n">
        <v>2200</v>
      </c>
      <c r="E437" s="333">
        <f>D437+D438</f>
        <v/>
      </c>
      <c r="G437" s="81" t="n">
        <v>2</v>
      </c>
      <c r="H437" s="75" t="inlineStr">
        <is>
          <t>DAP</t>
        </is>
      </c>
      <c r="I437" s="75" t="inlineStr">
        <is>
          <t xml:space="preserve">DAP Euro Low Cd </t>
        </is>
      </c>
      <c r="J437" s="75" t="inlineStr">
        <is>
          <t>FOB</t>
        </is>
      </c>
      <c r="Q437" s="75" t="inlineStr">
        <is>
          <t>EUROPE</t>
        </is>
      </c>
      <c r="R437" s="75" t="inlineStr">
        <is>
          <t>DANEMARK</t>
        </is>
      </c>
      <c r="T437" s="75" t="inlineStr">
        <is>
          <t>INSPECTORATE</t>
        </is>
      </c>
      <c r="U437" s="81" t="n">
        <v>90</v>
      </c>
      <c r="V437" s="53">
        <f>IF(U437&lt;130, "Mini Bulker", IF(AND(U437&gt;=130, U437&lt;150), "Handysize", IF(AND(U437&gt;=150, U437&lt;200), "Handymax", IF(AND(U437&gt;=200, U437&lt;230), "Panamax", IF(AND(U437&gt;=230, U437&lt;=270), "Capesize", "Autre")))))</f>
        <v/>
      </c>
      <c r="X437" s="14">
        <f>IF(E437&lt;9999,"1",IF(E437&lt;19999,"2",IF(E437&lt;29999,"3",IF(E437&lt;39999,"4",IF(E437&lt;49999,"5",IF(E437&gt;50000,"6"))))))</f>
        <v/>
      </c>
      <c r="Y437" s="99" t="inlineStr">
        <is>
          <t>1TER</t>
        </is>
      </c>
      <c r="AA437" s="26" t="n">
        <v>45865.43055555555</v>
      </c>
      <c r="AB437" s="26" t="n">
        <v>45866.375</v>
      </c>
      <c r="AC437" s="15" t="n">
        <v>45861</v>
      </c>
      <c r="AD437" s="15" t="n">
        <v>45866</v>
      </c>
      <c r="AE437" s="26" t="n">
        <v>45865.43055555555</v>
      </c>
      <c r="AF437" s="26" t="n">
        <v>45865.74305555555</v>
      </c>
      <c r="AG437" s="26" t="n">
        <v>45865.78472222222</v>
      </c>
      <c r="AH437" s="26" t="n">
        <v>45865.80208333334</v>
      </c>
      <c r="AI437" s="26" t="n">
        <v>45866.42361111111</v>
      </c>
      <c r="AJ437" s="26" t="n">
        <v>45866.47569444445</v>
      </c>
      <c r="AK437" s="26" t="n">
        <v>45868.22916666666</v>
      </c>
      <c r="AL437" s="26" t="n">
        <v>45868.27083333334</v>
      </c>
      <c r="AM437" s="26" t="n">
        <v>45868.31597222222</v>
      </c>
      <c r="AN437" s="26" t="n">
        <v>45868.36458333334</v>
      </c>
      <c r="AO437" s="26" t="n">
        <v>45868.38888888889</v>
      </c>
      <c r="AP437" s="20">
        <f>(AG437-AF437)*1440</f>
        <v/>
      </c>
      <c r="AQ437" s="20">
        <f>(AG437-AE437)*1440</f>
        <v/>
      </c>
      <c r="AR437" s="20">
        <f>(AH437-AF437)*1440</f>
        <v/>
      </c>
      <c r="AS437" s="20">
        <f>(AI437-AH437)*1440</f>
        <v/>
      </c>
      <c r="AT437" s="20">
        <f>(AJ437-AH437)*1440</f>
        <v/>
      </c>
      <c r="AU437" s="20">
        <f>(AL437-AK437)*1440</f>
        <v/>
      </c>
      <c r="AV437" s="20">
        <f>(AM437-AL437)*1440</f>
        <v/>
      </c>
      <c r="AW437" s="20">
        <f>(AO437-AM437)*1440</f>
        <v/>
      </c>
      <c r="AX437" s="19">
        <f>AP437+AS437+AU437+AV437+AW437</f>
        <v/>
      </c>
      <c r="AY437" s="18">
        <f>(AG437-AA437)</f>
        <v/>
      </c>
      <c r="AZ437" s="18">
        <f>(AK437-AJ437)</f>
        <v/>
      </c>
      <c r="BA437" s="18">
        <f>AO437-AG437</f>
        <v/>
      </c>
      <c r="BB437" s="18">
        <f>(AO437-AA437)-(AP437/1440)-(AW437/1440)</f>
        <v/>
      </c>
      <c r="BC437" s="20">
        <f>E437/AZ437</f>
        <v/>
      </c>
      <c r="BE437" s="20">
        <f>IF(E437&lt;10000,3000,IF(E437&lt;15000,3600,IF(E437&lt;20000,4500,IF(E437&lt;25000,6000,IF(E437&lt;30000,7500,IF(E437&lt;40000,9000,IF(E437&gt;40000,10000)))))))</f>
        <v/>
      </c>
      <c r="BF437" s="334">
        <f>(E437/BE437)+2</f>
        <v/>
      </c>
      <c r="BS437" s="97" t="inlineStr">
        <is>
          <t>NUL</t>
        </is>
      </c>
      <c r="BT437" s="99" t="n">
        <v>0</v>
      </c>
      <c r="BU437" s="97" t="inlineStr">
        <is>
          <t>NON CLEAN</t>
        </is>
      </c>
      <c r="BV437" s="97" t="inlineStr">
        <is>
          <t>HUMIDITY</t>
        </is>
      </c>
      <c r="BW437" s="332">
        <f>AI438-AH438</f>
        <v/>
      </c>
      <c r="CB437" s="14" t="n">
        <v>4135</v>
      </c>
    </row>
    <row r="438" ht="17.1" customHeight="1" s="70">
      <c r="B438" s="343" t="inlineStr">
        <is>
          <t>AQUAMAR</t>
        </is>
      </c>
      <c r="C438" s="15" t="n">
        <v>45868</v>
      </c>
      <c r="D438" s="329" t="n">
        <v>2200</v>
      </c>
      <c r="E438" s="330" t="n"/>
      <c r="G438" s="81" t="n">
        <v>2</v>
      </c>
      <c r="H438" s="75" t="inlineStr">
        <is>
          <t>NPK</t>
        </is>
      </c>
      <c r="I438" s="75" t="inlineStr">
        <is>
          <t xml:space="preserve">NPK 15 15 15 Low Cd </t>
        </is>
      </c>
      <c r="J438" s="75" t="inlineStr">
        <is>
          <t>FOB</t>
        </is>
      </c>
      <c r="Q438" s="75" t="inlineStr">
        <is>
          <t>EUROPE</t>
        </is>
      </c>
      <c r="R438" s="75" t="inlineStr">
        <is>
          <t>DANEMARK</t>
        </is>
      </c>
      <c r="T438" s="75" t="inlineStr">
        <is>
          <t>INSPECTORATE</t>
        </is>
      </c>
      <c r="U438" s="81" t="n">
        <v>90</v>
      </c>
      <c r="V438" s="53">
        <f>IF(U438&lt;130, "Mini Bulker", IF(AND(U438&gt;=130, U438&lt;150), "Handysize", IF(AND(U438&gt;=150, U438&lt;200), "Handymax", IF(AND(U438&gt;=200, U438&lt;230), "Panamax", IF(AND(U438&gt;=230, U438&lt;=270), "Capesize", "Autre")))))</f>
        <v/>
      </c>
      <c r="X438" s="14">
        <f>IF(E438&lt;9999,"1",IF(E438&lt;19999,"2",IF(E438&lt;29999,"3",IF(E438&lt;39999,"4",IF(E438&lt;49999,"5",IF(E438&gt;50000,"6"))))))</f>
        <v/>
      </c>
      <c r="Y438" s="99" t="inlineStr">
        <is>
          <t>1TER</t>
        </is>
      </c>
      <c r="AA438" s="98" t="n"/>
      <c r="AB438" s="98" t="n"/>
      <c r="AC438" s="98" t="n"/>
      <c r="AD438" s="98" t="n"/>
      <c r="AE438" s="98" t="n"/>
      <c r="AF438" s="98" t="n"/>
      <c r="AG438" s="98" t="n"/>
      <c r="AH438" s="98" t="n"/>
      <c r="AI438" s="98" t="n"/>
      <c r="AJ438" s="98" t="n"/>
      <c r="AK438" s="98" t="n"/>
      <c r="AL438" s="98" t="n"/>
      <c r="AM438" s="98" t="n"/>
      <c r="AN438" s="98" t="n"/>
      <c r="AO438" s="98" t="n"/>
      <c r="AP438" s="98" t="n"/>
      <c r="AQ438" s="98" t="n"/>
      <c r="AR438" s="98" t="n"/>
      <c r="AS438" s="98" t="n"/>
      <c r="AT438" s="98" t="n"/>
      <c r="AU438" s="98" t="n"/>
      <c r="AV438" s="98" t="n"/>
      <c r="AW438" s="98" t="n"/>
      <c r="AX438" s="98" t="n"/>
      <c r="AY438" s="98" t="n"/>
      <c r="AZ438" s="98" t="n"/>
      <c r="BA438" s="98" t="n"/>
      <c r="BB438" s="98" t="n"/>
      <c r="BC438" s="98" t="n"/>
      <c r="BD438" s="98" t="n"/>
      <c r="BE438" s="98" t="n"/>
      <c r="BF438" s="98" t="n"/>
      <c r="BG438" s="98" t="n"/>
      <c r="BH438" s="98" t="n"/>
      <c r="BI438" s="98" t="n"/>
      <c r="BJ438" s="98" t="n"/>
      <c r="BK438" s="98" t="n"/>
      <c r="BL438" s="98" t="n"/>
      <c r="BM438" s="98" t="n"/>
      <c r="BN438" s="98" t="n"/>
      <c r="BO438" s="98" t="n"/>
      <c r="BP438" s="98" t="n"/>
      <c r="BQ438" s="98" t="n"/>
      <c r="BR438" s="98" t="n"/>
      <c r="BS438" s="97" t="n"/>
      <c r="BU438" s="97" t="n"/>
      <c r="BV438" s="97" t="n"/>
      <c r="CB438" s="14" t="n"/>
    </row>
    <row r="439" ht="14.55" customHeight="1" s="70">
      <c r="A439" s="81" t="n">
        <v>286</v>
      </c>
      <c r="B439" s="343" t="inlineStr">
        <is>
          <t xml:space="preserve">OAK </t>
        </is>
      </c>
      <c r="C439" s="15" t="n">
        <v>45868</v>
      </c>
      <c r="D439" s="329" t="n">
        <v>35293</v>
      </c>
      <c r="E439" s="333">
        <f>D439+D440</f>
        <v/>
      </c>
      <c r="G439" s="81" t="n">
        <v>2</v>
      </c>
      <c r="H439" s="75" t="inlineStr">
        <is>
          <t>DAP</t>
        </is>
      </c>
      <c r="I439" s="75" t="inlineStr">
        <is>
          <t xml:space="preserve">DAP STANDARD </t>
        </is>
      </c>
      <c r="J439" s="75" t="inlineStr">
        <is>
          <t>CFR</t>
        </is>
      </c>
      <c r="Q439" s="75" t="inlineStr">
        <is>
          <t>ASIE</t>
        </is>
      </c>
      <c r="R439" s="75" t="inlineStr">
        <is>
          <t>INDE</t>
        </is>
      </c>
      <c r="T439" s="75" t="inlineStr">
        <is>
          <t>INTERTEK</t>
        </is>
      </c>
      <c r="U439" s="81" t="n">
        <v>190</v>
      </c>
      <c r="V439" s="53">
        <f>IF(U439&lt;130, "Mini Bulker", IF(AND(U439&gt;=130, U439&lt;150), "Handysize", IF(AND(U439&gt;=150, U439&lt;200), "Handymax", IF(AND(U439&gt;=200, U439&lt;230), "Panamax", IF(AND(U439&gt;=230, U439&lt;=270), "Capesize", "Autre")))))</f>
        <v/>
      </c>
      <c r="X439" s="14">
        <f>IF(E439&lt;9999,"1",IF(E439&lt;19999,"2",IF(E439&lt;29999,"3",IF(E439&lt;39999,"4",IF(E439&lt;49999,"5",IF(E439&gt;50000,"6"))))))</f>
        <v/>
      </c>
      <c r="Y439" s="99" t="inlineStr">
        <is>
          <t>1N/1BIS</t>
        </is>
      </c>
      <c r="AA439" s="26" t="n">
        <v>45863.57083333333</v>
      </c>
      <c r="AB439" s="26" t="n">
        <v>45863.57083333333</v>
      </c>
      <c r="AC439" s="15" t="n">
        <v>45861</v>
      </c>
      <c r="AD439" s="15" t="n">
        <v>45864</v>
      </c>
      <c r="AE439" s="26" t="n">
        <v>45863.5</v>
      </c>
      <c r="AF439" s="26" t="n">
        <v>45863.625</v>
      </c>
      <c r="AG439" s="26" t="n">
        <v>45863.72916666666</v>
      </c>
      <c r="AH439" s="26" t="n">
        <v>45863.75</v>
      </c>
      <c r="AI439" s="26" t="n">
        <v>45863.8125</v>
      </c>
      <c r="AJ439" s="26" t="n">
        <v>45863.91666666666</v>
      </c>
      <c r="AK439" s="26" t="n">
        <v>45868.61111111111</v>
      </c>
      <c r="AL439" s="26" t="n">
        <v>45868.65972222222</v>
      </c>
      <c r="AM439" s="26" t="n">
        <v>45868.67361111111</v>
      </c>
      <c r="AN439" s="26" t="n">
        <v>45868.72916666666</v>
      </c>
      <c r="AO439" s="26" t="n">
        <v>45868.80208333334</v>
      </c>
      <c r="AP439" s="20">
        <f>(AG439-AF439)*1440</f>
        <v/>
      </c>
      <c r="AQ439" s="20">
        <f>(AG439-AE439)*1440</f>
        <v/>
      </c>
      <c r="AR439" s="20">
        <f>(AH439-AF439)*1440</f>
        <v/>
      </c>
      <c r="AS439" s="20">
        <f>(AI439-AH439)*1440</f>
        <v/>
      </c>
      <c r="AT439" s="20">
        <f>(AJ439-AH439)*1440</f>
        <v/>
      </c>
      <c r="AU439" s="20">
        <f>(AL439-AK439)*1440</f>
        <v/>
      </c>
      <c r="AV439" s="20">
        <f>(AM439-AL439)*1440</f>
        <v/>
      </c>
      <c r="AW439" s="20">
        <f>(AO439-AM439)*1440</f>
        <v/>
      </c>
      <c r="AX439" s="19">
        <f>AP439+AS439+AU439+AV439+AW439</f>
        <v/>
      </c>
      <c r="AY439" s="18">
        <f>(AG439-AA439)</f>
        <v/>
      </c>
      <c r="AZ439" s="18">
        <f>(AK439-AJ439)</f>
        <v/>
      </c>
      <c r="BA439" s="18">
        <f>AO439-AG439</f>
        <v/>
      </c>
      <c r="BB439" s="18">
        <f>(AO439-AA439)-(AP439/1440)-(AW439/1440)</f>
        <v/>
      </c>
      <c r="BC439" s="20">
        <f>E439/AZ439</f>
        <v/>
      </c>
      <c r="BE439" s="20">
        <f>IF(E439&lt;10000,3000,IF(E439&lt;15000,3600,IF(E439&lt;20000,4500,IF(E439&lt;25000,6000,IF(E439&lt;30000,7500,IF(E439&lt;40000,9000,IF(E439&gt;40000,10000)))))))</f>
        <v/>
      </c>
      <c r="BF439" s="334">
        <f>(E439/BE439)+2</f>
        <v/>
      </c>
      <c r="BS439" s="97" t="inlineStr">
        <is>
          <t>DEHALAGE DU POSTE 1N VERS POSTE 1BIS LE 26/07- 1115</t>
        </is>
      </c>
      <c r="BT439" s="99" t="n">
        <v>1</v>
      </c>
      <c r="BU439" s="97" t="n"/>
      <c r="BV439" s="97" t="n"/>
      <c r="BW439" s="332">
        <f>AI440-AH440</f>
        <v/>
      </c>
      <c r="CB439" s="14" t="n">
        <v>33226</v>
      </c>
    </row>
    <row r="440" ht="15" customHeight="1" s="70">
      <c r="B440" s="343" t="inlineStr">
        <is>
          <t xml:space="preserve">OAK </t>
        </is>
      </c>
      <c r="C440" s="15" t="n">
        <v>45868</v>
      </c>
      <c r="D440" s="329" t="n">
        <v>20157</v>
      </c>
      <c r="E440" s="330" t="n"/>
      <c r="G440" s="81" t="n">
        <v>2</v>
      </c>
      <c r="H440" s="75" t="inlineStr">
        <is>
          <t>TS0</t>
        </is>
      </c>
      <c r="I440" s="75" t="inlineStr">
        <is>
          <t xml:space="preserve">TSP CIV </t>
        </is>
      </c>
      <c r="J440" s="75" t="inlineStr">
        <is>
          <t>CFR</t>
        </is>
      </c>
      <c r="Q440" s="75" t="inlineStr">
        <is>
          <t>ASIE</t>
        </is>
      </c>
      <c r="R440" s="75" t="inlineStr">
        <is>
          <t>INDE</t>
        </is>
      </c>
      <c r="T440" s="75" t="inlineStr">
        <is>
          <t>INTERTEK</t>
        </is>
      </c>
      <c r="U440" s="81" t="n">
        <v>190</v>
      </c>
      <c r="V440" s="53">
        <f>IF(U440&lt;130, "Mini Bulker", IF(AND(U440&gt;=130, U440&lt;150), "Handysize", IF(AND(U440&gt;=150, U440&lt;200), "Handymax", IF(AND(U440&gt;=200, U440&lt;230), "Panamax", IF(AND(U440&gt;=230, U440&lt;=270), "Capesize", "Autre")))))</f>
        <v/>
      </c>
      <c r="X440" s="14">
        <f>IF(E440&lt;9999,"1",IF(E440&lt;19999,"2",IF(E440&lt;29999,"3",IF(E440&lt;39999,"4",IF(E440&lt;49999,"5",IF(E440&gt;50000,"6"))))))</f>
        <v/>
      </c>
      <c r="Y440" s="99" t="inlineStr">
        <is>
          <t>1N/1BIS</t>
        </is>
      </c>
      <c r="AA440" s="98" t="n"/>
      <c r="AB440" s="98" t="n"/>
      <c r="AC440" s="98" t="n"/>
      <c r="AD440" s="98" t="n"/>
      <c r="AE440" s="98" t="n"/>
      <c r="AF440" s="98" t="n"/>
      <c r="AG440" s="98" t="n"/>
      <c r="AH440" s="98" t="n"/>
      <c r="AI440" s="98" t="n"/>
      <c r="AJ440" s="98" t="n"/>
      <c r="AK440" s="98" t="n"/>
      <c r="AL440" s="98" t="n"/>
      <c r="AM440" s="98" t="n"/>
      <c r="AN440" s="98" t="n"/>
      <c r="AO440" s="98" t="n"/>
      <c r="AP440" s="98" t="n"/>
      <c r="AQ440" s="98" t="n"/>
      <c r="AR440" s="98" t="n"/>
      <c r="AS440" s="98" t="n"/>
      <c r="AT440" s="98" t="n"/>
      <c r="AU440" s="98" t="n"/>
      <c r="AV440" s="98" t="n"/>
      <c r="AW440" s="98" t="n"/>
      <c r="AX440" s="98" t="n"/>
      <c r="AY440" s="98" t="n"/>
      <c r="AZ440" s="98" t="n"/>
      <c r="BA440" s="98" t="n"/>
      <c r="BB440" s="98" t="n"/>
      <c r="BC440" s="98" t="n"/>
      <c r="BD440" s="98" t="n"/>
      <c r="BE440" s="98" t="n"/>
      <c r="BF440" s="98" t="n"/>
      <c r="BS440" s="97" t="n"/>
      <c r="BU440" s="97" t="n"/>
      <c r="BV440" s="97" t="n"/>
      <c r="CB440" s="14" t="n"/>
    </row>
    <row r="441" ht="14.55" customHeight="1" s="70">
      <c r="A441" s="81" t="n">
        <v>287</v>
      </c>
      <c r="B441" s="343" t="inlineStr">
        <is>
          <t>MEDAL</t>
        </is>
      </c>
      <c r="C441" s="15" t="n">
        <v>45869</v>
      </c>
      <c r="D441" s="329" t="n">
        <v>3500</v>
      </c>
      <c r="E441" s="333">
        <f>D441+D442</f>
        <v/>
      </c>
      <c r="G441" s="81" t="n">
        <v>2</v>
      </c>
      <c r="H441" s="75" t="inlineStr">
        <is>
          <t>NPK</t>
        </is>
      </c>
      <c r="I441" s="75" t="inlineStr">
        <is>
          <t xml:space="preserve">NPK 15 15 15 Low Cd </t>
        </is>
      </c>
      <c r="J441" s="75" t="inlineStr">
        <is>
          <t>CFR</t>
        </is>
      </c>
      <c r="Q441" s="75" t="inlineStr">
        <is>
          <t>EUROPE</t>
        </is>
      </c>
      <c r="R441" s="75" t="inlineStr">
        <is>
          <t>France</t>
        </is>
      </c>
      <c r="T441" s="75" t="inlineStr">
        <is>
          <t>INTERTEK</t>
        </is>
      </c>
      <c r="U441" s="81" t="n">
        <v>90</v>
      </c>
      <c r="V441" s="53">
        <f>IF(U441&lt;130, "Mini Bulker", IF(AND(U441&gt;=130, U441&lt;150), "Handysize", IF(AND(U441&gt;=150, U441&lt;200), "Handymax", IF(AND(U441&gt;=200, U441&lt;230), "Panamax", IF(AND(U441&gt;=230, U441&lt;=270), "Capesize", "Autre")))))</f>
        <v/>
      </c>
      <c r="X441" s="14">
        <f>IF(E441&lt;9999,"1",IF(E441&lt;19999,"2",IF(E441&lt;29999,"3",IF(E441&lt;39999,"4",IF(E441&lt;49999,"5",IF(E441&gt;50000,"6"))))))</f>
        <v/>
      </c>
      <c r="Y441" s="99" t="inlineStr">
        <is>
          <t>2TER</t>
        </is>
      </c>
      <c r="AA441" s="26" t="n">
        <v>45866.95833333334</v>
      </c>
      <c r="AB441" s="26" t="n">
        <v>45867.375</v>
      </c>
      <c r="AC441" s="15" t="n">
        <v>45864</v>
      </c>
      <c r="AD441" s="15" t="n">
        <v>45866</v>
      </c>
      <c r="AE441" s="26" t="n">
        <v>45866.69791666666</v>
      </c>
      <c r="AF441" s="26" t="n">
        <v>45867.43958333333</v>
      </c>
      <c r="AG441" s="26" t="n">
        <v>45867.58611111111</v>
      </c>
      <c r="AH441" s="26" t="n">
        <v>45867.60416666666</v>
      </c>
      <c r="AI441" s="26" t="n">
        <v>45867.78472222222</v>
      </c>
      <c r="AJ441" s="26" t="n">
        <v>45867.875</v>
      </c>
      <c r="AK441" s="26" t="n">
        <v>45869.54513888889</v>
      </c>
      <c r="AL441" s="26" t="n">
        <v>45869.58333333334</v>
      </c>
      <c r="AM441" s="26" t="n">
        <v>45869.61111111111</v>
      </c>
      <c r="AN441" s="26" t="n">
        <v>45869.63888888889</v>
      </c>
      <c r="AO441" s="26" t="n">
        <v>45869.65625</v>
      </c>
      <c r="AP441" s="20">
        <f>(AG441-AF441)*1440</f>
        <v/>
      </c>
      <c r="AQ441" s="20">
        <f>(AG441-AE441)*1440</f>
        <v/>
      </c>
      <c r="AR441" s="20">
        <f>(AH441-AF441)*1440</f>
        <v/>
      </c>
      <c r="AS441" s="20">
        <f>(AI441-AH441)*1440</f>
        <v/>
      </c>
      <c r="AT441" s="20">
        <f>(AJ441-AH441)*1440</f>
        <v/>
      </c>
      <c r="AU441" s="20">
        <f>(AL441-AK441)*1440</f>
        <v/>
      </c>
      <c r="AV441" s="20">
        <f>(AM441-AL441)*1440</f>
        <v/>
      </c>
      <c r="AW441" s="20">
        <f>(AO441-AM441)*1440</f>
        <v/>
      </c>
      <c r="AX441" s="19">
        <f>AP441+AS441+AU441+AV441+AW441</f>
        <v/>
      </c>
      <c r="AY441" s="18">
        <f>(AG441-AA441)</f>
        <v/>
      </c>
      <c r="AZ441" s="18">
        <f>(AK441-AJ441)</f>
        <v/>
      </c>
      <c r="BA441" s="18">
        <f>AO441-AG441</f>
        <v/>
      </c>
      <c r="BB441" s="18">
        <f>(AO441-AA441)-(AP441/1440)-(AW441/1440)</f>
        <v/>
      </c>
      <c r="BC441" s="20">
        <f>E441/AZ441</f>
        <v/>
      </c>
      <c r="BE441" s="20">
        <f>IF(E441&lt;10000,3000,IF(E441&lt;15000,3600,IF(E441&lt;20000,4500,IF(E441&lt;25000,6000,IF(E441&lt;30000,7500,IF(E441&lt;40000,9000,IF(E441&gt;40000,10000)))))))</f>
        <v/>
      </c>
      <c r="BF441" s="334">
        <f>(E441/BE441)+2</f>
        <v/>
      </c>
      <c r="BS441" s="97" t="inlineStr">
        <is>
          <t>NUL</t>
        </is>
      </c>
      <c r="BT441" s="99" t="n">
        <v>0</v>
      </c>
      <c r="BU441" s="97" t="inlineStr">
        <is>
          <t>NON CLEAN</t>
        </is>
      </c>
      <c r="BV441" s="97" t="inlineStr">
        <is>
          <t>WATER/BULKHEAD</t>
        </is>
      </c>
      <c r="BW441" s="332">
        <f>AI442-AH442</f>
        <v/>
      </c>
      <c r="CB441" s="14" t="n">
        <v>2998</v>
      </c>
    </row>
    <row r="442" ht="15" customHeight="1" s="70">
      <c r="A442" s="81" t="n"/>
      <c r="B442" s="343" t="inlineStr">
        <is>
          <t>MEDAL</t>
        </is>
      </c>
      <c r="C442" s="15" t="n">
        <v>45869</v>
      </c>
      <c r="D442" s="329" t="n">
        <v>1000</v>
      </c>
      <c r="E442" s="330" t="n"/>
      <c r="G442" s="81" t="n">
        <v>2</v>
      </c>
      <c r="H442" s="75" t="inlineStr">
        <is>
          <t>DAP</t>
        </is>
      </c>
      <c r="I442" s="75" t="inlineStr">
        <is>
          <t xml:space="preserve">DAP Euro Low Cd </t>
        </is>
      </c>
      <c r="J442" s="75" t="inlineStr">
        <is>
          <t>CFR</t>
        </is>
      </c>
      <c r="Q442" s="75" t="inlineStr">
        <is>
          <t>EUROPE</t>
        </is>
      </c>
      <c r="R442" s="75" t="inlineStr">
        <is>
          <t>France</t>
        </is>
      </c>
      <c r="S442" s="75" t="n"/>
      <c r="T442" s="75" t="inlineStr">
        <is>
          <t>INTERTEK</t>
        </is>
      </c>
      <c r="U442" s="81" t="n">
        <v>90</v>
      </c>
      <c r="V442" s="53">
        <f>IF(U442&lt;130, "Mini Bulker", IF(AND(U442&gt;=130, U442&lt;150), "Handysize", IF(AND(U442&gt;=150, U442&lt;200), "Handymax", IF(AND(U442&gt;=200, U442&lt;230), "Panamax", IF(AND(U442&gt;=230, U442&lt;=270), "Capesize", "Autre")))))</f>
        <v/>
      </c>
      <c r="X442" s="14">
        <f>IF(E442&lt;9999,"1",IF(E442&lt;19999,"2",IF(E442&lt;29999,"3",IF(E442&lt;39999,"4",IF(E442&lt;49999,"5",IF(E442&gt;50000,"6"))))))</f>
        <v/>
      </c>
      <c r="Y442" s="99" t="inlineStr">
        <is>
          <t>2TER</t>
        </is>
      </c>
      <c r="AA442" s="98" t="n"/>
      <c r="AB442" s="98" t="n"/>
      <c r="AC442" s="98" t="n"/>
      <c r="AD442" s="98" t="n"/>
      <c r="AE442" s="98" t="n"/>
      <c r="AF442" s="98" t="n"/>
      <c r="AG442" s="98" t="n"/>
      <c r="AH442" s="98" t="n"/>
      <c r="AI442" s="98" t="n"/>
      <c r="AJ442" s="98" t="n"/>
      <c r="AK442" s="98" t="n"/>
      <c r="AL442" s="98" t="n"/>
      <c r="AM442" s="98" t="n"/>
      <c r="AN442" s="98" t="n"/>
      <c r="AO442" s="98" t="n"/>
      <c r="AP442" s="98" t="n"/>
      <c r="AQ442" s="98" t="n"/>
      <c r="AR442" s="98" t="n"/>
      <c r="AS442" s="98" t="n"/>
      <c r="AT442" s="98" t="n"/>
      <c r="AU442" s="98" t="n"/>
      <c r="AV442" s="98" t="n"/>
      <c r="AW442" s="98" t="n"/>
      <c r="AX442" s="98" t="n"/>
      <c r="AY442" s="98" t="n"/>
      <c r="AZ442" s="98" t="n"/>
      <c r="BA442" s="98" t="n"/>
      <c r="BB442" s="98" t="n"/>
      <c r="BC442" s="98" t="n"/>
      <c r="BD442" s="98" t="n"/>
      <c r="BE442" s="98" t="n"/>
      <c r="BF442" s="98" t="n"/>
      <c r="BG442" s="98" t="n"/>
      <c r="BH442" s="98" t="n"/>
      <c r="BI442" s="98" t="n"/>
      <c r="BJ442" s="98" t="n"/>
      <c r="BK442" s="98" t="n"/>
      <c r="BL442" s="98" t="n"/>
      <c r="BM442" s="98" t="n"/>
      <c r="BN442" s="98" t="n"/>
      <c r="BO442" s="98" t="n"/>
      <c r="BP442" s="98" t="n"/>
      <c r="BQ442" s="98" t="n"/>
      <c r="BR442" s="98" t="n"/>
      <c r="BS442" s="97" t="n"/>
      <c r="BT442" s="99" t="n"/>
      <c r="BU442" s="97" t="n"/>
      <c r="BV442" s="97" t="n"/>
      <c r="BW442" s="332">
        <f>AI443-AH443</f>
        <v/>
      </c>
      <c r="CB442" s="14" t="n"/>
    </row>
    <row r="443" ht="14.55" customHeight="1" s="70">
      <c r="A443" s="81" t="n">
        <v>288</v>
      </c>
      <c r="B443" s="343" t="inlineStr">
        <is>
          <t>VOLGABORG</t>
        </is>
      </c>
      <c r="C443" s="15" t="n">
        <v>45870</v>
      </c>
      <c r="D443" s="346" t="n">
        <v>2200</v>
      </c>
      <c r="E443" s="333">
        <f>D443+D444</f>
        <v/>
      </c>
      <c r="G443" s="81" t="n">
        <v>2</v>
      </c>
      <c r="H443" s="75" t="inlineStr">
        <is>
          <t>MAP</t>
        </is>
      </c>
      <c r="I443" s="75" t="inlineStr">
        <is>
          <t xml:space="preserve">MAP 11 52 Special Low Cd </t>
        </is>
      </c>
      <c r="J443" s="75" t="inlineStr">
        <is>
          <t>FOB</t>
        </is>
      </c>
      <c r="Q443" s="75" t="inlineStr">
        <is>
          <t>EUROPE</t>
        </is>
      </c>
      <c r="R443" s="75" t="inlineStr">
        <is>
          <t>LITHUANIA</t>
        </is>
      </c>
      <c r="S443" s="75" t="n"/>
      <c r="T443" s="75" t="inlineStr">
        <is>
          <t>INSPECTORATE</t>
        </is>
      </c>
      <c r="U443" s="81" t="n">
        <v>143</v>
      </c>
      <c r="V443" s="53">
        <f>IF(U443&lt;130, "Mini Bulker", IF(AND(U443&gt;=130, U443&lt;150), "Handysize", IF(AND(U443&gt;=150, U443&lt;200), "Handymax", IF(AND(U443&gt;=200, U443&lt;230), "Panamax", IF(AND(U443&gt;=230, U443&lt;=270), "Capesize", "Autre")))))</f>
        <v/>
      </c>
      <c r="X443" s="14">
        <f>IF(E443&lt;9999,"1",IF(E443&lt;19999,"2",IF(E443&lt;29999,"3",IF(E443&lt;39999,"4",IF(E443&lt;49999,"5",IF(E443&gt;50000,"6"))))))</f>
        <v/>
      </c>
      <c r="Y443" s="99" t="inlineStr">
        <is>
          <t>6/1TER/6/2TER</t>
        </is>
      </c>
      <c r="AA443" s="26" t="n">
        <v>45866.08333333334</v>
      </c>
      <c r="AB443" s="26" t="n">
        <v>45866.375</v>
      </c>
      <c r="AC443" s="15" t="n">
        <v>45862</v>
      </c>
      <c r="AD443" s="15" t="n">
        <v>45864</v>
      </c>
      <c r="AE443" s="26" t="n">
        <v>45866.08333333334</v>
      </c>
      <c r="AF443" s="26" t="n">
        <v>45867.38611111111</v>
      </c>
      <c r="AG443" s="26" t="n">
        <v>45867.50694444445</v>
      </c>
      <c r="AH443" s="26" t="n">
        <v>45867.52777777778</v>
      </c>
      <c r="AJ443" s="26" t="n">
        <v>45870.02083333334</v>
      </c>
      <c r="AK443" s="26" t="n">
        <v>45870.89236111111</v>
      </c>
      <c r="AL443" s="26" t="n">
        <v>45870.92430555556</v>
      </c>
      <c r="AM443" s="26" t="n">
        <v>45870.94791666666</v>
      </c>
      <c r="AN443" s="26" t="n">
        <v>45870.99652777778</v>
      </c>
      <c r="AO443" s="26" t="n">
        <v>45871.01736111111</v>
      </c>
      <c r="AP443" s="20">
        <f>(AG443-AF443)*1440</f>
        <v/>
      </c>
      <c r="AQ443" s="20">
        <f>(AG443-AE443)*1440</f>
        <v/>
      </c>
      <c r="AR443" s="20">
        <f>(AH443-AF443)*1440</f>
        <v/>
      </c>
      <c r="AS443" s="20">
        <f>(AI443-AH443)*1440</f>
        <v/>
      </c>
      <c r="AT443" s="20">
        <f>(AJ443-AH443)*1440</f>
        <v/>
      </c>
      <c r="AU443" s="20">
        <f>(AL443-AK443)*1440</f>
        <v/>
      </c>
      <c r="AV443" s="20">
        <f>(AM443-AL443)*1440</f>
        <v/>
      </c>
      <c r="AW443" s="20">
        <f>(AO443-AM443)*1440</f>
        <v/>
      </c>
      <c r="AX443" s="19">
        <f>AP443+AS443+AU443+AV443+AW443</f>
        <v/>
      </c>
      <c r="AY443" s="18">
        <f>(AG443-AA443)</f>
        <v/>
      </c>
      <c r="AZ443" s="18">
        <f>(AK443-AJ443)</f>
        <v/>
      </c>
      <c r="BA443" s="18">
        <f>AO443-AG443</f>
        <v/>
      </c>
      <c r="BB443" s="18">
        <f>(AO443-AA443)-(AP443/1440)-(AW443/1440)</f>
        <v/>
      </c>
      <c r="BC443" s="20">
        <f>E443/AZ443</f>
        <v/>
      </c>
      <c r="BE443" s="20">
        <f>IF(E443&lt;10000,3000,IF(E443&lt;15000,3600,IF(E443&lt;20000,4500,IF(E443&lt;25000,6000,IF(E443&lt;30000,7500,IF(E443&lt;40000,9000,IF(E443&gt;40000,10000)))))))</f>
        <v/>
      </c>
      <c r="BF443" s="334">
        <f>(E443/BE443)+2</f>
        <v/>
      </c>
      <c r="BS443" s="97" t="inlineStr">
        <is>
          <t>CHANGE DU POSTE 6 VERS POSTE 1TER LE 30/07- 1020 / CHANGE DU POSTE 1TER VERS POSTE 6 LE 30/07- 1216 / CHANGE DU POSTE 6 VERS POSTE 2TER LE 31/07- 1750</t>
        </is>
      </c>
      <c r="BT443" s="99" t="n">
        <v>3</v>
      </c>
      <c r="BU443" s="97" t="inlineStr">
        <is>
          <t>NON CLEAN</t>
        </is>
      </c>
      <c r="BV443" s="97" t="inlineStr">
        <is>
          <t>WATER/GRAIN/HUMIDITY/BULK HEAD</t>
        </is>
      </c>
      <c r="BW443" s="332">
        <f>AI444-AH444</f>
        <v/>
      </c>
      <c r="CB443" s="14" t="n">
        <v>7367</v>
      </c>
    </row>
    <row r="444" ht="15" customHeight="1" s="70">
      <c r="A444" s="81" t="n"/>
      <c r="B444" s="343" t="inlineStr">
        <is>
          <t>VOLGABORG</t>
        </is>
      </c>
      <c r="C444" s="15" t="n">
        <v>45870</v>
      </c>
      <c r="D444" s="346" t="n">
        <v>5756</v>
      </c>
      <c r="E444" s="330" t="n"/>
      <c r="G444" s="81" t="n">
        <v>2</v>
      </c>
      <c r="H444" s="75" t="inlineStr">
        <is>
          <t>DAP</t>
        </is>
      </c>
      <c r="I444" s="75" t="inlineStr">
        <is>
          <t xml:space="preserve">DAP Euro Low Cd </t>
        </is>
      </c>
      <c r="J444" s="75" t="inlineStr">
        <is>
          <t>FOB</t>
        </is>
      </c>
      <c r="Q444" s="75" t="inlineStr">
        <is>
          <t>EUROPE</t>
        </is>
      </c>
      <c r="R444" s="75" t="inlineStr">
        <is>
          <t>LITHUANIA</t>
        </is>
      </c>
      <c r="S444" s="75" t="n"/>
      <c r="T444" s="75" t="inlineStr">
        <is>
          <t>INSPECTORATE</t>
        </is>
      </c>
      <c r="U444" s="81" t="n">
        <v>143</v>
      </c>
      <c r="V444" s="53">
        <f>IF(U444&lt;130, "Mini Bulker", IF(AND(U444&gt;=130, U444&lt;150), "Handysize", IF(AND(U444&gt;=150, U444&lt;200), "Handymax", IF(AND(U444&gt;=200, U444&lt;230), "Panamax", IF(AND(U444&gt;=230, U444&lt;=270), "Capesize", "Autre")))))</f>
        <v/>
      </c>
      <c r="X444" s="14">
        <f>IF(E444&lt;9999,"1",IF(E444&lt;19999,"2",IF(E444&lt;29999,"3",IF(E444&lt;39999,"4",IF(E444&lt;49999,"5",IF(E444&gt;50000,"6"))))))</f>
        <v/>
      </c>
      <c r="Y444" s="99" t="inlineStr">
        <is>
          <t>6/1TER/6/2TER</t>
        </is>
      </c>
      <c r="AA444" s="98" t="n"/>
      <c r="AB444" s="98" t="n"/>
      <c r="AC444" s="98" t="n"/>
      <c r="AD444" s="98" t="n"/>
      <c r="AE444" s="98" t="n"/>
      <c r="AF444" s="98" t="n"/>
      <c r="AG444" s="98" t="n"/>
      <c r="AH444" s="98" t="n"/>
      <c r="AI444" s="98" t="n"/>
      <c r="AJ444" s="98" t="n"/>
      <c r="AK444" s="98" t="n"/>
      <c r="AL444" s="98" t="n"/>
      <c r="AM444" s="98" t="n"/>
      <c r="AN444" s="98" t="n"/>
      <c r="AO444" s="98" t="n"/>
      <c r="AP444" s="98" t="n"/>
      <c r="AQ444" s="98" t="n"/>
      <c r="AR444" s="98" t="n"/>
      <c r="AS444" s="98" t="n"/>
      <c r="AT444" s="98" t="n"/>
      <c r="AU444" s="98" t="n"/>
      <c r="AV444" s="98" t="n"/>
      <c r="AW444" s="98" t="n"/>
      <c r="AX444" s="98" t="n"/>
      <c r="AY444" s="98" t="n"/>
      <c r="AZ444" s="98" t="n"/>
      <c r="BA444" s="98" t="n"/>
      <c r="BB444" s="98" t="n"/>
      <c r="BC444" s="98" t="n"/>
      <c r="BD444" s="98" t="n"/>
      <c r="BE444" s="98" t="n"/>
      <c r="BF444" s="98" t="n"/>
      <c r="BG444" s="98" t="n"/>
      <c r="BH444" s="98" t="n"/>
      <c r="BI444" s="98" t="n"/>
      <c r="BJ444" s="98" t="n"/>
      <c r="BK444" s="98" t="n"/>
      <c r="BL444" s="98" t="n"/>
      <c r="BM444" s="98" t="n"/>
      <c r="BN444" s="98" t="n"/>
      <c r="BO444" s="98" t="n"/>
      <c r="BP444" s="98" t="n"/>
      <c r="BQ444" s="98" t="n"/>
      <c r="BR444" s="98" t="n"/>
      <c r="BS444" s="97" t="n"/>
      <c r="BT444" s="99" t="n"/>
      <c r="BU444" s="97" t="n"/>
      <c r="BV444" s="97" t="n"/>
      <c r="BW444" s="332">
        <f>AI445-AH445</f>
        <v/>
      </c>
      <c r="CB444" s="14" t="n"/>
    </row>
    <row r="445" ht="15" customHeight="1" s="70">
      <c r="A445" s="81" t="n">
        <v>290</v>
      </c>
      <c r="B445" s="343" t="inlineStr">
        <is>
          <t>AZZARO</t>
        </is>
      </c>
      <c r="C445" s="15" t="n">
        <v>45871</v>
      </c>
      <c r="D445" s="346" t="n">
        <v>4400</v>
      </c>
      <c r="E445" s="346" t="n">
        <v>4400</v>
      </c>
      <c r="G445" s="81" t="n">
        <v>1</v>
      </c>
      <c r="H445" s="75" t="inlineStr">
        <is>
          <t>DAP</t>
        </is>
      </c>
      <c r="I445" s="75" t="inlineStr">
        <is>
          <t xml:space="preserve">DAP Euro Low Cd </t>
        </is>
      </c>
      <c r="J445" s="75" t="inlineStr">
        <is>
          <t>FOB</t>
        </is>
      </c>
      <c r="Q445" s="75" t="inlineStr">
        <is>
          <t>EUROPE</t>
        </is>
      </c>
      <c r="R445" s="75" t="inlineStr">
        <is>
          <t>UK</t>
        </is>
      </c>
      <c r="S445" s="75" t="n"/>
      <c r="T445" s="75" t="inlineStr">
        <is>
          <t>INSPECTORATE</t>
        </is>
      </c>
      <c r="U445" s="81" t="n">
        <v>132</v>
      </c>
      <c r="V445" s="53">
        <f>IF(U445&lt;130, "Mini Bulker", IF(AND(U445&gt;=130, U445&lt;150), "Handysize", IF(AND(U445&gt;=150, U445&lt;200), "Handymax", IF(AND(U445&gt;=200, U445&lt;230), "Panamax", IF(AND(U445&gt;=230, U445&lt;=270), "Capesize", "Autre")))))</f>
        <v/>
      </c>
      <c r="X445" s="14">
        <f>IF(E445&lt;9999,"1",IF(E445&lt;19999,"2",IF(E445&lt;29999,"3",IF(E445&lt;39999,"4",IF(E445&lt;49999,"5",IF(E445&gt;50000,"6"))))))</f>
        <v/>
      </c>
      <c r="Y445" s="99" t="inlineStr">
        <is>
          <t>2TER</t>
        </is>
      </c>
      <c r="AA445" s="26" t="n">
        <v>45864.60416666666</v>
      </c>
      <c r="AB445" s="26" t="n">
        <v>45866.375</v>
      </c>
      <c r="AC445" s="15" t="n">
        <v>45865</v>
      </c>
      <c r="AD445" s="15" t="n">
        <v>45867</v>
      </c>
      <c r="AE445" s="26" t="n">
        <v>45864.63888888889</v>
      </c>
      <c r="AF445" s="26" t="n">
        <v>45864.79166666666</v>
      </c>
      <c r="AG445" s="26" t="n">
        <v>45864.88888888889</v>
      </c>
      <c r="AH445" s="26" t="n">
        <v>45864.90972222222</v>
      </c>
      <c r="AI445" s="26" t="n">
        <v>45871.17708333334</v>
      </c>
      <c r="AJ445" s="26" t="n">
        <v>45871.23263888889</v>
      </c>
      <c r="AK445" s="26" t="n">
        <v>45871.82638888889</v>
      </c>
      <c r="AL445" s="26" t="n">
        <v>45871.86805555555</v>
      </c>
      <c r="AM445" s="26" t="n">
        <v>45871.88541666666</v>
      </c>
      <c r="AN445" s="26" t="n">
        <v>45871.94444444445</v>
      </c>
      <c r="AO445" s="26" t="n">
        <v>45871.99652777778</v>
      </c>
      <c r="AP445" s="20">
        <f>(AG445-AF445)*1440</f>
        <v/>
      </c>
      <c r="AQ445" s="20">
        <f>(AG445-AE445)*1440</f>
        <v/>
      </c>
      <c r="AR445" s="20">
        <f>(AH445-AF445)*1440</f>
        <v/>
      </c>
      <c r="AS445" s="20">
        <f>(AI445-AH445)*1440</f>
        <v/>
      </c>
      <c r="AT445" s="20">
        <f>(AJ445-AH445)*1440</f>
        <v/>
      </c>
      <c r="AU445" s="20">
        <f>(AL445-AK445)*1440</f>
        <v/>
      </c>
      <c r="AV445" s="20">
        <f>(AM445-AL445)*1440</f>
        <v/>
      </c>
      <c r="AW445" s="20">
        <f>(AO445-AM445)*1440</f>
        <v/>
      </c>
      <c r="AX445" s="19">
        <f>AP445+AS445+AU445+AV445+AW445</f>
        <v/>
      </c>
      <c r="AY445" s="18">
        <f>(AG445-AA445)</f>
        <v/>
      </c>
      <c r="AZ445" s="18">
        <f>(AK445-AJ445)</f>
        <v/>
      </c>
      <c r="BA445" s="18">
        <f>AO445-AG445</f>
        <v/>
      </c>
      <c r="BB445" s="18">
        <f>(AO445-AA445)-(AP445/1440)-(AW445/1440)</f>
        <v/>
      </c>
      <c r="BC445" s="20">
        <f>E445/AZ445</f>
        <v/>
      </c>
      <c r="BE445" s="20">
        <f>IF(E445&lt;10000,3000,IF(E445&lt;15000,3600,IF(E445&lt;20000,4500,IF(E445&lt;25000,6000,IF(E445&lt;30000,7500,IF(E445&lt;40000,9000,IF(E445&gt;40000,10000)))))))</f>
        <v/>
      </c>
      <c r="BF445" s="334">
        <f>(E445/BE445)+2</f>
        <v/>
      </c>
      <c r="BS445" s="97" t="inlineStr">
        <is>
          <t xml:space="preserve"> 4 000 TSP A SAFI / 4 400 DAP A JORF / CHANGE DU POSTE 2T VERS LA RADE LE 29/07- 1235 / RE-ACC AU POSTE 2T LE 02/08- 0130</t>
        </is>
      </c>
      <c r="BT445" s="99" t="n">
        <v>2</v>
      </c>
      <c r="BU445" s="97" t="inlineStr">
        <is>
          <t>NON CLEAN</t>
        </is>
      </c>
      <c r="BV445" s="97" t="inlineStr">
        <is>
          <t>WATER/BULK HEAD</t>
        </is>
      </c>
      <c r="BW445" s="332">
        <f>AI446-AH446</f>
        <v/>
      </c>
      <c r="CB445" s="14" t="n">
        <v>6154</v>
      </c>
    </row>
    <row r="446">
      <c r="A446" s="81" t="n">
        <v>289</v>
      </c>
      <c r="B446" s="343" t="inlineStr">
        <is>
          <t>NIKITIS</t>
        </is>
      </c>
      <c r="C446" s="15" t="n">
        <v>45871</v>
      </c>
      <c r="D446" s="346" t="n">
        <v>42583</v>
      </c>
      <c r="E446" s="346" t="n">
        <v>42583</v>
      </c>
      <c r="G446" s="81" t="n">
        <v>1</v>
      </c>
      <c r="H446" s="75" t="inlineStr">
        <is>
          <t>DAP</t>
        </is>
      </c>
      <c r="I446" s="75" t="inlineStr">
        <is>
          <t xml:space="preserve">DAP SPECIAL </t>
        </is>
      </c>
      <c r="J446" s="75" t="inlineStr">
        <is>
          <t>CFR</t>
        </is>
      </c>
      <c r="Q446" s="75" t="inlineStr">
        <is>
          <t>AFRIQUE</t>
        </is>
      </c>
      <c r="R446" s="75" t="inlineStr">
        <is>
          <t>Nigeria</t>
        </is>
      </c>
      <c r="S446" s="75" t="n"/>
      <c r="T446" s="75" t="inlineStr">
        <is>
          <t>INSPECTORATE</t>
        </is>
      </c>
      <c r="U446" s="81" t="n">
        <v>190</v>
      </c>
      <c r="V446" s="53">
        <f>IF(U446&lt;130, "Mini Bulker", IF(AND(U446&gt;=130, U446&lt;150), "Handysize", IF(AND(U446&gt;=150, U446&lt;200), "Handymax", IF(AND(U446&gt;=200, U446&lt;230), "Panamax", IF(AND(U446&gt;=230, U446&lt;=270), "Capesize", "Autre")))))</f>
        <v/>
      </c>
      <c r="X446" s="14">
        <f>IF(E446&lt;9999,"1",IF(E446&lt;19999,"2",IF(E446&lt;29999,"3",IF(E446&lt;39999,"4",IF(E446&lt;49999,"5",IF(E446&gt;50000,"6"))))))</f>
        <v/>
      </c>
      <c r="Y446" s="99" t="inlineStr">
        <is>
          <t>1N/1BIS</t>
        </is>
      </c>
      <c r="AA446" s="26" t="n">
        <v>45864.4125</v>
      </c>
      <c r="AB446" s="26" t="n">
        <v>45864.4125</v>
      </c>
      <c r="AC446" s="15" t="n">
        <v>45861</v>
      </c>
      <c r="AD446" s="15" t="n">
        <v>45864</v>
      </c>
      <c r="AE446" s="26" t="n">
        <v>45864.35</v>
      </c>
      <c r="AF446" s="26" t="n">
        <v>45864.46875</v>
      </c>
      <c r="AG446" s="26" t="n">
        <v>45864.54583333333</v>
      </c>
      <c r="AH446" s="26" t="n">
        <v>45864.55</v>
      </c>
      <c r="AI446" s="26" t="n">
        <v>45864.63194444445</v>
      </c>
      <c r="AJ446" s="26" t="n">
        <v>45864.70138888889</v>
      </c>
      <c r="AK446" s="26" t="n">
        <v>45871.125</v>
      </c>
      <c r="AL446" s="26" t="n">
        <v>45871.21805555555</v>
      </c>
      <c r="AM446" s="26" t="n">
        <v>45871.23611111111</v>
      </c>
      <c r="AN446" s="26" t="n">
        <v>45871.28055555555</v>
      </c>
      <c r="AO446" s="26" t="n">
        <v>45871.33333333334</v>
      </c>
      <c r="AP446" s="20">
        <f>(AG446-AF446)*1440</f>
        <v/>
      </c>
      <c r="AQ446" s="20">
        <f>(AG446-AE446)*1440</f>
        <v/>
      </c>
      <c r="AR446" s="20">
        <f>(AH446-AF446)*1440</f>
        <v/>
      </c>
      <c r="AS446" s="20">
        <f>(AI446-AH446)*1440</f>
        <v/>
      </c>
      <c r="AT446" s="20">
        <f>(AJ446-AH446)*1440</f>
        <v/>
      </c>
      <c r="AU446" s="20">
        <f>(AL446-AK446)*1440</f>
        <v/>
      </c>
      <c r="AV446" s="20">
        <f>(AM446-AL446)*1440</f>
        <v/>
      </c>
      <c r="AW446" s="20">
        <f>(AO446-AM446)*1440</f>
        <v/>
      </c>
      <c r="AX446" s="19">
        <f>AP446+AS446+AU446+AV446+AW446</f>
        <v/>
      </c>
      <c r="AY446" s="18">
        <f>(AG446-AA446)</f>
        <v/>
      </c>
      <c r="AZ446" s="18">
        <f>(AK446-AJ446)</f>
        <v/>
      </c>
      <c r="BA446" s="18">
        <f>AO446-AG446</f>
        <v/>
      </c>
      <c r="BB446" s="18">
        <f>(AO446-AA446)-(AP446/1440)-(AW446/1440)</f>
        <v/>
      </c>
      <c r="BC446" s="20">
        <f>E446/AZ446</f>
        <v/>
      </c>
      <c r="BE446" s="20">
        <f>IF(E446&lt;10000,3000,IF(E446&lt;15000,3600,IF(E446&lt;20000,4500,IF(E446&lt;25000,6000,IF(E446&lt;30000,7500,IF(E446&lt;40000,9000,IF(E446&gt;40000,10000)))))))</f>
        <v/>
      </c>
      <c r="BF446" s="334">
        <f>(E446/BE446)+2</f>
        <v/>
      </c>
      <c r="BS446" s="97" t="inlineStr">
        <is>
          <t>CHANGE DU POSTE 1N VERS LA RADE LE 30/07- 1335 // RE-ACC AU POSTE 1BIS LE 30/07- 2120</t>
        </is>
      </c>
      <c r="BT446" s="99" t="n">
        <v>2</v>
      </c>
      <c r="BU446" s="97" t="n"/>
      <c r="BV446" s="97" t="n"/>
      <c r="BW446" s="332">
        <f>AI447-AH447</f>
        <v/>
      </c>
      <c r="CB446" s="14" t="n">
        <v>33044</v>
      </c>
    </row>
    <row r="447" ht="15" customHeight="1" s="70">
      <c r="A447" s="81" t="n">
        <v>292</v>
      </c>
      <c r="B447" s="343" t="inlineStr">
        <is>
          <t>LAPISLAND</t>
        </is>
      </c>
      <c r="C447" s="15" t="n">
        <v>45872</v>
      </c>
      <c r="D447" s="346" t="n">
        <v>3300</v>
      </c>
      <c r="E447" s="346" t="n">
        <v>3300</v>
      </c>
      <c r="G447" s="81" t="n">
        <v>1</v>
      </c>
      <c r="H447" s="75" t="inlineStr">
        <is>
          <t>DAP</t>
        </is>
      </c>
      <c r="I447" s="75" t="inlineStr">
        <is>
          <t xml:space="preserve">DAP Euro Low Cd </t>
        </is>
      </c>
      <c r="J447" s="75" t="inlineStr">
        <is>
          <t>CFR</t>
        </is>
      </c>
      <c r="Q447" s="75" t="inlineStr">
        <is>
          <t>EUROPE</t>
        </is>
      </c>
      <c r="R447" s="75" t="inlineStr">
        <is>
          <t>IRLANDE</t>
        </is>
      </c>
      <c r="T447" s="75" t="inlineStr">
        <is>
          <t>INSPECTORATE</t>
        </is>
      </c>
      <c r="U447" s="81" t="n">
        <v>109</v>
      </c>
      <c r="V447" s="53">
        <f>IF(U447&lt;130, "Mini Bulker", IF(AND(U447&gt;=130, U447&lt;150), "Handysize", IF(AND(U447&gt;=150, U447&lt;200), "Handymax", IF(AND(U447&gt;=200, U447&lt;230), "Panamax", IF(AND(U447&gt;=230, U447&lt;=270), "Capesize", "Autre")))))</f>
        <v/>
      </c>
      <c r="X447" s="14">
        <f>IF(E447&lt;9999,"1",IF(E447&lt;19999,"2",IF(E447&lt;29999,"3",IF(E447&lt;39999,"4",IF(E447&lt;49999,"5",IF(E447&gt;50000,"6"))))))</f>
        <v/>
      </c>
      <c r="Y447" s="99" t="inlineStr">
        <is>
          <t>2BIS</t>
        </is>
      </c>
      <c r="AA447" s="26" t="n">
        <v>45871.95833333334</v>
      </c>
      <c r="AB447" s="26" t="n">
        <v>45873.375</v>
      </c>
      <c r="AC447" s="15" t="n">
        <v>45871</v>
      </c>
      <c r="AD447" s="15" t="n">
        <v>45873</v>
      </c>
      <c r="AE447" s="26" t="n">
        <v>45871.95833333334</v>
      </c>
      <c r="AF447" s="26" t="n">
        <v>45871.95833333334</v>
      </c>
      <c r="AG447" s="26" t="n">
        <v>45872.05555555555</v>
      </c>
      <c r="AH447" s="26" t="n">
        <v>45872.06944444445</v>
      </c>
      <c r="AI447" s="26" t="n">
        <v>45872.42708333334</v>
      </c>
      <c r="AJ447" s="26" t="n">
        <v>45872.46180555555</v>
      </c>
      <c r="AK447" s="26" t="n">
        <v>45872.72222222222</v>
      </c>
      <c r="AL447" s="26" t="n">
        <v>45872.76388888889</v>
      </c>
      <c r="AM447" s="26" t="n">
        <v>45872.78819444445</v>
      </c>
      <c r="AN447" s="26" t="n">
        <v>45872.83611111111</v>
      </c>
      <c r="AO447" s="26" t="n">
        <v>45872.8625</v>
      </c>
      <c r="AP447" s="20">
        <f>(AG447-AF447)*1440</f>
        <v/>
      </c>
      <c r="AQ447" s="20">
        <f>(AG447-AE447)*1440</f>
        <v/>
      </c>
      <c r="AR447" s="20">
        <f>(AH447-AF447)*1440</f>
        <v/>
      </c>
      <c r="AS447" s="20">
        <f>(AI447-AH447)*1440</f>
        <v/>
      </c>
      <c r="AT447" s="20">
        <f>(AJ447-AH447)*1440</f>
        <v/>
      </c>
      <c r="AU447" s="20">
        <f>(AL447-AK447)*1440</f>
        <v/>
      </c>
      <c r="AV447" s="20">
        <f>(AM447-AL447)*1440</f>
        <v/>
      </c>
      <c r="AW447" s="20">
        <f>(AO447-AM447)*1440</f>
        <v/>
      </c>
      <c r="AX447" s="19">
        <f>AP447+AS447+AU447+AV447+AW447</f>
        <v/>
      </c>
      <c r="AY447" s="18">
        <f>(AG447-AA447)</f>
        <v/>
      </c>
      <c r="AZ447" s="18">
        <f>(AK447-AJ447)</f>
        <v/>
      </c>
      <c r="BA447" s="18">
        <f>AO447-AG447</f>
        <v/>
      </c>
      <c r="BB447" s="18">
        <f>(AO447-AA447)-(AP447/1440)-(AW447/1440)</f>
        <v/>
      </c>
      <c r="BC447" s="20">
        <f>E447/AZ447</f>
        <v/>
      </c>
      <c r="BE447" s="20">
        <f>IF(E447&lt;10000,3000,IF(E447&lt;15000,3600,IF(E447&lt;20000,4500,IF(E447&lt;25000,6000,IF(E447&lt;30000,7500,IF(E447&lt;40000,9000,IF(E447&gt;40000,10000)))))))</f>
        <v/>
      </c>
      <c r="BF447" s="334">
        <f>(E447/BE447)+2</f>
        <v/>
      </c>
      <c r="BS447" s="97" t="inlineStr">
        <is>
          <t>NUL</t>
        </is>
      </c>
      <c r="BT447" s="99" t="n">
        <v>0</v>
      </c>
      <c r="BU447" s="97" t="n"/>
      <c r="BV447" s="97" t="n"/>
      <c r="BW447" s="332">
        <f>AI448-AH448</f>
        <v/>
      </c>
      <c r="CB447" s="14" t="n">
        <v>4358</v>
      </c>
    </row>
    <row r="448" ht="15" customHeight="1" s="70">
      <c r="A448" s="81" t="n">
        <v>291</v>
      </c>
      <c r="B448" s="343" t="inlineStr">
        <is>
          <t>PATMOS</t>
        </is>
      </c>
      <c r="C448" s="15" t="n">
        <v>45872</v>
      </c>
      <c r="D448" s="346" t="n">
        <v>60500</v>
      </c>
      <c r="E448" s="346" t="n">
        <v>60500</v>
      </c>
      <c r="G448" s="81" t="n">
        <v>1</v>
      </c>
      <c r="H448" s="75" t="inlineStr">
        <is>
          <t>TSP</t>
        </is>
      </c>
      <c r="I448" s="75" t="inlineStr">
        <is>
          <t xml:space="preserve">TSP CIV </t>
        </is>
      </c>
      <c r="J448" s="75" t="inlineStr">
        <is>
          <t>CFR</t>
        </is>
      </c>
      <c r="Q448" s="75" t="inlineStr">
        <is>
          <t>ASIE</t>
        </is>
      </c>
      <c r="R448" s="75" t="inlineStr">
        <is>
          <t>INDE</t>
        </is>
      </c>
      <c r="S448" s="75" t="inlineStr">
        <is>
          <t>INSPECTORATE</t>
        </is>
      </c>
      <c r="T448" s="75" t="inlineStr">
        <is>
          <t>INTERTEK</t>
        </is>
      </c>
      <c r="U448" s="81" t="n">
        <v>199</v>
      </c>
      <c r="V448" s="53">
        <f>IF(U448&lt;130, "Mini Bulker", IF(AND(U448&gt;=130, U448&lt;150), "Handysize", IF(AND(U448&gt;=150, U448&lt;200), "Handymax", IF(AND(U448&gt;=200, U448&lt;230), "Panamax", IF(AND(U448&gt;=230, U448&lt;=270), "Capesize", "Autre")))))</f>
        <v/>
      </c>
      <c r="X448" s="14">
        <f>IF(E448&lt;9999,"1",IF(E448&lt;19999,"2",IF(E448&lt;29999,"3",IF(E448&lt;39999,"4",IF(E448&lt;49999,"5",IF(E448&gt;50000,"6"))))))</f>
        <v/>
      </c>
      <c r="Y448" s="99" t="inlineStr">
        <is>
          <t>2BIS/2N</t>
        </is>
      </c>
      <c r="AA448" s="26" t="n">
        <v>45867.75</v>
      </c>
      <c r="AB448" s="26" t="n">
        <v>45868.375</v>
      </c>
      <c r="AC448" s="15" t="n">
        <v>45864</v>
      </c>
      <c r="AD448" s="15" t="n">
        <v>45866</v>
      </c>
      <c r="AE448" s="26" t="n">
        <v>45867.75</v>
      </c>
      <c r="AF448" s="26" t="n">
        <v>45867.80555555555</v>
      </c>
      <c r="AG448" s="26" t="n">
        <v>45867.88541666666</v>
      </c>
      <c r="AH448" s="26" t="n">
        <v>45867.93055555555</v>
      </c>
      <c r="AI448" s="26" t="n">
        <v>45867.96180555555</v>
      </c>
      <c r="AJ448" s="26" t="n">
        <v>45867.97222222222</v>
      </c>
      <c r="AK448" s="26" t="n">
        <v>45872.54513888889</v>
      </c>
      <c r="AL448" s="26" t="n">
        <v>45872.60069444445</v>
      </c>
      <c r="AM448" s="26" t="n">
        <v>45872.6875</v>
      </c>
      <c r="AN448" s="26" t="n">
        <v>45872.875</v>
      </c>
      <c r="AO448" s="26" t="n">
        <v>45872.875</v>
      </c>
      <c r="AP448" s="20">
        <f>(AG448-AF448)*1440</f>
        <v/>
      </c>
      <c r="AQ448" s="20">
        <f>(AG448-AE448)*1440</f>
        <v/>
      </c>
      <c r="AR448" s="20">
        <f>(AH448-AF448)*1440</f>
        <v/>
      </c>
      <c r="AS448" s="20">
        <f>(AI448-AH448)*1440</f>
        <v/>
      </c>
      <c r="AT448" s="20">
        <f>(AJ448-AH448)*1440</f>
        <v/>
      </c>
      <c r="AU448" s="20">
        <f>(AL448-AK448)*1440</f>
        <v/>
      </c>
      <c r="AV448" s="20">
        <f>(AM448-AL448)*1440</f>
        <v/>
      </c>
      <c r="AW448" s="20">
        <f>(AO448-AM448)*1440</f>
        <v/>
      </c>
      <c r="AX448" s="19">
        <f>AP448+AS448+AU448+AV448+AW448</f>
        <v/>
      </c>
      <c r="AY448" s="18">
        <f>(AG448-AA448)</f>
        <v/>
      </c>
      <c r="AZ448" s="18">
        <f>(AK448-AJ448)</f>
        <v/>
      </c>
      <c r="BA448" s="18">
        <f>AO448-AG448</f>
        <v/>
      </c>
      <c r="BB448" s="18">
        <f>(AO448-AA448)-(AP448/1440)-(AW448/1440)</f>
        <v/>
      </c>
      <c r="BC448" s="20">
        <f>E448/AZ448</f>
        <v/>
      </c>
      <c r="BE448" s="20">
        <f>IF(E448&lt;10000,3000,IF(E448&lt;15000,3600,IF(E448&lt;20000,4500,IF(E448&lt;25000,6000,IF(E448&lt;30000,7500,IF(E448&lt;40000,9000,IF(E448&gt;40000,10000)))))))</f>
        <v/>
      </c>
      <c r="BF448" s="334">
        <f>(E448/BE448)+2</f>
        <v/>
      </c>
      <c r="BS448" s="97" t="inlineStr">
        <is>
          <t>DEHALAGE DU POSTE 2BIS VERS POSTE 2N LE 02/08- 1537</t>
        </is>
      </c>
      <c r="BT448" s="99" t="n">
        <v>1</v>
      </c>
      <c r="BU448" s="97" t="n"/>
      <c r="BV448" s="97" t="n"/>
      <c r="BW448" s="332">
        <f>AI449-AH449</f>
        <v/>
      </c>
      <c r="CB448" s="14" t="n">
        <v>35908</v>
      </c>
    </row>
    <row r="449" ht="14.55" customHeight="1" s="70">
      <c r="A449" s="81" t="n">
        <v>294</v>
      </c>
      <c r="B449" s="343" t="inlineStr">
        <is>
          <t>ADAMOON</t>
        </is>
      </c>
      <c r="C449" s="15" t="n">
        <v>45876</v>
      </c>
      <c r="D449" s="346" t="n">
        <v>3090</v>
      </c>
      <c r="E449" s="346">
        <f>D449+D450+D451</f>
        <v/>
      </c>
      <c r="G449" s="81" t="n">
        <v>3</v>
      </c>
      <c r="H449" s="75" t="inlineStr">
        <is>
          <t>TSP</t>
        </is>
      </c>
      <c r="I449" s="75" t="inlineStr">
        <is>
          <t xml:space="preserve">TSP EURO Low Cd </t>
        </is>
      </c>
      <c r="J449" s="75" t="inlineStr">
        <is>
          <t>CFR</t>
        </is>
      </c>
      <c r="Q449" s="75" t="inlineStr">
        <is>
          <t>EUROPE</t>
        </is>
      </c>
      <c r="R449" s="75" t="inlineStr">
        <is>
          <t>ROMANIA</t>
        </is>
      </c>
      <c r="T449" s="75" t="inlineStr">
        <is>
          <t>INSPECTORATE</t>
        </is>
      </c>
      <c r="U449" s="81" t="n">
        <v>149</v>
      </c>
      <c r="V449" s="53">
        <f>IF(U449&lt;130, "Mini Bulker", IF(AND(U449&gt;=130, U449&lt;150), "Handysize", IF(AND(U449&gt;=150, U449&lt;200), "Handymax", IF(AND(U449&gt;=200, U449&lt;230), "Panamax", IF(AND(U449&gt;=230, U449&lt;=270), "Capesize", "Autre")))))</f>
        <v/>
      </c>
      <c r="X449" s="14">
        <f>IF(E449&lt;9999,"1",IF(E449&lt;19999,"2",IF(E449&lt;29999,"3",IF(E449&lt;39999,"4",IF(E449&lt;49999,"5",IF(E449&gt;50000,"6"))))))</f>
        <v/>
      </c>
      <c r="Y449" s="99" t="inlineStr">
        <is>
          <t>2TER</t>
        </is>
      </c>
      <c r="AA449" s="26" t="n">
        <v>45873.91666666666</v>
      </c>
      <c r="AB449" s="26" t="n">
        <v>45874.375</v>
      </c>
      <c r="AC449" s="15" t="n">
        <v>45866</v>
      </c>
      <c r="AD449" s="15" t="n">
        <v>45868</v>
      </c>
      <c r="AE449" s="26" t="n">
        <v>45874.00694444445</v>
      </c>
      <c r="AF449" s="26" t="n">
        <v>45873.96875</v>
      </c>
      <c r="AG449" s="26" t="n">
        <v>45874.05208333334</v>
      </c>
      <c r="AH449" s="26" t="n">
        <v>45874.0625</v>
      </c>
      <c r="AI449" s="26" t="n">
        <v>45874.11458333334</v>
      </c>
      <c r="AJ449" s="26" t="n">
        <v>45874.15277777778</v>
      </c>
      <c r="AK449" s="26" t="n">
        <v>45876.5625</v>
      </c>
      <c r="AL449" s="26" t="n">
        <v>45876.625</v>
      </c>
      <c r="AM449" s="26" t="n">
        <v>45876.64583333334</v>
      </c>
      <c r="AN449" s="26" t="n">
        <v>45876.69444444445</v>
      </c>
      <c r="AO449" s="26" t="n">
        <v>45876.74305555555</v>
      </c>
      <c r="AP449" s="20">
        <f>(AG449-AF449)*1440</f>
        <v/>
      </c>
      <c r="AQ449" s="20">
        <f>(AG449-AE449)*1440</f>
        <v/>
      </c>
      <c r="AR449" s="20">
        <f>(AH449-AF449)*1440</f>
        <v/>
      </c>
      <c r="AS449" s="20">
        <f>(AI449-AH449)*1440</f>
        <v/>
      </c>
      <c r="AT449" s="20">
        <f>(AJ449-AH449)*1440</f>
        <v/>
      </c>
      <c r="AU449" s="20">
        <f>(AL449-AK449)*1440</f>
        <v/>
      </c>
      <c r="AV449" s="20">
        <f>(AM449-AL449)*1440</f>
        <v/>
      </c>
      <c r="AW449" s="20">
        <f>(AO449-AM449)*1440</f>
        <v/>
      </c>
      <c r="AX449" s="19">
        <f>AP449+AS449+AU449+AV449+AW449</f>
        <v/>
      </c>
      <c r="AY449" s="18">
        <f>(AG449-AA449)</f>
        <v/>
      </c>
      <c r="AZ449" s="18">
        <f>(AK449-AJ449)</f>
        <v/>
      </c>
      <c r="BA449" s="18">
        <f>AO449-AG449</f>
        <v/>
      </c>
      <c r="BB449" s="18">
        <f>(AO449-AA449)-(AP449/1440)-(AW449/1440)</f>
        <v/>
      </c>
      <c r="BC449" s="20">
        <f>E449/AZ449</f>
        <v/>
      </c>
      <c r="BE449" s="20">
        <f>IF(E449&lt;10000,3000,IF(E449&lt;15000,3600,IF(E449&lt;20000,4500,IF(E449&lt;25000,6000,IF(E449&lt;30000,7500,IF(E449&lt;40000,9000,IF(E449&gt;40000,10000)))))))</f>
        <v/>
      </c>
      <c r="BF449" s="334">
        <f>(E449/BE449)+2</f>
        <v/>
      </c>
      <c r="BS449" s="97" t="inlineStr">
        <is>
          <t>NUL</t>
        </is>
      </c>
      <c r="BT449" s="99" t="n">
        <v>0</v>
      </c>
      <c r="BW449" s="332">
        <f>AI450-AH450</f>
        <v/>
      </c>
      <c r="CB449" s="14" t="n">
        <v>13579</v>
      </c>
    </row>
    <row r="450" ht="15" customHeight="1" s="70">
      <c r="B450" s="343" t="inlineStr">
        <is>
          <t>ADAMOON</t>
        </is>
      </c>
      <c r="C450" s="15" t="n">
        <v>45876</v>
      </c>
      <c r="D450" s="346" t="n">
        <v>6750</v>
      </c>
      <c r="E450" s="330" t="n"/>
      <c r="G450" s="81" t="n">
        <v>3</v>
      </c>
      <c r="H450" s="75" t="inlineStr">
        <is>
          <t>DAP</t>
        </is>
      </c>
      <c r="I450" s="75" t="inlineStr">
        <is>
          <t xml:space="preserve">DAP Euro Low Cd </t>
        </is>
      </c>
      <c r="J450" s="75" t="inlineStr">
        <is>
          <t>CFR</t>
        </is>
      </c>
      <c r="Q450" s="75" t="inlineStr">
        <is>
          <t>EUROPE</t>
        </is>
      </c>
      <c r="R450" s="75" t="inlineStr">
        <is>
          <t>ROMANIA</t>
        </is>
      </c>
      <c r="T450" s="75" t="inlineStr">
        <is>
          <t>INSPECTORATE</t>
        </is>
      </c>
      <c r="U450" s="81" t="n">
        <v>149</v>
      </c>
      <c r="V450" s="53">
        <f>IF(U450&lt;130, "Mini Bulker", IF(AND(U450&gt;=130, U450&lt;150), "Handysize", IF(AND(U450&gt;=150, U450&lt;200), "Handymax", IF(AND(U450&gt;=200, U450&lt;230), "Panamax", IF(AND(U450&gt;=230, U450&lt;=270), "Capesize", "Autre")))))</f>
        <v/>
      </c>
      <c r="X450" s="14">
        <f>IF(E450&lt;9999,"1",IF(E450&lt;19999,"2",IF(E450&lt;29999,"3",IF(E450&lt;39999,"4",IF(E450&lt;49999,"5",IF(E450&gt;50000,"6"))))))</f>
        <v/>
      </c>
      <c r="Y450" s="99" t="inlineStr">
        <is>
          <t>2TER</t>
        </is>
      </c>
      <c r="AA450" s="98" t="n"/>
      <c r="AB450" s="98" t="n"/>
      <c r="AC450" s="98" t="n"/>
      <c r="AD450" s="98" t="n"/>
      <c r="AE450" s="98" t="n"/>
      <c r="AF450" s="98" t="n"/>
      <c r="AG450" s="98" t="n"/>
      <c r="AH450" s="98" t="n"/>
      <c r="AI450" s="98" t="n"/>
      <c r="AJ450" s="98" t="n"/>
      <c r="AK450" s="98" t="n"/>
      <c r="AL450" s="98" t="n"/>
      <c r="AM450" s="98" t="n"/>
      <c r="AN450" s="98" t="n"/>
      <c r="AO450" s="98" t="n"/>
      <c r="AP450" s="98" t="n"/>
      <c r="AQ450" s="98" t="n"/>
      <c r="AR450" s="98" t="n"/>
      <c r="AS450" s="98" t="n"/>
      <c r="AT450" s="98" t="n"/>
      <c r="AU450" s="98" t="n"/>
      <c r="AV450" s="98" t="n"/>
      <c r="AW450" s="98" t="n"/>
      <c r="AX450" s="98" t="n"/>
      <c r="AY450" s="98" t="n"/>
      <c r="AZ450" s="98" t="n"/>
      <c r="BA450" s="98" t="n"/>
      <c r="BB450" s="98" t="n"/>
      <c r="BC450" s="98" t="n"/>
      <c r="BD450" s="98" t="n"/>
      <c r="BE450" s="98" t="n"/>
      <c r="BF450" s="98" t="n"/>
      <c r="BG450" s="98" t="n"/>
      <c r="BH450" s="98" t="n"/>
      <c r="BI450" s="98" t="n"/>
      <c r="BJ450" s="98" t="n"/>
      <c r="BK450" s="98" t="n"/>
      <c r="BL450" s="98" t="n"/>
      <c r="BM450" s="98" t="n"/>
      <c r="BN450" s="98" t="n"/>
      <c r="BO450" s="98" t="n"/>
      <c r="BP450" s="98" t="n"/>
      <c r="BQ450" s="98" t="n"/>
      <c r="BR450" s="98" t="n"/>
      <c r="BS450" s="97" t="n"/>
      <c r="BT450" s="99" t="n"/>
      <c r="BW450" s="332">
        <f>AI451-AH451</f>
        <v/>
      </c>
      <c r="CB450" s="14" t="n"/>
    </row>
    <row r="451" ht="14.55" customHeight="1" s="70">
      <c r="A451" s="81" t="n"/>
      <c r="B451" s="343" t="inlineStr">
        <is>
          <t>ADAMOON</t>
        </is>
      </c>
      <c r="C451" s="15" t="n">
        <v>45876</v>
      </c>
      <c r="D451" s="346" t="n">
        <v>8170</v>
      </c>
      <c r="E451" s="330" t="n"/>
      <c r="G451" s="81" t="n">
        <v>3</v>
      </c>
      <c r="H451" s="75" t="inlineStr">
        <is>
          <t>NPS</t>
        </is>
      </c>
      <c r="I451" s="75" t="inlineStr">
        <is>
          <t xml:space="preserve">NP 10 30 Low Cd </t>
        </is>
      </c>
      <c r="J451" s="75" t="inlineStr">
        <is>
          <t>CFR</t>
        </is>
      </c>
      <c r="Q451" s="75" t="inlineStr">
        <is>
          <t>EUROPE</t>
        </is>
      </c>
      <c r="R451" s="75" t="inlineStr">
        <is>
          <t>ROMANIA</t>
        </is>
      </c>
      <c r="T451" s="75" t="inlineStr">
        <is>
          <t>INSPECTORATE</t>
        </is>
      </c>
      <c r="U451" s="81" t="n">
        <v>149</v>
      </c>
      <c r="V451" s="53">
        <f>IF(U451&lt;130, "Mini Bulker", IF(AND(U451&gt;=130, U451&lt;150), "Handysize", IF(AND(U451&gt;=150, U451&lt;200), "Handymax", IF(AND(U451&gt;=200, U451&lt;230), "Panamax", IF(AND(U451&gt;=230, U451&lt;=270), "Capesize", "Autre")))))</f>
        <v/>
      </c>
      <c r="X451" s="14">
        <f>IF(E451&lt;9999,"1",IF(E451&lt;19999,"2",IF(E451&lt;29999,"3",IF(E451&lt;39999,"4",IF(E451&lt;49999,"5",IF(E451&gt;50000,"6"))))))</f>
        <v/>
      </c>
      <c r="Y451" s="99" t="inlineStr">
        <is>
          <t>2TER</t>
        </is>
      </c>
      <c r="AA451" s="218" t="n"/>
      <c r="AB451" s="218" t="n"/>
      <c r="AC451" s="98" t="n"/>
      <c r="AD451" s="98" t="n"/>
      <c r="AE451" s="218" t="n"/>
      <c r="AF451" s="218" t="n"/>
      <c r="AG451" s="218" t="n"/>
      <c r="AH451" s="218" t="n"/>
      <c r="AI451" s="218" t="n"/>
      <c r="AJ451" s="218" t="n"/>
      <c r="AK451" s="218" t="n"/>
      <c r="AL451" s="218" t="n"/>
      <c r="AM451" s="218" t="n"/>
      <c r="AN451" s="218" t="n"/>
      <c r="AO451" s="218" t="n"/>
      <c r="AP451" s="98" t="n"/>
      <c r="AQ451" s="98" t="n"/>
      <c r="AR451" s="98" t="n"/>
      <c r="AS451" s="98" t="n"/>
      <c r="AT451" s="98" t="n"/>
      <c r="AU451" s="98" t="n"/>
      <c r="AV451" s="98" t="n"/>
      <c r="AW451" s="98" t="n"/>
      <c r="AX451" s="98" t="n"/>
      <c r="AY451" s="98" t="n"/>
      <c r="AZ451" s="98" t="n"/>
      <c r="BA451" s="98" t="n"/>
      <c r="BB451" s="98" t="n"/>
      <c r="BC451" s="98" t="n"/>
      <c r="BD451" s="220" t="n"/>
      <c r="BE451" s="220" t="n"/>
      <c r="BF451" s="220" t="n"/>
      <c r="BG451" s="220" t="n"/>
      <c r="BH451" s="220" t="n"/>
      <c r="BI451" s="220" t="n"/>
      <c r="BJ451" s="220" t="n"/>
      <c r="BK451" s="220" t="n"/>
      <c r="BL451" s="220" t="n"/>
      <c r="BM451" s="220" t="n"/>
      <c r="BN451" s="220" t="n"/>
      <c r="BO451" s="220" t="n"/>
      <c r="BP451" s="220" t="n"/>
      <c r="BQ451" s="220" t="n"/>
      <c r="BR451" s="220" t="n"/>
      <c r="BS451" s="97" t="n"/>
      <c r="BT451" s="99" t="n"/>
      <c r="BW451" s="332">
        <f>AI452-AH452</f>
        <v/>
      </c>
      <c r="CB451" s="14" t="n"/>
    </row>
    <row r="452" ht="14.55" customHeight="1" s="70">
      <c r="A452" s="81" t="n">
        <v>295</v>
      </c>
      <c r="B452" s="343" t="inlineStr">
        <is>
          <t>OSOGOVO</t>
        </is>
      </c>
      <c r="C452" s="15" t="n">
        <v>45876</v>
      </c>
      <c r="D452" s="346" t="n">
        <v>19166</v>
      </c>
      <c r="E452" s="333">
        <f>D452+D453</f>
        <v/>
      </c>
      <c r="G452" s="81" t="n">
        <v>2</v>
      </c>
      <c r="H452" s="75" t="inlineStr">
        <is>
          <t>MAP</t>
        </is>
      </c>
      <c r="I452" s="75" t="inlineStr">
        <is>
          <t xml:space="preserve">MAP 11 52 SPECIAL </t>
        </is>
      </c>
      <c r="J452" s="75" t="inlineStr">
        <is>
          <t>CFR</t>
        </is>
      </c>
      <c r="Q452" s="75" t="inlineStr">
        <is>
          <t>AMERIQUE</t>
        </is>
      </c>
      <c r="R452" s="75" t="inlineStr">
        <is>
          <t>Canada</t>
        </is>
      </c>
      <c r="T452" s="75" t="inlineStr">
        <is>
          <t>INSPECTORATE</t>
        </is>
      </c>
      <c r="U452" s="81" t="n">
        <v>186</v>
      </c>
      <c r="V452" s="53">
        <f>IF(U452&lt;130, "Mini Bulker", IF(AND(U452&gt;=130, U452&lt;150), "Handysize", IF(AND(U452&gt;=150, U452&lt;200), "Handymax", IF(AND(U452&gt;=200, U452&lt;230), "Panamax", IF(AND(U452&gt;=230, U452&lt;=270), "Capesize", "Autre")))))</f>
        <v/>
      </c>
      <c r="X452" s="14">
        <f>IF(E452&lt;9999,"1",IF(E452&lt;19999,"2",IF(E452&lt;29999,"3",IF(E452&lt;39999,"4",IF(E452&lt;49999,"5",IF(E452&gt;50000,"6"))))))</f>
        <v/>
      </c>
      <c r="Y452" s="99" t="inlineStr">
        <is>
          <t>1TER</t>
        </is>
      </c>
      <c r="AA452" s="17" t="n">
        <v>45874.06944444445</v>
      </c>
      <c r="AB452" s="17" t="n">
        <v>45875.375</v>
      </c>
      <c r="AC452" s="15" t="n">
        <v>45874</v>
      </c>
      <c r="AD452" s="15" t="n">
        <v>45876</v>
      </c>
      <c r="AE452" s="17" t="n">
        <v>45874.06944444445</v>
      </c>
      <c r="AF452" s="17" t="n">
        <v>45874.51527777778</v>
      </c>
      <c r="AG452" s="17" t="n">
        <v>45874.64583333334</v>
      </c>
      <c r="AH452" s="17" t="n">
        <v>45874.65972222222</v>
      </c>
      <c r="AI452" s="17" t="n">
        <v>45874.71527777778</v>
      </c>
      <c r="AJ452" s="17" t="n">
        <v>45874.76041666666</v>
      </c>
      <c r="AK452" s="17" t="n">
        <v>45876.75694444445</v>
      </c>
      <c r="AL452" s="17" t="n">
        <v>45876.78819444445</v>
      </c>
      <c r="AM452" s="17" t="n">
        <v>45876.90972222222</v>
      </c>
      <c r="AN452" s="17" t="n">
        <v>45876.95138888889</v>
      </c>
      <c r="AO452" s="17" t="n">
        <v>45876.95486111111</v>
      </c>
      <c r="AP452" s="20">
        <f>(AG452-AF452)*1440</f>
        <v/>
      </c>
      <c r="AQ452" s="20">
        <f>(AG452-AE452)*1440</f>
        <v/>
      </c>
      <c r="AR452" s="20">
        <f>(AH452-AF452)*1440</f>
        <v/>
      </c>
      <c r="AS452" s="20">
        <f>(AI452-AH452)*1440</f>
        <v/>
      </c>
      <c r="AT452" s="20">
        <f>(AJ452-AH452)*1440</f>
        <v/>
      </c>
      <c r="AU452" s="20">
        <f>(AL452-AK452)*1440</f>
        <v/>
      </c>
      <c r="AV452" s="20">
        <f>(AM452-AL452)*1440</f>
        <v/>
      </c>
      <c r="AW452" s="20">
        <f>(AO452-AM452)*1440</f>
        <v/>
      </c>
      <c r="AX452" s="19">
        <f>AP452+AS452+AU452+AV452+AW452</f>
        <v/>
      </c>
      <c r="AY452" s="18">
        <f>(AG452-AA452)</f>
        <v/>
      </c>
      <c r="AZ452" s="18">
        <f>(AK452-AJ452)</f>
        <v/>
      </c>
      <c r="BA452" s="18">
        <f>AO452-AG452</f>
        <v/>
      </c>
      <c r="BB452" s="18">
        <f>(AO452-AA452)-(AP452/1440)-(AW452/1440)</f>
        <v/>
      </c>
      <c r="BC452" s="20">
        <f>E452/AZ452</f>
        <v/>
      </c>
      <c r="BD452" s="208" t="n"/>
      <c r="BE452" s="20">
        <f>IF(E452&lt;10000,3000,IF(E452&lt;15000,3600,IF(E452&lt;20000,4500,IF(E452&lt;25000,6000,IF(E452&lt;30000,7500,IF(E452&lt;40000,9000,IF(E452&gt;40000,10000)))))))</f>
        <v/>
      </c>
      <c r="BF452" s="334">
        <f>(E452/BE452)+2</f>
        <v/>
      </c>
      <c r="BG452" s="208" t="n"/>
      <c r="BH452" s="208" t="n"/>
      <c r="BI452" s="208" t="n"/>
      <c r="BJ452" s="208" t="n"/>
      <c r="BK452" s="208" t="n"/>
      <c r="BL452" s="208" t="n"/>
      <c r="BM452" s="208" t="n"/>
      <c r="BN452" s="208" t="n"/>
      <c r="BO452" s="208" t="n"/>
      <c r="BP452" s="208" t="n"/>
      <c r="BQ452" s="208" t="n"/>
      <c r="BR452" s="208" t="n"/>
      <c r="BS452" s="97" t="inlineStr">
        <is>
          <t>4 MT NP EN BIG BAG</t>
        </is>
      </c>
      <c r="BT452" s="99" t="n">
        <v>0</v>
      </c>
      <c r="BU452" s="99" t="n"/>
      <c r="BV452" s="99" t="n"/>
      <c r="BW452" s="332">
        <f>AI453-AH453</f>
        <v/>
      </c>
      <c r="CB452" s="14" t="n">
        <v>19906</v>
      </c>
    </row>
    <row r="453" ht="14.55" customHeight="1" s="70">
      <c r="A453" s="81" t="n"/>
      <c r="B453" s="343" t="inlineStr">
        <is>
          <t>OSOGOVO</t>
        </is>
      </c>
      <c r="C453" s="15" t="n">
        <v>45876</v>
      </c>
      <c r="D453" s="346" t="n">
        <v>4</v>
      </c>
      <c r="E453" s="330" t="n"/>
      <c r="G453" s="81" t="n">
        <v>2</v>
      </c>
      <c r="H453" s="75" t="inlineStr">
        <is>
          <t>NPS</t>
        </is>
      </c>
      <c r="I453" s="75" t="inlineStr">
        <is>
          <t>NP 5 40</t>
        </is>
      </c>
      <c r="J453" s="75" t="inlineStr">
        <is>
          <t>CFR</t>
        </is>
      </c>
      <c r="Q453" s="75" t="inlineStr">
        <is>
          <t>AMERIQUE</t>
        </is>
      </c>
      <c r="R453" s="75" t="inlineStr">
        <is>
          <t>Canada</t>
        </is>
      </c>
      <c r="T453" s="75" t="inlineStr">
        <is>
          <t>INSPECTORATE</t>
        </is>
      </c>
      <c r="U453" s="81" t="n">
        <v>186</v>
      </c>
      <c r="V453" s="53">
        <f>IF(U453&lt;130, "Mini Bulker", IF(AND(U453&gt;=130, U453&lt;150), "Handysize", IF(AND(U453&gt;=150, U453&lt;200), "Handymax", IF(AND(U453&gt;=200, U453&lt;230), "Panamax", IF(AND(U453&gt;=230, U453&lt;=270), "Capesize", "Autre")))))</f>
        <v/>
      </c>
      <c r="X453" s="14">
        <f>IF(E453&lt;9999,"1",IF(E453&lt;19999,"2",IF(E453&lt;29999,"3",IF(E453&lt;39999,"4",IF(E453&lt;49999,"5",IF(E453&gt;50000,"6"))))))</f>
        <v/>
      </c>
      <c r="Y453" s="99" t="inlineStr">
        <is>
          <t>1TER</t>
        </is>
      </c>
      <c r="AA453" s="98" t="n"/>
      <c r="AB453" s="98" t="n"/>
      <c r="AC453" s="98" t="n"/>
      <c r="AD453" s="98" t="n"/>
      <c r="AE453" s="98" t="n"/>
      <c r="AF453" s="98" t="n"/>
      <c r="AG453" s="98" t="n"/>
      <c r="AH453" s="98" t="n"/>
      <c r="AI453" s="98" t="n"/>
      <c r="AJ453" s="98" t="n"/>
      <c r="AK453" s="98" t="n"/>
      <c r="AL453" s="98" t="n"/>
      <c r="AM453" s="98" t="n"/>
      <c r="AN453" s="98" t="n"/>
      <c r="AO453" s="98" t="n"/>
      <c r="AP453" s="98" t="n"/>
      <c r="AQ453" s="98" t="n"/>
      <c r="AR453" s="98" t="n"/>
      <c r="AS453" s="98" t="n"/>
      <c r="AT453" s="98" t="n"/>
      <c r="AU453" s="98" t="n"/>
      <c r="AV453" s="98" t="n"/>
      <c r="AW453" s="98" t="n"/>
      <c r="AX453" s="98" t="n"/>
      <c r="AY453" s="98" t="n"/>
      <c r="AZ453" s="98" t="n"/>
      <c r="BA453" s="98" t="n"/>
      <c r="BB453" s="98" t="n"/>
      <c r="BC453" s="98" t="n"/>
      <c r="BD453" s="98" t="n"/>
      <c r="BE453" s="98" t="n"/>
      <c r="BF453" s="98" t="n"/>
      <c r="BG453" s="98" t="n"/>
      <c r="BH453" s="98" t="n"/>
      <c r="BI453" s="98" t="n"/>
      <c r="BJ453" s="98" t="n"/>
      <c r="BK453" s="98" t="n"/>
      <c r="BL453" s="98" t="n"/>
      <c r="BM453" s="98" t="n"/>
      <c r="BN453" s="98" t="n"/>
      <c r="BO453" s="98" t="n"/>
      <c r="BP453" s="98" t="n"/>
      <c r="BQ453" s="98" t="n"/>
      <c r="BR453" s="98" t="n"/>
      <c r="BS453" s="97" t="n"/>
      <c r="BT453" s="99" t="n"/>
      <c r="BU453" s="99" t="n"/>
      <c r="BV453" s="99" t="n"/>
      <c r="BW453" s="332">
        <f>AI454-AH454</f>
        <v/>
      </c>
      <c r="CB453" s="14" t="n"/>
    </row>
    <row r="454" ht="14.55" customHeight="1" s="70">
      <c r="A454" s="81" t="n">
        <v>293</v>
      </c>
      <c r="B454" s="343" t="inlineStr">
        <is>
          <t>WICKO</t>
        </is>
      </c>
      <c r="C454" s="15" t="n">
        <v>45876</v>
      </c>
      <c r="D454" s="346" t="n">
        <v>15493</v>
      </c>
      <c r="E454" s="333">
        <f>D454+D455</f>
        <v/>
      </c>
      <c r="G454" s="81" t="n">
        <v>2</v>
      </c>
      <c r="H454" s="75" t="inlineStr">
        <is>
          <t>MAP</t>
        </is>
      </c>
      <c r="I454" s="75" t="inlineStr">
        <is>
          <t xml:space="preserve">MAP 11 52 SPECIAL </t>
        </is>
      </c>
      <c r="J454" s="75" t="inlineStr">
        <is>
          <t>CFR</t>
        </is>
      </c>
      <c r="Q454" s="75" t="inlineStr">
        <is>
          <t>AMERIQUE</t>
        </is>
      </c>
      <c r="R454" s="75" t="inlineStr">
        <is>
          <t>Canada</t>
        </is>
      </c>
      <c r="T454" s="75" t="inlineStr">
        <is>
          <t>INSPECTORATE</t>
        </is>
      </c>
      <c r="U454" s="81" t="n">
        <v>190</v>
      </c>
      <c r="V454" s="53">
        <f>IF(U454&lt;130, "Mini Bulker", IF(AND(U454&gt;=130, U454&lt;150), "Handysize", IF(AND(U454&gt;=150, U454&lt;200), "Handymax", IF(AND(U454&gt;=200, U454&lt;230), "Panamax", IF(AND(U454&gt;=230, U454&lt;=270), "Capesize", "Autre")))))</f>
        <v/>
      </c>
      <c r="X454" s="14">
        <f>IF(E454&lt;9999,"1",IF(E454&lt;19999,"2",IF(E454&lt;29999,"3",IF(E454&lt;39999,"4",IF(E454&lt;49999,"5",IF(E454&gt;50000,"6"))))))</f>
        <v/>
      </c>
      <c r="Y454" s="99" t="inlineStr">
        <is>
          <t>2N</t>
        </is>
      </c>
      <c r="AA454" s="26" t="n">
        <v>45874.33333333334</v>
      </c>
      <c r="AB454" s="26" t="n">
        <v>45874.375</v>
      </c>
      <c r="AC454" s="15" t="n">
        <v>45871</v>
      </c>
      <c r="AD454" s="15" t="n">
        <v>45873</v>
      </c>
      <c r="AE454" s="26" t="n">
        <v>45874.3125</v>
      </c>
      <c r="AF454" s="26" t="n">
        <v>45874.375</v>
      </c>
      <c r="AG454" s="26" t="n">
        <v>45874.41319444445</v>
      </c>
      <c r="AH454" s="26" t="n">
        <v>45874.43055555555</v>
      </c>
      <c r="AI454" s="26" t="n">
        <v>45874.5</v>
      </c>
      <c r="AJ454" s="26" t="n">
        <v>45874.625</v>
      </c>
      <c r="AK454" s="26" t="n">
        <v>45876.09722222222</v>
      </c>
      <c r="AL454" s="26" t="n">
        <v>45876.14583333334</v>
      </c>
      <c r="AM454" s="26" t="n">
        <v>45876.16666666666</v>
      </c>
      <c r="AN454" s="26" t="n">
        <v>45876.20833333334</v>
      </c>
      <c r="AO454" s="26" t="n">
        <v>45876.22916666666</v>
      </c>
      <c r="AP454" s="20">
        <f>(AG454-AF454)*1440</f>
        <v/>
      </c>
      <c r="AQ454" s="20">
        <f>(AG454-AE454)*1440</f>
        <v/>
      </c>
      <c r="AR454" s="20">
        <f>(AH454-AF454)*1440</f>
        <v/>
      </c>
      <c r="AS454" s="20">
        <f>(AI454-AH454)*1440</f>
        <v/>
      </c>
      <c r="AT454" s="20">
        <f>(AJ454-AH454)*1440</f>
        <v/>
      </c>
      <c r="AU454" s="20">
        <f>(AL454-AK454)*1440</f>
        <v/>
      </c>
      <c r="AV454" s="20">
        <f>(AM454-AL454)*1440</f>
        <v/>
      </c>
      <c r="AW454" s="20">
        <f>(AO454-AM454)*1440</f>
        <v/>
      </c>
      <c r="AX454" s="19">
        <f>AP454+AS454+AU454+AV454+AW454</f>
        <v/>
      </c>
      <c r="AY454" s="18">
        <f>(AG454-AA454)</f>
        <v/>
      </c>
      <c r="AZ454" s="18">
        <f>(AK454-AJ454)</f>
        <v/>
      </c>
      <c r="BA454" s="18">
        <f>AO454-AG454</f>
        <v/>
      </c>
      <c r="BB454" s="18">
        <f>(AO454-AA454)-(AP454/1440)-(AW454/1440)</f>
        <v/>
      </c>
      <c r="BC454" s="20">
        <f>E454/AZ454</f>
        <v/>
      </c>
      <c r="BE454" s="20">
        <f>IF(E454&lt;10000,3000,IF(E454&lt;15000,3600,IF(E454&lt;20000,4500,IF(E454&lt;25000,6000,IF(E454&lt;30000,7500,IF(E454&lt;40000,9000,IF(E454&gt;40000,10000)))))))</f>
        <v/>
      </c>
      <c r="BF454" s="334">
        <f>(E454/BE454)+2</f>
        <v/>
      </c>
      <c r="BS454" s="97" t="n"/>
      <c r="BT454" s="99" t="n"/>
      <c r="BU454" s="203" t="n"/>
      <c r="BV454" s="203" t="n"/>
      <c r="BW454" s="332">
        <f>AI455-AH455</f>
        <v/>
      </c>
      <c r="CB454" s="14" t="n">
        <v>20603</v>
      </c>
    </row>
    <row r="455" ht="15" customHeight="1" s="70">
      <c r="B455" s="343" t="inlineStr">
        <is>
          <t>WICKO</t>
        </is>
      </c>
      <c r="C455" s="15" t="n">
        <v>45876</v>
      </c>
      <c r="D455" s="346" t="n">
        <v>4142</v>
      </c>
      <c r="E455" s="330" t="n"/>
      <c r="G455" s="81" t="n">
        <v>2</v>
      </c>
      <c r="H455" s="75" t="inlineStr">
        <is>
          <t>TSP</t>
        </is>
      </c>
      <c r="I455" s="75" t="inlineStr">
        <is>
          <t xml:space="preserve">TSP Euro Hors EU </t>
        </is>
      </c>
      <c r="J455" s="75" t="inlineStr">
        <is>
          <t>CFR</t>
        </is>
      </c>
      <c r="Q455" s="75" t="inlineStr">
        <is>
          <t>AMERIQUE</t>
        </is>
      </c>
      <c r="R455" s="75" t="inlineStr">
        <is>
          <t>Canada</t>
        </is>
      </c>
      <c r="T455" s="75" t="inlineStr">
        <is>
          <t>INSPECTORATE</t>
        </is>
      </c>
      <c r="U455" s="81" t="n">
        <v>190</v>
      </c>
      <c r="V455" s="53">
        <f>IF(U455&lt;130, "Mini Bulker", IF(AND(U455&gt;=130, U455&lt;150), "Handysize", IF(AND(U455&gt;=150, U455&lt;200), "Handymax", IF(AND(U455&gt;=200, U455&lt;230), "Panamax", IF(AND(U455&gt;=230, U455&lt;=270), "Capesize", "Autre")))))</f>
        <v/>
      </c>
      <c r="X455" s="14">
        <f>IF(E455&lt;9999,"1",IF(E455&lt;19999,"2",IF(E455&lt;29999,"3",IF(E455&lt;39999,"4",IF(E455&lt;49999,"5",IF(E455&gt;50000,"6"))))))</f>
        <v/>
      </c>
      <c r="Y455" s="99" t="inlineStr">
        <is>
          <t>2N</t>
        </is>
      </c>
      <c r="AA455" s="98" t="n"/>
      <c r="AB455" s="98" t="n"/>
      <c r="AC455" s="98" t="n"/>
      <c r="AD455" s="98" t="n"/>
      <c r="AE455" s="98" t="n"/>
      <c r="AF455" s="98" t="n"/>
      <c r="AG455" s="98" t="n"/>
      <c r="AH455" s="98" t="n"/>
      <c r="AI455" s="98" t="n"/>
      <c r="AJ455" s="98" t="n"/>
      <c r="AK455" s="98" t="n"/>
      <c r="AL455" s="98" t="n"/>
      <c r="AM455" s="98" t="n"/>
      <c r="AN455" s="98" t="n"/>
      <c r="AO455" s="98" t="n"/>
      <c r="AP455" s="98" t="n"/>
      <c r="AQ455" s="98" t="n"/>
      <c r="AR455" s="98" t="n"/>
      <c r="AS455" s="98" t="n"/>
      <c r="AT455" s="98" t="n"/>
      <c r="AU455" s="98" t="n"/>
      <c r="AV455" s="98" t="n"/>
      <c r="AW455" s="98" t="n"/>
      <c r="AX455" s="98" t="n"/>
      <c r="AY455" s="98" t="n"/>
      <c r="AZ455" s="98" t="n"/>
      <c r="BA455" s="98" t="n"/>
      <c r="BB455" s="98" t="n"/>
      <c r="BC455" s="98" t="n"/>
      <c r="BD455" s="98" t="n"/>
      <c r="BE455" s="98" t="n"/>
      <c r="BF455" s="98" t="n"/>
      <c r="BG455" s="98" t="n"/>
      <c r="BH455" s="98" t="n"/>
      <c r="BI455" s="98" t="n"/>
      <c r="BJ455" s="98" t="n"/>
      <c r="BK455" s="98" t="n"/>
      <c r="BL455" s="98" t="n"/>
      <c r="BM455" s="98" t="n"/>
      <c r="BN455" s="98" t="n"/>
      <c r="BO455" s="98" t="n"/>
      <c r="BP455" s="98" t="n"/>
      <c r="BQ455" s="98" t="n"/>
      <c r="BR455" s="98" t="n"/>
      <c r="BS455" s="97" t="n"/>
      <c r="BT455" s="99" t="n"/>
      <c r="BU455" s="203" t="n"/>
      <c r="BV455" s="203" t="n"/>
      <c r="BW455" s="332">
        <f>AI456-AH456</f>
        <v/>
      </c>
      <c r="CB455" s="14" t="n"/>
    </row>
    <row r="456">
      <c r="A456" s="81" t="n">
        <v>296</v>
      </c>
      <c r="B456" s="343" t="inlineStr">
        <is>
          <t>BLUE TUNE</t>
        </is>
      </c>
      <c r="C456" s="15" t="n">
        <v>45877</v>
      </c>
      <c r="D456" s="346" t="n">
        <v>4400</v>
      </c>
      <c r="E456" s="346" t="n">
        <v>4400</v>
      </c>
      <c r="G456" s="81" t="n">
        <v>1</v>
      </c>
      <c r="H456" s="75" t="inlineStr">
        <is>
          <t>DAP</t>
        </is>
      </c>
      <c r="I456" s="75" t="inlineStr">
        <is>
          <t xml:space="preserve">DAP Euro Low Cd </t>
        </is>
      </c>
      <c r="J456" s="75" t="inlineStr">
        <is>
          <t>CFR</t>
        </is>
      </c>
      <c r="Q456" s="75" t="inlineStr">
        <is>
          <t>EUROPE</t>
        </is>
      </c>
      <c r="R456" s="75" t="inlineStr">
        <is>
          <t>SPAIN</t>
        </is>
      </c>
      <c r="T456" s="75" t="inlineStr">
        <is>
          <t>INTERTEK</t>
        </is>
      </c>
      <c r="U456" s="81" t="n">
        <v>90</v>
      </c>
      <c r="V456" s="53">
        <f>IF(U456&lt;130, "Mini Bulker", IF(AND(U456&gt;=130, U456&lt;150), "Handysize", IF(AND(U456&gt;=150, U456&lt;200), "Handymax", IF(AND(U456&gt;=200, U456&lt;230), "Panamax", IF(AND(U456&gt;=230, U456&lt;=270), "Capesize", "Autre")))))</f>
        <v/>
      </c>
      <c r="X456" s="14">
        <f>IF(E456&lt;9999,"1",IF(E456&lt;19999,"2",IF(E456&lt;29999,"3",IF(E456&lt;39999,"4",IF(E456&lt;49999,"5",IF(E456&gt;50000,"6"))))))</f>
        <v/>
      </c>
      <c r="Y456" s="99" t="inlineStr">
        <is>
          <t>7/2TER</t>
        </is>
      </c>
      <c r="AA456" s="26" t="n">
        <v>45875.875</v>
      </c>
      <c r="AB456" s="26" t="n">
        <v>45876.375</v>
      </c>
      <c r="AC456" s="15" t="n">
        <v>45876</v>
      </c>
      <c r="AD456" s="15" t="n">
        <v>45878</v>
      </c>
      <c r="AE456" s="26" t="n">
        <v>45875.65277777778</v>
      </c>
      <c r="AF456" s="26" t="n">
        <v>45876.4375</v>
      </c>
      <c r="AG456" s="26" t="n">
        <v>45876.51041666666</v>
      </c>
      <c r="AH456" s="26" t="n">
        <v>45876.51388888889</v>
      </c>
      <c r="AI456" s="26" t="n">
        <v>45876.80416666667</v>
      </c>
      <c r="AJ456" s="26" t="n">
        <v>45877.38888888889</v>
      </c>
      <c r="AK456" s="26" t="n">
        <v>45877.79166666666</v>
      </c>
      <c r="AL456" s="26" t="n">
        <v>45877.82291666666</v>
      </c>
      <c r="AM456" s="26" t="n">
        <v>45877.84027777778</v>
      </c>
      <c r="AN456" s="26" t="n">
        <v>45877.88333333333</v>
      </c>
      <c r="AO456" s="26" t="n">
        <v>45877.88541666666</v>
      </c>
      <c r="AP456" s="20">
        <f>(AG456-AF456)*1440</f>
        <v/>
      </c>
      <c r="AQ456" s="20">
        <f>(AG456-AE456)*1440</f>
        <v/>
      </c>
      <c r="AR456" s="20">
        <f>(AH456-AF456)*1440</f>
        <v/>
      </c>
      <c r="AS456" s="20">
        <f>(AI456-AH456)*1440</f>
        <v/>
      </c>
      <c r="AT456" s="20">
        <f>(AJ456-AH456)*1440</f>
        <v/>
      </c>
      <c r="AU456" s="20">
        <f>(AL456-AK456)*1440</f>
        <v/>
      </c>
      <c r="AV456" s="20">
        <f>(AM456-AL456)*1440</f>
        <v/>
      </c>
      <c r="AW456" s="20">
        <f>(AO456-AM456)*1440</f>
        <v/>
      </c>
      <c r="AX456" s="19">
        <f>AP456+AS456+AU456+AV456+AW456</f>
        <v/>
      </c>
      <c r="AY456" s="18">
        <f>(AG456-AA456)</f>
        <v/>
      </c>
      <c r="AZ456" s="18">
        <f>(AK456-AJ456)</f>
        <v/>
      </c>
      <c r="BA456" s="18">
        <f>AO456-AG456</f>
        <v/>
      </c>
      <c r="BB456" s="18">
        <f>(AO456-AA456)-(AP456/1440)-(AW456/1440)</f>
        <v/>
      </c>
      <c r="BC456" s="20">
        <f>E456/AZ456</f>
        <v/>
      </c>
      <c r="BE456" s="20">
        <f>IF(E456&lt;10000,3000,IF(E456&lt;15000,3600,IF(E456&lt;20000,4500,IF(E456&lt;25000,6000,IF(E456&lt;30000,7500,IF(E456&lt;40000,9000,IF(E456&gt;40000,10000)))))))</f>
        <v/>
      </c>
      <c r="BF456" s="334">
        <f>(E456/BE456)+2</f>
        <v/>
      </c>
      <c r="BS456" s="97" t="inlineStr">
        <is>
          <t>CHANGE DU POSTE 7 VERS POSTE 2TER LE 07/08- 1855</t>
        </is>
      </c>
      <c r="BT456" s="99" t="n">
        <v>1</v>
      </c>
      <c r="BU456" s="97" t="inlineStr">
        <is>
          <t>NON CLEAN</t>
        </is>
      </c>
      <c r="BV456" s="97" t="inlineStr">
        <is>
          <t>WATER/HUMIDITY</t>
        </is>
      </c>
      <c r="BW456" s="332">
        <f>AI457-AH457</f>
        <v/>
      </c>
      <c r="CB456" s="14" t="n">
        <v>3845</v>
      </c>
    </row>
    <row r="457">
      <c r="A457" s="81" t="n">
        <v>297</v>
      </c>
      <c r="B457" s="343" t="inlineStr">
        <is>
          <t>YELLOWSTONE</t>
        </is>
      </c>
      <c r="C457" s="15" t="n">
        <v>45877</v>
      </c>
      <c r="D457" s="346" t="n">
        <v>37072</v>
      </c>
      <c r="E457" s="346" t="n">
        <v>37072</v>
      </c>
      <c r="G457" s="81" t="n">
        <v>1</v>
      </c>
      <c r="H457" s="75" t="inlineStr">
        <is>
          <t>DAP</t>
        </is>
      </c>
      <c r="I457" s="75" t="inlineStr">
        <is>
          <t xml:space="preserve">DAP Standard Low Cd </t>
        </is>
      </c>
      <c r="J457" s="75" t="inlineStr">
        <is>
          <t>FOB</t>
        </is>
      </c>
      <c r="Q457" s="75" t="inlineStr">
        <is>
          <t>ASIE</t>
        </is>
      </c>
      <c r="R457" s="75" t="inlineStr">
        <is>
          <t>BANGLADESH</t>
        </is>
      </c>
      <c r="T457" s="75" t="inlineStr">
        <is>
          <t>INTERTEK</t>
        </is>
      </c>
      <c r="U457" s="81" t="n">
        <v>180</v>
      </c>
      <c r="V457" s="53">
        <f>IF(U457&lt;130, "Mini Bulker", IF(AND(U457&gt;=130, U457&lt;150), "Handysize", IF(AND(U457&gt;=150, U457&lt;200), "Handymax", IF(AND(U457&gt;=200, U457&lt;230), "Panamax", IF(AND(U457&gt;=230, U457&lt;=270), "Capesize", "Autre")))))</f>
        <v/>
      </c>
      <c r="X457" s="14">
        <f>IF(E457&lt;9999,"1",IF(E457&lt;19999,"2",IF(E457&lt;29999,"3",IF(E457&lt;39999,"4",IF(E457&lt;49999,"5",IF(E457&gt;50000,"6"))))))</f>
        <v/>
      </c>
      <c r="Y457" s="99" t="inlineStr">
        <is>
          <t>1TER/1N/1TER</t>
        </is>
      </c>
      <c r="AA457" s="26" t="n">
        <v>45888.48958333334</v>
      </c>
      <c r="AB457" s="26" t="n">
        <v>45888.48958333334</v>
      </c>
      <c r="AC457" s="15" t="n">
        <v>45863</v>
      </c>
      <c r="AD457" s="15" t="n">
        <v>45868</v>
      </c>
      <c r="AE457" s="26" t="n">
        <v>45888.0625</v>
      </c>
      <c r="AF457" s="26" t="n">
        <v>45899.46805555555</v>
      </c>
      <c r="AG457" s="26" t="n">
        <v>45899.56666666667</v>
      </c>
      <c r="AH457" s="26" t="n">
        <v>45899.57638888889</v>
      </c>
      <c r="AI457" s="26" t="n">
        <v>45899.67361111111</v>
      </c>
      <c r="AJ457" s="26" t="n">
        <v>45899.75347222222</v>
      </c>
      <c r="AK457" s="26" t="n">
        <v>45877.32638888889</v>
      </c>
      <c r="AL457" s="26" t="n">
        <v>45877.36805555555</v>
      </c>
      <c r="AM457" s="26" t="n">
        <v>45877.41666666666</v>
      </c>
      <c r="AN457" s="26" t="n">
        <v>45877.45833333334</v>
      </c>
      <c r="AO457" s="26" t="n">
        <v>45877.45416666667</v>
      </c>
      <c r="AP457" s="20">
        <f>(AG457-AF457)*1440</f>
        <v/>
      </c>
      <c r="AQ457" s="20">
        <f>(AG457-AE457)*1440</f>
        <v/>
      </c>
      <c r="AR457" s="20">
        <f>(AH457-AF457)*1440</f>
        <v/>
      </c>
      <c r="AS457" s="20">
        <f>(AI457-AH457)*1440</f>
        <v/>
      </c>
      <c r="AT457" s="20">
        <f>(AJ457-AH457)*1440</f>
        <v/>
      </c>
      <c r="AU457" s="20">
        <f>(AL457-AK457)*1440</f>
        <v/>
      </c>
      <c r="AV457" s="20">
        <f>(AM457-AL457)*1440</f>
        <v/>
      </c>
      <c r="AW457" s="20">
        <f>(AO457-AM457)*1440</f>
        <v/>
      </c>
      <c r="AX457" s="19">
        <f>AP457+AS457+AU457+AV457+AW457</f>
        <v/>
      </c>
      <c r="AY457" s="18">
        <f>(AG457-AA457)</f>
        <v/>
      </c>
      <c r="AZ457" s="18">
        <f>(AK457-AJ457)</f>
        <v/>
      </c>
      <c r="BA457" s="18">
        <f>AO457-AG457</f>
        <v/>
      </c>
      <c r="BB457" s="18">
        <f>(AO457-AA457)-(AP457/1440)-(AW457/1440)</f>
        <v/>
      </c>
      <c r="BC457" s="20">
        <f>E457/AZ457</f>
        <v/>
      </c>
      <c r="BE457" s="20">
        <f>IF(E457&lt;10000,3000,IF(E457&lt;15000,3600,IF(E457&lt;20000,4500,IF(E457&lt;25000,6000,IF(E457&lt;30000,7500,IF(E457&lt;40000,9000,IF(E457&gt;40000,10000)))))))</f>
        <v/>
      </c>
      <c r="BF457" s="334">
        <f>(E457/BE457)+2</f>
        <v/>
      </c>
      <c r="BS457" s="97" t="inlineStr">
        <is>
          <t>CHANGE DE POSTE 1TER VERS 1N LE 05/08- 1432 // CHANGE DU POSTE 1N VERS POSTE 1TER LE 07/08- 0010</t>
        </is>
      </c>
      <c r="BT457" s="99" t="n">
        <v>2</v>
      </c>
      <c r="BU457" s="97" t="inlineStr">
        <is>
          <t>CLEAN</t>
        </is>
      </c>
      <c r="BV457" s="97" t="inlineStr">
        <is>
          <t>NUL</t>
        </is>
      </c>
      <c r="BW457" s="332">
        <f>AI458-AH458</f>
        <v/>
      </c>
      <c r="CB457" s="14" t="n">
        <v>25546</v>
      </c>
    </row>
    <row r="458" ht="14.55" customHeight="1" s="70">
      <c r="A458" s="81" t="n">
        <v>298</v>
      </c>
      <c r="B458" s="343" t="inlineStr">
        <is>
          <t>PRINCESS SHAHD</t>
        </is>
      </c>
      <c r="C458" s="15" t="n">
        <v>45878</v>
      </c>
      <c r="D458" s="346" t="n">
        <v>18700</v>
      </c>
      <c r="E458" s="333">
        <f>D458+D459</f>
        <v/>
      </c>
      <c r="G458" s="81" t="n">
        <v>2</v>
      </c>
      <c r="H458" s="75" t="inlineStr">
        <is>
          <t>MAP</t>
        </is>
      </c>
      <c r="I458" s="75" t="inlineStr">
        <is>
          <t xml:space="preserve">MAP 11 52 SPECIAL </t>
        </is>
      </c>
      <c r="J458" s="75" t="inlineStr">
        <is>
          <t>CFR</t>
        </is>
      </c>
      <c r="Q458" s="75" t="inlineStr">
        <is>
          <t>AMERIQUE LATINE</t>
        </is>
      </c>
      <c r="R458" s="75" t="inlineStr">
        <is>
          <t>BRESIL</t>
        </is>
      </c>
      <c r="T458" s="75" t="inlineStr">
        <is>
          <t>INSPECTORATE</t>
        </is>
      </c>
      <c r="U458" s="81" t="n">
        <v>180</v>
      </c>
      <c r="V458" s="53">
        <f>IF(U458&lt;130, "Mini Bulker", IF(AND(U458&gt;=130, U458&lt;150), "Handysize", IF(AND(U458&gt;=150, U458&lt;200), "Handymax", IF(AND(U458&gt;=200, U458&lt;230), "Panamax", IF(AND(U458&gt;=230, U458&lt;=270), "Capesize", "Autre")))))</f>
        <v/>
      </c>
      <c r="X458" s="14">
        <f>IF(E458&lt;9999,"1",IF(E458&lt;19999,"2",IF(E458&lt;29999,"3",IF(E458&lt;39999,"4",IF(E458&lt;49999,"5",IF(E458&gt;50000,"6"))))))</f>
        <v/>
      </c>
      <c r="Y458" s="99" t="inlineStr">
        <is>
          <t>2N/2TER</t>
        </is>
      </c>
      <c r="AA458" s="26" t="n">
        <v>45875.95833333334</v>
      </c>
      <c r="AB458" s="26" t="n">
        <v>45876.375</v>
      </c>
      <c r="AC458" s="15" t="n">
        <v>45876</v>
      </c>
      <c r="AD458" s="15" t="n">
        <v>45878</v>
      </c>
      <c r="AE458" s="26" t="n">
        <v>45875.90625</v>
      </c>
      <c r="AF458" s="26" t="n">
        <v>45876.22916666666</v>
      </c>
      <c r="AG458" s="26" t="n">
        <v>45876.28125</v>
      </c>
      <c r="AH458" s="199" t="n">
        <v>45876.31944444445</v>
      </c>
      <c r="AI458" s="26" t="n">
        <v>45876.36111111111</v>
      </c>
      <c r="AJ458" s="26" t="n">
        <v>45876.39236111111</v>
      </c>
      <c r="AK458" s="26" t="n">
        <v>45878.98958333334</v>
      </c>
      <c r="AL458" s="26" t="n">
        <v>45879.03055555555</v>
      </c>
      <c r="AM458" s="26" t="n">
        <v>45879.03819444445</v>
      </c>
      <c r="AN458" s="26" t="n">
        <v>45879.07986111111</v>
      </c>
      <c r="AO458" s="26" t="n">
        <v>45879.09027777778</v>
      </c>
      <c r="AP458" s="20">
        <f>(AG458-AF458)*1440</f>
        <v/>
      </c>
      <c r="AQ458" s="20">
        <f>(AG458-AE458)*1440</f>
        <v/>
      </c>
      <c r="AR458" s="20">
        <f>(AH458-AF458)*1440</f>
        <v/>
      </c>
      <c r="AS458" s="20">
        <f>(AI458-AH458)*1440</f>
        <v/>
      </c>
      <c r="AT458" s="20">
        <f>(AJ458-AH458)*1440</f>
        <v/>
      </c>
      <c r="AU458" s="20">
        <f>(AL458-AK458)*1440</f>
        <v/>
      </c>
      <c r="AV458" s="20">
        <f>(AM458-AL458)*1440</f>
        <v/>
      </c>
      <c r="AW458" s="20">
        <f>(AO458-AM458)*1440</f>
        <v/>
      </c>
      <c r="AX458" s="19">
        <f>AP458+AS458+AU458+AV458+AW458</f>
        <v/>
      </c>
      <c r="AY458" s="18">
        <f>(AG458-AA458)</f>
        <v/>
      </c>
      <c r="AZ458" s="18">
        <f>(AK458-AJ458)</f>
        <v/>
      </c>
      <c r="BA458" s="18">
        <f>AO458-AG458</f>
        <v/>
      </c>
      <c r="BB458" s="18">
        <f>(AO458-AA458)-(AP458/1440)-(AW458/1440)</f>
        <v/>
      </c>
      <c r="BC458" s="20">
        <f>E458/AZ458</f>
        <v/>
      </c>
      <c r="BE458" s="20">
        <f>IF(E458&lt;10000,3000,IF(E458&lt;15000,3600,IF(E458&lt;20000,4500,IF(E458&lt;25000,6000,IF(E458&lt;30000,7500,IF(E458&lt;40000,9000,IF(E458&gt;40000,10000)))))))</f>
        <v/>
      </c>
      <c r="BF458" s="334">
        <f>(E458/BE458)+2</f>
        <v/>
      </c>
      <c r="BS458" s="97" t="inlineStr">
        <is>
          <t>CHANGE DU POSTE 2N VERS LE POSTE 2TER LE 09/08 - 2105</t>
        </is>
      </c>
      <c r="BT458" s="99" t="n">
        <v>1</v>
      </c>
      <c r="BU458" s="97" t="inlineStr">
        <is>
          <t>CLEAN</t>
        </is>
      </c>
      <c r="BV458" s="97" t="inlineStr">
        <is>
          <t>NUL</t>
        </is>
      </c>
      <c r="BW458" s="332">
        <f>AI459-AH459</f>
        <v/>
      </c>
      <c r="CB458" s="14" t="n">
        <v>21192</v>
      </c>
    </row>
    <row r="459" ht="15" customHeight="1" s="70">
      <c r="B459" s="343" t="inlineStr">
        <is>
          <t>PRINCESS SHAHD</t>
        </is>
      </c>
      <c r="C459" s="15" t="n">
        <v>45878</v>
      </c>
      <c r="D459" s="346" t="n">
        <v>8829</v>
      </c>
      <c r="E459" s="330" t="n"/>
      <c r="G459" s="81" t="n">
        <v>2</v>
      </c>
      <c r="H459" s="75" t="inlineStr">
        <is>
          <t>TSP</t>
        </is>
      </c>
      <c r="I459" s="75" t="inlineStr">
        <is>
          <t xml:space="preserve">TSP SPECIAL JORF </t>
        </is>
      </c>
      <c r="J459" s="75" t="inlineStr">
        <is>
          <t>CFR</t>
        </is>
      </c>
      <c r="Q459" s="75" t="inlineStr">
        <is>
          <t>AMERIQUE LATINE</t>
        </is>
      </c>
      <c r="R459" s="75" t="inlineStr">
        <is>
          <t>BRESIL</t>
        </is>
      </c>
      <c r="T459" s="75" t="inlineStr">
        <is>
          <t>INSPECTORATE</t>
        </is>
      </c>
      <c r="U459" s="81" t="n">
        <v>180</v>
      </c>
      <c r="V459" s="53">
        <f>IF(U459&lt;130, "Mini Bulker", IF(AND(U459&gt;=130, U459&lt;150), "Handysize", IF(AND(U459&gt;=150, U459&lt;200), "Handymax", IF(AND(U459&gt;=200, U459&lt;230), "Panamax", IF(AND(U459&gt;=230, U459&lt;=270), "Capesize", "Autre")))))</f>
        <v/>
      </c>
      <c r="X459" s="14">
        <f>IF(E459&lt;9999,"1",IF(E459&lt;19999,"2",IF(E459&lt;29999,"3",IF(E459&lt;39999,"4",IF(E459&lt;49999,"5",IF(E459&gt;50000,"6"))))))</f>
        <v/>
      </c>
      <c r="Y459" s="99" t="inlineStr">
        <is>
          <t>2N/2TER</t>
        </is>
      </c>
      <c r="AA459" s="98" t="n"/>
      <c r="AB459" s="98" t="n"/>
      <c r="AC459" s="98" t="n"/>
      <c r="AD459" s="98" t="n"/>
      <c r="AE459" s="98" t="n"/>
      <c r="AF459" s="98" t="n"/>
      <c r="AG459" s="98" t="n"/>
      <c r="AH459" s="98" t="n"/>
      <c r="AI459" s="98" t="n"/>
      <c r="AJ459" s="98" t="n"/>
      <c r="AK459" s="98" t="n"/>
      <c r="AL459" s="98" t="n"/>
      <c r="AM459" s="98" t="n"/>
      <c r="AN459" s="98" t="n"/>
      <c r="AO459" s="98" t="n"/>
      <c r="AP459" s="98" t="n"/>
      <c r="AQ459" s="98" t="n"/>
      <c r="AR459" s="98" t="n"/>
      <c r="AS459" s="98" t="n"/>
      <c r="AT459" s="98" t="n"/>
      <c r="AU459" s="98" t="n"/>
      <c r="AV459" s="98" t="n"/>
      <c r="AW459" s="98" t="n"/>
      <c r="AX459" s="98" t="n"/>
      <c r="AY459" s="98" t="n"/>
      <c r="AZ459" s="98" t="n"/>
      <c r="BA459" s="98" t="n"/>
      <c r="BB459" s="98" t="n"/>
      <c r="BC459" s="98" t="n"/>
      <c r="BD459" s="98" t="n"/>
      <c r="BE459" s="98" t="n"/>
      <c r="BF459" s="98" t="n"/>
      <c r="BG459" s="98" t="n"/>
      <c r="BH459" s="98" t="n"/>
      <c r="BI459" s="98" t="n"/>
      <c r="BJ459" s="98" t="n"/>
      <c r="BK459" s="98" t="n"/>
      <c r="BL459" s="98" t="n"/>
      <c r="BM459" s="98" t="n"/>
      <c r="BN459" s="98" t="n"/>
      <c r="BO459" s="98" t="n"/>
      <c r="BP459" s="98" t="n"/>
      <c r="BQ459" s="98" t="n"/>
      <c r="BR459" s="98" t="n"/>
      <c r="BS459" s="97" t="n"/>
      <c r="BW459" s="332">
        <f>AI460-AH460</f>
        <v/>
      </c>
      <c r="CB459" s="14" t="n"/>
    </row>
    <row r="460" ht="14.55" customHeight="1" s="70">
      <c r="A460" s="81" t="n">
        <v>299</v>
      </c>
      <c r="B460" s="343" t="inlineStr">
        <is>
          <t>LOWLANDS LAMBIK</t>
        </is>
      </c>
      <c r="C460" s="15" t="n">
        <v>45879</v>
      </c>
      <c r="D460" s="346" t="n">
        <v>13200</v>
      </c>
      <c r="E460" s="346">
        <f>D460+D461+D462</f>
        <v/>
      </c>
      <c r="G460" s="81" t="n">
        <v>3</v>
      </c>
      <c r="H460" s="75" t="inlineStr">
        <is>
          <t>TSP</t>
        </is>
      </c>
      <c r="I460" s="75" t="inlineStr">
        <is>
          <t xml:space="preserve">TSP SPECIAL JORF </t>
        </is>
      </c>
      <c r="J460" s="75" t="inlineStr">
        <is>
          <t>CFR</t>
        </is>
      </c>
      <c r="Q460" s="75" t="inlineStr">
        <is>
          <t>AMERIQUE LATINE</t>
        </is>
      </c>
      <c r="R460" s="75" t="inlineStr">
        <is>
          <t>BRESIL</t>
        </is>
      </c>
      <c r="T460" s="75" t="inlineStr">
        <is>
          <t>INSPECTORATE</t>
        </is>
      </c>
      <c r="U460" s="81" t="n">
        <v>180</v>
      </c>
      <c r="V460" s="53">
        <f>IF(U460&lt;130, "Mini Bulker", IF(AND(U460&gt;=130, U460&lt;150), "Handysize", IF(AND(U460&gt;=150, U460&lt;200), "Handymax", IF(AND(U460&gt;=200, U460&lt;230), "Panamax", IF(AND(U460&gt;=230, U460&lt;=270), "Capesize", "Autre")))))</f>
        <v/>
      </c>
      <c r="X460" s="14">
        <f>IF(E460&lt;9999,"1",IF(E460&lt;19999,"2",IF(E460&lt;29999,"3",IF(E460&lt;39999,"4",IF(E460&lt;49999,"5",IF(E460&gt;50000,"6"))))))</f>
        <v/>
      </c>
      <c r="Y460" s="99" t="inlineStr">
        <is>
          <t>2N/1N</t>
        </is>
      </c>
      <c r="AA460" s="26" t="n">
        <v>45868.10416666666</v>
      </c>
      <c r="AB460" s="26" t="n">
        <v>45868.375</v>
      </c>
      <c r="AC460" s="15" t="n">
        <v>45859</v>
      </c>
      <c r="AD460" s="15" t="n">
        <v>45869</v>
      </c>
      <c r="AE460" s="26" t="n">
        <v>45868.075</v>
      </c>
      <c r="AF460" s="26" t="n">
        <v>45867.97916666666</v>
      </c>
      <c r="AG460" s="26" t="n">
        <v>45868.11666666667</v>
      </c>
      <c r="AH460" s="26" t="n">
        <v>45868.14583333334</v>
      </c>
      <c r="AI460" s="26" t="n">
        <v>45868.19444444445</v>
      </c>
      <c r="AJ460" s="26" t="n">
        <v>45868.47222222222</v>
      </c>
      <c r="AK460" s="26" t="n">
        <v>45879.90972222222</v>
      </c>
      <c r="AL460" s="26" t="n">
        <v>45879.9375</v>
      </c>
      <c r="AM460" s="26" t="n">
        <v>45879.94791666666</v>
      </c>
      <c r="AN460" s="26" t="n">
        <v>45879.98958333334</v>
      </c>
      <c r="AO460" s="26" t="n">
        <v>45880</v>
      </c>
      <c r="AP460" s="20">
        <f>(AG460-AF460)*1440</f>
        <v/>
      </c>
      <c r="AQ460" s="20">
        <f>(AG460-AE460)*1440</f>
        <v/>
      </c>
      <c r="AR460" s="20">
        <f>(AH460-AF460)*1440</f>
        <v/>
      </c>
      <c r="AS460" s="20">
        <f>(AI460-AH460)*1440</f>
        <v/>
      </c>
      <c r="AT460" s="20">
        <f>(AJ460-AH460)*1440</f>
        <v/>
      </c>
      <c r="AU460" s="20">
        <f>(AL460-AK460)*1440</f>
        <v/>
      </c>
      <c r="AV460" s="20">
        <f>(AM460-AL460)*1440</f>
        <v/>
      </c>
      <c r="AW460" s="20">
        <f>(AO460-AM460)*1440</f>
        <v/>
      </c>
      <c r="AX460" s="19">
        <f>AP460+AS460+AU460+AV460+AW460</f>
        <v/>
      </c>
      <c r="AY460" s="18">
        <f>(AG460-AA460)</f>
        <v/>
      </c>
      <c r="AZ460" s="18">
        <f>(AK460-AJ460)</f>
        <v/>
      </c>
      <c r="BA460" s="18">
        <f>AO460-AG460</f>
        <v/>
      </c>
      <c r="BB460" s="18">
        <f>(AO460-AA460)-(AP460/1440)-(AW460/1440)</f>
        <v/>
      </c>
      <c r="BC460" s="20">
        <f>E460/AZ460</f>
        <v/>
      </c>
      <c r="BE460" s="20">
        <f>IF(E460&lt;10000,3000,IF(E460&lt;15000,3600,IF(E460&lt;20000,4500,IF(E460&lt;25000,6000,IF(E460&lt;30000,7500,IF(E460&lt;40000,9000,IF(E460&gt;40000,10000)))))))</f>
        <v/>
      </c>
      <c r="BF460" s="334">
        <f>(E460/BE460)+2</f>
        <v/>
      </c>
      <c r="BS460" s="97" t="inlineStr">
        <is>
          <t>CHANGE DU POSTE 2N VERS LA RADE LE 02/08- 1432 // RE-ACC AU POSTE 1N LE 08/08- 0042</t>
        </is>
      </c>
      <c r="BT460" s="99" t="n">
        <v>2</v>
      </c>
      <c r="BW460" s="332">
        <f>AI461-AH461</f>
        <v/>
      </c>
      <c r="CB460" s="14" t="n">
        <v>26272</v>
      </c>
    </row>
    <row r="461">
      <c r="B461" s="343" t="inlineStr">
        <is>
          <t>LOWLANDS LAMBIK</t>
        </is>
      </c>
      <c r="C461" s="15" t="n">
        <v>45879</v>
      </c>
      <c r="D461" s="346" t="n">
        <v>5500</v>
      </c>
      <c r="E461" s="330" t="n"/>
      <c r="G461" s="81" t="n">
        <v>3</v>
      </c>
      <c r="H461" s="75" t="inlineStr">
        <is>
          <t>NPS</t>
        </is>
      </c>
      <c r="I461" s="75" t="inlineStr">
        <is>
          <t xml:space="preserve">NPS 3 30 9S </t>
        </is>
      </c>
      <c r="J461" s="75" t="inlineStr">
        <is>
          <t>CFR</t>
        </is>
      </c>
      <c r="Q461" s="75" t="inlineStr">
        <is>
          <t>AMERIQUE LATINE</t>
        </is>
      </c>
      <c r="R461" s="75" t="inlineStr">
        <is>
          <t>BRESIL</t>
        </is>
      </c>
      <c r="T461" s="75" t="inlineStr">
        <is>
          <t>INSPECTORATE</t>
        </is>
      </c>
      <c r="U461" s="81" t="n">
        <v>180</v>
      </c>
      <c r="V461" s="53">
        <f>IF(U461&lt;130, "Mini Bulker", IF(AND(U461&gt;=130, U461&lt;150), "Handysize", IF(AND(U461&gt;=150, U461&lt;200), "Handymax", IF(AND(U461&gt;=200, U461&lt;230), "Panamax", IF(AND(U461&gt;=230, U461&lt;=270), "Capesize", "Autre")))))</f>
        <v/>
      </c>
      <c r="X461" s="14">
        <f>IF(E461&lt;9999,"1",IF(E461&lt;19999,"2",IF(E461&lt;29999,"3",IF(E461&lt;39999,"4",IF(E461&lt;49999,"5",IF(E461&gt;50000,"6"))))))</f>
        <v/>
      </c>
      <c r="Y461" s="99" t="inlineStr">
        <is>
          <t>2N/1N</t>
        </is>
      </c>
      <c r="AA461" s="98" t="n"/>
      <c r="AB461" s="98" t="n"/>
      <c r="AC461" s="98" t="n"/>
      <c r="AD461" s="98" t="n"/>
      <c r="AE461" s="98" t="n"/>
      <c r="AF461" s="98" t="n"/>
      <c r="AG461" s="98" t="n"/>
      <c r="AH461" s="98" t="n"/>
      <c r="AI461" s="98" t="n"/>
      <c r="AJ461" s="98" t="n"/>
      <c r="AK461" s="98" t="n"/>
      <c r="AL461" s="98" t="n"/>
      <c r="AM461" s="98" t="n"/>
      <c r="AN461" s="98" t="n"/>
      <c r="AO461" s="98" t="n"/>
      <c r="AP461" s="98" t="n"/>
      <c r="AQ461" s="98" t="n"/>
      <c r="AR461" s="98" t="n"/>
      <c r="AS461" s="98" t="n"/>
      <c r="AT461" s="98" t="n"/>
      <c r="AU461" s="98" t="n"/>
      <c r="AV461" s="98" t="n"/>
      <c r="AW461" s="98" t="n"/>
      <c r="AX461" s="98" t="n"/>
      <c r="AY461" s="98" t="n"/>
      <c r="AZ461" s="98" t="n"/>
      <c r="BA461" s="98" t="n"/>
      <c r="BB461" s="98" t="n"/>
      <c r="BC461" s="98" t="n"/>
      <c r="BD461" s="98" t="n"/>
      <c r="BE461" s="98" t="n"/>
      <c r="BF461" s="98" t="n"/>
      <c r="BS461" s="97" t="n"/>
      <c r="BW461" s="332">
        <f>AI462-AH462</f>
        <v/>
      </c>
      <c r="CB461" s="14" t="n"/>
    </row>
    <row r="462">
      <c r="A462" s="81" t="n"/>
      <c r="B462" s="343" t="inlineStr">
        <is>
          <t>LOWLANDS LAMBIK</t>
        </is>
      </c>
      <c r="C462" s="15" t="n">
        <v>45879</v>
      </c>
      <c r="D462" s="346" t="n">
        <v>11000</v>
      </c>
      <c r="E462" s="330" t="n"/>
      <c r="G462" s="81" t="n">
        <v>3</v>
      </c>
      <c r="H462" s="75" t="inlineStr">
        <is>
          <t>MAP</t>
        </is>
      </c>
      <c r="I462" s="75" t="inlineStr">
        <is>
          <t xml:space="preserve">MAP 11 52 SPECIAL </t>
        </is>
      </c>
      <c r="J462" s="75" t="inlineStr">
        <is>
          <t>CFR</t>
        </is>
      </c>
      <c r="Q462" s="75" t="inlineStr">
        <is>
          <t>AMERIQUE LATINE</t>
        </is>
      </c>
      <c r="R462" s="75" t="inlineStr">
        <is>
          <t>BRESIL</t>
        </is>
      </c>
      <c r="T462" s="75" t="inlineStr">
        <is>
          <t>INSPECTORATE</t>
        </is>
      </c>
      <c r="U462" s="81" t="n">
        <v>180</v>
      </c>
      <c r="V462" s="53">
        <f>IF(U462&lt;130, "Mini Bulker", IF(AND(U462&gt;=130, U462&lt;150), "Handysize", IF(AND(U462&gt;=150, U462&lt;200), "Handymax", IF(AND(U462&gt;=200, U462&lt;230), "Panamax", IF(AND(U462&gt;=230, U462&lt;=270), "Capesize", "Autre")))))</f>
        <v/>
      </c>
      <c r="X462" s="14">
        <f>IF(E462&lt;9999,"1",IF(E462&lt;19999,"2",IF(E462&lt;29999,"3",IF(E462&lt;39999,"4",IF(E462&lt;49999,"5",IF(E462&gt;50000,"6"))))))</f>
        <v/>
      </c>
      <c r="Y462" s="99" t="inlineStr">
        <is>
          <t>2N/1N</t>
        </is>
      </c>
      <c r="AA462" s="98" t="n"/>
      <c r="AB462" s="98" t="n"/>
      <c r="AC462" s="98" t="n"/>
      <c r="AD462" s="98" t="n"/>
      <c r="AE462" s="98" t="n"/>
      <c r="AF462" s="98" t="n"/>
      <c r="AG462" s="98" t="n"/>
      <c r="AH462" s="98" t="n"/>
      <c r="AI462" s="98" t="n"/>
      <c r="AJ462" s="98" t="n"/>
      <c r="AK462" s="98" t="n"/>
      <c r="AL462" s="98" t="n"/>
      <c r="AM462" s="98" t="n"/>
      <c r="AN462" s="98" t="n"/>
      <c r="AO462" s="98" t="n"/>
      <c r="AP462" s="98" t="n"/>
      <c r="AQ462" s="98" t="n"/>
      <c r="AR462" s="98" t="n"/>
      <c r="AS462" s="98" t="n"/>
      <c r="AT462" s="98" t="n"/>
      <c r="AU462" s="98" t="n"/>
      <c r="AV462" s="98" t="n"/>
      <c r="AW462" s="98" t="n"/>
      <c r="AX462" s="98" t="n"/>
      <c r="AY462" s="98" t="n"/>
      <c r="AZ462" s="98" t="n"/>
      <c r="BA462" s="98" t="n"/>
      <c r="BB462" s="98" t="n"/>
      <c r="BC462" s="98" t="n"/>
      <c r="BD462" s="98" t="n"/>
      <c r="BE462" s="98" t="n"/>
      <c r="BF462" s="98" t="n"/>
      <c r="BS462" s="97" t="n"/>
      <c r="BW462" s="332">
        <f>AI463-AH463</f>
        <v/>
      </c>
      <c r="CB462" s="14" t="n"/>
    </row>
    <row r="463">
      <c r="A463" s="81" t="n">
        <v>300</v>
      </c>
      <c r="B463" s="343" t="inlineStr">
        <is>
          <t>SUN VIL II</t>
        </is>
      </c>
      <c r="C463" s="15" t="n">
        <v>45880</v>
      </c>
      <c r="D463" s="346" t="n">
        <v>32912</v>
      </c>
      <c r="E463" s="333">
        <f>D463+D464</f>
        <v/>
      </c>
      <c r="G463" s="81" t="n">
        <v>2</v>
      </c>
      <c r="H463" s="75" t="inlineStr">
        <is>
          <t>DAP</t>
        </is>
      </c>
      <c r="I463" s="75" t="inlineStr">
        <is>
          <t xml:space="preserve">DAP STANDARD </t>
        </is>
      </c>
      <c r="J463" s="75" t="inlineStr">
        <is>
          <t>CFR</t>
        </is>
      </c>
      <c r="Q463" s="75" t="inlineStr">
        <is>
          <t>ASIE</t>
        </is>
      </c>
      <c r="R463" s="75" t="inlineStr">
        <is>
          <t>INDE</t>
        </is>
      </c>
      <c r="T463" s="75" t="inlineStr">
        <is>
          <t>INTERTEK</t>
        </is>
      </c>
      <c r="U463" s="81" t="n">
        <v>190</v>
      </c>
      <c r="V463" s="53">
        <f>IF(U463&lt;130, "Mini Bulker", IF(AND(U463&gt;=130, U463&lt;150), "Handysize", IF(AND(U463&gt;=150, U463&lt;200), "Handymax", IF(AND(U463&gt;=200, U463&lt;230), "Panamax", IF(AND(U463&gt;=230, U463&lt;=270), "Capesize", "Autre")))))</f>
        <v/>
      </c>
      <c r="X463" s="14">
        <f>IF(E463&lt;9999,"1",IF(E463&lt;19999,"2",IF(E463&lt;29999,"3",IF(E463&lt;39999,"4",IF(E463&lt;49999,"5",IF(E463&gt;50000,"6"))))))</f>
        <v/>
      </c>
      <c r="Y463" s="99" t="inlineStr">
        <is>
          <t>2BIS</t>
        </is>
      </c>
      <c r="AA463" s="26" t="n">
        <v>45874.375</v>
      </c>
      <c r="AB463" s="26" t="n">
        <v>45874.375</v>
      </c>
      <c r="AC463" s="15" t="n">
        <v>45876</v>
      </c>
      <c r="AD463" s="15" t="n">
        <v>45879</v>
      </c>
      <c r="AE463" s="26" t="n">
        <v>45874.10833333333</v>
      </c>
      <c r="AF463" s="26" t="n">
        <v>45875.83333333334</v>
      </c>
      <c r="AG463" s="26" t="n">
        <v>45875.88333333333</v>
      </c>
      <c r="AH463" s="26" t="n">
        <v>45875.90277777778</v>
      </c>
      <c r="AI463" s="26" t="n">
        <v>45875.95833333334</v>
      </c>
      <c r="AJ463" s="26" t="n">
        <v>45875.99652777778</v>
      </c>
      <c r="AK463" s="26" t="n">
        <v>45880.01736111111</v>
      </c>
      <c r="AL463" s="26" t="n">
        <v>45880.05902777778</v>
      </c>
      <c r="AM463" s="26" t="n">
        <v>45880.07638888889</v>
      </c>
      <c r="AN463" s="26" t="n">
        <v>45880.12083333333</v>
      </c>
      <c r="AO463" s="26" t="n">
        <v>45880.57291666666</v>
      </c>
      <c r="AP463" s="20">
        <f>(AG463-AF463)*1440</f>
        <v/>
      </c>
      <c r="AQ463" s="20">
        <f>(AG463-AE463)*1440</f>
        <v/>
      </c>
      <c r="AR463" s="20">
        <f>(AH463-AF463)*1440</f>
        <v/>
      </c>
      <c r="AS463" s="20">
        <f>(AI463-AH463)*1440</f>
        <v/>
      </c>
      <c r="AT463" s="20">
        <f>(AJ463-AH463)*1440</f>
        <v/>
      </c>
      <c r="AU463" s="20">
        <f>(AL463-AK463)*1440</f>
        <v/>
      </c>
      <c r="AV463" s="20">
        <f>(AM463-AL463)*1440</f>
        <v/>
      </c>
      <c r="AW463" s="20">
        <f>(AO463-AM463)*1440</f>
        <v/>
      </c>
      <c r="AX463" s="19">
        <f>AP463+AS463+AU463+AV463+AW463</f>
        <v/>
      </c>
      <c r="AY463" s="18">
        <f>(AG463-AA463)</f>
        <v/>
      </c>
      <c r="AZ463" s="18">
        <f>(AK463-AJ463)</f>
        <v/>
      </c>
      <c r="BA463" s="18">
        <f>AO463-AG463</f>
        <v/>
      </c>
      <c r="BB463" s="18">
        <f>(AO463-AA463)-(AP463/1440)-(AW463/1440)</f>
        <v/>
      </c>
      <c r="BC463" s="20">
        <f>E463/AZ463</f>
        <v/>
      </c>
      <c r="BE463" s="20">
        <f>IF(E463&lt;10000,3000,IF(E463&lt;15000,3600,IF(E463&lt;20000,4500,IF(E463&lt;25000,6000,IF(E463&lt;30000,7500,IF(E463&lt;40000,9000,IF(E463&gt;40000,10000)))))))</f>
        <v/>
      </c>
      <c r="BF463" s="334">
        <f>(E463/BE463)+2</f>
        <v/>
      </c>
      <c r="BS463" s="97" t="inlineStr">
        <is>
          <t>NUL</t>
        </is>
      </c>
      <c r="BT463" s="97" t="n">
        <v>0</v>
      </c>
      <c r="BU463" s="97" t="n"/>
      <c r="BV463" s="97" t="n"/>
      <c r="BW463" s="332">
        <f>AI464-AH464</f>
        <v/>
      </c>
      <c r="CB463" s="14" t="n">
        <v>31756</v>
      </c>
    </row>
    <row r="464">
      <c r="A464" s="81" t="n"/>
      <c r="B464" s="343" t="inlineStr">
        <is>
          <t>SUN VIL II</t>
        </is>
      </c>
      <c r="C464" s="15" t="n">
        <v>45880</v>
      </c>
      <c r="D464" s="346" t="n">
        <v>21166</v>
      </c>
      <c r="E464" s="330" t="n"/>
      <c r="G464" s="81" t="n">
        <v>2</v>
      </c>
      <c r="H464" s="75" t="inlineStr">
        <is>
          <t>TSP</t>
        </is>
      </c>
      <c r="I464" s="75" t="inlineStr">
        <is>
          <t xml:space="preserve">TSP CIV </t>
        </is>
      </c>
      <c r="J464" s="75" t="inlineStr">
        <is>
          <t>CFR</t>
        </is>
      </c>
      <c r="Q464" s="75" t="inlineStr">
        <is>
          <t>ASIE</t>
        </is>
      </c>
      <c r="R464" s="75" t="inlineStr">
        <is>
          <t>INDE</t>
        </is>
      </c>
      <c r="T464" s="75" t="inlineStr">
        <is>
          <t>INTERTEK</t>
        </is>
      </c>
      <c r="U464" s="81" t="n">
        <v>190</v>
      </c>
      <c r="V464" s="53">
        <f>IF(U464&lt;130, "Mini Bulker", IF(AND(U464&gt;=130, U464&lt;150), "Handysize", IF(AND(U464&gt;=150, U464&lt;200), "Handymax", IF(AND(U464&gt;=200, U464&lt;230), "Panamax", IF(AND(U464&gt;=230, U464&lt;=270), "Capesize", "Autre")))))</f>
        <v/>
      </c>
      <c r="X464" s="14">
        <f>IF(E464&lt;9999,"1",IF(E464&lt;19999,"2",IF(E464&lt;29999,"3",IF(E464&lt;39999,"4",IF(E464&lt;49999,"5",IF(E464&gt;50000,"6"))))))</f>
        <v/>
      </c>
      <c r="Y464" s="99" t="inlineStr">
        <is>
          <t>2BIS</t>
        </is>
      </c>
      <c r="AA464" s="98" t="n"/>
      <c r="AB464" s="98" t="n"/>
      <c r="AC464" s="98" t="n"/>
      <c r="AD464" s="98" t="n"/>
      <c r="AE464" s="98" t="n"/>
      <c r="AF464" s="98" t="n"/>
      <c r="AG464" s="98" t="n"/>
      <c r="AH464" s="98" t="n"/>
      <c r="AI464" s="98" t="n"/>
      <c r="AJ464" s="98" t="n"/>
      <c r="AK464" s="98" t="n"/>
      <c r="AL464" s="98" t="n"/>
      <c r="AM464" s="98" t="n"/>
      <c r="AN464" s="98" t="n"/>
      <c r="AO464" s="98" t="n"/>
      <c r="AP464" s="98" t="n"/>
      <c r="AQ464" s="98" t="n"/>
      <c r="AR464" s="98" t="n"/>
      <c r="AS464" s="98" t="n"/>
      <c r="AT464" s="98" t="n"/>
      <c r="AU464" s="98" t="n"/>
      <c r="AV464" s="98" t="n"/>
      <c r="AW464" s="98" t="n"/>
      <c r="AX464" s="98" t="n"/>
      <c r="AY464" s="98" t="n"/>
      <c r="AZ464" s="98" t="n"/>
      <c r="BA464" s="98" t="n"/>
      <c r="BB464" s="98" t="n"/>
      <c r="BC464" s="98" t="n"/>
      <c r="BD464" s="98" t="n"/>
      <c r="BE464" s="98" t="n"/>
      <c r="BF464" s="98" t="n"/>
      <c r="BS464" s="97" t="n"/>
      <c r="BT464" s="97" t="n"/>
      <c r="BU464" s="97" t="n"/>
      <c r="BV464" s="97" t="n"/>
      <c r="BW464" s="332">
        <f>AI465-AH465</f>
        <v/>
      </c>
      <c r="CB464" s="14" t="n"/>
    </row>
    <row r="465" ht="14.55" customHeight="1" s="70">
      <c r="A465" s="81" t="n">
        <v>301</v>
      </c>
      <c r="B465" s="343" t="inlineStr">
        <is>
          <t>KARSOY</t>
        </is>
      </c>
      <c r="C465" s="15" t="n">
        <v>45881</v>
      </c>
      <c r="D465" s="346" t="n">
        <v>7000</v>
      </c>
      <c r="E465" s="333">
        <f>D465+D466</f>
        <v/>
      </c>
      <c r="G465" s="81" t="n">
        <v>2</v>
      </c>
      <c r="H465" s="75" t="inlineStr">
        <is>
          <t>DAP</t>
        </is>
      </c>
      <c r="I465" s="75" t="inlineStr">
        <is>
          <t xml:space="preserve">DAP Euro Low Cd </t>
        </is>
      </c>
      <c r="J465" s="75" t="inlineStr">
        <is>
          <t>FOB</t>
        </is>
      </c>
      <c r="Q465" s="75" t="inlineStr">
        <is>
          <t>EUROPE</t>
        </is>
      </c>
      <c r="R465" s="75" t="inlineStr">
        <is>
          <t>ITALIE</t>
        </is>
      </c>
      <c r="T465" s="75" t="inlineStr">
        <is>
          <t>INSPECTORATE</t>
        </is>
      </c>
      <c r="U465" s="81" t="n">
        <v>132</v>
      </c>
      <c r="V465" s="53">
        <f>IF(U465&lt;130, "Mini Bulker", IF(AND(U465&gt;=130, U465&lt;150), "Handysize", IF(AND(U465&gt;=150, U465&lt;200), "Handymax", IF(AND(U465&gt;=200, U465&lt;230), "Panamax", IF(AND(U465&gt;=230, U465&lt;=270), "Capesize", "Autre")))))</f>
        <v/>
      </c>
      <c r="X465" s="14">
        <f>IF(E465&lt;9999,"1",IF(E465&lt;19999,"2",IF(E465&lt;29999,"3",IF(E465&lt;39999,"4",IF(E465&lt;49999,"5",IF(E465&gt;50000,"6"))))))</f>
        <v/>
      </c>
      <c r="Y465" s="99" t="inlineStr">
        <is>
          <t>1TER/2TER</t>
        </is>
      </c>
      <c r="AA465" s="26" t="n">
        <v>45876.6875</v>
      </c>
      <c r="AB465" s="26" t="n">
        <v>45876.6875</v>
      </c>
      <c r="AC465" s="15" t="n">
        <v>45874</v>
      </c>
      <c r="AD465" s="15" t="n">
        <v>45877</v>
      </c>
      <c r="AE465" s="26" t="n">
        <v>45876.6875</v>
      </c>
      <c r="AF465" s="26" t="n">
        <v>45877.45416666667</v>
      </c>
      <c r="AG465" s="26" t="n">
        <v>45877.52777777778</v>
      </c>
      <c r="AH465" s="26" t="n">
        <v>45877.54513888889</v>
      </c>
      <c r="AI465" s="26" t="n">
        <v>45877.60416666666</v>
      </c>
      <c r="AJ465" s="26" t="n">
        <v>45877.89236111111</v>
      </c>
      <c r="AK465" s="26" t="n">
        <v>45881.01388888889</v>
      </c>
      <c r="AL465" s="26" t="n">
        <v>45881.05555555555</v>
      </c>
      <c r="AM465" s="26" t="n">
        <v>45881.08333333334</v>
      </c>
      <c r="AN465" s="26" t="n">
        <v>45881.13333333333</v>
      </c>
      <c r="AO465" s="26" t="n">
        <v>45881.36527777778</v>
      </c>
      <c r="AP465" s="20">
        <f>(AG465-AF465)*1440</f>
        <v/>
      </c>
      <c r="AQ465" s="20">
        <f>(AG465-AE465)*1440</f>
        <v/>
      </c>
      <c r="AR465" s="20">
        <f>(AH465-AF465)*1440</f>
        <v/>
      </c>
      <c r="AS465" s="20">
        <f>(AI465-AH465)*1440</f>
        <v/>
      </c>
      <c r="AT465" s="20">
        <f>(AJ465-AH465)*1440</f>
        <v/>
      </c>
      <c r="AU465" s="20">
        <f>(AL465-AK465)*1440</f>
        <v/>
      </c>
      <c r="AV465" s="20">
        <f>(AM465-AL465)*1440</f>
        <v/>
      </c>
      <c r="AW465" s="20">
        <f>(AO465-AM465)*1440</f>
        <v/>
      </c>
      <c r="AX465" s="19">
        <f>AP465+AS465+AU465+AV465+AW465</f>
        <v/>
      </c>
      <c r="AY465" s="18">
        <f>(AG465-AA465)</f>
        <v/>
      </c>
      <c r="AZ465" s="18">
        <f>(AK465-AJ465)</f>
        <v/>
      </c>
      <c r="BA465" s="18">
        <f>AO465-AG465</f>
        <v/>
      </c>
      <c r="BB465" s="18">
        <f>(AO465-AA465)-(AP465/1440)-(AW465/1440)</f>
        <v/>
      </c>
      <c r="BC465" s="20">
        <f>E465/AZ465</f>
        <v/>
      </c>
      <c r="BE465" s="20">
        <f>IF(E465&lt;10000,3000,IF(E465&lt;15000,3600,IF(E465&lt;20000,4500,IF(E465&lt;25000,6000,IF(E465&lt;30000,7500,IF(E465&lt;40000,9000,IF(E465&gt;40000,10000)))))))</f>
        <v/>
      </c>
      <c r="BF465" s="334">
        <f>(E465/BE465)+2</f>
        <v/>
      </c>
      <c r="BS465" s="97" t="inlineStr">
        <is>
          <t>CHANGE DU POSTE 1TER VERS LA RADE LE 10/08 - 2240 // RE-ACC AU POSTE 2T LE 11/08 - 1540</t>
        </is>
      </c>
      <c r="BT465" s="97" t="n">
        <v>2</v>
      </c>
      <c r="BU465" s="97" t="n"/>
      <c r="BV465" s="97" t="n"/>
      <c r="BW465" s="332">
        <f>AI466-AH466</f>
        <v/>
      </c>
      <c r="CB465" s="14" t="n">
        <v>7635</v>
      </c>
    </row>
    <row r="466" ht="15" customHeight="1" s="70">
      <c r="A466" s="81" t="n"/>
      <c r="B466" s="343" t="inlineStr">
        <is>
          <t>KARSOY</t>
        </is>
      </c>
      <c r="C466" s="15" t="n">
        <v>45881</v>
      </c>
      <c r="D466" s="346" t="n">
        <v>1100</v>
      </c>
      <c r="E466" s="330" t="n"/>
      <c r="G466" s="81" t="n">
        <v>2</v>
      </c>
      <c r="H466" s="75" t="inlineStr">
        <is>
          <t>TSP</t>
        </is>
      </c>
      <c r="I466" s="75" t="inlineStr">
        <is>
          <t>TSP EURO Low Cd</t>
        </is>
      </c>
      <c r="J466" s="75" t="inlineStr">
        <is>
          <t>FOB</t>
        </is>
      </c>
      <c r="Q466" s="75" t="inlineStr">
        <is>
          <t>EUROPE</t>
        </is>
      </c>
      <c r="R466" s="75" t="inlineStr">
        <is>
          <t>ITALIE</t>
        </is>
      </c>
      <c r="T466" s="75" t="inlineStr">
        <is>
          <t>INSPECTORATE</t>
        </is>
      </c>
      <c r="U466" s="81" t="n">
        <v>132</v>
      </c>
      <c r="V466" s="53">
        <f>IF(U466&lt;130, "Mini Bulker", IF(AND(U466&gt;=130, U466&lt;150), "Handysize", IF(AND(U466&gt;=150, U466&lt;200), "Handymax", IF(AND(U466&gt;=200, U466&lt;230), "Panamax", IF(AND(U466&gt;=230, U466&lt;=270), "Capesize", "Autre")))))</f>
        <v/>
      </c>
      <c r="X466" s="14">
        <f>IF(E466&lt;9999,"1",IF(E466&lt;19999,"2",IF(E466&lt;29999,"3",IF(E466&lt;39999,"4",IF(E466&lt;49999,"5",IF(E466&gt;50000,"6"))))))</f>
        <v/>
      </c>
      <c r="Y466" s="99" t="inlineStr">
        <is>
          <t>1TER/2TER</t>
        </is>
      </c>
      <c r="AA466" s="98" t="n"/>
      <c r="AB466" s="98" t="n"/>
      <c r="AC466" s="98" t="n"/>
      <c r="AD466" s="98" t="n"/>
      <c r="AE466" s="98" t="n"/>
      <c r="AF466" s="98" t="n"/>
      <c r="AG466" s="98" t="n"/>
      <c r="AH466" s="98" t="n"/>
      <c r="AI466" s="98" t="n"/>
      <c r="AJ466" s="98" t="n"/>
      <c r="AK466" s="98" t="n"/>
      <c r="AL466" s="98" t="n"/>
      <c r="AM466" s="98" t="n"/>
      <c r="AN466" s="98" t="n"/>
      <c r="AO466" s="98" t="n"/>
      <c r="AP466" s="98" t="n"/>
      <c r="AQ466" s="98" t="n"/>
      <c r="AR466" s="98" t="n"/>
      <c r="AS466" s="98" t="n"/>
      <c r="AT466" s="98" t="n"/>
      <c r="AU466" s="98" t="n"/>
      <c r="AV466" s="98" t="n"/>
      <c r="AW466" s="98" t="n"/>
      <c r="AX466" s="98" t="n"/>
      <c r="AY466" s="98" t="n"/>
      <c r="AZ466" s="98" t="n"/>
      <c r="BA466" s="98" t="n"/>
      <c r="BB466" s="98" t="n"/>
      <c r="BC466" s="98" t="n"/>
      <c r="BD466" s="98" t="n"/>
      <c r="BE466" s="98" t="n"/>
      <c r="BF466" s="98" t="n"/>
      <c r="BG466" s="98" t="n"/>
      <c r="BH466" s="98" t="n"/>
      <c r="BI466" s="98" t="n"/>
      <c r="BJ466" s="98" t="n"/>
      <c r="BK466" s="98" t="n"/>
      <c r="BL466" s="98" t="n"/>
      <c r="BM466" s="98" t="n"/>
      <c r="BN466" s="98" t="n"/>
      <c r="BO466" s="98" t="n"/>
      <c r="BP466" s="98" t="n"/>
      <c r="BQ466" s="98" t="n"/>
      <c r="BR466" s="98" t="n"/>
      <c r="BS466" s="97" t="n"/>
      <c r="BT466" s="97" t="n"/>
      <c r="BU466" s="97" t="n"/>
      <c r="BV466" s="97" t="n"/>
      <c r="BW466" s="332">
        <f>AI467-AH467</f>
        <v/>
      </c>
      <c r="CB466" s="14" t="n"/>
    </row>
    <row r="467">
      <c r="A467" s="81" t="n">
        <v>302</v>
      </c>
      <c r="B467" s="343" t="inlineStr">
        <is>
          <t>BLUE DIAMOND</t>
        </is>
      </c>
      <c r="C467" s="15" t="n">
        <v>45882</v>
      </c>
      <c r="D467" s="346" t="n">
        <v>28164</v>
      </c>
      <c r="E467" s="333">
        <f>D467+D468</f>
        <v/>
      </c>
      <c r="G467" s="81" t="n">
        <v>2</v>
      </c>
      <c r="H467" s="75" t="inlineStr">
        <is>
          <t>TSP</t>
        </is>
      </c>
      <c r="I467" s="75" t="inlineStr">
        <is>
          <t xml:space="preserve">TSP CIV </t>
        </is>
      </c>
      <c r="J467" s="75" t="inlineStr">
        <is>
          <t>CFR</t>
        </is>
      </c>
      <c r="Q467" s="75" t="inlineStr">
        <is>
          <t>ASIE</t>
        </is>
      </c>
      <c r="R467" s="75" t="inlineStr">
        <is>
          <t>INDE</t>
        </is>
      </c>
      <c r="T467" s="75" t="inlineStr">
        <is>
          <t>INTERTEK</t>
        </is>
      </c>
      <c r="U467" s="81" t="n">
        <v>190</v>
      </c>
      <c r="V467" s="53">
        <f>IF(U467&lt;130, "Mini Bulker", IF(AND(U467&gt;=130, U467&lt;150), "Handysize", IF(AND(U467&gt;=150, U467&lt;200), "Handymax", IF(AND(U467&gt;=200, U467&lt;230), "Panamax", IF(AND(U467&gt;=230, U467&lt;=270), "Capesize", "Autre")))))</f>
        <v/>
      </c>
      <c r="X467" s="14">
        <f>IF(E467&lt;9999,"1",IF(E467&lt;19999,"2",IF(E467&lt;29999,"3",IF(E467&lt;39999,"4",IF(E467&lt;49999,"5",IF(E467&gt;50000,"6"))))))</f>
        <v/>
      </c>
      <c r="Y467" s="99" t="inlineStr">
        <is>
          <t>1BIS</t>
        </is>
      </c>
      <c r="AA467" s="26" t="n">
        <v>45873.00069444445</v>
      </c>
      <c r="AB467" s="26" t="n">
        <v>45873.375</v>
      </c>
      <c r="AC467" s="15" t="n">
        <v>45873</v>
      </c>
      <c r="AD467" s="15" t="n">
        <v>45876</v>
      </c>
      <c r="AE467" s="26" t="n">
        <v>45873.00069444445</v>
      </c>
      <c r="AF467" s="26" t="n">
        <v>45873.63194444445</v>
      </c>
      <c r="AG467" s="26" t="n">
        <v>45873.72916666666</v>
      </c>
      <c r="AH467" s="26" t="n">
        <v>45873.75</v>
      </c>
      <c r="AI467" s="26" t="n">
        <v>45873.81944444445</v>
      </c>
      <c r="AJ467" s="26" t="n">
        <v>45873.83333333334</v>
      </c>
      <c r="AK467" s="26" t="n">
        <v>45882.59375</v>
      </c>
      <c r="AL467" s="26" t="n">
        <v>45882.625</v>
      </c>
      <c r="AM467" s="26" t="n">
        <v>45882.64583333334</v>
      </c>
      <c r="AN467" s="26" t="n">
        <v>45882.69027777778</v>
      </c>
      <c r="AO467" s="26" t="n">
        <v>45882.73263888889</v>
      </c>
      <c r="AP467" s="20">
        <f>(AG467-AF467)*1440</f>
        <v/>
      </c>
      <c r="AQ467" s="20">
        <f>(AG467-AE467)*1440</f>
        <v/>
      </c>
      <c r="AR467" s="20">
        <f>(AH467-AF467)*1440</f>
        <v/>
      </c>
      <c r="AS467" s="20">
        <f>(AI467-AH467)*1440</f>
        <v/>
      </c>
      <c r="AT467" s="20">
        <f>(AJ467-AH467)*1440</f>
        <v/>
      </c>
      <c r="AU467" s="20">
        <f>(AL467-AK467)*1440</f>
        <v/>
      </c>
      <c r="AV467" s="20">
        <f>(AM467-AL467)*1440</f>
        <v/>
      </c>
      <c r="AW467" s="20">
        <f>(AO467-AM467)*1440</f>
        <v/>
      </c>
      <c r="AX467" s="19">
        <f>AP467+AS467+AU467+AV467+AW467</f>
        <v/>
      </c>
      <c r="AY467" s="18">
        <f>(AG467-AA467)</f>
        <v/>
      </c>
      <c r="AZ467" s="18">
        <f>(AK467-AJ467)</f>
        <v/>
      </c>
      <c r="BA467" s="18">
        <f>AO467-AG467</f>
        <v/>
      </c>
      <c r="BB467" s="18">
        <f>(AO467-AA467)-(AP467/1440)-(AW467/1440)</f>
        <v/>
      </c>
      <c r="BC467" s="20">
        <f>E467/AZ467</f>
        <v/>
      </c>
      <c r="BE467" s="20">
        <f>IF(E467&lt;10000,3000,IF(E467&lt;15000,3600,IF(E467&lt;20000,4500,IF(E467&lt;25000,6000,IF(E467&lt;30000,7500,IF(E467&lt;40000,9000,IF(E467&gt;40000,10000)))))))</f>
        <v/>
      </c>
      <c r="BF467" s="334">
        <f>(E467/BE467)+2</f>
        <v/>
      </c>
      <c r="BS467" s="97" t="inlineStr">
        <is>
          <t>NUL</t>
        </is>
      </c>
      <c r="BT467" s="97" t="n">
        <v>0</v>
      </c>
      <c r="BU467" s="97" t="n"/>
      <c r="BV467" s="97" t="n"/>
      <c r="BW467" s="332">
        <f>AI468-AH468</f>
        <v/>
      </c>
      <c r="CB467" s="14" t="n">
        <v>32578</v>
      </c>
    </row>
    <row r="468">
      <c r="B468" s="343" t="inlineStr">
        <is>
          <t>BLUE DIAMOND</t>
        </is>
      </c>
      <c r="C468" s="15" t="n">
        <v>45882</v>
      </c>
      <c r="D468" s="346" t="n">
        <v>23299</v>
      </c>
      <c r="E468" s="330" t="n"/>
      <c r="G468" s="81" t="n">
        <v>2</v>
      </c>
      <c r="H468" s="75" t="inlineStr">
        <is>
          <t>DAP</t>
        </is>
      </c>
      <c r="I468" s="75" t="inlineStr">
        <is>
          <t xml:space="preserve">DAP STANDARD </t>
        </is>
      </c>
      <c r="J468" s="75" t="inlineStr">
        <is>
          <t>CFR</t>
        </is>
      </c>
      <c r="Q468" s="75" t="inlineStr">
        <is>
          <t>ASIE</t>
        </is>
      </c>
      <c r="R468" s="75" t="inlineStr">
        <is>
          <t>INDE</t>
        </is>
      </c>
      <c r="T468" s="75" t="inlineStr">
        <is>
          <t>INTERTEK</t>
        </is>
      </c>
      <c r="U468" s="81" t="n">
        <v>190</v>
      </c>
      <c r="V468" s="53">
        <f>IF(U468&lt;130, "Mini Bulker", IF(AND(U468&gt;=130, U468&lt;150), "Handysize", IF(AND(U468&gt;=150, U468&lt;200), "Handymax", IF(AND(U468&gt;=200, U468&lt;230), "Panamax", IF(AND(U468&gt;=230, U468&lt;=270), "Capesize", "Autre")))))</f>
        <v/>
      </c>
      <c r="X468" s="14">
        <f>IF(E468&lt;9999,"1",IF(E468&lt;19999,"2",IF(E468&lt;29999,"3",IF(E468&lt;39999,"4",IF(E468&lt;49999,"5",IF(E468&gt;50000,"6"))))))</f>
        <v/>
      </c>
      <c r="Y468" s="99" t="inlineStr">
        <is>
          <t>1BIS</t>
        </is>
      </c>
      <c r="AA468" s="98" t="n"/>
      <c r="AB468" s="98" t="n"/>
      <c r="AC468" s="98" t="n"/>
      <c r="AD468" s="98" t="n"/>
      <c r="AE468" s="98" t="n"/>
      <c r="AF468" s="98" t="n"/>
      <c r="AG468" s="98" t="n"/>
      <c r="AH468" s="98" t="n"/>
      <c r="AI468" s="98" t="n"/>
      <c r="AJ468" s="98" t="n"/>
      <c r="AK468" s="98" t="n"/>
      <c r="AL468" s="98" t="n"/>
      <c r="AM468" s="98" t="n"/>
      <c r="AN468" s="98" t="n"/>
      <c r="AO468" s="98" t="n"/>
      <c r="AP468" s="98" t="n"/>
      <c r="AQ468" s="98" t="n"/>
      <c r="AR468" s="98" t="n"/>
      <c r="AS468" s="98" t="n"/>
      <c r="AT468" s="98" t="n"/>
      <c r="AU468" s="98" t="n"/>
      <c r="AV468" s="98" t="n"/>
      <c r="AW468" s="98" t="n"/>
      <c r="AX468" s="98" t="n"/>
      <c r="AY468" s="98" t="n"/>
      <c r="AZ468" s="98" t="n"/>
      <c r="BA468" s="98" t="n"/>
      <c r="BB468" s="98" t="n"/>
      <c r="BC468" s="98" t="n"/>
      <c r="BD468" s="98" t="n"/>
      <c r="BE468" s="98" t="n"/>
      <c r="BF468" s="98" t="n"/>
      <c r="BS468" s="97" t="n"/>
      <c r="BT468" s="97" t="n"/>
      <c r="BU468" s="97" t="n"/>
      <c r="BV468" s="97" t="n"/>
      <c r="BW468" s="332">
        <f>AI469-AH469</f>
        <v/>
      </c>
      <c r="CB468" s="14" t="n"/>
    </row>
    <row r="469">
      <c r="A469" s="81" t="n">
        <v>303</v>
      </c>
      <c r="B469" s="343" t="inlineStr">
        <is>
          <t>KARLINO</t>
        </is>
      </c>
      <c r="C469" s="15" t="n">
        <v>45883</v>
      </c>
      <c r="D469" s="346" t="n">
        <v>33600</v>
      </c>
      <c r="E469" s="346" t="n">
        <v>33600</v>
      </c>
      <c r="G469" s="81" t="n">
        <v>1</v>
      </c>
      <c r="H469" s="75" t="inlineStr">
        <is>
          <t>MAP</t>
        </is>
      </c>
      <c r="I469" s="75" t="inlineStr">
        <is>
          <t xml:space="preserve">MAP 11 52 SPECIAL </t>
        </is>
      </c>
      <c r="J469" s="75" t="inlineStr">
        <is>
          <t>FOB</t>
        </is>
      </c>
      <c r="Q469" s="75" t="inlineStr">
        <is>
          <t>AMERIQUE</t>
        </is>
      </c>
      <c r="R469" s="75" t="inlineStr">
        <is>
          <t>USA</t>
        </is>
      </c>
      <c r="T469" s="75" t="inlineStr">
        <is>
          <t>INSPECTORATE</t>
        </is>
      </c>
      <c r="U469" s="81" t="n">
        <v>180</v>
      </c>
      <c r="V469" s="53">
        <f>IF(U469&lt;130, "Mini Bulker", IF(AND(U469&gt;=130, U469&lt;150), "Handysize", IF(AND(U469&gt;=150, U469&lt;200), "Handymax", IF(AND(U469&gt;=200, U469&lt;230), "Panamax", IF(AND(U469&gt;=230, U469&lt;=270), "Capesize", "Autre")))))</f>
        <v/>
      </c>
      <c r="X469" s="14">
        <f>IF(E469&lt;9999,"1",IF(E469&lt;19999,"2",IF(E469&lt;29999,"3",IF(E469&lt;39999,"4",IF(E469&lt;49999,"5",IF(E469&gt;50000,"6"))))))</f>
        <v/>
      </c>
      <c r="Y469" s="99" t="inlineStr">
        <is>
          <t>2BIS</t>
        </is>
      </c>
      <c r="AA469" s="26" t="n">
        <v>45880.80555555555</v>
      </c>
      <c r="AB469" s="26" t="n">
        <v>45881.375</v>
      </c>
      <c r="AC469" s="15" t="n">
        <v>45877</v>
      </c>
      <c r="AD469" s="15" t="n">
        <v>45881</v>
      </c>
      <c r="AE469" s="26" t="n">
        <v>45880.80555555555</v>
      </c>
      <c r="AF469" s="26" t="n">
        <v>45880.93055555555</v>
      </c>
      <c r="AG469" s="26" t="n">
        <v>45880.96527777778</v>
      </c>
      <c r="AH469" s="26" t="n">
        <v>45880.98611111111</v>
      </c>
      <c r="AI469" s="26" t="n">
        <v>45881.04166666666</v>
      </c>
      <c r="AJ469" s="26" t="n">
        <v>45881.05208333334</v>
      </c>
      <c r="AK469" s="26" t="n">
        <v>45882.98611111111</v>
      </c>
      <c r="AL469" s="26" t="n">
        <v>45883.05416666667</v>
      </c>
      <c r="AM469" s="26" t="n">
        <v>45883.41666666666</v>
      </c>
      <c r="AN469" s="26" t="n">
        <v>45883.48611111111</v>
      </c>
      <c r="AO469" s="26" t="n">
        <v>45883.49305555555</v>
      </c>
      <c r="AP469" s="20">
        <f>(AG469-AF469)*1440</f>
        <v/>
      </c>
      <c r="AQ469" s="20">
        <f>(AG469-AE469)*1440</f>
        <v/>
      </c>
      <c r="AR469" s="20">
        <f>(AH469-AF469)*1440</f>
        <v/>
      </c>
      <c r="AS469" s="20">
        <f>(AI469-AH469)*1440</f>
        <v/>
      </c>
      <c r="AT469" s="20">
        <f>(AJ469-AH469)*1440</f>
        <v/>
      </c>
      <c r="AU469" s="20">
        <f>(AL469-AK469)*1440</f>
        <v/>
      </c>
      <c r="AV469" s="20">
        <f>(AM469-AL469)*1440</f>
        <v/>
      </c>
      <c r="AW469" s="20">
        <f>(AO469-AM469)*1440</f>
        <v/>
      </c>
      <c r="AX469" s="19">
        <f>AP469+AS469+AU469+AV469+AW469</f>
        <v/>
      </c>
      <c r="AY469" s="18">
        <f>(AG469-AA469)</f>
        <v/>
      </c>
      <c r="AZ469" s="18">
        <f>(AK469-AJ469)</f>
        <v/>
      </c>
      <c r="BA469" s="18">
        <f>AO469-AG469</f>
        <v/>
      </c>
      <c r="BB469" s="18">
        <f>(AO469-AA469)-(AP469/1440)-(AW469/1440)</f>
        <v/>
      </c>
      <c r="BC469" s="20">
        <f>E469/AZ469</f>
        <v/>
      </c>
      <c r="BE469" s="20">
        <f>IF(E469&lt;10000,3000,IF(E469&lt;15000,3600,IF(E469&lt;20000,4500,IF(E469&lt;25000,6000,IF(E469&lt;30000,7500,IF(E469&lt;40000,9000,IF(E469&gt;40000,10000)))))))</f>
        <v/>
      </c>
      <c r="BF469" s="334">
        <f>(E469/BE469)+2</f>
        <v/>
      </c>
      <c r="BS469" s="97" t="inlineStr">
        <is>
          <t>NUL</t>
        </is>
      </c>
      <c r="BT469" s="97" t="n">
        <v>0</v>
      </c>
      <c r="BU469" s="97" t="n"/>
      <c r="BV469" s="97" t="n"/>
      <c r="BW469" s="332">
        <f>AI470-AH470</f>
        <v/>
      </c>
      <c r="CB469" s="14" t="n">
        <v>25278</v>
      </c>
    </row>
    <row r="470">
      <c r="A470" s="81" t="n">
        <v>304</v>
      </c>
      <c r="B470" s="343" t="inlineStr">
        <is>
          <t>TQ IZMIR</t>
        </is>
      </c>
      <c r="C470" s="15" t="n">
        <v>45883</v>
      </c>
      <c r="D470" s="346" t="n">
        <v>9650</v>
      </c>
      <c r="E470" s="346" t="n">
        <v>9650</v>
      </c>
      <c r="G470" s="81" t="n">
        <v>1</v>
      </c>
      <c r="H470" s="75" t="inlineStr">
        <is>
          <t>NPK</t>
        </is>
      </c>
      <c r="I470" s="75" t="inlineStr">
        <is>
          <t xml:space="preserve">NPK 10 26 26 Low Cd </t>
        </is>
      </c>
      <c r="J470" s="75" t="inlineStr">
        <is>
          <t>FOB</t>
        </is>
      </c>
      <c r="Q470" s="75" t="inlineStr">
        <is>
          <t>EUROPE</t>
        </is>
      </c>
      <c r="R470" s="75" t="inlineStr">
        <is>
          <t>UKRAINE</t>
        </is>
      </c>
      <c r="T470" s="75" t="inlineStr">
        <is>
          <t>INSPECTORATE</t>
        </is>
      </c>
      <c r="U470" s="81" t="n">
        <v>125</v>
      </c>
      <c r="V470" s="53">
        <f>IF(U470&lt;130, "Mini Bulker", IF(AND(U470&gt;=130, U470&lt;150), "Handysize", IF(AND(U470&gt;=150, U470&lt;200), "Handymax", IF(AND(U470&gt;=200, U470&lt;230), "Panamax", IF(AND(U470&gt;=230, U470&lt;=270), "Capesize", "Autre")))))</f>
        <v/>
      </c>
      <c r="X470" s="14">
        <f>IF(E470&lt;9999,"1",IF(E470&lt;19999,"2",IF(E470&lt;29999,"3",IF(E470&lt;39999,"4",IF(E470&lt;49999,"5",IF(E470&gt;50000,"6"))))))</f>
        <v/>
      </c>
      <c r="Y470" s="99" t="inlineStr">
        <is>
          <t>1TER/5/2TER</t>
        </is>
      </c>
      <c r="AA470" s="26" t="n">
        <v>45877.21527777778</v>
      </c>
      <c r="AB470" s="26" t="n">
        <v>45877.375</v>
      </c>
      <c r="AC470" s="15" t="n">
        <v>45879</v>
      </c>
      <c r="AD470" s="15" t="n">
        <v>45881</v>
      </c>
      <c r="AE470" s="26" t="n">
        <v>45877.21527777778</v>
      </c>
      <c r="AF470" s="26" t="n">
        <v>45879.92708333334</v>
      </c>
      <c r="AG470" s="26" t="n">
        <v>45879.98402777778</v>
      </c>
      <c r="AH470" s="26" t="n">
        <v>45880</v>
      </c>
      <c r="AI470" s="26" t="n">
        <v>45880.56944444445</v>
      </c>
      <c r="AJ470" s="26" t="n">
        <v>45880.61805555555</v>
      </c>
      <c r="AK470" s="26" t="n">
        <v>45883.51388888889</v>
      </c>
      <c r="AL470" s="26" t="n">
        <v>45883.55555555555</v>
      </c>
      <c r="AM470" s="26" t="n">
        <v>45883.57638888889</v>
      </c>
      <c r="AN470" s="26" t="n">
        <v>45883.63194444445</v>
      </c>
      <c r="AO470" s="26" t="n">
        <v>45883.67013888889</v>
      </c>
      <c r="AP470" s="20">
        <f>(AG470-AF470)*1440</f>
        <v/>
      </c>
      <c r="AQ470" s="20">
        <f>(AG470-AE470)*1440</f>
        <v/>
      </c>
      <c r="AR470" s="20">
        <f>(AH470-AF470)*1440</f>
        <v/>
      </c>
      <c r="AS470" s="20">
        <f>(AI470-AH470)*1440</f>
        <v/>
      </c>
      <c r="AT470" s="20">
        <f>(AJ470-AH470)*1440</f>
        <v/>
      </c>
      <c r="AU470" s="20">
        <f>(AL470-AK470)*1440</f>
        <v/>
      </c>
      <c r="AV470" s="20">
        <f>(AM470-AL470)*1440</f>
        <v/>
      </c>
      <c r="AW470" s="20">
        <f>(AO470-AM470)*1440</f>
        <v/>
      </c>
      <c r="AX470" s="19">
        <f>AP470+AS470+AU470+AV470+AW470</f>
        <v/>
      </c>
      <c r="AY470" s="18">
        <f>(AG470-AA470)</f>
        <v/>
      </c>
      <c r="AZ470" s="18">
        <f>(AK470-AJ470)</f>
        <v/>
      </c>
      <c r="BA470" s="18">
        <f>AO470-AG470</f>
        <v/>
      </c>
      <c r="BB470" s="18">
        <f>(AO470-AA470)-(AP470/1440)-(AW470/1440)</f>
        <v/>
      </c>
      <c r="BC470" s="20">
        <f>E470/AZ470</f>
        <v/>
      </c>
      <c r="BE470" s="20">
        <f>IF(E470&lt;10000,3000,IF(E470&lt;15000,3600,IF(E470&lt;20000,4500,IF(E470&lt;25000,6000,IF(E470&lt;30000,7500,IF(E470&lt;40000,9000,IF(E470&gt;40000,10000)))))))</f>
        <v/>
      </c>
      <c r="BF470" s="334">
        <f>(E470/BE470)+2</f>
        <v/>
      </c>
      <c r="BS470" s="97" t="inlineStr">
        <is>
          <t>CHANGE DU POSTE 1 TER VERS POSTE 5  LE 12/08- 1210 //  CHANGE DU POSTE 5 VERS POSTE 2TER  LE 13/08- 1210</t>
        </is>
      </c>
      <c r="BT470" s="97" t="n">
        <v>2</v>
      </c>
      <c r="BU470" s="97" t="inlineStr">
        <is>
          <t>NON CLEAN</t>
        </is>
      </c>
      <c r="BV470" s="97" t="inlineStr">
        <is>
          <t>WATER/HUMIDITY/LAST CARGO</t>
        </is>
      </c>
      <c r="BW470" s="332">
        <f>AI471-AH471</f>
        <v/>
      </c>
      <c r="CB470" s="14" t="n">
        <v>6594</v>
      </c>
    </row>
    <row r="471" ht="14.55" customHeight="1" s="70">
      <c r="A471" s="81" t="n">
        <v>305</v>
      </c>
      <c r="B471" s="343" t="inlineStr">
        <is>
          <t>SACURA</t>
        </is>
      </c>
      <c r="C471" s="15" t="n">
        <v>45884</v>
      </c>
      <c r="D471" s="346" t="n">
        <v>3850</v>
      </c>
      <c r="E471" s="346">
        <f>D471+D472+D473</f>
        <v/>
      </c>
      <c r="G471" s="81" t="n">
        <v>3</v>
      </c>
      <c r="H471" s="75" t="inlineStr">
        <is>
          <t>DAP</t>
        </is>
      </c>
      <c r="I471" s="75" t="inlineStr">
        <is>
          <t xml:space="preserve">DAP Euro Low Cd </t>
        </is>
      </c>
      <c r="J471" s="75" t="inlineStr">
        <is>
          <t>FOB</t>
        </is>
      </c>
      <c r="Q471" s="75" t="inlineStr">
        <is>
          <t>EUROPE</t>
        </is>
      </c>
      <c r="R471" s="75" t="inlineStr">
        <is>
          <t>LITHUANIA</t>
        </is>
      </c>
      <c r="T471" s="75" t="inlineStr">
        <is>
          <t>INSPECTORATE</t>
        </is>
      </c>
      <c r="U471" s="81" t="n">
        <v>138</v>
      </c>
      <c r="V471" s="53">
        <f>IF(U471&lt;130, "Mini Bulker", IF(AND(U471&gt;=130, U471&lt;150), "Handysize", IF(AND(U471&gt;=150, U471&lt;200), "Handymax", IF(AND(U471&gt;=200, U471&lt;230), "Panamax", IF(AND(U471&gt;=230, U471&lt;=270), "Capesize", "Autre")))))</f>
        <v/>
      </c>
      <c r="X471" s="14">
        <f>IF(E471&lt;9999,"1",IF(E471&lt;19999,"2",IF(E471&lt;29999,"3",IF(E471&lt;39999,"4",IF(E471&lt;49999,"5",IF(E471&gt;50000,"6"))))))</f>
        <v/>
      </c>
      <c r="Y471" s="99" t="inlineStr">
        <is>
          <t>1BIS</t>
        </is>
      </c>
      <c r="AA471" s="26" t="n">
        <v>45881.875</v>
      </c>
      <c r="AB471" s="26" t="n">
        <v>45882.375</v>
      </c>
      <c r="AC471" s="15" t="n">
        <v>45881</v>
      </c>
      <c r="AD471" s="15" t="n">
        <v>45883</v>
      </c>
      <c r="AE471" s="26" t="n">
        <v>45881.85416666666</v>
      </c>
      <c r="AF471" s="26" t="n">
        <v>45882.73263888889</v>
      </c>
      <c r="AG471" s="26" t="n">
        <v>45882.78125</v>
      </c>
      <c r="AH471" s="26" t="n">
        <v>45882.80208333334</v>
      </c>
      <c r="AI471" s="26" t="n">
        <v>45883.01388888889</v>
      </c>
      <c r="AJ471" s="26" t="n">
        <v>45883.02083333334</v>
      </c>
      <c r="AK471" s="26" t="n">
        <v>45884.66319444445</v>
      </c>
      <c r="AL471" s="26" t="n">
        <v>45884.70208333333</v>
      </c>
      <c r="AM471" s="26" t="n">
        <v>45884.71875</v>
      </c>
      <c r="AN471" s="26" t="n">
        <v>45884.76111111111</v>
      </c>
      <c r="AO471" s="26" t="n">
        <v>45884.77638888889</v>
      </c>
      <c r="AP471" s="20">
        <f>(AG471-AF471)*1440</f>
        <v/>
      </c>
      <c r="AQ471" s="20">
        <f>(AG471-AE471)*1440</f>
        <v/>
      </c>
      <c r="AR471" s="20">
        <f>(AH471-AF471)*1440</f>
        <v/>
      </c>
      <c r="AS471" s="20">
        <f>(AI471-AH471)*1440</f>
        <v/>
      </c>
      <c r="AT471" s="20">
        <f>(AJ471-AH471)*1440</f>
        <v/>
      </c>
      <c r="AU471" s="20">
        <f>(AL471-AK471)*1440</f>
        <v/>
      </c>
      <c r="AV471" s="20">
        <f>(AM471-AL471)*1440</f>
        <v/>
      </c>
      <c r="AW471" s="20">
        <f>(AO471-AM471)*1440</f>
        <v/>
      </c>
      <c r="AX471" s="19">
        <f>AP471+AS471+AU471+AV471+AW471</f>
        <v/>
      </c>
      <c r="AY471" s="18">
        <f>(AG471-AA471)</f>
        <v/>
      </c>
      <c r="AZ471" s="18">
        <f>(AK471-AJ471)</f>
        <v/>
      </c>
      <c r="BA471" s="18">
        <f>AO471-AG471</f>
        <v/>
      </c>
      <c r="BB471" s="18">
        <f>(AO471-AA471)-(AP471/1440)-(AW471/1440)</f>
        <v/>
      </c>
      <c r="BC471" s="20">
        <f>E471/AZ471</f>
        <v/>
      </c>
      <c r="BE471" s="20">
        <f>IF(E471&lt;10000,3000,IF(E471&lt;15000,3600,IF(E471&lt;20000,4500,IF(E471&lt;25000,6000,IF(E471&lt;30000,7500,IF(E471&lt;40000,9000,IF(E471&gt;40000,10000)))))))</f>
        <v/>
      </c>
      <c r="BF471" s="334">
        <f>(E471/BE471)+2</f>
        <v/>
      </c>
      <c r="BS471" s="97" t="inlineStr">
        <is>
          <t>NUL</t>
        </is>
      </c>
      <c r="BT471" s="97" t="n">
        <v>0</v>
      </c>
      <c r="BU471" s="97" t="inlineStr">
        <is>
          <t>NON CLEAN</t>
        </is>
      </c>
      <c r="BV471" s="97" t="inlineStr">
        <is>
          <t>WATER/HUMIDITY/DEBALLASTING</t>
        </is>
      </c>
      <c r="BW471" s="332">
        <f>AI472-AH472</f>
        <v/>
      </c>
      <c r="CB471" s="14" t="n">
        <v>8890</v>
      </c>
    </row>
    <row r="472" ht="14.55" customHeight="1" s="70">
      <c r="A472" s="81" t="n"/>
      <c r="B472" s="343" t="inlineStr">
        <is>
          <t>SACURA</t>
        </is>
      </c>
      <c r="C472" s="15" t="n">
        <v>45884</v>
      </c>
      <c r="D472" s="346" t="n">
        <v>5500</v>
      </c>
      <c r="E472" s="330" t="n"/>
      <c r="G472" s="81" t="n">
        <v>3</v>
      </c>
      <c r="H472" s="75" t="inlineStr">
        <is>
          <t>MAP</t>
        </is>
      </c>
      <c r="I472" s="75" t="inlineStr">
        <is>
          <t xml:space="preserve">MAP 11 52 Special Low Cd </t>
        </is>
      </c>
      <c r="J472" s="75" t="inlineStr">
        <is>
          <t>FOB</t>
        </is>
      </c>
      <c r="Q472" s="75" t="inlineStr">
        <is>
          <t>EUROPE</t>
        </is>
      </c>
      <c r="R472" s="75" t="inlineStr">
        <is>
          <t>LITHUANIA</t>
        </is>
      </c>
      <c r="T472" s="75" t="inlineStr">
        <is>
          <t>INSPECTORATE</t>
        </is>
      </c>
      <c r="U472" s="81" t="n">
        <v>138</v>
      </c>
      <c r="V472" s="53">
        <f>IF(U472&lt;130, "Mini Bulker", IF(AND(U472&gt;=130, U472&lt;150), "Handysize", IF(AND(U472&gt;=150, U472&lt;200), "Handymax", IF(AND(U472&gt;=200, U472&lt;230), "Panamax", IF(AND(U472&gt;=230, U472&lt;=270), "Capesize", "Autre")))))</f>
        <v/>
      </c>
      <c r="X472" s="14">
        <f>IF(E472&lt;9999,"1",IF(E472&lt;19999,"2",IF(E472&lt;29999,"3",IF(E472&lt;39999,"4",IF(E472&lt;49999,"5",IF(E472&gt;50000,"6"))))))</f>
        <v/>
      </c>
      <c r="Y472" s="99" t="inlineStr">
        <is>
          <t>1BIS</t>
        </is>
      </c>
      <c r="AA472" s="98" t="n"/>
      <c r="AB472" s="98" t="n"/>
      <c r="AC472" s="98" t="n"/>
      <c r="AD472" s="98" t="n"/>
      <c r="AE472" s="98" t="n"/>
      <c r="AF472" s="98" t="n"/>
      <c r="AG472" s="98" t="n"/>
      <c r="AH472" s="98" t="n"/>
      <c r="AI472" s="98" t="n"/>
      <c r="AJ472" s="98" t="n"/>
      <c r="AK472" s="98" t="n"/>
      <c r="AL472" s="98" t="n"/>
      <c r="AM472" s="98" t="n"/>
      <c r="AN472" s="98" t="n"/>
      <c r="AO472" s="98" t="n"/>
      <c r="AP472" s="98" t="n"/>
      <c r="AQ472" s="98" t="n"/>
      <c r="AR472" s="98" t="n"/>
      <c r="AS472" s="98" t="n"/>
      <c r="AT472" s="98" t="n"/>
      <c r="AU472" s="98" t="n"/>
      <c r="AV472" s="98" t="n"/>
      <c r="AW472" s="98" t="n"/>
      <c r="AX472" s="98" t="n"/>
      <c r="AY472" s="98" t="n"/>
      <c r="AZ472" s="98" t="n"/>
      <c r="BA472" s="98" t="n"/>
      <c r="BB472" s="98" t="n"/>
      <c r="BC472" s="98" t="n"/>
      <c r="BD472" s="98" t="n"/>
      <c r="BE472" s="98" t="n"/>
      <c r="BF472" s="98" t="n"/>
      <c r="BG472" s="98" t="n"/>
      <c r="BH472" s="98" t="n"/>
      <c r="BI472" s="98" t="n"/>
      <c r="BJ472" s="98" t="n"/>
      <c r="BK472" s="98" t="n"/>
      <c r="BL472" s="98" t="n"/>
      <c r="BM472" s="98" t="n"/>
      <c r="BN472" s="98" t="n"/>
      <c r="BO472" s="98" t="n"/>
      <c r="BP472" s="98" t="n"/>
      <c r="BQ472" s="98" t="n"/>
      <c r="BR472" s="98" t="n"/>
      <c r="BS472" s="97" t="n"/>
      <c r="BT472" s="97" t="n"/>
      <c r="BU472" s="97" t="n"/>
      <c r="BV472" s="97" t="n"/>
      <c r="BW472" s="332">
        <f>AI473-AH473</f>
        <v/>
      </c>
      <c r="CB472" s="14" t="n"/>
    </row>
    <row r="473" ht="14.55" customHeight="1" s="70">
      <c r="A473" s="81" t="n"/>
      <c r="B473" s="343" t="inlineStr">
        <is>
          <t>SACURA</t>
        </is>
      </c>
      <c r="C473" s="15" t="n">
        <v>45884</v>
      </c>
      <c r="D473" s="346" t="n">
        <v>2200</v>
      </c>
      <c r="E473" s="330" t="n"/>
      <c r="G473" s="81" t="n">
        <v>3</v>
      </c>
      <c r="H473" s="75" t="inlineStr">
        <is>
          <t>NPS</t>
        </is>
      </c>
      <c r="I473" s="75" t="inlineStr">
        <is>
          <t xml:space="preserve">NP 5-42-0  </t>
        </is>
      </c>
      <c r="J473" s="75" t="inlineStr">
        <is>
          <t>FOB</t>
        </is>
      </c>
      <c r="Q473" s="75" t="inlineStr">
        <is>
          <t>EUROPE</t>
        </is>
      </c>
      <c r="R473" s="75" t="inlineStr">
        <is>
          <t>LITHUANIA</t>
        </is>
      </c>
      <c r="T473" s="75" t="inlineStr">
        <is>
          <t>INSPECTORATE</t>
        </is>
      </c>
      <c r="U473" s="81" t="n">
        <v>138</v>
      </c>
      <c r="V473" s="53">
        <f>IF(U473&lt;130, "Mini Bulker", IF(AND(U473&gt;=130, U473&lt;150), "Handysize", IF(AND(U473&gt;=150, U473&lt;200), "Handymax", IF(AND(U473&gt;=200, U473&lt;230), "Panamax", IF(AND(U473&gt;=230, U473&lt;=270), "Capesize", "Autre")))))</f>
        <v/>
      </c>
      <c r="X473" s="14">
        <f>IF(E473&lt;9999,"1",IF(E473&lt;19999,"2",IF(E473&lt;29999,"3",IF(E473&lt;39999,"4",IF(E473&lt;49999,"5",IF(E473&gt;50000,"6"))))))</f>
        <v/>
      </c>
      <c r="Y473" s="99" t="inlineStr">
        <is>
          <t>1BIS</t>
        </is>
      </c>
      <c r="AA473" s="98" t="n"/>
      <c r="AB473" s="98" t="n"/>
      <c r="AC473" s="98" t="n"/>
      <c r="AD473" s="98" t="n"/>
      <c r="AE473" s="98" t="n"/>
      <c r="AF473" s="98" t="n"/>
      <c r="AG473" s="98" t="n"/>
      <c r="AH473" s="98" t="n"/>
      <c r="AI473" s="98" t="n"/>
      <c r="AJ473" s="98" t="n"/>
      <c r="AK473" s="98" t="n"/>
      <c r="AL473" s="98" t="n"/>
      <c r="AM473" s="98" t="n"/>
      <c r="AN473" s="98" t="n"/>
      <c r="AO473" s="98" t="n"/>
      <c r="AP473" s="98" t="n"/>
      <c r="AQ473" s="98" t="n"/>
      <c r="AR473" s="98" t="n"/>
      <c r="AS473" s="98" t="n"/>
      <c r="AT473" s="98" t="n"/>
      <c r="AU473" s="98" t="n"/>
      <c r="AV473" s="98" t="n"/>
      <c r="AW473" s="98" t="n"/>
      <c r="AX473" s="98" t="n"/>
      <c r="AY473" s="98" t="n"/>
      <c r="AZ473" s="98" t="n"/>
      <c r="BA473" s="98" t="n"/>
      <c r="BB473" s="98" t="n"/>
      <c r="BC473" s="98" t="n"/>
      <c r="BD473" s="98" t="n"/>
      <c r="BE473" s="98" t="n"/>
      <c r="BF473" s="98" t="n"/>
      <c r="BG473" s="98" t="n"/>
      <c r="BH473" s="98" t="n"/>
      <c r="BI473" s="98" t="n"/>
      <c r="BJ473" s="98" t="n"/>
      <c r="BK473" s="98" t="n"/>
      <c r="BL473" s="98" t="n"/>
      <c r="BM473" s="98" t="n"/>
      <c r="BN473" s="98" t="n"/>
      <c r="BO473" s="98" t="n"/>
      <c r="BP473" s="98" t="n"/>
      <c r="BQ473" s="98" t="n"/>
      <c r="BR473" s="98" t="n"/>
      <c r="BS473" s="97" t="n"/>
      <c r="BT473" s="97" t="n"/>
      <c r="BU473" s="97" t="n"/>
      <c r="BV473" s="97" t="n"/>
      <c r="BW473" s="332">
        <f>AI474-AH474</f>
        <v/>
      </c>
      <c r="CB473" s="14" t="n"/>
    </row>
    <row r="474" ht="14.55" customHeight="1" s="70">
      <c r="A474" s="81" t="n">
        <v>306</v>
      </c>
      <c r="B474" s="343" t="inlineStr">
        <is>
          <t>TRAMMO INDEPENDENT</t>
        </is>
      </c>
      <c r="C474" s="15" t="n">
        <v>45884</v>
      </c>
      <c r="D474" s="346" t="n">
        <v>6500</v>
      </c>
      <c r="E474" s="333">
        <f>D474+D475</f>
        <v/>
      </c>
      <c r="G474" s="81" t="n">
        <v>2</v>
      </c>
      <c r="H474" s="75" t="inlineStr">
        <is>
          <t>MAP</t>
        </is>
      </c>
      <c r="I474" s="75" t="inlineStr">
        <is>
          <t xml:space="preserve">MAP 11 52 SPECIAL </t>
        </is>
      </c>
      <c r="J474" s="75" t="inlineStr">
        <is>
          <t>CFR</t>
        </is>
      </c>
      <c r="Q474" s="75" t="inlineStr">
        <is>
          <t>AMERIQUE LATINE</t>
        </is>
      </c>
      <c r="R474" s="75" t="inlineStr">
        <is>
          <t xml:space="preserve">BRASIL </t>
        </is>
      </c>
      <c r="T474" s="75" t="inlineStr">
        <is>
          <t>INTERTEK</t>
        </is>
      </c>
      <c r="U474" s="81" t="n">
        <v>180</v>
      </c>
      <c r="V474" s="53">
        <f>IF(U474&lt;130, "Mini Bulker", IF(AND(U474&gt;=130, U474&lt;150), "Handysize", IF(AND(U474&gt;=150, U474&lt;200), "Handymax", IF(AND(U474&gt;=200, U474&lt;230), "Panamax", IF(AND(U474&gt;=230, U474&lt;=270), "Capesize", "Autre")))))</f>
        <v/>
      </c>
      <c r="X474" s="14">
        <f>IF(E474&lt;9999,"1",IF(E474&lt;19999,"2",IF(E474&lt;29999,"3",IF(E474&lt;39999,"4",IF(E474&lt;49999,"5",IF(E474&gt;50000,"6"))))))</f>
        <v/>
      </c>
      <c r="Y474" s="99" t="inlineStr">
        <is>
          <t>2BIS/1N/2BIS</t>
        </is>
      </c>
      <c r="AA474" s="26" t="n">
        <v>45873.89305555556</v>
      </c>
      <c r="AB474" s="26" t="n">
        <v>45874.375</v>
      </c>
      <c r="AC474" s="15" t="n">
        <v>45871</v>
      </c>
      <c r="AD474" s="15" t="n">
        <v>45873</v>
      </c>
      <c r="AE474" s="26" t="n">
        <v>45873.75</v>
      </c>
      <c r="AF474" s="26" t="n">
        <v>45873.95555555556</v>
      </c>
      <c r="AG474" s="26" t="n">
        <v>45874.00833333333</v>
      </c>
      <c r="AH474" s="26" t="n">
        <v>45874.02430555555</v>
      </c>
      <c r="AI474" s="26" t="n">
        <v>45874.09027777778</v>
      </c>
      <c r="AJ474" s="26" t="n">
        <v>45874.125</v>
      </c>
      <c r="AK474" s="26" t="n">
        <v>45884.70833333334</v>
      </c>
      <c r="AL474" s="26" t="n">
        <v>45884.76180555556</v>
      </c>
      <c r="AM474" s="26" t="n">
        <v>45884.79513888889</v>
      </c>
      <c r="AN474" s="26" t="n">
        <v>45884.83680555555</v>
      </c>
      <c r="AO474" s="26" t="n">
        <v>45884.86111111111</v>
      </c>
      <c r="AP474" s="20">
        <f>(AG474-AF474)*1440</f>
        <v/>
      </c>
      <c r="AQ474" s="20">
        <f>(AG474-AE474)*1440</f>
        <v/>
      </c>
      <c r="AR474" s="20">
        <f>(AH474-AF474)*1440</f>
        <v/>
      </c>
      <c r="AS474" s="20">
        <f>(AI474-AH474)*1440</f>
        <v/>
      </c>
      <c r="AT474" s="20">
        <f>(AJ474-AH474)*1440</f>
        <v/>
      </c>
      <c r="AU474" s="20">
        <f>(AL474-AK474)*1440</f>
        <v/>
      </c>
      <c r="AV474" s="20">
        <f>(AM474-AL474)*1440</f>
        <v/>
      </c>
      <c r="AW474" s="20">
        <f>(AO474-AM474)*1440</f>
        <v/>
      </c>
      <c r="AX474" s="19">
        <f>AP474+AS474+AU474+AV474+AW474</f>
        <v/>
      </c>
      <c r="AY474" s="18">
        <f>(AG474-AA474)</f>
        <v/>
      </c>
      <c r="AZ474" s="18">
        <f>(AK474-AJ474)</f>
        <v/>
      </c>
      <c r="BA474" s="18">
        <f>AO474-AG474</f>
        <v/>
      </c>
      <c r="BB474" s="18">
        <f>(AO474-AA474)-(AP474/1440)-(AW474/1440)</f>
        <v/>
      </c>
      <c r="BC474" s="20">
        <f>E474/AZ474</f>
        <v/>
      </c>
      <c r="BE474" s="20">
        <f>IF(E474&lt;10000,3000,IF(E474&lt;15000,3600,IF(E474&lt;20000,4500,IF(E474&lt;25000,6000,IF(E474&lt;30000,7500,IF(E474&lt;40000,9000,IF(E474&gt;40000,10000)))))))</f>
        <v/>
      </c>
      <c r="BF474" s="334">
        <f>(E474/BE474)+2</f>
        <v/>
      </c>
      <c r="BS474" s="97" t="inlineStr">
        <is>
          <t>CHANGE DU POSTE 2BIS VERS LA 
RADE LE 06/08- 2010 // RE-ACC AU POSTE 1N LE 11/08 - 1110 // CHANGE DU POSTE 1N VERS POSTE 2BIS LE 14/08- 1417</t>
        </is>
      </c>
      <c r="BT474" s="97" t="n">
        <v>3</v>
      </c>
      <c r="BU474" s="97" t="n"/>
      <c r="BV474" s="97" t="n"/>
      <c r="BW474" s="332">
        <f>AI475-AH475</f>
        <v/>
      </c>
      <c r="CB474" s="14" t="n">
        <v>25611</v>
      </c>
    </row>
    <row r="475" ht="14.55" customHeight="1" s="70">
      <c r="A475" s="81" t="n"/>
      <c r="B475" s="343" t="inlineStr">
        <is>
          <t>TRAMMO INDEPENDENT</t>
        </is>
      </c>
      <c r="C475" s="15" t="n">
        <v>45884</v>
      </c>
      <c r="D475" s="346" t="n">
        <v>30500</v>
      </c>
      <c r="E475" s="330" t="n"/>
      <c r="G475" s="81" t="n">
        <v>2</v>
      </c>
      <c r="H475" s="75" t="inlineStr">
        <is>
          <t>TSP</t>
        </is>
      </c>
      <c r="I475" s="75" t="inlineStr">
        <is>
          <t xml:space="preserve">TSP SPECIAL JORF </t>
        </is>
      </c>
      <c r="J475" s="75" t="inlineStr">
        <is>
          <t>CFR</t>
        </is>
      </c>
      <c r="Q475" s="75" t="inlineStr">
        <is>
          <t>AMERIQUE LATINE</t>
        </is>
      </c>
      <c r="R475" s="75" t="inlineStr">
        <is>
          <t xml:space="preserve">BRASIL </t>
        </is>
      </c>
      <c r="T475" s="75" t="inlineStr">
        <is>
          <t>INTERTEK</t>
        </is>
      </c>
      <c r="U475" s="81" t="n">
        <v>180</v>
      </c>
      <c r="V475" s="53">
        <f>IF(U475&lt;130, "Mini Bulker", IF(AND(U475&gt;=130, U475&lt;150), "Handysize", IF(AND(U475&gt;=150, U475&lt;200), "Handymax", IF(AND(U475&gt;=200, U475&lt;230), "Panamax", IF(AND(U475&gt;=230, U475&lt;=270), "Capesize", "Autre")))))</f>
        <v/>
      </c>
      <c r="X475" s="14">
        <f>IF(E475&lt;9999,"1",IF(E475&lt;19999,"2",IF(E475&lt;29999,"3",IF(E475&lt;39999,"4",IF(E475&lt;49999,"5",IF(E475&gt;50000,"6"))))))</f>
        <v/>
      </c>
      <c r="Y475" s="99" t="inlineStr">
        <is>
          <t>2BIS/1N/2BIS</t>
        </is>
      </c>
      <c r="AA475" s="98" t="n"/>
      <c r="AB475" s="98" t="n"/>
      <c r="AC475" s="98" t="n"/>
      <c r="AD475" s="98" t="n"/>
      <c r="AE475" s="98" t="n"/>
      <c r="AF475" s="98" t="n"/>
      <c r="AG475" s="98" t="n"/>
      <c r="AH475" s="98" t="n"/>
      <c r="AI475" s="98" t="n"/>
      <c r="AJ475" s="98" t="n"/>
      <c r="AK475" s="98" t="n"/>
      <c r="AL475" s="98" t="n"/>
      <c r="AM475" s="98" t="n"/>
      <c r="AN475" s="98" t="n"/>
      <c r="AO475" s="98" t="n"/>
      <c r="AP475" s="98" t="n"/>
      <c r="AQ475" s="98" t="n"/>
      <c r="AR475" s="98" t="n"/>
      <c r="AS475" s="98" t="n"/>
      <c r="AT475" s="98" t="n"/>
      <c r="AU475" s="98" t="n"/>
      <c r="AV475" s="98" t="n"/>
      <c r="AW475" s="98" t="n"/>
      <c r="AX475" s="98" t="n"/>
      <c r="AY475" s="98" t="n"/>
      <c r="AZ475" s="98" t="n"/>
      <c r="BA475" s="98" t="n"/>
      <c r="BB475" s="98" t="n"/>
      <c r="BC475" s="98" t="n"/>
      <c r="BD475" s="98" t="n"/>
      <c r="BE475" s="98" t="n"/>
      <c r="BF475" s="98" t="n"/>
      <c r="BG475" s="98" t="n"/>
      <c r="BH475" s="98" t="n"/>
      <c r="BI475" s="98" t="n"/>
      <c r="BJ475" s="98" t="n"/>
      <c r="BK475" s="98" t="n"/>
      <c r="BL475" s="98" t="n"/>
      <c r="BM475" s="98" t="n"/>
      <c r="BN475" s="98" t="n"/>
      <c r="BO475" s="98" t="n"/>
      <c r="BP475" s="98" t="n"/>
      <c r="BQ475" s="98" t="n"/>
      <c r="BR475" s="98" t="n"/>
      <c r="BS475" s="97" t="n"/>
      <c r="BT475" s="97" t="n"/>
      <c r="BU475" s="97" t="n"/>
      <c r="BV475" s="97" t="n"/>
      <c r="BW475" s="332">
        <f>AI476-AH476</f>
        <v/>
      </c>
      <c r="CB475" s="14" t="n"/>
    </row>
    <row r="476">
      <c r="A476" s="81" t="n">
        <v>307</v>
      </c>
      <c r="B476" s="343" t="inlineStr">
        <is>
          <t>SMALAND</t>
        </is>
      </c>
      <c r="C476" s="15" t="n">
        <v>45884</v>
      </c>
      <c r="D476" s="346" t="n">
        <v>6600</v>
      </c>
      <c r="E476" s="346" t="n">
        <v>6600</v>
      </c>
      <c r="G476" s="81" t="n">
        <v>1</v>
      </c>
      <c r="H476" s="75" t="inlineStr">
        <is>
          <t>DAP</t>
        </is>
      </c>
      <c r="I476" s="75" t="inlineStr">
        <is>
          <t xml:space="preserve">DAP Euro Low Cd </t>
        </is>
      </c>
      <c r="J476" s="75" t="inlineStr">
        <is>
          <t>CFR</t>
        </is>
      </c>
      <c r="Q476" s="75" t="inlineStr">
        <is>
          <t>EUROPE</t>
        </is>
      </c>
      <c r="R476" s="75" t="inlineStr">
        <is>
          <t>Espagne</t>
        </is>
      </c>
      <c r="T476" s="75" t="inlineStr">
        <is>
          <t>INSPECTORATE</t>
        </is>
      </c>
      <c r="U476" s="81" t="n">
        <v>119</v>
      </c>
      <c r="V476" s="53">
        <f>IF(U476&lt;130, "Mini Bulker", IF(AND(U476&gt;=130, U476&lt;150), "Handysize", IF(AND(U476&gt;=150, U476&lt;200), "Handymax", IF(AND(U476&gt;=200, U476&lt;230), "Panamax", IF(AND(U476&gt;=230, U476&lt;=270), "Capesize", "Autre")))))</f>
        <v/>
      </c>
      <c r="X476" s="14">
        <f>IF(E476&lt;9999,"1",IF(E476&lt;19999,"2",IF(E476&lt;29999,"3",IF(E476&lt;39999,"4",IF(E476&lt;49999,"5",IF(E476&gt;50000,"6"))))))</f>
        <v/>
      </c>
      <c r="Y476" s="99" t="inlineStr">
        <is>
          <t>2TER</t>
        </is>
      </c>
      <c r="AA476" s="26" t="n">
        <v>45883.375</v>
      </c>
      <c r="AB476" s="26" t="n">
        <v>45883.375</v>
      </c>
      <c r="AC476" s="15" t="n">
        <v>45881</v>
      </c>
      <c r="AD476" s="15" t="n">
        <v>45883</v>
      </c>
      <c r="AE476" s="26" t="n">
        <v>45883.47916666666</v>
      </c>
      <c r="AF476" s="26" t="n">
        <v>45883.61319444444</v>
      </c>
      <c r="AG476" s="26" t="n">
        <v>45883.71666666667</v>
      </c>
      <c r="AH476" s="26" t="n">
        <v>45883.72222222222</v>
      </c>
      <c r="AI476" s="26" t="n">
        <v>45883.77430555555</v>
      </c>
      <c r="AJ476" s="26" t="n">
        <v>45884.03819444445</v>
      </c>
      <c r="AK476" s="26" t="n">
        <v>45884.87847222222</v>
      </c>
      <c r="AL476" s="26" t="n">
        <v>45884.89930555555</v>
      </c>
      <c r="AM476" s="26" t="n">
        <v>45884.92083333333</v>
      </c>
      <c r="AN476" s="26" t="n">
        <v>45884.96319444444</v>
      </c>
      <c r="AO476" s="26" t="n">
        <v>45884.97222222222</v>
      </c>
      <c r="AP476" s="20">
        <f>(AG476-AF476)*1440</f>
        <v/>
      </c>
      <c r="AQ476" s="20">
        <f>(AG476-AE476)*1440</f>
        <v/>
      </c>
      <c r="AR476" s="20">
        <f>(AH476-AF476)*1440</f>
        <v/>
      </c>
      <c r="AS476" s="20">
        <f>(AI476-AH476)*1440</f>
        <v/>
      </c>
      <c r="AT476" s="20">
        <f>(AJ476-AH476)*1440</f>
        <v/>
      </c>
      <c r="AU476" s="20">
        <f>(AL476-AK476)*1440</f>
        <v/>
      </c>
      <c r="AV476" s="20">
        <f>(AM476-AL476)*1440</f>
        <v/>
      </c>
      <c r="AW476" s="20">
        <f>(AO476-AM476)*1440</f>
        <v/>
      </c>
      <c r="AX476" s="19">
        <f>AP476+AS476+AU476+AV476+AW476</f>
        <v/>
      </c>
      <c r="AY476" s="18">
        <f>(AG476-AA476)</f>
        <v/>
      </c>
      <c r="AZ476" s="18">
        <f>(AK476-AJ476)</f>
        <v/>
      </c>
      <c r="BA476" s="18">
        <f>AO476-AG476</f>
        <v/>
      </c>
      <c r="BB476" s="18">
        <f>(AO476-AA476)-(AP476/1440)-(AW476/1440)</f>
        <v/>
      </c>
      <c r="BC476" s="20">
        <f>E476/AZ476</f>
        <v/>
      </c>
      <c r="BE476" s="20">
        <f>IF(E476&lt;10000,3000,IF(E476&lt;15000,3600,IF(E476&lt;20000,4500,IF(E476&lt;25000,6000,IF(E476&lt;30000,7500,IF(E476&lt;40000,9000,IF(E476&gt;40000,10000)))))))</f>
        <v/>
      </c>
      <c r="BF476" s="334">
        <f>(E476/BE476)+2</f>
        <v/>
      </c>
      <c r="BS476" s="97" t="inlineStr">
        <is>
          <t>NUL</t>
        </is>
      </c>
      <c r="BT476" s="97" t="n">
        <v>0</v>
      </c>
      <c r="BU476" s="97" t="n"/>
      <c r="BV476" s="97" t="n"/>
      <c r="BW476" s="332">
        <f>AI477-AH477</f>
        <v/>
      </c>
      <c r="CB476" s="14" t="n">
        <v>5057</v>
      </c>
    </row>
    <row r="477">
      <c r="A477" s="81" t="n">
        <v>308</v>
      </c>
      <c r="B477" s="343" t="inlineStr">
        <is>
          <t>FATIH</t>
        </is>
      </c>
      <c r="C477" s="15" t="n">
        <v>45885</v>
      </c>
      <c r="D477" s="346" t="n">
        <v>8304</v>
      </c>
      <c r="E477" s="346" t="n">
        <v>8304</v>
      </c>
      <c r="G477" s="81" t="n">
        <v>1</v>
      </c>
      <c r="H477" s="75" t="inlineStr">
        <is>
          <t>DAP</t>
        </is>
      </c>
      <c r="I477" s="75" t="inlineStr">
        <is>
          <t xml:space="preserve">DAP Euro Low Cd </t>
        </is>
      </c>
      <c r="J477" s="75" t="inlineStr">
        <is>
          <t>FOB</t>
        </is>
      </c>
      <c r="Q477" s="75" t="inlineStr">
        <is>
          <t>EUROPE</t>
        </is>
      </c>
      <c r="R477" s="75" t="inlineStr">
        <is>
          <t>TURQUIE</t>
        </is>
      </c>
      <c r="T477" s="75" t="inlineStr">
        <is>
          <t>INSPECTORATE</t>
        </is>
      </c>
      <c r="U477" s="81" t="n">
        <v>108</v>
      </c>
      <c r="V477" s="53">
        <f>IF(U477&lt;130, "Mini Bulker", IF(AND(U477&gt;=130, U477&lt;150), "Handysize", IF(AND(U477&gt;=150, U477&lt;200), "Handymax", IF(AND(U477&gt;=200, U477&lt;230), "Panamax", IF(AND(U477&gt;=230, U477&lt;=270), "Capesize", "Autre")))))</f>
        <v/>
      </c>
      <c r="X477" s="14">
        <f>IF(E477&lt;9999,"1",IF(E477&lt;19999,"2",IF(E477&lt;29999,"3",IF(E477&lt;39999,"4",IF(E477&lt;49999,"5",IF(E477&gt;50000,"6"))))))</f>
        <v/>
      </c>
      <c r="Y477" s="99" t="inlineStr">
        <is>
          <t>6/1BIS</t>
        </is>
      </c>
      <c r="AA477" s="26" t="n">
        <v>45883.95833333334</v>
      </c>
      <c r="AB477" s="26" t="n">
        <v>45884.375</v>
      </c>
      <c r="AC477" s="15" t="n">
        <v>45884</v>
      </c>
      <c r="AD477" s="15" t="n">
        <v>45886</v>
      </c>
      <c r="AE477" s="26" t="n">
        <v>45883.91666666666</v>
      </c>
      <c r="AF477" s="26" t="n">
        <v>45884.47916666666</v>
      </c>
      <c r="AG477" s="26" t="n">
        <v>45884.57638888889</v>
      </c>
      <c r="AH477" s="26" t="n">
        <v>45884.61458333334</v>
      </c>
      <c r="AI477" s="26" t="n">
        <v>45884.82986111111</v>
      </c>
      <c r="AJ477" s="26" t="n">
        <v>45884.84027777778</v>
      </c>
      <c r="AK477" s="26" t="n">
        <v>45885.75694444445</v>
      </c>
      <c r="AL477" s="26" t="n">
        <v>45885.80555555555</v>
      </c>
      <c r="AM477" s="26" t="n">
        <v>45885.82638888889</v>
      </c>
      <c r="AN477" s="26" t="n">
        <v>45885.875</v>
      </c>
      <c r="AO477" s="26" t="n">
        <v>45885.88194444445</v>
      </c>
      <c r="AP477" s="20">
        <f>(AG477-AF477)*1440</f>
        <v/>
      </c>
      <c r="AQ477" s="20">
        <f>(AG477-AE477)*1440</f>
        <v/>
      </c>
      <c r="AR477" s="20">
        <f>(AH477-AF477)*1440</f>
        <v/>
      </c>
      <c r="AS477" s="20">
        <f>(AI477-AH477)*1440</f>
        <v/>
      </c>
      <c r="AT477" s="20">
        <f>(AJ477-AH477)*1440</f>
        <v/>
      </c>
      <c r="AU477" s="20">
        <f>(AL477-AK477)*1440</f>
        <v/>
      </c>
      <c r="AV477" s="20">
        <f>(AM477-AL477)*1440</f>
        <v/>
      </c>
      <c r="AW477" s="20">
        <f>(AO477-AM477)*1440</f>
        <v/>
      </c>
      <c r="AX477" s="19">
        <f>AP477+AS477+AU477+AV477+AW477</f>
        <v/>
      </c>
      <c r="AY477" s="18">
        <f>(AG477-AA477)</f>
        <v/>
      </c>
      <c r="AZ477" s="18">
        <f>(AK477-AJ477)</f>
        <v/>
      </c>
      <c r="BA477" s="18">
        <f>AO477-AG477</f>
        <v/>
      </c>
      <c r="BB477" s="18">
        <f>(AO477-AA477)-(AP477/1440)-(AW477/1440)</f>
        <v/>
      </c>
      <c r="BC477" s="20">
        <f>E477/AZ477</f>
        <v/>
      </c>
      <c r="BE477" s="20">
        <f>IF(E477&lt;10000,3000,IF(E477&lt;15000,3600,IF(E477&lt;20000,4500,IF(E477&lt;25000,6000,IF(E477&lt;30000,7500,IF(E477&lt;40000,9000,IF(E477&gt;40000,10000)))))))</f>
        <v/>
      </c>
      <c r="BF477" s="334">
        <f>(E477/BE477)+2</f>
        <v/>
      </c>
      <c r="BS477" s="97" t="inlineStr">
        <is>
          <t>CHANGE DU POSTE 6 VERS POSTE 1BIS LE 15/08- 1940</t>
        </is>
      </c>
      <c r="BT477" s="97" t="n">
        <v>1</v>
      </c>
      <c r="BU477" s="97" t="n"/>
      <c r="BV477" s="97" t="n"/>
      <c r="BW477" s="332">
        <f>AI478-AH478</f>
        <v/>
      </c>
      <c r="CB477" s="14" t="n">
        <v>5599</v>
      </c>
    </row>
    <row r="478">
      <c r="A478" s="81" t="n">
        <v>309</v>
      </c>
      <c r="B478" s="343" t="inlineStr">
        <is>
          <t>LADY SPERANZA</t>
        </is>
      </c>
      <c r="C478" s="15" t="n">
        <v>45886</v>
      </c>
      <c r="D478" s="346" t="n">
        <v>9420</v>
      </c>
      <c r="E478" s="346" t="n">
        <v>9420</v>
      </c>
      <c r="G478" s="81" t="n">
        <v>1</v>
      </c>
      <c r="H478" s="75" t="inlineStr">
        <is>
          <t>NPK</t>
        </is>
      </c>
      <c r="I478" s="75" t="inlineStr">
        <is>
          <t>NPK 10 26 26 LOW CD</t>
        </is>
      </c>
      <c r="J478" s="75" t="inlineStr">
        <is>
          <t>FOB</t>
        </is>
      </c>
      <c r="Q478" s="75" t="inlineStr">
        <is>
          <t>EUROPE</t>
        </is>
      </c>
      <c r="R478" s="75" t="inlineStr">
        <is>
          <t>UKRAINE</t>
        </is>
      </c>
      <c r="T478" s="75" t="inlineStr">
        <is>
          <t>INSPECTORATE</t>
        </is>
      </c>
      <c r="U478" s="81" t="n">
        <v>140</v>
      </c>
      <c r="V478" s="53">
        <f>IF(U478&lt;130, "Mini Bulker", IF(AND(U478&gt;=130, U478&lt;150), "Handysize", IF(AND(U478&gt;=150, U478&lt;200), "Handymax", IF(AND(U478&gt;=200, U478&lt;230), "Panamax", IF(AND(U478&gt;=230, U478&lt;=270), "Capesize", "Autre")))))</f>
        <v/>
      </c>
      <c r="X478" s="14">
        <f>IF(E478&lt;9999,"1",IF(E478&lt;19999,"2",IF(E478&lt;29999,"3",IF(E478&lt;39999,"4",IF(E478&lt;49999,"5",IF(E478&gt;50000,"6"))))))</f>
        <v/>
      </c>
      <c r="Y478" s="99" t="inlineStr">
        <is>
          <t>2TER</t>
        </is>
      </c>
      <c r="AA478" s="26" t="n">
        <v>45881.35069444445</v>
      </c>
      <c r="AB478" s="26" t="n">
        <v>45881.375</v>
      </c>
      <c r="AC478" s="15" t="n">
        <v>45884</v>
      </c>
      <c r="AD478" s="15" t="n">
        <v>45887</v>
      </c>
      <c r="AE478" s="26" t="n">
        <v>45881.35069444445</v>
      </c>
      <c r="AF478" s="26" t="n">
        <v>45884.97222222222</v>
      </c>
      <c r="AG478" s="26" t="n">
        <v>45885.02777777778</v>
      </c>
      <c r="AH478" s="26" t="n">
        <v>45885.04166666666</v>
      </c>
      <c r="AI478" s="26" t="n">
        <v>45885.07986111111</v>
      </c>
      <c r="AJ478" s="26" t="n">
        <v>45885.4375</v>
      </c>
      <c r="AK478" s="26" t="n">
        <v>45886.83333333334</v>
      </c>
      <c r="AL478" s="26" t="n">
        <v>45886.875</v>
      </c>
      <c r="AM478" s="26" t="n">
        <v>45886.90625</v>
      </c>
      <c r="AN478" s="26" t="n">
        <v>45886.98194444444</v>
      </c>
      <c r="AO478" s="26" t="n">
        <v>45886.96875</v>
      </c>
      <c r="AP478" s="20">
        <f>(AG478-AF478)*1440</f>
        <v/>
      </c>
      <c r="AQ478" s="20">
        <f>(AG478-AE478)*1440</f>
        <v/>
      </c>
      <c r="AR478" s="20">
        <f>(AH478-AF478)*1440</f>
        <v/>
      </c>
      <c r="AS478" s="20">
        <f>(AI478-AH478)*1440</f>
        <v/>
      </c>
      <c r="AT478" s="20">
        <f>(AJ478-AH478)*1440</f>
        <v/>
      </c>
      <c r="AU478" s="20">
        <f>(AL478-AK478)*1440</f>
        <v/>
      </c>
      <c r="AV478" s="20">
        <f>(AM478-AL478)*1440</f>
        <v/>
      </c>
      <c r="AW478" s="20">
        <f>(AO478-AM478)*1440</f>
        <v/>
      </c>
      <c r="AX478" s="19">
        <f>AP478+AS478+AU478+AV478+AW478</f>
        <v/>
      </c>
      <c r="AY478" s="18">
        <f>(AG478-AA478)</f>
        <v/>
      </c>
      <c r="AZ478" s="18">
        <f>(AK478-AJ478)</f>
        <v/>
      </c>
      <c r="BA478" s="18">
        <f>AO478-AG478</f>
        <v/>
      </c>
      <c r="BB478" s="18">
        <f>(AO478-AA478)-(AP478/1440)-(AW478/1440)</f>
        <v/>
      </c>
      <c r="BC478" s="20">
        <f>E478/AZ478</f>
        <v/>
      </c>
      <c r="BE478" s="20">
        <f>IF(E478&lt;10000,3000,IF(E478&lt;15000,3600,IF(E478&lt;20000,4500,IF(E478&lt;25000,6000,IF(E478&lt;30000,7500,IF(E478&lt;40000,9000,IF(E478&gt;40000,10000)))))))</f>
        <v/>
      </c>
      <c r="BF478" s="334">
        <f>(E478/BE478)+2</f>
        <v/>
      </c>
      <c r="BS478" s="97" t="inlineStr">
        <is>
          <t>NUL</t>
        </is>
      </c>
      <c r="BT478" s="97" t="n">
        <v>0</v>
      </c>
      <c r="BU478" s="97" t="inlineStr">
        <is>
          <t>NON CLEAN</t>
        </is>
      </c>
      <c r="BV478" s="97" t="inlineStr">
        <is>
          <t>WATER/HUMIDITY</t>
        </is>
      </c>
      <c r="BW478" s="332">
        <f>AI479-AH479</f>
        <v/>
      </c>
      <c r="CB478" s="14" t="n">
        <v>9994</v>
      </c>
    </row>
    <row r="479" ht="14.1" customHeight="1" s="70">
      <c r="A479" s="81" t="n">
        <v>310</v>
      </c>
      <c r="B479" s="343" t="inlineStr">
        <is>
          <t>MUROS</t>
        </is>
      </c>
      <c r="C479" s="15" t="n">
        <v>45887</v>
      </c>
      <c r="D479" s="346" t="n">
        <v>4400</v>
      </c>
      <c r="E479" s="346" t="n">
        <v>4400</v>
      </c>
      <c r="G479" s="81" t="n">
        <v>1</v>
      </c>
      <c r="H479" s="75" t="inlineStr">
        <is>
          <t>DAP</t>
        </is>
      </c>
      <c r="I479" s="75" t="inlineStr">
        <is>
          <t xml:space="preserve">DAP Euro Low Cd </t>
        </is>
      </c>
      <c r="J479" s="75" t="inlineStr">
        <is>
          <t>FOB</t>
        </is>
      </c>
      <c r="Q479" s="75" t="inlineStr">
        <is>
          <t>EUROPE</t>
        </is>
      </c>
      <c r="R479" s="75" t="inlineStr">
        <is>
          <t>ESPAGNE</t>
        </is>
      </c>
      <c r="T479" s="75" t="inlineStr">
        <is>
          <t>INTERTEK</t>
        </is>
      </c>
      <c r="U479" s="81" t="n">
        <v>89</v>
      </c>
      <c r="V479" s="53">
        <f>IF(U479&lt;130, "Mini Bulker", IF(AND(U479&gt;=130, U479&lt;150), "Handysize", IF(AND(U479&gt;=150, U479&lt;200), "Handymax", IF(AND(U479&gt;=200, U479&lt;230), "Panamax", IF(AND(U479&gt;=230, U479&lt;=270), "Capesize", "Autre")))))</f>
        <v/>
      </c>
      <c r="X479" s="14">
        <f>IF(E479&lt;9999,"1",IF(E479&lt;19999,"2",IF(E479&lt;29999,"3",IF(E479&lt;39999,"4",IF(E479&lt;49999,"5",IF(E479&gt;50000,"6"))))))</f>
        <v/>
      </c>
      <c r="Y479" s="99" t="inlineStr">
        <is>
          <t>2TER</t>
        </is>
      </c>
      <c r="AA479" s="26" t="n">
        <v>45885.78333333333</v>
      </c>
      <c r="AB479" s="26" t="n">
        <v>45887.375</v>
      </c>
      <c r="AC479" s="15" t="n">
        <v>45885</v>
      </c>
      <c r="AD479" s="15" t="n">
        <v>45887</v>
      </c>
      <c r="AE479" s="26" t="n">
        <v>45885.78333333333</v>
      </c>
      <c r="AF479" s="26" t="n">
        <v>45886.96875</v>
      </c>
      <c r="AG479" s="26" t="n">
        <v>45887.04861111111</v>
      </c>
      <c r="AH479" s="26" t="n">
        <v>45887.0625</v>
      </c>
      <c r="AI479" s="26" t="n">
        <v>45887.11805555555</v>
      </c>
      <c r="AJ479" s="26" t="n">
        <v>45887.19097222222</v>
      </c>
      <c r="AK479" s="26" t="n">
        <v>45887.79166666666</v>
      </c>
      <c r="AL479" s="26" t="n">
        <v>45887.84722222222</v>
      </c>
      <c r="AM479" s="26" t="n">
        <v>45887.86805555555</v>
      </c>
      <c r="AN479" s="26" t="n">
        <v>45887.90625</v>
      </c>
      <c r="AO479" s="26" t="n">
        <v>45887.92361111111</v>
      </c>
      <c r="AP479" s="20">
        <f>(AG479-AF479)*1440</f>
        <v/>
      </c>
      <c r="AQ479" s="20">
        <f>(AG479-AE479)*1440</f>
        <v/>
      </c>
      <c r="AR479" s="20">
        <f>(AH479-AF479)*1440</f>
        <v/>
      </c>
      <c r="AS479" s="20">
        <f>(AI479-AH479)*1440</f>
        <v/>
      </c>
      <c r="AT479" s="20">
        <f>(AJ479-AH479)*1440</f>
        <v/>
      </c>
      <c r="AU479" s="20">
        <f>(AL479-AK479)*1440</f>
        <v/>
      </c>
      <c r="AV479" s="20">
        <f>(AM479-AL479)*1440</f>
        <v/>
      </c>
      <c r="AW479" s="20">
        <f>(AO479-AM479)*1440</f>
        <v/>
      </c>
      <c r="AX479" s="19">
        <f>AP479+AS479+AU479+AV479+AW479</f>
        <v/>
      </c>
      <c r="AY479" s="18">
        <f>(AG479-AA479)</f>
        <v/>
      </c>
      <c r="AZ479" s="18">
        <f>(AK479-AJ479)</f>
        <v/>
      </c>
      <c r="BA479" s="18">
        <f>AO479-AG479</f>
        <v/>
      </c>
      <c r="BB479" s="18">
        <f>(AO479-AA479)-(AP479/1440)-(AW479/1440)</f>
        <v/>
      </c>
      <c r="BC479" s="20">
        <f>E479/AZ479</f>
        <v/>
      </c>
      <c r="BE479" s="20">
        <f>IF(E479&lt;10000,3000,IF(E479&lt;15000,3600,IF(E479&lt;20000,4500,IF(E479&lt;25000,6000,IF(E479&lt;30000,7500,IF(E479&lt;40000,9000,IF(E479&gt;40000,10000)))))))</f>
        <v/>
      </c>
      <c r="BF479" s="334">
        <f>(E479/BE479)+2</f>
        <v/>
      </c>
      <c r="BS479" s="97" t="inlineStr">
        <is>
          <t>NUL</t>
        </is>
      </c>
      <c r="BT479" s="97" t="n">
        <v>0</v>
      </c>
      <c r="BU479" s="97" t="n"/>
      <c r="BV479" s="97" t="n"/>
      <c r="BW479" s="332">
        <f>AI480-AH480</f>
        <v/>
      </c>
      <c r="CB479" s="14" t="n">
        <v>2998</v>
      </c>
    </row>
    <row r="480" ht="14.1" customHeight="1" s="70">
      <c r="A480" s="81" t="n">
        <v>311</v>
      </c>
      <c r="B480" s="343" t="inlineStr">
        <is>
          <t>CORETALENT OL</t>
        </is>
      </c>
      <c r="C480" s="15" t="n">
        <v>45887</v>
      </c>
      <c r="D480" s="346" t="n">
        <v>22000</v>
      </c>
      <c r="E480" s="333">
        <f>D480+D481</f>
        <v/>
      </c>
      <c r="G480" s="81" t="n">
        <v>2</v>
      </c>
      <c r="H480" s="75" t="inlineStr">
        <is>
          <t>NPS</t>
        </is>
      </c>
      <c r="I480" s="75" t="inlineStr">
        <is>
          <t xml:space="preserve">NPS 2 28 7S </t>
        </is>
      </c>
      <c r="J480" s="75" t="inlineStr">
        <is>
          <t>CFR</t>
        </is>
      </c>
      <c r="Q480" s="75" t="inlineStr">
        <is>
          <t>AMERIQUE LATINE</t>
        </is>
      </c>
      <c r="R480" s="75" t="inlineStr">
        <is>
          <t>BRESIL</t>
        </is>
      </c>
      <c r="T480" s="75" t="inlineStr">
        <is>
          <t>INTERTEK</t>
        </is>
      </c>
      <c r="U480" s="81" t="n">
        <v>175</v>
      </c>
      <c r="V480" s="53">
        <f>IF(U480&lt;130, "Mini Bulker", IF(AND(U480&gt;=130, U480&lt;150), "Handysize", IF(AND(U480&gt;=150, U480&lt;200), "Handymax", IF(AND(U480&gt;=200, U480&lt;230), "Panamax", IF(AND(U480&gt;=230, U480&lt;=270), "Capesize", "Autre")))))</f>
        <v/>
      </c>
      <c r="X480" s="14">
        <f>IF(E480&lt;9999,"1",IF(E480&lt;19999,"2",IF(E480&lt;29999,"3",IF(E480&lt;39999,"4",IF(E480&lt;49999,"5",IF(E480&gt;50000,"6"))))))</f>
        <v/>
      </c>
      <c r="Y480" s="99" t="inlineStr">
        <is>
          <t>1TER</t>
        </is>
      </c>
      <c r="AA480" s="26" t="n">
        <v>45880.42708333334</v>
      </c>
      <c r="AB480" s="26" t="n">
        <v>45880.42708333334</v>
      </c>
      <c r="AC480" s="15" t="n">
        <v>45870</v>
      </c>
      <c r="AD480" s="15" t="n">
        <v>45874</v>
      </c>
      <c r="AE480" s="26" t="n">
        <v>45880.42708333334</v>
      </c>
      <c r="AF480" s="26" t="n">
        <v>45881.52430555555</v>
      </c>
      <c r="AG480" s="26" t="n">
        <v>45881.52430555555</v>
      </c>
      <c r="AH480" s="26" t="n">
        <v>45881.54861111111</v>
      </c>
      <c r="AI480" s="26" t="n">
        <v>45881.86111111111</v>
      </c>
      <c r="AJ480" s="26" t="n">
        <v>45881.9375</v>
      </c>
      <c r="AK480" s="26" t="n">
        <v>45887.86458333334</v>
      </c>
      <c r="AL480" s="26" t="n">
        <v>45887.90625</v>
      </c>
      <c r="AM480" s="26" t="n">
        <v>45887.97916666666</v>
      </c>
      <c r="AN480" s="26" t="n">
        <v>45888.01944444444</v>
      </c>
      <c r="AO480" s="26" t="n">
        <v>45888.02083333334</v>
      </c>
      <c r="AP480" s="20">
        <f>(AG480-AF480)*1440</f>
        <v/>
      </c>
      <c r="AQ480" s="20">
        <f>(AG480-AE480)*1440</f>
        <v/>
      </c>
      <c r="AR480" s="20">
        <f>(AH480-AF480)*1440</f>
        <v/>
      </c>
      <c r="AS480" s="20">
        <f>(AI480-AH480)*1440</f>
        <v/>
      </c>
      <c r="AT480" s="20">
        <f>(AJ480-AH480)*1440</f>
        <v/>
      </c>
      <c r="AU480" s="20">
        <f>(AL480-AK480)*1440</f>
        <v/>
      </c>
      <c r="AV480" s="20">
        <f>(AM480-AL480)*1440</f>
        <v/>
      </c>
      <c r="AW480" s="20">
        <f>(AO480-AM480)*1440</f>
        <v/>
      </c>
      <c r="AX480" s="19">
        <f>AP480+AS480+AU480+AV480+AW480</f>
        <v/>
      </c>
      <c r="AY480" s="18">
        <f>(AG480-AA480)</f>
        <v/>
      </c>
      <c r="AZ480" s="18">
        <f>(AK480-AJ480)</f>
        <v/>
      </c>
      <c r="BA480" s="18">
        <f>AO480-AG480</f>
        <v/>
      </c>
      <c r="BB480" s="18">
        <f>(AO480-AA480)-(AP480/1440)-(AW480/1440)</f>
        <v/>
      </c>
      <c r="BC480" s="20">
        <f>E480/AZ480</f>
        <v/>
      </c>
      <c r="BE480" s="20">
        <f>IF(E480&lt;10000,3000,IF(E480&lt;15000,3600,IF(E480&lt;20000,4500,IF(E480&lt;25000,6000,IF(E480&lt;30000,7500,IF(E480&lt;40000,9000,IF(E480&gt;40000,10000)))))))</f>
        <v/>
      </c>
      <c r="BF480" s="334">
        <f>(E480/BE480)+2</f>
        <v/>
      </c>
      <c r="BS480" s="97" t="inlineStr">
        <is>
          <t>NUL</t>
        </is>
      </c>
      <c r="BT480" s="97" t="n">
        <v>0</v>
      </c>
      <c r="BU480" s="97" t="inlineStr">
        <is>
          <t>NON CLEAN</t>
        </is>
      </c>
      <c r="BV480" s="97" t="inlineStr">
        <is>
          <t>WATER/HUMIDITY</t>
        </is>
      </c>
      <c r="BW480" s="332">
        <f>AI481-AH481</f>
        <v/>
      </c>
      <c r="CB480" s="14" t="n">
        <v>19816</v>
      </c>
    </row>
    <row r="481" ht="15" customHeight="1" s="70">
      <c r="B481" s="343" t="inlineStr">
        <is>
          <t>CORETALENT OL</t>
        </is>
      </c>
      <c r="C481" s="15" t="n">
        <v>45887</v>
      </c>
      <c r="D481" s="346" t="n">
        <v>5500</v>
      </c>
      <c r="E481" s="330" t="n"/>
      <c r="G481" s="81" t="n">
        <v>2</v>
      </c>
      <c r="H481" s="75" t="inlineStr">
        <is>
          <t>MAP</t>
        </is>
      </c>
      <c r="I481" s="75" t="inlineStr">
        <is>
          <t xml:space="preserve">MAP 11 52 SPECIAL </t>
        </is>
      </c>
      <c r="J481" s="75" t="inlineStr">
        <is>
          <t>CFR</t>
        </is>
      </c>
      <c r="Q481" s="75" t="inlineStr">
        <is>
          <t>AMERIQUE LATINE</t>
        </is>
      </c>
      <c r="R481" s="75" t="inlineStr">
        <is>
          <t>BRESIL</t>
        </is>
      </c>
      <c r="T481" s="75" t="inlineStr">
        <is>
          <t>INTERTEK</t>
        </is>
      </c>
      <c r="U481" s="81" t="n">
        <v>175</v>
      </c>
      <c r="V481" s="53">
        <f>IF(U481&lt;130, "Mini Bulker", IF(AND(U481&gt;=130, U481&lt;150), "Handysize", IF(AND(U481&gt;=150, U481&lt;200), "Handymax", IF(AND(U481&gt;=200, U481&lt;230), "Panamax", IF(AND(U481&gt;=230, U481&lt;=270), "Capesize", "Autre")))))</f>
        <v/>
      </c>
      <c r="X481" s="14">
        <f>IF(E481&lt;9999,"1",IF(E481&lt;19999,"2",IF(E481&lt;29999,"3",IF(E481&lt;39999,"4",IF(E481&lt;49999,"5",IF(E481&gt;50000,"6"))))))</f>
        <v/>
      </c>
      <c r="Y481" s="99" t="inlineStr">
        <is>
          <t>1TER</t>
        </is>
      </c>
      <c r="AA481" s="98" t="n"/>
      <c r="AB481" s="98" t="n"/>
      <c r="AC481" s="98" t="n"/>
      <c r="AD481" s="98" t="n"/>
      <c r="AE481" s="98" t="n"/>
      <c r="AF481" s="98" t="n"/>
      <c r="AG481" s="98" t="n"/>
      <c r="AH481" s="98" t="n"/>
      <c r="AI481" s="98" t="n"/>
      <c r="AJ481" s="98" t="n"/>
      <c r="AK481" s="98" t="n"/>
      <c r="AL481" s="98" t="n"/>
      <c r="AM481" s="98" t="n"/>
      <c r="AN481" s="98" t="n"/>
      <c r="AO481" s="98" t="n"/>
      <c r="AP481" s="98" t="n"/>
      <c r="AQ481" s="98" t="n"/>
      <c r="AR481" s="98" t="n"/>
      <c r="AS481" s="98" t="n"/>
      <c r="AT481" s="98" t="n"/>
      <c r="AU481" s="98" t="n"/>
      <c r="AV481" s="98" t="n"/>
      <c r="AW481" s="98" t="n"/>
      <c r="AX481" s="98" t="n"/>
      <c r="AY481" s="98" t="n"/>
      <c r="AZ481" s="98" t="n"/>
      <c r="BA481" s="98" t="n"/>
      <c r="BB481" s="98" t="n"/>
      <c r="BC481" s="98" t="n"/>
      <c r="BD481" s="98" t="n"/>
      <c r="BE481" s="98" t="n"/>
      <c r="BF481" s="98" t="n"/>
      <c r="BG481" s="98" t="n"/>
      <c r="BH481" s="98" t="n"/>
      <c r="BI481" s="98" t="n"/>
      <c r="BJ481" s="98" t="n"/>
      <c r="BK481" s="98" t="n"/>
      <c r="BL481" s="98" t="n"/>
      <c r="BM481" s="98" t="n"/>
      <c r="BN481" s="98" t="n"/>
      <c r="BO481" s="98" t="n"/>
      <c r="BP481" s="98" t="n"/>
      <c r="BQ481" s="98" t="n"/>
      <c r="BR481" s="98" t="n"/>
      <c r="BS481" s="97" t="n"/>
      <c r="BU481" s="97" t="n"/>
      <c r="BV481" s="97" t="n"/>
      <c r="BW481" s="332">
        <f>AI482-AH482</f>
        <v/>
      </c>
      <c r="CB481" s="14" t="n">
        <v>19816</v>
      </c>
    </row>
    <row r="482" ht="14.55" customHeight="1" s="70">
      <c r="A482" s="81" t="n">
        <v>312</v>
      </c>
      <c r="B482" s="343" t="inlineStr">
        <is>
          <t>TITLIS</t>
        </is>
      </c>
      <c r="C482" s="15" t="n">
        <v>45888</v>
      </c>
      <c r="D482" s="346" t="n">
        <v>4400</v>
      </c>
      <c r="E482" s="333">
        <f>D482+D483</f>
        <v/>
      </c>
      <c r="G482" s="81" t="n">
        <v>2</v>
      </c>
      <c r="H482" s="75" t="inlineStr">
        <is>
          <t>DAP</t>
        </is>
      </c>
      <c r="I482" s="75" t="inlineStr">
        <is>
          <t xml:space="preserve">DAP Euro Low Cd </t>
        </is>
      </c>
      <c r="J482" s="75" t="inlineStr">
        <is>
          <t>CFR</t>
        </is>
      </c>
      <c r="Q482" s="75" t="inlineStr">
        <is>
          <t>EUROPE</t>
        </is>
      </c>
      <c r="R482" s="75" t="inlineStr">
        <is>
          <t>Espagne</t>
        </is>
      </c>
      <c r="T482" s="75" t="inlineStr">
        <is>
          <t>INSPECTORATE</t>
        </is>
      </c>
      <c r="U482" s="81" t="n">
        <v>118</v>
      </c>
      <c r="V482" s="53">
        <f>IF(U482&lt;130, "Mini Bulker", IF(AND(U482&gt;=130, U482&lt;150), "Handysize", IF(AND(U482&gt;=150, U482&lt;200), "Handymax", IF(AND(U482&gt;=200, U482&lt;230), "Panamax", IF(AND(U482&gt;=230, U482&lt;=270), "Capesize", "Autre")))))</f>
        <v/>
      </c>
      <c r="X482" s="14">
        <f>IF(E482&lt;9999,"1",IF(E482&lt;19999,"2",IF(E482&lt;29999,"3",IF(E482&lt;39999,"4",IF(E482&lt;49999,"5",IF(E482&gt;50000,"6"))))))</f>
        <v/>
      </c>
      <c r="Y482" s="99" t="inlineStr">
        <is>
          <t>7/2TER/1BIS/7/1BIS</t>
        </is>
      </c>
      <c r="AA482" s="26" t="n">
        <v>45878.27083333334</v>
      </c>
      <c r="AB482" s="26" t="n">
        <v>45878.375</v>
      </c>
      <c r="AC482" s="15" t="n">
        <v>45880</v>
      </c>
      <c r="AD482" s="15" t="n">
        <v>45882</v>
      </c>
      <c r="AE482" s="26" t="n">
        <v>45878.27083333334</v>
      </c>
      <c r="AF482" s="26" t="n">
        <v>45880.71458333333</v>
      </c>
      <c r="AG482" s="26" t="n">
        <v>45880.78472222222</v>
      </c>
      <c r="AH482" s="26" t="n">
        <v>45880.80555555555</v>
      </c>
      <c r="AI482" s="26" t="n">
        <v>45886.70833333334</v>
      </c>
      <c r="AJ482" s="26" t="n">
        <v>45886.73958333334</v>
      </c>
      <c r="AK482" s="26" t="n">
        <v>45888.42708333334</v>
      </c>
      <c r="AL482" s="26" t="n">
        <v>45888.45833333334</v>
      </c>
      <c r="AM482" s="26" t="n">
        <v>45888.48611111111</v>
      </c>
      <c r="AN482" s="26" t="n">
        <v>45888.54722222222</v>
      </c>
      <c r="AO482" s="26" t="n">
        <v>45888.53125</v>
      </c>
      <c r="AP482" s="20">
        <f>(AG482-AF482)*1440</f>
        <v/>
      </c>
      <c r="AQ482" s="20">
        <f>(AG482-AE482)*1440</f>
        <v/>
      </c>
      <c r="AR482" s="20">
        <f>(AH482-AF482)*1440</f>
        <v/>
      </c>
      <c r="AS482" s="20">
        <f>(AI482-AH482)*1440</f>
        <v/>
      </c>
      <c r="AT482" s="20">
        <f>(AJ482-AH482)*1440</f>
        <v/>
      </c>
      <c r="AU482" s="20">
        <f>(AL482-AK482)*1440</f>
        <v/>
      </c>
      <c r="AV482" s="20">
        <f>(AM482-AL482)*1440</f>
        <v/>
      </c>
      <c r="AW482" s="20">
        <f>(AO482-AM482)*1440</f>
        <v/>
      </c>
      <c r="AX482" s="19">
        <f>AP482+AS482+AU482+AV482+AW482</f>
        <v/>
      </c>
      <c r="AY482" s="18">
        <f>(AG482-AA482)</f>
        <v/>
      </c>
      <c r="AZ482" s="18">
        <f>(AK482-AJ482)</f>
        <v/>
      </c>
      <c r="BA482" s="18">
        <f>AO482-AG482</f>
        <v/>
      </c>
      <c r="BB482" s="18">
        <f>(AO482-AA482)-(AP482/1440)-(AW482/1440)</f>
        <v/>
      </c>
      <c r="BC482" s="20">
        <f>E482/AZ482</f>
        <v/>
      </c>
      <c r="BE482" s="20">
        <f>IF(E482&lt;10000,3000,IF(E482&lt;15000,3600,IF(E482&lt;20000,4500,IF(E482&lt;25000,6000,IF(E482&lt;30000,7500,IF(E482&lt;40000,9000,IF(E482&gt;40000,10000)))))))</f>
        <v/>
      </c>
      <c r="BF482" s="334">
        <f>(E482/BE482)+2</f>
        <v/>
      </c>
      <c r="BS482" s="97" t="inlineStr">
        <is>
          <t>CHANGE DU POSTE 7 VERS LE POSTE 2TER LE 12/08 - 0941 // CHANGE DU POSTE 2TER VERS LA RADE LE 13/08- 1155 // RE-ACCOSTAGE AU POSTE 1BIS LE 16/08 - 2338 // CHANGE DU POSTE 1BIS VERS POSTE 7 LE 18/08 - 1145 // CHANGE DU POSTE 7 VERS POSTE 1BIS LE 19/08 - 0115</t>
        </is>
      </c>
      <c r="BT482" s="99" t="n">
        <v>5</v>
      </c>
      <c r="BU482" s="97" t="inlineStr">
        <is>
          <t>NON CLEAN</t>
        </is>
      </c>
      <c r="BV482" s="97" t="inlineStr">
        <is>
          <t>WATER/HUMIDITY/RUST</t>
        </is>
      </c>
      <c r="BW482" s="332">
        <f>AI483-AH483</f>
        <v/>
      </c>
      <c r="CB482" s="14" t="n">
        <v>4990</v>
      </c>
    </row>
    <row r="483" ht="14.55" customHeight="1" s="70">
      <c r="A483" s="81" t="n"/>
      <c r="B483" s="343" t="inlineStr">
        <is>
          <t>TITLIS</t>
        </is>
      </c>
      <c r="C483" s="15" t="n">
        <v>45888</v>
      </c>
      <c r="D483" s="346" t="n">
        <v>1600</v>
      </c>
      <c r="E483" s="330" t="n"/>
      <c r="G483" s="81" t="n">
        <v>2</v>
      </c>
      <c r="H483" s="75" t="inlineStr">
        <is>
          <t>MAP</t>
        </is>
      </c>
      <c r="I483" s="75" t="inlineStr">
        <is>
          <t xml:space="preserve">MAP 11 52 Special Low Cd </t>
        </is>
      </c>
      <c r="J483" s="75" t="inlineStr">
        <is>
          <t>CFR</t>
        </is>
      </c>
      <c r="Q483" s="75" t="inlineStr">
        <is>
          <t>EUROPE</t>
        </is>
      </c>
      <c r="R483" s="75" t="inlineStr">
        <is>
          <t>Espagne</t>
        </is>
      </c>
      <c r="T483" s="75" t="inlineStr">
        <is>
          <t>INSPECTORATE</t>
        </is>
      </c>
      <c r="U483" s="81" t="n">
        <v>118</v>
      </c>
      <c r="V483" s="53">
        <f>IF(U483&lt;130, "Mini Bulker", IF(AND(U483&gt;=130, U483&lt;150), "Handysize", IF(AND(U483&gt;=150, U483&lt;200), "Handymax", IF(AND(U483&gt;=200, U483&lt;230), "Panamax", IF(AND(U483&gt;=230, U483&lt;=270), "Capesize", "Autre")))))</f>
        <v/>
      </c>
      <c r="X483" s="14">
        <f>IF(E483&lt;9999,"1",IF(E483&lt;19999,"2",IF(E483&lt;29999,"3",IF(E483&lt;39999,"4",IF(E483&lt;49999,"5",IF(E483&gt;50000,"6"))))))</f>
        <v/>
      </c>
      <c r="Y483" s="99" t="inlineStr">
        <is>
          <t>7/2TER/1BIS/7/1BIS</t>
        </is>
      </c>
      <c r="AA483" s="98" t="n"/>
      <c r="AB483" s="98" t="n"/>
      <c r="AC483" s="98" t="n"/>
      <c r="AD483" s="98" t="n"/>
      <c r="AE483" s="98" t="n"/>
      <c r="AF483" s="98" t="n"/>
      <c r="AG483" s="98" t="n"/>
      <c r="AH483" s="98" t="n"/>
      <c r="AI483" s="98" t="n"/>
      <c r="AJ483" s="98" t="n"/>
      <c r="AK483" s="98" t="n"/>
      <c r="AL483" s="98" t="n"/>
      <c r="AM483" s="98" t="n"/>
      <c r="AN483" s="98" t="n"/>
      <c r="AO483" s="98" t="n"/>
      <c r="AP483" s="98" t="n"/>
      <c r="AQ483" s="98" t="n"/>
      <c r="AR483" s="98" t="n"/>
      <c r="AS483" s="98" t="n"/>
      <c r="AT483" s="98" t="n"/>
      <c r="AU483" s="98" t="n"/>
      <c r="AV483" s="98" t="n"/>
      <c r="AW483" s="98" t="n"/>
      <c r="AX483" s="98" t="n"/>
      <c r="AY483" s="98" t="n"/>
      <c r="AZ483" s="98" t="n"/>
      <c r="BA483" s="98" t="n"/>
      <c r="BB483" s="98" t="n"/>
      <c r="BC483" s="98" t="n"/>
      <c r="BD483" s="98" t="n"/>
      <c r="BE483" s="98" t="n"/>
      <c r="BF483" s="98" t="n"/>
      <c r="BG483" s="98" t="n"/>
      <c r="BH483" s="98" t="n"/>
      <c r="BI483" s="98" t="n"/>
      <c r="BJ483" s="98" t="n"/>
      <c r="BK483" s="98" t="n"/>
      <c r="BL483" s="98" t="n"/>
      <c r="BM483" s="98" t="n"/>
      <c r="BN483" s="98" t="n"/>
      <c r="BO483" s="98" t="n"/>
      <c r="BP483" s="98" t="n"/>
      <c r="BQ483" s="98" t="n"/>
      <c r="BR483" s="98" t="n"/>
      <c r="BS483" s="97" t="n"/>
      <c r="BU483" s="97" t="n"/>
      <c r="BV483" s="97" t="n"/>
      <c r="BW483" s="332">
        <f>AI484-AH484</f>
        <v/>
      </c>
      <c r="CB483" s="14" t="n">
        <v>4990</v>
      </c>
    </row>
    <row r="484">
      <c r="A484" s="81" t="n">
        <v>313</v>
      </c>
      <c r="B484" s="343" t="inlineStr">
        <is>
          <t>NALINEE NAREE</t>
        </is>
      </c>
      <c r="C484" s="15" t="n">
        <v>45889</v>
      </c>
      <c r="D484" s="346" t="n">
        <v>20400</v>
      </c>
      <c r="E484" s="346" t="n">
        <v>20400</v>
      </c>
      <c r="G484" s="81" t="n">
        <v>1</v>
      </c>
      <c r="H484" s="75" t="inlineStr">
        <is>
          <t>MAP</t>
        </is>
      </c>
      <c r="I484" s="75" t="inlineStr">
        <is>
          <t xml:space="preserve">MAP 11 52 SPECIAL </t>
        </is>
      </c>
      <c r="J484" s="75" t="inlineStr">
        <is>
          <t>CFR</t>
        </is>
      </c>
      <c r="Q484" s="75" t="inlineStr">
        <is>
          <t>AMERIQUE</t>
        </is>
      </c>
      <c r="R484" s="75" t="inlineStr">
        <is>
          <t>USA</t>
        </is>
      </c>
      <c r="T484" s="75" t="inlineStr">
        <is>
          <t>INSPECTORATE</t>
        </is>
      </c>
      <c r="U484" s="81" t="n">
        <v>172</v>
      </c>
      <c r="V484" s="53">
        <f>IF(U484&lt;130, "Mini Bulker", IF(AND(U484&gt;=130, U484&lt;150), "Handysize", IF(AND(U484&gt;=150, U484&lt;200), "Handymax", IF(AND(U484&gt;=200, U484&lt;230), "Panamax", IF(AND(U484&gt;=230, U484&lt;=270), "Capesize", "Autre")))))</f>
        <v/>
      </c>
      <c r="X484" s="14">
        <f>IF(E484&lt;9999,"1",IF(E484&lt;19999,"2",IF(E484&lt;29999,"3",IF(E484&lt;39999,"4",IF(E484&lt;49999,"5",IF(E484&gt;50000,"6"))))))</f>
        <v/>
      </c>
      <c r="Y484" s="99" t="inlineStr">
        <is>
          <t>1BIS</t>
        </is>
      </c>
      <c r="AA484" s="26" t="n">
        <v>45887.00069444445</v>
      </c>
      <c r="AB484" s="26" t="n">
        <v>45887.375</v>
      </c>
      <c r="AC484" s="15" t="n">
        <v>45887</v>
      </c>
      <c r="AD484" s="15" t="n">
        <v>45889</v>
      </c>
      <c r="AE484" s="26" t="n">
        <v>45886.83333333334</v>
      </c>
      <c r="AF484" s="26" t="n">
        <v>45887.48958333334</v>
      </c>
      <c r="AG484" s="26" t="n">
        <v>45887.53333333333</v>
      </c>
      <c r="AH484" s="26" t="n">
        <v>45887.54513888889</v>
      </c>
      <c r="AI484" s="26" t="n">
        <v>45887.57638888889</v>
      </c>
      <c r="AJ484" s="26" t="n">
        <v>45887.59027777778</v>
      </c>
      <c r="AK484" s="26" t="n">
        <v>45889.41666666666</v>
      </c>
      <c r="AL484" s="26" t="n">
        <v>45889.45833333334</v>
      </c>
      <c r="AM484" s="26" t="n">
        <v>45889.47222222222</v>
      </c>
      <c r="AN484" s="26" t="n">
        <v>45889.51388888889</v>
      </c>
      <c r="AO484" s="26" t="n">
        <v>45889.54166666666</v>
      </c>
      <c r="AP484" s="20">
        <f>(AG484-AF484)*1440</f>
        <v/>
      </c>
      <c r="AQ484" s="20">
        <f>(AG484-AE484)*1440</f>
        <v/>
      </c>
      <c r="AR484" s="20">
        <f>(AH484-AF484)*1440</f>
        <v/>
      </c>
      <c r="AS484" s="20">
        <f>(AI484-AH484)*1440</f>
        <v/>
      </c>
      <c r="AT484" s="20">
        <f>(AJ484-AH484)*1440</f>
        <v/>
      </c>
      <c r="AU484" s="20">
        <f>(AL484-AK484)*1440</f>
        <v/>
      </c>
      <c r="AV484" s="20">
        <f>(AM484-AL484)*1440</f>
        <v/>
      </c>
      <c r="AW484" s="20">
        <f>(AO484-AM484)*1440</f>
        <v/>
      </c>
      <c r="AX484" s="19">
        <f>AP484+AS484+AU484+AV484+AW484</f>
        <v/>
      </c>
      <c r="AY484" s="18">
        <f>(AG484-AA484)</f>
        <v/>
      </c>
      <c r="AZ484" s="18">
        <f>(AK484-AJ484)</f>
        <v/>
      </c>
      <c r="BA484" s="18">
        <f>AO484-AG484</f>
        <v/>
      </c>
      <c r="BB484" s="18">
        <f>(AO484-AA484)-(AP484/1440)-(AW484/1440)</f>
        <v/>
      </c>
      <c r="BC484" s="20">
        <f>E484/AZ484</f>
        <v/>
      </c>
      <c r="BE484" s="20">
        <f>IF(E484&lt;10000,3000,IF(E484&lt;15000,3600,IF(E484&lt;20000,4500,IF(E484&lt;25000,6000,IF(E484&lt;30000,7500,IF(E484&lt;40000,9000,IF(E484&gt;40000,10000)))))))</f>
        <v/>
      </c>
      <c r="BF484" s="334">
        <f>(E484/BE484)+2</f>
        <v/>
      </c>
      <c r="BS484" s="97" t="inlineStr">
        <is>
          <t>NUL</t>
        </is>
      </c>
      <c r="BT484" s="97" t="n">
        <v>0</v>
      </c>
      <c r="BU484" s="97" t="inlineStr">
        <is>
          <t>CLEAN</t>
        </is>
      </c>
      <c r="BV484" s="97" t="inlineStr">
        <is>
          <t>NUL</t>
        </is>
      </c>
      <c r="BW484" s="332">
        <f>AI485-AH485</f>
        <v/>
      </c>
      <c r="CB484" s="14" t="n">
        <v>19799</v>
      </c>
    </row>
    <row r="485" ht="14.55" customHeight="1" s="70">
      <c r="A485" s="81" t="n">
        <v>314</v>
      </c>
      <c r="B485" s="343" t="inlineStr">
        <is>
          <t>RIX GULF</t>
        </is>
      </c>
      <c r="C485" s="15" t="n">
        <v>45890</v>
      </c>
      <c r="D485" s="346" t="n">
        <v>1100</v>
      </c>
      <c r="E485" s="333">
        <f>D485+D486</f>
        <v/>
      </c>
      <c r="G485" s="81" t="n">
        <v>2</v>
      </c>
      <c r="H485" s="75" t="inlineStr">
        <is>
          <t>TSP</t>
        </is>
      </c>
      <c r="I485" s="75" t="inlineStr">
        <is>
          <t xml:space="preserve">TSP EURO Low Cd </t>
        </is>
      </c>
      <c r="J485" s="75" t="inlineStr">
        <is>
          <t>CFR</t>
        </is>
      </c>
      <c r="Q485" s="75" t="inlineStr">
        <is>
          <t>EUROPE</t>
        </is>
      </c>
      <c r="R485" s="75" t="inlineStr">
        <is>
          <t>UK</t>
        </is>
      </c>
      <c r="T485" s="75" t="inlineStr">
        <is>
          <t>INTERTEK</t>
        </is>
      </c>
      <c r="U485" s="81" t="n">
        <v>92</v>
      </c>
      <c r="V485" s="53">
        <f>IF(U485&lt;130, "Mini Bulker", IF(AND(U485&gt;=130, U485&lt;150), "Handysize", IF(AND(U485&gt;=150, U485&lt;200), "Handymax", IF(AND(U485&gt;=200, U485&lt;230), "Panamax", IF(AND(U485&gt;=230, U485&lt;=270), "Capesize", "Autre")))))</f>
        <v/>
      </c>
      <c r="X485" s="14">
        <f>IF(E485&lt;9999,"1",IF(E485&lt;19999,"2",IF(E485&lt;29999,"3",IF(E485&lt;39999,"4",IF(E485&lt;49999,"5",IF(E485&gt;50000,"6"))))))</f>
        <v/>
      </c>
      <c r="Y485" s="99" t="inlineStr">
        <is>
          <t>7/10/1BIS</t>
        </is>
      </c>
      <c r="AA485" s="26" t="n">
        <v>45876.5</v>
      </c>
      <c r="AB485" s="26" t="n">
        <v>45876.5</v>
      </c>
      <c r="AC485" s="15" t="n">
        <v>45877</v>
      </c>
      <c r="AD485" s="15" t="n">
        <v>45879</v>
      </c>
      <c r="AE485" s="26" t="n">
        <v>45876.375</v>
      </c>
      <c r="AF485" s="26" t="n">
        <v>45883.4375</v>
      </c>
      <c r="AG485" s="26" t="n">
        <v>45883.55555555555</v>
      </c>
      <c r="AH485" s="26" t="n">
        <v>45883.57638888889</v>
      </c>
      <c r="AI485" s="26" t="n">
        <v>45889.64583333334</v>
      </c>
      <c r="AJ485" s="26" t="n">
        <v>45889.6875</v>
      </c>
      <c r="AK485" s="26" t="n">
        <v>45890.61805555555</v>
      </c>
      <c r="AL485" s="26" t="n">
        <v>45890.64236111111</v>
      </c>
      <c r="AM485" s="26" t="n">
        <v>45890.67361111111</v>
      </c>
      <c r="AN485" s="26" t="n">
        <v>45890.74305555555</v>
      </c>
      <c r="AO485" s="26" t="n">
        <v>45890.77777777778</v>
      </c>
      <c r="AP485" s="20">
        <f>(AG485-AF485)*1440</f>
        <v/>
      </c>
      <c r="AQ485" s="20">
        <f>(AG485-AE485)*1440</f>
        <v/>
      </c>
      <c r="AR485" s="20">
        <f>(AH485-AF485)*1440</f>
        <v/>
      </c>
      <c r="AS485" s="20">
        <f>(AI485-AH485)*1440</f>
        <v/>
      </c>
      <c r="AT485" s="20">
        <f>(AJ485-AH485)*1440</f>
        <v/>
      </c>
      <c r="AU485" s="20">
        <f>(AL485-AK485)*1440</f>
        <v/>
      </c>
      <c r="AV485" s="20">
        <f>(AM485-AL485)*1440</f>
        <v/>
      </c>
      <c r="AW485" s="20">
        <f>(AO485-AM485)*1440</f>
        <v/>
      </c>
      <c r="AX485" s="19">
        <f>AP485+AS485+AU485+AV485+AW485</f>
        <v/>
      </c>
      <c r="AY485" s="18">
        <f>(AG485-AA485)</f>
        <v/>
      </c>
      <c r="AZ485" s="18">
        <f>(AK485-AJ485)</f>
        <v/>
      </c>
      <c r="BA485" s="18">
        <f>AO485-AG485</f>
        <v/>
      </c>
      <c r="BB485" s="18">
        <f>(AO485-AA485)-(AP485/1440)-(AW485/1440)</f>
        <v/>
      </c>
      <c r="BC485" s="20">
        <f>E485/AZ485</f>
        <v/>
      </c>
      <c r="BE485" s="20">
        <f>IF(E485&lt;10000,3000,IF(E485&lt;15000,3600,IF(E485&lt;20000,4500,IF(E485&lt;25000,6000,IF(E485&lt;30000,7500,IF(E485&lt;40000,9000,IF(E485&gt;40000,10000)))))))</f>
        <v/>
      </c>
      <c r="BF485" s="334">
        <f>(E485/BE485)+2</f>
        <v/>
      </c>
      <c r="BS485" s="97" t="inlineStr">
        <is>
          <t>CHANGE DU POSTE 7 VERS LA RADE LE 15/08- 1516 // RE-ACC AU POSTE 10 LE 19/08 - 1720 // CHANGE DU POSTE 10 VERS LA RADE LE 19/08 - 1945</t>
        </is>
      </c>
      <c r="BT485" s="97" t="n">
        <v>3</v>
      </c>
      <c r="BU485" s="97" t="inlineStr">
        <is>
          <t>CLEAN</t>
        </is>
      </c>
      <c r="BV485" s="97" t="inlineStr">
        <is>
          <t>NUL</t>
        </is>
      </c>
      <c r="BW485" s="332">
        <f>AI486-AH486</f>
        <v/>
      </c>
      <c r="CB485" s="14" t="n">
        <v>2982</v>
      </c>
    </row>
    <row r="486" ht="14.55" customHeight="1" s="70">
      <c r="B486" s="343" t="inlineStr">
        <is>
          <t>RIX GULF</t>
        </is>
      </c>
      <c r="C486" s="15" t="n">
        <v>45890</v>
      </c>
      <c r="D486" s="346" t="n">
        <v>2200</v>
      </c>
      <c r="E486" s="330" t="n"/>
      <c r="G486" s="81" t="n">
        <v>2</v>
      </c>
      <c r="H486" s="75" t="inlineStr">
        <is>
          <t>DAP</t>
        </is>
      </c>
      <c r="I486" s="75" t="inlineStr">
        <is>
          <t xml:space="preserve">DAP Euro Low Cd </t>
        </is>
      </c>
      <c r="J486" s="75" t="inlineStr">
        <is>
          <t>CFR</t>
        </is>
      </c>
      <c r="Q486" s="75" t="inlineStr">
        <is>
          <t>EUROPE</t>
        </is>
      </c>
      <c r="R486" s="75" t="inlineStr">
        <is>
          <t>UK</t>
        </is>
      </c>
      <c r="T486" s="75" t="inlineStr">
        <is>
          <t>INTERTEK</t>
        </is>
      </c>
      <c r="U486" s="81" t="n">
        <v>92</v>
      </c>
      <c r="V486" s="53">
        <f>IF(U486&lt;130, "Mini Bulker", IF(AND(U486&gt;=130, U486&lt;150), "Handysize", IF(AND(U486&gt;=150, U486&lt;200), "Handymax", IF(AND(U486&gt;=200, U486&lt;230), "Panamax", IF(AND(U486&gt;=230, U486&lt;=270), "Capesize", "Autre")))))</f>
        <v/>
      </c>
      <c r="X486" s="14">
        <f>IF(E486&lt;9999,"1",IF(E486&lt;19999,"2",IF(E486&lt;29999,"3",IF(E486&lt;39999,"4",IF(E486&lt;49999,"5",IF(E486&gt;50000,"6"))))))</f>
        <v/>
      </c>
      <c r="Y486" s="99" t="inlineStr">
        <is>
          <t>7/10/1BIS</t>
        </is>
      </c>
      <c r="AA486" s="98" t="n"/>
      <c r="AB486" s="98" t="n"/>
      <c r="AC486" s="98" t="n"/>
      <c r="AD486" s="98" t="n"/>
      <c r="AE486" s="98" t="n"/>
      <c r="AF486" s="98" t="n"/>
      <c r="AG486" s="98" t="n"/>
      <c r="AH486" s="98" t="n"/>
      <c r="AI486" s="98" t="n"/>
      <c r="AJ486" s="98" t="n"/>
      <c r="AK486" s="98" t="n"/>
      <c r="AL486" s="98" t="n"/>
      <c r="AM486" s="98" t="n"/>
      <c r="AN486" s="98" t="n"/>
      <c r="AO486" s="98" t="n"/>
      <c r="AP486" s="98" t="n"/>
      <c r="AQ486" s="98" t="n"/>
      <c r="AR486" s="98" t="n"/>
      <c r="AS486" s="98" t="n"/>
      <c r="AT486" s="98" t="n"/>
      <c r="AU486" s="98" t="n"/>
      <c r="AV486" s="98" t="n"/>
      <c r="AW486" s="98" t="n"/>
      <c r="AX486" s="98" t="n"/>
      <c r="AY486" s="98" t="n"/>
      <c r="AZ486" s="98" t="n"/>
      <c r="BA486" s="98" t="n"/>
      <c r="BB486" s="98" t="n"/>
      <c r="BC486" s="98" t="n"/>
      <c r="BD486" s="98" t="n"/>
      <c r="BE486" s="98" t="n"/>
      <c r="BF486" s="98" t="n"/>
      <c r="BG486" s="98" t="n"/>
      <c r="BH486" s="98" t="n"/>
      <c r="BI486" s="98" t="n"/>
      <c r="BJ486" s="98" t="n"/>
      <c r="BK486" s="98" t="n"/>
      <c r="BL486" s="98" t="n"/>
      <c r="BM486" s="98" t="n"/>
      <c r="BN486" s="98" t="n"/>
      <c r="BO486" s="98" t="n"/>
      <c r="BP486" s="98" t="n"/>
      <c r="BQ486" s="98" t="n"/>
      <c r="BR486" s="98" t="n"/>
      <c r="BS486" s="97" t="n"/>
      <c r="BT486" s="97" t="n"/>
      <c r="BU486" s="97" t="n"/>
      <c r="BV486" s="97" t="n"/>
      <c r="BW486" s="332">
        <f>AI487-AH487</f>
        <v/>
      </c>
      <c r="CB486" s="14" t="n">
        <v>2982</v>
      </c>
    </row>
    <row r="487" ht="13.05" customHeight="1" s="70">
      <c r="A487" s="81" t="n">
        <v>315</v>
      </c>
      <c r="B487" s="343" t="inlineStr">
        <is>
          <t>WARISA NAREE</t>
        </is>
      </c>
      <c r="C487" s="15" t="n">
        <v>45890</v>
      </c>
      <c r="D487" s="346" t="n">
        <v>36370</v>
      </c>
      <c r="E487" s="333">
        <f>D487+D488</f>
        <v/>
      </c>
      <c r="G487" s="81" t="n">
        <v>2</v>
      </c>
      <c r="H487" s="75" t="inlineStr">
        <is>
          <t>DAP</t>
        </is>
      </c>
      <c r="I487" s="75" t="inlineStr">
        <is>
          <t xml:space="preserve">DAP STANDARD </t>
        </is>
      </c>
      <c r="J487" s="75" t="inlineStr">
        <is>
          <t>CFR</t>
        </is>
      </c>
      <c r="Q487" s="75" t="inlineStr">
        <is>
          <t>ASIE</t>
        </is>
      </c>
      <c r="R487" s="75" t="inlineStr">
        <is>
          <t>INDE</t>
        </is>
      </c>
      <c r="T487" s="75" t="inlineStr">
        <is>
          <t>INTERTEK</t>
        </is>
      </c>
      <c r="U487" s="81" t="n">
        <v>190</v>
      </c>
      <c r="V487" s="53">
        <f>IF(U487&lt;130, "Mini Bulker", IF(AND(U487&gt;=130, U487&lt;150), "Handysize", IF(AND(U487&gt;=150, U487&lt;200), "Handymax", IF(AND(U487&gt;=200, U487&lt;230), "Panamax", IF(AND(U487&gt;=230, U487&lt;=270), "Capesize", "Autre")))))</f>
        <v/>
      </c>
      <c r="X487" s="14">
        <f>IF(E487&lt;9999,"1",IF(E487&lt;19999,"2",IF(E487&lt;29999,"3",IF(E487&lt;39999,"4",IF(E487&lt;49999,"5",IF(E487&gt;50000,"6"))))))</f>
        <v/>
      </c>
      <c r="Y487" s="99" t="inlineStr">
        <is>
          <t>2N/1TER</t>
        </is>
      </c>
      <c r="AA487" s="26" t="n">
        <v>45877.86805555555</v>
      </c>
      <c r="AB487" s="26" t="n">
        <v>45878.375</v>
      </c>
      <c r="AC487" s="15" t="n">
        <v>45879</v>
      </c>
      <c r="AD487" s="15" t="n">
        <v>45882</v>
      </c>
      <c r="AE487" s="26" t="n">
        <v>45877.86805555555</v>
      </c>
      <c r="AF487" s="26" t="n">
        <v>45878.85416666666</v>
      </c>
      <c r="AG487" s="26" t="n">
        <v>45878.9375</v>
      </c>
      <c r="AH487" s="26" t="n">
        <v>45878.95486111111</v>
      </c>
      <c r="AI487" s="26" t="n">
        <v>45879.40972222222</v>
      </c>
      <c r="AJ487" s="26" t="n">
        <v>45879.42361111111</v>
      </c>
      <c r="AK487" s="26" t="n">
        <v>45890.67361111111</v>
      </c>
      <c r="AL487" s="26" t="n">
        <v>45890.6875</v>
      </c>
      <c r="AM487" s="26" t="n">
        <v>45890.71180555555</v>
      </c>
      <c r="AN487" s="26" t="n">
        <v>45891</v>
      </c>
      <c r="AO487" s="26" t="n">
        <v>45891.075</v>
      </c>
      <c r="AP487" s="20">
        <f>(AG487-AF487)*1440</f>
        <v/>
      </c>
      <c r="AQ487" s="20">
        <f>(AG487-AE487)*1440</f>
        <v/>
      </c>
      <c r="AR487" s="20">
        <f>(AH487-AF487)*1440</f>
        <v/>
      </c>
      <c r="AS487" s="20">
        <f>(AI487-AH487)*1440</f>
        <v/>
      </c>
      <c r="AT487" s="20">
        <f>(AJ487-AH487)*1440</f>
        <v/>
      </c>
      <c r="AU487" s="20">
        <f>(AL487-AK487)*1440</f>
        <v/>
      </c>
      <c r="AV487" s="20">
        <f>(AM487-AL487)*1440</f>
        <v/>
      </c>
      <c r="AW487" s="20">
        <f>(AO487-AM487)*1440</f>
        <v/>
      </c>
      <c r="AX487" s="19">
        <f>AP487+AS487+AU487+AV487+AW487</f>
        <v/>
      </c>
      <c r="AY487" s="18">
        <f>(AG487-AA487)</f>
        <v/>
      </c>
      <c r="AZ487" s="18">
        <f>(AK487-AJ487)</f>
        <v/>
      </c>
      <c r="BA487" s="18">
        <f>AO487-AG487</f>
        <v/>
      </c>
      <c r="BB487" s="18">
        <f>(AO487-AA487)-(AP487/1440)-(AW487/1440)</f>
        <v/>
      </c>
      <c r="BC487" s="20">
        <f>E487/AZ487</f>
        <v/>
      </c>
      <c r="BE487" s="20">
        <f>IF(E487&lt;10000,3000,IF(E487&lt;15000,3600,IF(E487&lt;20000,4500,IF(E487&lt;25000,6000,IF(E487&lt;30000,7500,IF(E487&lt;40000,9000,IF(E487&gt;40000,10000)))))))</f>
        <v/>
      </c>
      <c r="BF487" s="334">
        <f>(E487/BE487)+2</f>
        <v/>
      </c>
      <c r="BS487" s="97" t="inlineStr">
        <is>
          <t>CHANGE DU POSTE 2N VERS LA RADE LE 16/08 - 1940 // RE-ACC AU POSTE 1 TER LE 19/08 - 1642</t>
        </is>
      </c>
      <c r="BT487" s="97" t="n">
        <v>2</v>
      </c>
      <c r="BU487" s="97" t="n"/>
      <c r="BV487" s="97" t="n"/>
      <c r="BW487" s="332">
        <f>AI488-AH488</f>
        <v/>
      </c>
      <c r="CB487" s="14" t="n">
        <v>32661</v>
      </c>
    </row>
    <row r="488" ht="12.6" customHeight="1" s="70">
      <c r="B488" s="343" t="inlineStr">
        <is>
          <t>WARISA NAREE</t>
        </is>
      </c>
      <c r="C488" s="15" t="n">
        <v>45890</v>
      </c>
      <c r="D488" s="346" t="n">
        <v>15722</v>
      </c>
      <c r="E488" s="330" t="n"/>
      <c r="G488" s="81" t="n">
        <v>2</v>
      </c>
      <c r="H488" s="75" t="inlineStr">
        <is>
          <t>TSP</t>
        </is>
      </c>
      <c r="I488" s="75" t="inlineStr">
        <is>
          <t xml:space="preserve">TSP CIV </t>
        </is>
      </c>
      <c r="J488" s="75" t="inlineStr">
        <is>
          <t>CFR</t>
        </is>
      </c>
      <c r="Q488" s="75" t="inlineStr">
        <is>
          <t>ASIE</t>
        </is>
      </c>
      <c r="R488" s="75" t="inlineStr">
        <is>
          <t>INDE</t>
        </is>
      </c>
      <c r="T488" s="75" t="inlineStr">
        <is>
          <t>INTERTEK</t>
        </is>
      </c>
      <c r="U488" s="81" t="n">
        <v>190</v>
      </c>
      <c r="V488" s="53">
        <f>IF(U488&lt;130, "Mini Bulker", IF(AND(U488&gt;=130, U488&lt;150), "Handysize", IF(AND(U488&gt;=150, U488&lt;200), "Handymax", IF(AND(U488&gt;=200, U488&lt;230), "Panamax", IF(AND(U488&gt;=230, U488&lt;=270), "Capesize", "Autre")))))</f>
        <v/>
      </c>
      <c r="X488" s="14">
        <f>IF(E488&lt;9999,"1",IF(E488&lt;19999,"2",IF(E488&lt;29999,"3",IF(E488&lt;39999,"4",IF(E488&lt;49999,"5",IF(E488&gt;50000,"6"))))))</f>
        <v/>
      </c>
      <c r="Y488" s="99" t="inlineStr">
        <is>
          <t>2N/1TER</t>
        </is>
      </c>
      <c r="AA488" s="98" t="n"/>
      <c r="AB488" s="98" t="n"/>
      <c r="AC488" s="98" t="n"/>
      <c r="AD488" s="98" t="n"/>
      <c r="AE488" s="98" t="n"/>
      <c r="AF488" s="98" t="n"/>
      <c r="AG488" s="98" t="n"/>
      <c r="AH488" s="98" t="n"/>
      <c r="AI488" s="98" t="n"/>
      <c r="AJ488" s="98" t="n"/>
      <c r="AK488" s="98" t="n"/>
      <c r="AL488" s="98" t="n"/>
      <c r="AM488" s="98" t="n"/>
      <c r="AN488" s="98" t="n"/>
      <c r="AO488" s="98" t="n"/>
      <c r="AP488" s="98" t="n"/>
      <c r="AQ488" s="98" t="n"/>
      <c r="AR488" s="98" t="n"/>
      <c r="AS488" s="98" t="n"/>
      <c r="AT488" s="98" t="n"/>
      <c r="AU488" s="98" t="n"/>
      <c r="AV488" s="98" t="n"/>
      <c r="AW488" s="98" t="n"/>
      <c r="AX488" s="98" t="n"/>
      <c r="AY488" s="98" t="n"/>
      <c r="AZ488" s="98" t="n"/>
      <c r="BA488" s="98" t="n"/>
      <c r="BB488" s="98" t="n"/>
      <c r="BC488" s="98" t="n"/>
      <c r="BD488" s="98" t="n"/>
      <c r="BE488" s="98" t="n"/>
      <c r="BF488" s="98" t="n"/>
      <c r="BG488" s="98" t="n"/>
      <c r="BH488" s="98" t="n"/>
      <c r="BI488" s="98" t="n"/>
      <c r="BJ488" s="98" t="n"/>
      <c r="BK488" s="98" t="n"/>
      <c r="BL488" s="98" t="n"/>
      <c r="BM488" s="98" t="n"/>
      <c r="BN488" s="98" t="n"/>
      <c r="BO488" s="98" t="n"/>
      <c r="BP488" s="98" t="n"/>
      <c r="BQ488" s="98" t="n"/>
      <c r="BR488" s="98" t="n"/>
      <c r="BS488" s="97" t="n"/>
      <c r="BT488" s="97" t="n"/>
      <c r="BU488" s="97" t="n"/>
      <c r="BV488" s="97" t="n"/>
      <c r="BW488" s="332">
        <f>AI489-AH489</f>
        <v/>
      </c>
      <c r="CB488" s="14" t="n">
        <v>32661</v>
      </c>
    </row>
    <row r="489" ht="14.55" customHeight="1" s="70">
      <c r="A489" s="81" t="n">
        <v>316</v>
      </c>
      <c r="B489" s="343" t="inlineStr">
        <is>
          <t>ANGELINA THE GREAT N</t>
        </is>
      </c>
      <c r="C489" s="15" t="n">
        <v>45891</v>
      </c>
      <c r="D489" s="346" t="n">
        <v>3315</v>
      </c>
      <c r="E489" s="333">
        <f>D489+D490</f>
        <v/>
      </c>
      <c r="G489" s="81" t="n">
        <v>2</v>
      </c>
      <c r="H489" s="75" t="inlineStr">
        <is>
          <t>MAP</t>
        </is>
      </c>
      <c r="I489" s="75" t="inlineStr">
        <is>
          <t>MAP 11 52 SPECIAL</t>
        </is>
      </c>
      <c r="J489" s="75" t="inlineStr">
        <is>
          <t>CFR</t>
        </is>
      </c>
      <c r="Q489" s="75" t="inlineStr">
        <is>
          <t>AMERIQUE LATINE</t>
        </is>
      </c>
      <c r="R489" s="75" t="inlineStr">
        <is>
          <t xml:space="preserve">BRASIL </t>
        </is>
      </c>
      <c r="S489" s="75" t="n"/>
      <c r="T489" s="75" t="inlineStr">
        <is>
          <t>INSPECTORATE</t>
        </is>
      </c>
      <c r="U489" s="81" t="n">
        <v>190</v>
      </c>
      <c r="V489" s="53">
        <f>IF(U489&lt;130, "Mini Bulker", IF(AND(U489&gt;=130, U489&lt;150), "Handysize", IF(AND(U489&gt;=150, U489&lt;200), "Handymax", IF(AND(U489&gt;=200, U489&lt;230), "Panamax", IF(AND(U489&gt;=230, U489&lt;=270), "Capesize", "Autre")))))</f>
        <v/>
      </c>
      <c r="X489" s="14">
        <f>IF(E489&lt;9999,"1",IF(E489&lt;19999,"2",IF(E489&lt;29999,"3",IF(E489&lt;39999,"4",IF(E489&lt;49999,"5",IF(E489&gt;50000,"6"))))))</f>
        <v/>
      </c>
      <c r="Y489" s="99" t="inlineStr">
        <is>
          <t>2N</t>
        </is>
      </c>
      <c r="AA489" s="26" t="n">
        <v>45883.625</v>
      </c>
      <c r="AB489" s="26" t="n">
        <v>45883.625</v>
      </c>
      <c r="AC489" s="15" t="n">
        <v>45880</v>
      </c>
      <c r="AD489" s="15" t="n">
        <v>45883</v>
      </c>
      <c r="AE489" s="26" t="n">
        <v>45882.86805555555</v>
      </c>
      <c r="AF489" s="26" t="n">
        <v>45885.73611111111</v>
      </c>
      <c r="AG489" s="26" t="n">
        <v>45885.86805555555</v>
      </c>
      <c r="AH489" s="26" t="n">
        <v>45885.88194444445</v>
      </c>
      <c r="AI489" s="26" t="n">
        <v>45886.59375</v>
      </c>
      <c r="AJ489" s="26" t="n">
        <v>45886.67361111111</v>
      </c>
      <c r="AK489" s="26" t="n">
        <v>45891.47222222222</v>
      </c>
      <c r="AL489" s="26" t="n">
        <v>45891.51388888889</v>
      </c>
      <c r="AM489" s="26" t="n">
        <v>45891.54861111111</v>
      </c>
      <c r="AN489" s="26" t="n">
        <v>45891.59722222222</v>
      </c>
      <c r="AO489" s="26" t="n">
        <v>45891.64652777778</v>
      </c>
      <c r="AP489" s="20">
        <f>(AG489-AF489)*1440</f>
        <v/>
      </c>
      <c r="AQ489" s="20">
        <f>(AG489-AE489)*1440</f>
        <v/>
      </c>
      <c r="AR489" s="20">
        <f>(AH489-AF489)*1440</f>
        <v/>
      </c>
      <c r="AS489" s="20">
        <f>(AI489-AH489)*1440</f>
        <v/>
      </c>
      <c r="AT489" s="20">
        <f>(AJ489-AH489)*1440</f>
        <v/>
      </c>
      <c r="AU489" s="20">
        <f>(AL489-AK489)*1440</f>
        <v/>
      </c>
      <c r="AV489" s="20">
        <f>(AM489-AL489)*1440</f>
        <v/>
      </c>
      <c r="AW489" s="20">
        <f>(AO489-AM489)*1440</f>
        <v/>
      </c>
      <c r="AX489" s="19">
        <f>AP489+AS489+AU489+AV489+AW489</f>
        <v/>
      </c>
      <c r="AY489" s="18">
        <f>(AG489-AA489)</f>
        <v/>
      </c>
      <c r="AZ489" s="18">
        <f>(AK489-AJ489)</f>
        <v/>
      </c>
      <c r="BA489" s="18">
        <f>AO489-AG489</f>
        <v/>
      </c>
      <c r="BB489" s="18">
        <f>(AO489-AA489)-(AP489/1440)-(AW489/1440)</f>
        <v/>
      </c>
      <c r="BC489" s="20">
        <f>E489/AZ489</f>
        <v/>
      </c>
      <c r="BE489" s="20">
        <f>IF(E489&lt;10000,3000,IF(E489&lt;15000,3600,IF(E489&lt;20000,4500,IF(E489&lt;25000,6000,IF(E489&lt;30000,7500,IF(E489&lt;40000,9000,IF(E489&gt;40000,10000)))))))</f>
        <v/>
      </c>
      <c r="BF489" s="334">
        <f>(E489/BE489)+2</f>
        <v/>
      </c>
      <c r="BS489" s="97" t="inlineStr">
        <is>
          <t>DEHALAGE 30 M VERS LA DIGUE LE 19/08 - 0015</t>
        </is>
      </c>
      <c r="BT489" s="97" t="n">
        <v>1</v>
      </c>
      <c r="BU489" s="97" t="inlineStr">
        <is>
          <t>NON CLEAN</t>
        </is>
      </c>
      <c r="BV489" s="97" t="inlineStr">
        <is>
          <t>WATER/HUMIDITY</t>
        </is>
      </c>
      <c r="BW489" s="332">
        <f>AI490-AH490</f>
        <v/>
      </c>
      <c r="CB489" s="14" t="n">
        <v>31540</v>
      </c>
    </row>
    <row r="490" ht="14.55" customHeight="1" s="70">
      <c r="A490" s="81" t="n"/>
      <c r="B490" s="343" t="inlineStr">
        <is>
          <t>ANGELINA THE GREAT N</t>
        </is>
      </c>
      <c r="C490" s="15" t="n">
        <v>45891</v>
      </c>
      <c r="D490" s="346" t="n">
        <v>42903</v>
      </c>
      <c r="E490" s="330" t="n"/>
      <c r="G490" s="81" t="n">
        <v>2</v>
      </c>
      <c r="H490" s="75" t="inlineStr">
        <is>
          <t>TSP</t>
        </is>
      </c>
      <c r="I490" s="75" t="inlineStr">
        <is>
          <t>TSP SPECIAL JORF</t>
        </is>
      </c>
      <c r="J490" s="75" t="inlineStr">
        <is>
          <t>CFR</t>
        </is>
      </c>
      <c r="Q490" s="75" t="inlineStr">
        <is>
          <t>AMERIQUE LATINE</t>
        </is>
      </c>
      <c r="R490" s="75" t="inlineStr">
        <is>
          <t xml:space="preserve">BRASIL </t>
        </is>
      </c>
      <c r="S490" s="75" t="n"/>
      <c r="T490" s="75" t="inlineStr">
        <is>
          <t>INSPECTORATE</t>
        </is>
      </c>
      <c r="U490" s="81" t="n">
        <v>190</v>
      </c>
      <c r="V490" s="53">
        <f>IF(U490&lt;130, "Mini Bulker", IF(AND(U490&gt;=130, U490&lt;150), "Handysize", IF(AND(U490&gt;=150, U490&lt;200), "Handymax", IF(AND(U490&gt;=200, U490&lt;230), "Panamax", IF(AND(U490&gt;=230, U490&lt;=270), "Capesize", "Autre")))))</f>
        <v/>
      </c>
      <c r="X490" s="14">
        <f>IF(E490&lt;9999,"1",IF(E490&lt;19999,"2",IF(E490&lt;29999,"3",IF(E490&lt;39999,"4",IF(E490&lt;49999,"5",IF(E490&gt;50000,"6"))))))</f>
        <v/>
      </c>
      <c r="Y490" s="99" t="inlineStr">
        <is>
          <t>2N</t>
        </is>
      </c>
      <c r="AA490" s="98" t="n"/>
      <c r="AB490" s="98" t="n"/>
      <c r="AC490" s="98" t="n"/>
      <c r="AD490" s="98" t="n"/>
      <c r="AE490" s="98" t="n"/>
      <c r="AF490" s="98" t="n"/>
      <c r="AG490" s="98" t="n"/>
      <c r="AH490" s="98" t="n"/>
      <c r="AI490" s="98" t="n"/>
      <c r="AJ490" s="98" t="n"/>
      <c r="AK490" s="98" t="n"/>
      <c r="AL490" s="98" t="n"/>
      <c r="AM490" s="98" t="n"/>
      <c r="AN490" s="98" t="n"/>
      <c r="AO490" s="98" t="n"/>
      <c r="AP490" s="98" t="n"/>
      <c r="AQ490" s="98" t="n"/>
      <c r="AR490" s="98" t="n"/>
      <c r="AS490" s="98" t="n"/>
      <c r="AT490" s="98" t="n"/>
      <c r="AU490" s="98" t="n"/>
      <c r="AV490" s="98" t="n"/>
      <c r="AW490" s="98" t="n"/>
      <c r="AX490" s="98" t="n"/>
      <c r="AY490" s="98" t="n"/>
      <c r="AZ490" s="98" t="n"/>
      <c r="BA490" s="98" t="n"/>
      <c r="BB490" s="98" t="n"/>
      <c r="BC490" s="98" t="n"/>
      <c r="BD490" s="98" t="n"/>
      <c r="BE490" s="98" t="n"/>
      <c r="BF490" s="98" t="n"/>
      <c r="BG490" s="98" t="n"/>
      <c r="BH490" s="98" t="n"/>
      <c r="BI490" s="98" t="n"/>
      <c r="BJ490" s="98" t="n"/>
      <c r="BK490" s="98" t="n"/>
      <c r="BL490" s="98" t="n"/>
      <c r="BM490" s="98" t="n"/>
      <c r="BN490" s="98" t="n"/>
      <c r="BO490" s="98" t="n"/>
      <c r="BP490" s="98" t="n"/>
      <c r="BQ490" s="98" t="n"/>
      <c r="BR490" s="98" t="n"/>
      <c r="BS490" s="97" t="n"/>
      <c r="BT490" s="97" t="n"/>
      <c r="BV490" s="97" t="n"/>
      <c r="BW490" s="332">
        <f>AI491-AH491</f>
        <v/>
      </c>
      <c r="CB490" s="14" t="n"/>
    </row>
    <row r="491" ht="14.55" customHeight="1" s="70">
      <c r="A491" s="81" t="n">
        <v>317</v>
      </c>
      <c r="B491" s="343" t="inlineStr">
        <is>
          <t>VALENTINA</t>
        </is>
      </c>
      <c r="C491" s="15" t="n">
        <v>45891</v>
      </c>
      <c r="D491" s="346" t="n">
        <v>4750</v>
      </c>
      <c r="E491" s="346" t="n">
        <v>4750</v>
      </c>
      <c r="G491" s="81" t="n">
        <v>1</v>
      </c>
      <c r="H491" s="75" t="inlineStr">
        <is>
          <t>MAP</t>
        </is>
      </c>
      <c r="I491" s="75" t="inlineStr">
        <is>
          <t xml:space="preserve">MAP 11 52 Special Low Cd </t>
        </is>
      </c>
      <c r="J491" s="75" t="inlineStr">
        <is>
          <t>FOB</t>
        </is>
      </c>
      <c r="Q491" s="75" t="inlineStr">
        <is>
          <t>EUROPE</t>
        </is>
      </c>
      <c r="R491" s="75" t="inlineStr">
        <is>
          <t>ITALY</t>
        </is>
      </c>
      <c r="S491" s="75" t="n"/>
      <c r="T491" s="75" t="inlineStr">
        <is>
          <t>INSPECTORATE</t>
        </is>
      </c>
      <c r="U491" s="81" t="n">
        <v>95</v>
      </c>
      <c r="V491" s="53">
        <f>IF(U491&lt;130, "Mini Bulker", IF(AND(U491&gt;=130, U491&lt;150), "Handysize", IF(AND(U491&gt;=150, U491&lt;200), "Handymax", IF(AND(U491&gt;=200, U491&lt;230), "Panamax", IF(AND(U491&gt;=230, U491&lt;=270), "Capesize", "Autre")))))</f>
        <v/>
      </c>
      <c r="X491" s="14">
        <f>IF(E491&lt;9999,"1",IF(E491&lt;19999,"2",IF(E491&lt;29999,"3",IF(E491&lt;39999,"4",IF(E491&lt;49999,"5",IF(E491&gt;50000,"6"))))))</f>
        <v/>
      </c>
      <c r="Y491" s="99" t="inlineStr">
        <is>
          <t>5/1BIS</t>
        </is>
      </c>
      <c r="AA491" s="26" t="n">
        <v>45881.63888888889</v>
      </c>
      <c r="AB491" s="26" t="n">
        <v>45881.63888888889</v>
      </c>
      <c r="AC491" s="15" t="n">
        <v>45885</v>
      </c>
      <c r="AD491" s="15" t="n">
        <v>45887</v>
      </c>
      <c r="AE491" s="26" t="n">
        <v>45881.63888888889</v>
      </c>
      <c r="AF491" s="26" t="n">
        <v>45882.52083333334</v>
      </c>
      <c r="AG491" s="26" t="n">
        <v>45882.625</v>
      </c>
      <c r="AH491" s="26" t="n">
        <v>45882.64236111111</v>
      </c>
      <c r="AI491" s="26" t="n">
        <v>45891.04513888889</v>
      </c>
      <c r="AJ491" s="26" t="n">
        <v>45891.05208333334</v>
      </c>
      <c r="AK491" s="26" t="n">
        <v>45891.5</v>
      </c>
      <c r="AL491" s="26" t="n">
        <v>45891.54166666666</v>
      </c>
      <c r="AM491" s="26" t="n">
        <v>45891.60069444445</v>
      </c>
      <c r="AN491" s="26" t="n">
        <v>45891.65555555555</v>
      </c>
      <c r="AO491" s="26" t="n">
        <v>45891.63194444445</v>
      </c>
      <c r="AP491" s="20">
        <f>(AG491-AF491)*1440</f>
        <v/>
      </c>
      <c r="AQ491" s="20">
        <f>(AG491-AE491)*1440</f>
        <v/>
      </c>
      <c r="AR491" s="20">
        <f>(AH491-AF491)*1440</f>
        <v/>
      </c>
      <c r="AS491" s="20">
        <f>(AI491-AH491)*1440</f>
        <v/>
      </c>
      <c r="AT491" s="20">
        <f>(AJ491-AH491)*1440</f>
        <v/>
      </c>
      <c r="AU491" s="20">
        <f>(AL491-AK491)*1440</f>
        <v/>
      </c>
      <c r="AV491" s="20">
        <f>(AM491-AL491)*1440</f>
        <v/>
      </c>
      <c r="AW491" s="20">
        <f>(AO491-AM491)*1440</f>
        <v/>
      </c>
      <c r="AX491" s="19">
        <f>AP491+AS491+AU491+AV491+AW491</f>
        <v/>
      </c>
      <c r="AY491" s="18">
        <f>(AG491-AA491)</f>
        <v/>
      </c>
      <c r="AZ491" s="18">
        <f>(AK491-AJ491)</f>
        <v/>
      </c>
      <c r="BA491" s="18">
        <f>AO491-AG491</f>
        <v/>
      </c>
      <c r="BB491" s="18">
        <f>(AO491-AA491)-(AP491/1440)-(AW491/1440)</f>
        <v/>
      </c>
      <c r="BC491" s="20">
        <f>E491/AZ491</f>
        <v/>
      </c>
      <c r="BE491" s="20">
        <f>IF(E491&lt;10000,3000,IF(E491&lt;15000,3600,IF(E491&lt;20000,4500,IF(E491&lt;25000,6000,IF(E491&lt;30000,7500,IF(E491&lt;40000,9000,IF(E491&gt;40000,10000)))))))</f>
        <v/>
      </c>
      <c r="BF491" s="334">
        <f>(E491/BE491)+2</f>
        <v/>
      </c>
      <c r="BS491" s="97" t="inlineStr">
        <is>
          <t>CHANGE DU POSTE 5 VERS LA RADE LE 15/08- 1528 // RE-ACCOSTAGE AU POSTE 1BIS LE 22/08- 0025</t>
        </is>
      </c>
      <c r="BT491" s="97" t="n">
        <v>2</v>
      </c>
      <c r="BV491" s="97" t="n"/>
      <c r="BW491" s="332">
        <f>AI492-AH492</f>
        <v/>
      </c>
      <c r="CB491" s="14" t="n">
        <v>2998</v>
      </c>
    </row>
    <row r="492" ht="15" customHeight="1" s="70">
      <c r="A492" s="81" t="n">
        <v>318</v>
      </c>
      <c r="B492" s="343" t="inlineStr">
        <is>
          <t>ARKLOW VALOUR</t>
        </is>
      </c>
      <c r="C492" s="15" t="n">
        <v>45892</v>
      </c>
      <c r="D492" s="346" t="n">
        <v>1650</v>
      </c>
      <c r="E492" s="346" t="n">
        <v>1650</v>
      </c>
      <c r="G492" s="81" t="n">
        <v>1</v>
      </c>
      <c r="H492" s="75" t="inlineStr">
        <is>
          <t>NPK</t>
        </is>
      </c>
      <c r="I492" s="75" t="inlineStr">
        <is>
          <t xml:space="preserve">NPK 15 15 15 Low Cd </t>
        </is>
      </c>
      <c r="J492" s="75" t="inlineStr">
        <is>
          <t>FOB</t>
        </is>
      </c>
      <c r="Q492" s="75" t="inlineStr">
        <is>
          <t>EUROPE</t>
        </is>
      </c>
      <c r="R492" s="75" t="inlineStr">
        <is>
          <t>UK</t>
        </is>
      </c>
      <c r="S492" s="75" t="n"/>
      <c r="T492" s="75" t="inlineStr">
        <is>
          <t>INSPECTORATE</t>
        </is>
      </c>
      <c r="U492" s="81" t="n">
        <v>87</v>
      </c>
      <c r="V492" s="53">
        <f>IF(U492&lt;130, "Mini Bulker", IF(AND(U492&gt;=130, U492&lt;150), "Handysize", IF(AND(U492&gt;=150, U492&lt;200), "Handymax", IF(AND(U492&gt;=200, U492&lt;230), "Panamax", IF(AND(U492&gt;=230, U492&lt;=270), "Capesize", "Autre")))))</f>
        <v/>
      </c>
      <c r="X492" s="14">
        <f>IF(E492&lt;9999,"1",IF(E492&lt;19999,"2",IF(E492&lt;29999,"3",IF(E492&lt;39999,"4",IF(E492&lt;49999,"5",IF(E492&gt;50000,"6"))))))</f>
        <v/>
      </c>
      <c r="Y492" s="99" t="inlineStr">
        <is>
          <t>1SUD</t>
        </is>
      </c>
      <c r="AA492" s="26" t="n">
        <v>45886.36805555555</v>
      </c>
      <c r="AB492" s="26" t="n">
        <v>45887.375</v>
      </c>
      <c r="AC492" s="15" t="n">
        <v>45885</v>
      </c>
      <c r="AD492" s="15" t="n">
        <v>45887</v>
      </c>
      <c r="AE492" s="26" t="n">
        <v>45886.36805555555</v>
      </c>
      <c r="AF492" s="26" t="n">
        <v>45891.34236111111</v>
      </c>
      <c r="AG492" s="26" t="n">
        <v>45891.42361111111</v>
      </c>
      <c r="AH492" s="26" t="n">
        <v>45891.43055555555</v>
      </c>
      <c r="AI492" s="26" t="n">
        <v>45891.68402777778</v>
      </c>
      <c r="AJ492" s="26" t="n">
        <v>45891.80208333334</v>
      </c>
      <c r="AK492" s="26" t="n">
        <v>45892.07291666666</v>
      </c>
      <c r="AL492" s="26" t="n">
        <v>45892.11458333334</v>
      </c>
      <c r="AM492" s="26" t="n">
        <v>45892.13541666666</v>
      </c>
      <c r="AN492" s="26" t="n">
        <v>45892.22916666666</v>
      </c>
      <c r="AO492" s="26" t="n">
        <v>45892.26388888889</v>
      </c>
      <c r="AP492" s="20">
        <f>(AG492-AF492)*1440</f>
        <v/>
      </c>
      <c r="AQ492" s="20">
        <f>(AG492-AE492)*1440</f>
        <v/>
      </c>
      <c r="AR492" s="20">
        <f>(AH492-AF492)*1440</f>
        <v/>
      </c>
      <c r="AS492" s="20">
        <f>(AI492-AH492)*1440</f>
        <v/>
      </c>
      <c r="AT492" s="20">
        <f>(AJ492-AH492)*1440</f>
        <v/>
      </c>
      <c r="AU492" s="20">
        <f>(AL492-AK492)*1440</f>
        <v/>
      </c>
      <c r="AV492" s="20">
        <f>(AM492-AL492)*1440</f>
        <v/>
      </c>
      <c r="AW492" s="20">
        <f>(AO492-AM492)*1440</f>
        <v/>
      </c>
      <c r="AX492" s="19">
        <f>AP492+AS492+AU492+AV492+AW492</f>
        <v/>
      </c>
      <c r="AY492" s="18">
        <f>(AG492-AA492)</f>
        <v/>
      </c>
      <c r="AZ492" s="18">
        <f>(AK492-AJ492)</f>
        <v/>
      </c>
      <c r="BA492" s="18">
        <f>AO492-AG492</f>
        <v/>
      </c>
      <c r="BB492" s="18">
        <f>(AO492-AA492)-(AP492/1440)-(AW492/1440)</f>
        <v/>
      </c>
      <c r="BC492" s="20">
        <f>E492/AZ492</f>
        <v/>
      </c>
      <c r="BE492" s="20">
        <f>IF(E492&lt;10000,3000,IF(E492&lt;15000,3600,IF(E492&lt;20000,4500,IF(E492&lt;25000,6000,IF(E492&lt;30000,7500,IF(E492&lt;40000,9000,IF(E492&gt;40000,10000)))))))</f>
        <v/>
      </c>
      <c r="BF492" s="334">
        <f>(E492/BE492)+2</f>
        <v/>
      </c>
      <c r="BS492" s="97" t="inlineStr">
        <is>
          <t>NUL</t>
        </is>
      </c>
      <c r="BT492" s="97" t="n">
        <v>0</v>
      </c>
      <c r="BU492" s="97" t="inlineStr">
        <is>
          <t>NON CLEAN</t>
        </is>
      </c>
      <c r="BV492" s="97" t="inlineStr">
        <is>
          <t>WATER/HUMIDITY</t>
        </is>
      </c>
      <c r="BW492" s="332">
        <f>AI493-AH493</f>
        <v/>
      </c>
      <c r="CB492" s="14" t="n">
        <v>2999</v>
      </c>
    </row>
    <row r="493">
      <c r="A493" s="81" t="n">
        <v>319</v>
      </c>
      <c r="B493" s="343" t="inlineStr">
        <is>
          <t>OSTRA</t>
        </is>
      </c>
      <c r="C493" s="15" t="n">
        <v>45892</v>
      </c>
      <c r="D493" s="346" t="n">
        <v>6000</v>
      </c>
      <c r="E493" s="346" t="n">
        <v>6000</v>
      </c>
      <c r="G493" s="81" t="n">
        <v>1</v>
      </c>
      <c r="H493" s="75" t="inlineStr">
        <is>
          <t>DAP</t>
        </is>
      </c>
      <c r="I493" s="75" t="inlineStr">
        <is>
          <t xml:space="preserve">DAP Euro Low Cd </t>
        </is>
      </c>
      <c r="J493" s="75" t="inlineStr">
        <is>
          <t>CFR</t>
        </is>
      </c>
      <c r="Q493" s="75" t="inlineStr">
        <is>
          <t>EUROPE</t>
        </is>
      </c>
      <c r="R493" s="75" t="inlineStr">
        <is>
          <t xml:space="preserve">Netherlands </t>
        </is>
      </c>
      <c r="S493" s="75" t="n"/>
      <c r="T493" s="75" t="inlineStr">
        <is>
          <t>INSPECTORATE</t>
        </is>
      </c>
      <c r="U493" s="81" t="n">
        <v>101</v>
      </c>
      <c r="V493" s="53">
        <f>IF(U493&lt;130, "Mini Bulker", IF(AND(U493&gt;=130, U493&lt;150), "Handysize", IF(AND(U493&gt;=150, U493&lt;200), "Handymax", IF(AND(U493&gt;=200, U493&lt;230), "Panamax", IF(AND(U493&gt;=230, U493&lt;=270), "Capesize", "Autre")))))</f>
        <v/>
      </c>
      <c r="X493" s="14">
        <f>IF(E493&lt;9999,"1",IF(E493&lt;19999,"2",IF(E493&lt;29999,"3",IF(E493&lt;39999,"4",IF(E493&lt;49999,"5",IF(E493&gt;50000,"6"))))))</f>
        <v/>
      </c>
      <c r="Y493" s="99" t="inlineStr">
        <is>
          <t>5/2BIS</t>
        </is>
      </c>
      <c r="AA493" s="26" t="n">
        <v>45890.375</v>
      </c>
      <c r="AB493" s="26" t="n">
        <v>45890.375</v>
      </c>
      <c r="AC493" s="15" t="n">
        <v>45885</v>
      </c>
      <c r="AD493" s="15" t="n">
        <v>45888</v>
      </c>
      <c r="AE493" s="26" t="n">
        <v>45890.375</v>
      </c>
      <c r="AF493" s="26" t="n">
        <v>45890.79583333333</v>
      </c>
      <c r="AG493" s="26" t="n">
        <v>45890.90972222222</v>
      </c>
      <c r="AH493" s="26" t="n">
        <v>45890.93055555555</v>
      </c>
      <c r="AI493" s="26" t="n">
        <v>45891.47222222222</v>
      </c>
      <c r="AJ493" s="26" t="n">
        <v>45891.51388888889</v>
      </c>
      <c r="AK493" s="26" t="n">
        <v>45892.49652777778</v>
      </c>
      <c r="AL493" s="26" t="n">
        <v>45892.52083333334</v>
      </c>
      <c r="AM493" s="26" t="n">
        <v>45892.53125</v>
      </c>
      <c r="AN493" s="26" t="n">
        <v>45892.57430555556</v>
      </c>
      <c r="AO493" s="26" t="n">
        <v>45892.63541666666</v>
      </c>
      <c r="AP493" s="20">
        <f>(AG493-AF493)*1440</f>
        <v/>
      </c>
      <c r="AQ493" s="20">
        <f>(AG493-AE493)*1440</f>
        <v/>
      </c>
      <c r="AR493" s="20">
        <f>(AH493-AF493)*1440</f>
        <v/>
      </c>
      <c r="AS493" s="20">
        <f>(AI493-AH493)*1440</f>
        <v/>
      </c>
      <c r="AT493" s="20">
        <f>(AJ493-AH493)*1440</f>
        <v/>
      </c>
      <c r="AU493" s="20">
        <f>(AL493-AK493)*1440</f>
        <v/>
      </c>
      <c r="AV493" s="20">
        <f>(AM493-AL493)*1440</f>
        <v/>
      </c>
      <c r="AW493" s="20">
        <f>(AO493-AM493)*1440</f>
        <v/>
      </c>
      <c r="AX493" s="19">
        <f>AP493+AS493+AU493+AV493+AW493</f>
        <v/>
      </c>
      <c r="AY493" s="18">
        <f>(AG493-AA493)</f>
        <v/>
      </c>
      <c r="AZ493" s="18">
        <f>(AK493-AJ493)</f>
        <v/>
      </c>
      <c r="BA493" s="18">
        <f>AO493-AG493</f>
        <v/>
      </c>
      <c r="BB493" s="18">
        <f>(AO493-AA493)-(AP493/1440)-(AW493/1440)</f>
        <v/>
      </c>
      <c r="BC493" s="20">
        <f>E493/AZ493</f>
        <v/>
      </c>
      <c r="BE493" s="20">
        <f>IF(E493&lt;10000,3000,IF(E493&lt;15000,3600,IF(E493&lt;20000,4500,IF(E493&lt;25000,6000,IF(E493&lt;30000,7500,IF(E493&lt;40000,9000,IF(E493&gt;40000,10000)))))))</f>
        <v/>
      </c>
      <c r="BF493" s="334">
        <f>(E493/BE493)+2</f>
        <v/>
      </c>
      <c r="BS493" s="97" t="inlineStr">
        <is>
          <t>CHANGE DU POSTE 5 AU POSTE 2BIS LE 22/08- 0300</t>
        </is>
      </c>
      <c r="BT493" s="97" t="n">
        <v>1</v>
      </c>
      <c r="BU493" s="97" t="inlineStr">
        <is>
          <t>CLEAN</t>
        </is>
      </c>
      <c r="BV493" s="97" t="inlineStr">
        <is>
          <t>NUL</t>
        </is>
      </c>
      <c r="BW493" s="332">
        <f>AI494-AH494</f>
        <v/>
      </c>
      <c r="CB493" s="14" t="n">
        <v>4422</v>
      </c>
    </row>
    <row r="494" ht="14.55" customHeight="1" s="70">
      <c r="A494" s="81" t="n">
        <v>320</v>
      </c>
      <c r="B494" s="343" t="inlineStr">
        <is>
          <t>KOUROS GLORY</t>
        </is>
      </c>
      <c r="C494" s="15" t="n">
        <v>45892</v>
      </c>
      <c r="D494" s="346" t="n">
        <v>15045</v>
      </c>
      <c r="E494" s="346">
        <f>D494+D495+D496</f>
        <v/>
      </c>
      <c r="G494" s="81" t="n">
        <v>3</v>
      </c>
      <c r="H494" s="75" t="inlineStr">
        <is>
          <t>DAP</t>
        </is>
      </c>
      <c r="I494" s="75" t="inlineStr">
        <is>
          <t xml:space="preserve">DAP ZAMBIA </t>
        </is>
      </c>
      <c r="J494" s="75" t="inlineStr">
        <is>
          <t>CFR</t>
        </is>
      </c>
      <c r="Q494" s="75" t="inlineStr">
        <is>
          <t>AFRIQUE</t>
        </is>
      </c>
      <c r="R494" s="75" t="inlineStr">
        <is>
          <t>NAMIBIA</t>
        </is>
      </c>
      <c r="S494" s="75" t="n"/>
      <c r="T494" s="75" t="inlineStr">
        <is>
          <t>INTERTEK</t>
        </is>
      </c>
      <c r="U494" s="81" t="n">
        <v>109</v>
      </c>
      <c r="V494" s="53">
        <f>IF(U494&lt;130, "Mini Bulker", IF(AND(U494&gt;=130, U494&lt;150), "Handysize", IF(AND(U494&gt;=150, U494&lt;200), "Handymax", IF(AND(U494&gt;=200, U494&lt;230), "Panamax", IF(AND(U494&gt;=230, U494&lt;=270), "Capesize", "Autre")))))</f>
        <v/>
      </c>
      <c r="X494" s="14">
        <f>IF(E494&lt;9999,"1",IF(E494&lt;19999,"2",IF(E494&lt;29999,"3",IF(E494&lt;39999,"4",IF(E494&lt;49999,"5",IF(E494&gt;50000,"6"))))))</f>
        <v/>
      </c>
      <c r="Y494" s="99" t="inlineStr">
        <is>
          <t>2BIS/2TER/2N</t>
        </is>
      </c>
      <c r="AA494" s="26" t="n">
        <v>45886.77916666667</v>
      </c>
      <c r="AB494" s="26" t="n">
        <v>45887.375</v>
      </c>
      <c r="AC494" s="15" t="n">
        <v>45885</v>
      </c>
      <c r="AD494" s="15" t="n">
        <v>45888</v>
      </c>
      <c r="AE494" s="26" t="n">
        <v>45886.75694444445</v>
      </c>
      <c r="AF494" s="26" t="n">
        <v>45886.94097222222</v>
      </c>
      <c r="AG494" s="26" t="n">
        <v>45887.03333333333</v>
      </c>
      <c r="AH494" s="26" t="n">
        <v>45887.05555555555</v>
      </c>
      <c r="AI494" s="26" t="n">
        <v>45887.11805555555</v>
      </c>
      <c r="AJ494" s="26" t="n">
        <v>45887.21527777778</v>
      </c>
      <c r="AK494" s="26" t="n">
        <v>45892.74652777778</v>
      </c>
      <c r="AL494" s="26" t="n">
        <v>45892.77986111111</v>
      </c>
      <c r="AM494" s="26" t="n">
        <v>45892.79861111111</v>
      </c>
      <c r="AN494" s="26" t="n">
        <v>45892.85416666666</v>
      </c>
      <c r="AO494" s="26" t="n">
        <v>45892.87222222222</v>
      </c>
      <c r="AP494" s="20">
        <f>(AG494-AF494)*1440</f>
        <v/>
      </c>
      <c r="AQ494" s="20">
        <f>(AG494-AE494)*1440</f>
        <v/>
      </c>
      <c r="AR494" s="20">
        <f>(AH494-AF494)*1440</f>
        <v/>
      </c>
      <c r="AS494" s="20">
        <f>(AI494-AH494)*1440</f>
        <v/>
      </c>
      <c r="AT494" s="20">
        <f>(AJ494-AH494)*1440</f>
        <v/>
      </c>
      <c r="AU494" s="20">
        <f>(AL494-AK494)*1440</f>
        <v/>
      </c>
      <c r="AV494" s="20">
        <f>(AM494-AL494)*1440</f>
        <v/>
      </c>
      <c r="AW494" s="20">
        <f>(AO494-AM494)*1440</f>
        <v/>
      </c>
      <c r="AX494" s="19">
        <f>AP494+AS494+AU494+AV494+AW494</f>
        <v/>
      </c>
      <c r="AY494" s="18">
        <f>(AG494-AA494)</f>
        <v/>
      </c>
      <c r="AZ494" s="18">
        <f>(AK494-AJ494)</f>
        <v/>
      </c>
      <c r="BA494" s="18">
        <f>AO494-AG494</f>
        <v/>
      </c>
      <c r="BB494" s="18">
        <f>(AO494-AA494)-(AP494/1440)-(AW494/1440)</f>
        <v/>
      </c>
      <c r="BC494" s="20">
        <f>E494/AZ494</f>
        <v/>
      </c>
      <c r="BE494" s="20">
        <f>IF(E494&lt;10000,3000,IF(E494&lt;15000,3600,IF(E494&lt;20000,4500,IF(E494&lt;25000,6000,IF(E494&lt;30000,7500,IF(E494&lt;40000,9000,IF(E494&gt;40000,10000)))))))</f>
        <v/>
      </c>
      <c r="BF494" s="334">
        <f>(E494/BE494)+2</f>
        <v/>
      </c>
      <c r="BS494" s="97" t="inlineStr">
        <is>
          <t>CHANGE DU POSTE 2BIS VERS POSTE 2TER LE 19/08 - 0000 // CHANGE DU POSTE 2TER VERS LA RADE LE 21/08- 2300 // RE-ACCOSTAGE AU POSTE 2N LE 22/08- 1700</t>
        </is>
      </c>
      <c r="BT494" s="97" t="n">
        <v>3</v>
      </c>
      <c r="BU494" s="97" t="n"/>
      <c r="BV494" s="97" t="n"/>
      <c r="BW494" s="332">
        <f>AI495-AH495</f>
        <v/>
      </c>
      <c r="CB494" s="14" t="n">
        <v>31246</v>
      </c>
    </row>
    <row r="495" ht="14.55" customHeight="1" s="70">
      <c r="B495" s="343" t="inlineStr">
        <is>
          <t>KOUROS GLORY</t>
        </is>
      </c>
      <c r="C495" s="15" t="n">
        <v>45892</v>
      </c>
      <c r="D495" s="346" t="n">
        <v>15042</v>
      </c>
      <c r="E495" s="330" t="n"/>
      <c r="G495" s="81" t="n">
        <v>3</v>
      </c>
      <c r="H495" s="75" t="inlineStr">
        <is>
          <t>MAP</t>
        </is>
      </c>
      <c r="I495" s="75" t="inlineStr">
        <is>
          <t xml:space="preserve">MAP 12 52 ZAMBIA </t>
        </is>
      </c>
      <c r="J495" s="75" t="inlineStr">
        <is>
          <t>CFR</t>
        </is>
      </c>
      <c r="Q495" s="75" t="inlineStr">
        <is>
          <t>AFRIQUE</t>
        </is>
      </c>
      <c r="R495" s="75" t="inlineStr">
        <is>
          <t>NAMIBIA</t>
        </is>
      </c>
      <c r="S495" s="75" t="n"/>
      <c r="T495" s="75" t="inlineStr">
        <is>
          <t>INTERTEK</t>
        </is>
      </c>
      <c r="U495" s="81" t="n">
        <v>109</v>
      </c>
      <c r="V495" s="53">
        <f>IF(U495&lt;130, "Mini Bulker", IF(AND(U495&gt;=130, U495&lt;150), "Handysize", IF(AND(U495&gt;=150, U495&lt;200), "Handymax", IF(AND(U495&gt;=200, U495&lt;230), "Panamax", IF(AND(U495&gt;=230, U495&lt;=270), "Capesize", "Autre")))))</f>
        <v/>
      </c>
      <c r="X495" s="14">
        <f>IF(E495&lt;9999,"1",IF(E495&lt;19999,"2",IF(E495&lt;29999,"3",IF(E495&lt;39999,"4",IF(E495&lt;49999,"5",IF(E495&gt;50000,"6"))))))</f>
        <v/>
      </c>
      <c r="Y495" s="99" t="inlineStr">
        <is>
          <t>2BIS/2TER/2N</t>
        </is>
      </c>
      <c r="AA495" s="98" t="n"/>
      <c r="AB495" s="98" t="n"/>
      <c r="AC495" s="98" t="n"/>
      <c r="AD495" s="98" t="n"/>
      <c r="AE495" s="98" t="n"/>
      <c r="AF495" s="98" t="n"/>
      <c r="AG495" s="98" t="n"/>
      <c r="AH495" s="98" t="n"/>
      <c r="AI495" s="98" t="n"/>
      <c r="AJ495" s="98" t="n"/>
      <c r="AK495" s="98" t="n"/>
      <c r="AL495" s="98" t="n"/>
      <c r="AM495" s="98" t="n"/>
      <c r="AN495" s="98" t="n"/>
      <c r="AO495" s="98" t="n"/>
      <c r="AP495" s="98" t="n"/>
      <c r="AQ495" s="98" t="n"/>
      <c r="AR495" s="98" t="n"/>
      <c r="AS495" s="98" t="n"/>
      <c r="AT495" s="98" t="n"/>
      <c r="AU495" s="98" t="n"/>
      <c r="AV495" s="98" t="n"/>
      <c r="AW495" s="98" t="n"/>
      <c r="AX495" s="98" t="n"/>
      <c r="AY495" s="98" t="n"/>
      <c r="AZ495" s="98" t="n"/>
      <c r="BA495" s="98" t="n"/>
      <c r="BB495" s="98" t="n"/>
      <c r="BC495" s="98" t="n"/>
      <c r="BD495" s="98" t="n"/>
      <c r="BE495" s="98" t="n"/>
      <c r="BF495" s="98" t="n"/>
      <c r="BG495" s="98" t="n"/>
      <c r="BH495" s="98" t="n"/>
      <c r="BI495" s="98" t="n"/>
      <c r="BJ495" s="98" t="n"/>
      <c r="BK495" s="98" t="n"/>
      <c r="BL495" s="98" t="n"/>
      <c r="BM495" s="98" t="n"/>
      <c r="BN495" s="98" t="n"/>
      <c r="BO495" s="98" t="n"/>
      <c r="BP495" s="98" t="n"/>
      <c r="BQ495" s="98" t="n"/>
      <c r="BR495" s="98" t="n"/>
      <c r="BS495" s="97" t="n"/>
      <c r="BU495" s="97" t="n"/>
      <c r="BV495" s="97" t="n"/>
      <c r="BW495" s="332">
        <f>AI496-AH496</f>
        <v/>
      </c>
      <c r="CB495" s="14" t="n"/>
    </row>
    <row r="496" ht="14.55" customHeight="1" s="70">
      <c r="B496" s="343" t="inlineStr">
        <is>
          <t>KOUROS GLORY</t>
        </is>
      </c>
      <c r="C496" s="15" t="n">
        <v>45892</v>
      </c>
      <c r="D496" s="346" t="n">
        <v>11000</v>
      </c>
      <c r="E496" s="330" t="n"/>
      <c r="G496" s="81" t="n">
        <v>3</v>
      </c>
      <c r="H496" s="75" t="inlineStr">
        <is>
          <t>TSP</t>
        </is>
      </c>
      <c r="I496" s="75" t="inlineStr">
        <is>
          <t xml:space="preserve">TSP-JORF </t>
        </is>
      </c>
      <c r="J496" s="75" t="inlineStr">
        <is>
          <t>CFR</t>
        </is>
      </c>
      <c r="Q496" s="75" t="inlineStr">
        <is>
          <t>AFRIQUE</t>
        </is>
      </c>
      <c r="R496" s="75" t="inlineStr">
        <is>
          <t>NAMIBIA</t>
        </is>
      </c>
      <c r="S496" s="75" t="n"/>
      <c r="T496" s="75" t="inlineStr">
        <is>
          <t>INTERTEK</t>
        </is>
      </c>
      <c r="U496" s="81" t="n">
        <v>109</v>
      </c>
      <c r="V496" s="53">
        <f>IF(U496&lt;130, "Mini Bulker", IF(AND(U496&gt;=130, U496&lt;150), "Handysize", IF(AND(U496&gt;=150, U496&lt;200), "Handymax", IF(AND(U496&gt;=200, U496&lt;230), "Panamax", IF(AND(U496&gt;=230, U496&lt;=270), "Capesize", "Autre")))))</f>
        <v/>
      </c>
      <c r="X496" s="14">
        <f>IF(E496&lt;9999,"1",IF(E496&lt;19999,"2",IF(E496&lt;29999,"3",IF(E496&lt;39999,"4",IF(E496&lt;49999,"5",IF(E496&gt;50000,"6"))))))</f>
        <v/>
      </c>
      <c r="Y496" s="99" t="inlineStr">
        <is>
          <t>2BIS/2TER/2N</t>
        </is>
      </c>
      <c r="AA496" s="98" t="n"/>
      <c r="AB496" s="98" t="n"/>
      <c r="AC496" s="98" t="n"/>
      <c r="AD496" s="98" t="n"/>
      <c r="AE496" s="98" t="n"/>
      <c r="AF496" s="98" t="n"/>
      <c r="AG496" s="98" t="n"/>
      <c r="AH496" s="98" t="n"/>
      <c r="AI496" s="98" t="n"/>
      <c r="AJ496" s="98" t="n"/>
      <c r="AK496" s="98" t="n"/>
      <c r="AL496" s="98" t="n"/>
      <c r="AM496" s="98" t="n"/>
      <c r="AN496" s="98" t="n"/>
      <c r="AO496" s="98" t="n"/>
      <c r="AP496" s="98" t="n"/>
      <c r="AQ496" s="98" t="n"/>
      <c r="AR496" s="98" t="n"/>
      <c r="AS496" s="98" t="n"/>
      <c r="AT496" s="98" t="n"/>
      <c r="AU496" s="98" t="n"/>
      <c r="AV496" s="98" t="n"/>
      <c r="AW496" s="98" t="n"/>
      <c r="AX496" s="98" t="n"/>
      <c r="AY496" s="98" t="n"/>
      <c r="AZ496" s="98" t="n"/>
      <c r="BA496" s="98" t="n"/>
      <c r="BB496" s="98" t="n"/>
      <c r="BC496" s="98" t="n"/>
      <c r="BD496" s="98" t="n"/>
      <c r="BE496" s="98" t="n"/>
      <c r="BF496" s="98" t="n"/>
      <c r="BG496" s="98" t="n"/>
      <c r="BH496" s="98" t="n"/>
      <c r="BI496" s="98" t="n"/>
      <c r="BJ496" s="98" t="n"/>
      <c r="BK496" s="98" t="n"/>
      <c r="BL496" s="98" t="n"/>
      <c r="BM496" s="98" t="n"/>
      <c r="BN496" s="98" t="n"/>
      <c r="BO496" s="98" t="n"/>
      <c r="BP496" s="98" t="n"/>
      <c r="BQ496" s="98" t="n"/>
      <c r="BR496" s="98" t="n"/>
      <c r="BS496" s="97" t="n"/>
      <c r="BU496" s="97" t="n"/>
      <c r="BV496" s="97" t="n"/>
      <c r="BW496" s="332">
        <f>AI497-AH497</f>
        <v/>
      </c>
      <c r="CB496" s="14" t="n"/>
    </row>
    <row r="497">
      <c r="A497" s="81" t="n">
        <v>321</v>
      </c>
      <c r="B497" s="343" t="inlineStr">
        <is>
          <t>CELINA</t>
        </is>
      </c>
      <c r="C497" s="15" t="n">
        <v>45893</v>
      </c>
      <c r="D497" s="346" t="n">
        <v>5500</v>
      </c>
      <c r="E497" s="346" t="n">
        <v>5500</v>
      </c>
      <c r="G497" s="81" t="n">
        <v>1</v>
      </c>
      <c r="H497" s="75" t="inlineStr">
        <is>
          <t>NPK</t>
        </is>
      </c>
      <c r="I497" s="75" t="inlineStr">
        <is>
          <t xml:space="preserve">NPK 15 15 15 Low Cd </t>
        </is>
      </c>
      <c r="J497" s="75" t="inlineStr">
        <is>
          <t>CFR</t>
        </is>
      </c>
      <c r="Q497" s="75" t="inlineStr">
        <is>
          <t>EUROPE</t>
        </is>
      </c>
      <c r="R497" s="75" t="inlineStr">
        <is>
          <t>France</t>
        </is>
      </c>
      <c r="S497" s="75" t="n"/>
      <c r="T497" s="75" t="inlineStr">
        <is>
          <t>INSPECTORATE</t>
        </is>
      </c>
      <c r="U497" s="81" t="n"/>
      <c r="V497" s="53" t="n"/>
      <c r="X497" s="14">
        <f>IF(E497&lt;9999,"1",IF(E497&lt;19999,"2",IF(E497&lt;29999,"3",IF(E497&lt;39999,"4",IF(E497&lt;49999,"5",IF(E497&gt;50000,"6"))))))</f>
        <v/>
      </c>
      <c r="Y497" s="99" t="inlineStr">
        <is>
          <t>2TER</t>
        </is>
      </c>
      <c r="AA497" s="26" t="n">
        <v>45887.16666666666</v>
      </c>
      <c r="AB497" s="26" t="n">
        <v>45887.375</v>
      </c>
      <c r="AC497" s="15" t="n">
        <v>45885</v>
      </c>
      <c r="AD497" s="15" t="n">
        <v>45887</v>
      </c>
      <c r="AE497" s="26" t="n">
        <v>45887.16666666666</v>
      </c>
      <c r="AF497" s="26" t="n">
        <v>45891.63194444445</v>
      </c>
      <c r="AG497" s="26" t="n">
        <v>45891.76736111111</v>
      </c>
      <c r="AH497" s="26" t="n">
        <v>45891.77777777778</v>
      </c>
      <c r="AI497" s="26" t="n">
        <v>45892.40277777778</v>
      </c>
      <c r="AJ497" s="26" t="n">
        <v>45892.53819444445</v>
      </c>
      <c r="AK497" s="26" t="n">
        <v>45893.04513888889</v>
      </c>
      <c r="AL497" s="26" t="n">
        <v>45893.09722222222</v>
      </c>
      <c r="AM497" s="26" t="n">
        <v>45893.125</v>
      </c>
      <c r="AN497" s="26" t="n">
        <v>45893.22916666666</v>
      </c>
      <c r="AO497" s="26" t="n">
        <v>45893.23263888889</v>
      </c>
      <c r="AP497" s="20">
        <f>(AG497-AF497)*1440</f>
        <v/>
      </c>
      <c r="AQ497" s="20">
        <f>(AG497-AE497)*1440</f>
        <v/>
      </c>
      <c r="AR497" s="20">
        <f>(AH497-AF497)*1440</f>
        <v/>
      </c>
      <c r="AS497" s="20">
        <f>(AI497-AH497)*1440</f>
        <v/>
      </c>
      <c r="AT497" s="20">
        <f>(AJ497-AH497)*1440</f>
        <v/>
      </c>
      <c r="AU497" s="20">
        <f>(AL497-AK497)*1440</f>
        <v/>
      </c>
      <c r="AV497" s="20">
        <f>(AM497-AL497)*1440</f>
        <v/>
      </c>
      <c r="AW497" s="20">
        <f>(AO497-AM497)*1440</f>
        <v/>
      </c>
      <c r="AX497" s="19">
        <f>AP497+AS497+AU497+AV497+AW497</f>
        <v/>
      </c>
      <c r="AY497" s="18">
        <f>(AG497-AA497)</f>
        <v/>
      </c>
      <c r="AZ497" s="18">
        <f>(AK497-AJ497)</f>
        <v/>
      </c>
      <c r="BA497" s="18">
        <f>AO497-AG497</f>
        <v/>
      </c>
      <c r="BB497" s="18">
        <f>(AO497-AA497)-(AP497/1440)-(AW497/1440)</f>
        <v/>
      </c>
      <c r="BC497" s="20">
        <f>E497/AZ497</f>
        <v/>
      </c>
      <c r="BE497" s="20">
        <f>IF(E497&lt;10000,3000,IF(E497&lt;15000,3600,IF(E497&lt;20000,4500,IF(E497&lt;25000,6000,IF(E497&lt;30000,7500,IF(E497&lt;40000,9000,IF(E497&gt;40000,10000)))))))</f>
        <v/>
      </c>
      <c r="BF497" s="334">
        <f>(E497/BE497)+2</f>
        <v/>
      </c>
      <c r="BS497" s="97" t="inlineStr">
        <is>
          <t>NUL</t>
        </is>
      </c>
      <c r="BT497" s="242" t="n">
        <v>0</v>
      </c>
      <c r="BU497" s="97" t="inlineStr">
        <is>
          <t>NON CLEAN</t>
        </is>
      </c>
      <c r="BV497" s="97" t="inlineStr">
        <is>
          <t>WATER/HUMIDITY/CONDENSATION</t>
        </is>
      </c>
      <c r="BW497" s="332">
        <f>AI498-AH498</f>
        <v/>
      </c>
      <c r="CB497" s="14" t="n"/>
    </row>
    <row r="498" ht="14.55" customHeight="1" s="70">
      <c r="A498" s="81" t="n">
        <v>322</v>
      </c>
      <c r="B498" s="343" t="inlineStr">
        <is>
          <t>ATLANTIC ISLAND</t>
        </is>
      </c>
      <c r="C498" s="15" t="n">
        <v>45893</v>
      </c>
      <c r="D498" s="346" t="n">
        <v>4743</v>
      </c>
      <c r="E498" s="346" t="n">
        <v>4743</v>
      </c>
      <c r="G498" s="81" t="n">
        <v>1</v>
      </c>
      <c r="H498" s="75" t="inlineStr">
        <is>
          <t>MAP</t>
        </is>
      </c>
      <c r="I498" s="75" t="inlineStr">
        <is>
          <t xml:space="preserve">MAP 11 52 Special Low Cd </t>
        </is>
      </c>
      <c r="J498" s="75" t="inlineStr">
        <is>
          <t>CFR</t>
        </is>
      </c>
      <c r="Q498" s="75" t="inlineStr">
        <is>
          <t>EUROPE</t>
        </is>
      </c>
      <c r="R498" s="75" t="inlineStr">
        <is>
          <t>Espagne</t>
        </is>
      </c>
      <c r="S498" s="75" t="n"/>
      <c r="T498" s="75" t="inlineStr">
        <is>
          <t>INSPECTORATE</t>
        </is>
      </c>
      <c r="U498" s="81" t="n">
        <v>180</v>
      </c>
      <c r="V498" s="53">
        <f>IF(U498&lt;130, "Mini Bulker", IF(AND(U498&gt;=130, U498&lt;150), "Handysize", IF(AND(U498&gt;=150, U498&lt;200), "Handymax", IF(AND(U498&gt;=200, U498&lt;230), "Panamax", IF(AND(U498&gt;=230, U498&lt;=270), "Capesize", "Autre")))))</f>
        <v/>
      </c>
      <c r="X498" s="14">
        <f>IF(E498&lt;9999,"1",IF(E498&lt;19999,"2",IF(E498&lt;29999,"3",IF(E498&lt;39999,"4",IF(E498&lt;49999,"5",IF(E498&gt;50000,"6"))))))</f>
        <v/>
      </c>
      <c r="Y498" s="99" t="inlineStr">
        <is>
          <t>1SUD/2N</t>
        </is>
      </c>
      <c r="AA498" s="26" t="n">
        <v>45881.66666666666</v>
      </c>
      <c r="AB498" s="26" t="n">
        <v>45881.66666666666</v>
      </c>
      <c r="AC498" s="15" t="n">
        <v>45883</v>
      </c>
      <c r="AD498" s="15" t="n">
        <v>45885</v>
      </c>
      <c r="AE498" s="26" t="n">
        <v>45881.66666666666</v>
      </c>
      <c r="AF498" s="26" t="n">
        <v>45892.26388888889</v>
      </c>
      <c r="AG498" s="26" t="n">
        <v>45892.29166666666</v>
      </c>
      <c r="AH498" s="26" t="n">
        <v>45892.29861111111</v>
      </c>
      <c r="AI498" s="26" t="n">
        <v>45892.54861111111</v>
      </c>
      <c r="AJ498" s="26" t="n">
        <v>45892.92708333334</v>
      </c>
      <c r="AK498" s="26" t="n">
        <v>45893.54166666666</v>
      </c>
      <c r="AL498" s="26" t="n">
        <v>45893.58333333334</v>
      </c>
      <c r="AM498" s="26" t="n">
        <v>45893.625</v>
      </c>
      <c r="AN498" s="26" t="n">
        <v>45893.67569444444</v>
      </c>
      <c r="AO498" s="26" t="n">
        <v>45893.6875</v>
      </c>
      <c r="AP498" s="20">
        <f>(AG498-AF498)*1440</f>
        <v/>
      </c>
      <c r="AQ498" s="20">
        <f>(AG498-AE498)*1440</f>
        <v/>
      </c>
      <c r="AR498" s="20">
        <f>(AH498-AF498)*1440</f>
        <v/>
      </c>
      <c r="AS498" s="20">
        <f>(AI498-AH498)*1440</f>
        <v/>
      </c>
      <c r="AT498" s="20">
        <f>(AJ498-AH498)*1440</f>
        <v/>
      </c>
      <c r="AU498" s="20">
        <f>(AL498-AK498)*1440</f>
        <v/>
      </c>
      <c r="AV498" s="20">
        <f>(AM498-AL498)*1440</f>
        <v/>
      </c>
      <c r="AW498" s="20">
        <f>(AO498-AM498)*1440</f>
        <v/>
      </c>
      <c r="AX498" s="19">
        <f>AP498+AS498+AU498+AV498+AW498</f>
        <v/>
      </c>
      <c r="AY498" s="18">
        <f>(AG498-AA498)</f>
        <v/>
      </c>
      <c r="AZ498" s="18">
        <f>(AK498-AJ498)</f>
        <v/>
      </c>
      <c r="BA498" s="18">
        <f>AO498-AG498</f>
        <v/>
      </c>
      <c r="BB498" s="18">
        <f>(AO498-AA498)-(AP498/1440)-(AW498/1440)</f>
        <v/>
      </c>
      <c r="BC498" s="20">
        <f>E498/AZ498</f>
        <v/>
      </c>
      <c r="BE498" s="20">
        <f>IF(E498&lt;10000,3000,IF(E498&lt;15000,3600,IF(E498&lt;20000,4500,IF(E498&lt;25000,6000,IF(E498&lt;30000,7500,IF(E498&lt;40000,9000,IF(E498&gt;40000,10000)))))))</f>
        <v/>
      </c>
      <c r="BF498" s="334">
        <f>(E498/BE498)+2</f>
        <v/>
      </c>
      <c r="BS498" s="97" t="inlineStr">
        <is>
          <t>CHANGE DU POSTE 1SUD  VERS POSTE 2N LE 23/08- 2140</t>
        </is>
      </c>
      <c r="BT498" s="242" t="n">
        <v>1</v>
      </c>
      <c r="BU498" s="97" t="inlineStr">
        <is>
          <t>NON CLEAN</t>
        </is>
      </c>
      <c r="BV498" s="97" t="inlineStr">
        <is>
          <t>WATER/HUMIDITY</t>
        </is>
      </c>
      <c r="BW498" s="332">
        <f>AI499-AH499</f>
        <v/>
      </c>
      <c r="CB498" s="14" t="n">
        <v>21441</v>
      </c>
    </row>
    <row r="499" ht="14.55" customHeight="1" s="70">
      <c r="A499" s="81" t="n">
        <v>323</v>
      </c>
      <c r="B499" s="343" t="inlineStr">
        <is>
          <t>SYRENA</t>
        </is>
      </c>
      <c r="C499" s="15" t="n">
        <v>45893</v>
      </c>
      <c r="D499" s="346" t="n">
        <v>4400</v>
      </c>
      <c r="E499" s="346" t="n">
        <v>4400</v>
      </c>
      <c r="G499" s="81" t="n">
        <v>1</v>
      </c>
      <c r="H499" s="75" t="inlineStr">
        <is>
          <t>DAP</t>
        </is>
      </c>
      <c r="I499" s="75" t="inlineStr">
        <is>
          <t xml:space="preserve">DAP Euro Low Cd </t>
        </is>
      </c>
      <c r="J499" s="75" t="inlineStr">
        <is>
          <t>CFR</t>
        </is>
      </c>
      <c r="Q499" s="75" t="inlineStr">
        <is>
          <t>EUROPE</t>
        </is>
      </c>
      <c r="R499" s="75" t="inlineStr">
        <is>
          <t>PORTUGAL</t>
        </is>
      </c>
      <c r="T499" s="75" t="inlineStr">
        <is>
          <t>INSPECTORATE</t>
        </is>
      </c>
      <c r="U499" s="81" t="n">
        <v>90</v>
      </c>
      <c r="V499" s="53">
        <f>IF(U499&lt;130, "Mini Bulker", IF(AND(U499&gt;=130, U499&lt;150), "Handysize", IF(AND(U499&gt;=150, U499&lt;200), "Handymax", IF(AND(U499&gt;=200, U499&lt;230), "Panamax", IF(AND(U499&gt;=230, U499&lt;=270), "Capesize", "Autre")))))</f>
        <v/>
      </c>
      <c r="X499" s="14">
        <f>IF(E499&lt;9999,"1",IF(E499&lt;19999,"2",IF(E499&lt;29999,"3",IF(E499&lt;39999,"4",IF(E499&lt;49999,"5",IF(E499&gt;50000,"6"))))))</f>
        <v/>
      </c>
      <c r="Y499" s="99" t="inlineStr">
        <is>
          <t>2TER</t>
        </is>
      </c>
      <c r="AA499" s="26" t="n">
        <v>45892.55208333334</v>
      </c>
      <c r="AB499" s="26" t="n">
        <v>45894.375</v>
      </c>
      <c r="AC499" s="15" t="n">
        <v>45890</v>
      </c>
      <c r="AD499" s="15" t="n">
        <v>45892</v>
      </c>
      <c r="AE499" s="26" t="n">
        <v>45892.54861111111</v>
      </c>
      <c r="AF499" s="26" t="n">
        <v>45893.22916666666</v>
      </c>
      <c r="AG499" s="26" t="n">
        <v>45893.29513888889</v>
      </c>
      <c r="AH499" s="26" t="n">
        <v>45893.3125</v>
      </c>
      <c r="AI499" s="26" t="n">
        <v>45893.375</v>
      </c>
      <c r="AJ499" s="26" t="n">
        <v>45893.42013888889</v>
      </c>
      <c r="AK499" s="26" t="n">
        <v>45893.78472222222</v>
      </c>
      <c r="AL499" s="26" t="n">
        <v>45893.82986111111</v>
      </c>
      <c r="AM499" s="26" t="n">
        <v>45893.875</v>
      </c>
      <c r="AN499" s="26" t="n">
        <v>45893.91319444445</v>
      </c>
      <c r="AO499" s="26" t="n">
        <v>45893.93055555555</v>
      </c>
      <c r="AP499" s="20">
        <f>(AG499-AF499)*1440</f>
        <v/>
      </c>
      <c r="AQ499" s="20">
        <f>(AG499-AE499)*1440</f>
        <v/>
      </c>
      <c r="AR499" s="20">
        <f>(AH499-AF499)*1440</f>
        <v/>
      </c>
      <c r="AS499" s="20">
        <f>(AI499-AH499)*1440</f>
        <v/>
      </c>
      <c r="AT499" s="20">
        <f>(AJ499-AH499)*1440</f>
        <v/>
      </c>
      <c r="AU499" s="20">
        <f>(AL499-AK499)*1440</f>
        <v/>
      </c>
      <c r="AV499" s="20">
        <f>(AM499-AL499)*1440</f>
        <v/>
      </c>
      <c r="AW499" s="20">
        <f>(AO499-AM499)*1440</f>
        <v/>
      </c>
      <c r="AX499" s="19">
        <f>AP499+AS499+AU499+AV499+AW499</f>
        <v/>
      </c>
      <c r="AY499" s="18">
        <f>(AG499-AA499)</f>
        <v/>
      </c>
      <c r="AZ499" s="18">
        <f>(AK499-AJ499)</f>
        <v/>
      </c>
      <c r="BA499" s="18">
        <f>AO499-AG499</f>
        <v/>
      </c>
      <c r="BB499" s="18">
        <f>(AO499-AA499)-(AP499/1440)-(AW499/1440)</f>
        <v/>
      </c>
      <c r="BC499" s="20">
        <f>E499/AZ499</f>
        <v/>
      </c>
      <c r="BE499" s="20">
        <f>IF(E499&lt;10000,3000,IF(E499&lt;15000,3600,IF(E499&lt;20000,4500,IF(E499&lt;25000,6000,IF(E499&lt;30000,7500,IF(E499&lt;40000,9000,IF(E499&gt;40000,10000)))))))</f>
        <v/>
      </c>
      <c r="BF499" s="334">
        <f>(E499/BE499)+2</f>
        <v/>
      </c>
      <c r="BS499" s="97" t="inlineStr">
        <is>
          <t>NUL</t>
        </is>
      </c>
      <c r="BT499" s="242" t="n">
        <v>0</v>
      </c>
      <c r="BU499" s="97" t="n"/>
      <c r="BV499" s="97" t="n"/>
      <c r="BW499" s="332">
        <f>AI500-AH500</f>
        <v/>
      </c>
      <c r="CB499" s="14" t="n">
        <v>3556</v>
      </c>
    </row>
    <row r="500" ht="14.55" customHeight="1" s="70">
      <c r="A500" s="81" t="n">
        <v>324</v>
      </c>
      <c r="B500" s="343" t="inlineStr">
        <is>
          <t xml:space="preserve">YEBA </t>
        </is>
      </c>
      <c r="C500" s="15" t="n">
        <v>45893</v>
      </c>
      <c r="D500" s="346" t="n">
        <v>2200</v>
      </c>
      <c r="E500" s="333">
        <f>D500+D501</f>
        <v/>
      </c>
      <c r="G500" s="81" t="n">
        <v>2</v>
      </c>
      <c r="H500" s="75" t="inlineStr">
        <is>
          <t>DAP</t>
        </is>
      </c>
      <c r="I500" s="75" t="inlineStr">
        <is>
          <t xml:space="preserve">DAP Euro Low Cd </t>
        </is>
      </c>
      <c r="J500" s="75" t="inlineStr">
        <is>
          <t>DAT</t>
        </is>
      </c>
      <c r="Q500" s="75" t="inlineStr">
        <is>
          <t>EUROPE</t>
        </is>
      </c>
      <c r="R500" s="75" t="inlineStr">
        <is>
          <t>Espagne</t>
        </is>
      </c>
      <c r="T500" s="75" t="inlineStr">
        <is>
          <t>INSPECTORATE</t>
        </is>
      </c>
      <c r="U500" s="81" t="n">
        <v>125</v>
      </c>
      <c r="V500" s="53">
        <f>IF(U500&lt;130, "Mini Bulker", IF(AND(U500&gt;=130, U500&lt;150), "Handysize", IF(AND(U500&gt;=150, U500&lt;200), "Handymax", IF(AND(U500&gt;=200, U500&lt;230), "Panamax", IF(AND(U500&gt;=230, U500&lt;=270), "Capesize", "Autre")))))</f>
        <v/>
      </c>
      <c r="X500" s="14">
        <f>IF(E500&lt;9999,"1",IF(E500&lt;19999,"2",IF(E500&lt;29999,"3",IF(E500&lt;39999,"4",IF(E500&lt;49999,"5",IF(E500&gt;50000,"6"))))))</f>
        <v/>
      </c>
      <c r="Y500" s="99" t="inlineStr">
        <is>
          <t>1BIS</t>
        </is>
      </c>
      <c r="AA500" s="26" t="n">
        <v>45889.72916666666</v>
      </c>
      <c r="AB500" s="26" t="n">
        <v>45890.375</v>
      </c>
      <c r="AC500" s="15" t="n">
        <v>45889</v>
      </c>
      <c r="AD500" s="15" t="n">
        <v>45891</v>
      </c>
      <c r="AE500" s="26" t="n">
        <v>45889.72916666666</v>
      </c>
      <c r="AF500" s="26" t="n">
        <v>45892.59236111111</v>
      </c>
      <c r="AG500" s="26" t="n">
        <v>45892.69791666666</v>
      </c>
      <c r="AH500" s="26" t="n">
        <v>45892.71875</v>
      </c>
      <c r="AI500" s="26" t="n">
        <v>45892.76736111111</v>
      </c>
      <c r="AJ500" s="26" t="n">
        <v>45892.8125</v>
      </c>
      <c r="AK500" s="26" t="n">
        <v>45893.79166666666</v>
      </c>
      <c r="AL500" s="26" t="n">
        <v>45893.82291666666</v>
      </c>
      <c r="AM500" s="26" t="n">
        <v>45893.89583333334</v>
      </c>
      <c r="AN500" s="26" t="n">
        <v>45893.93055555555</v>
      </c>
      <c r="AO500" s="26" t="n">
        <v>45893.96527777778</v>
      </c>
      <c r="AP500" s="20">
        <f>(AG500-AF500)*1440</f>
        <v/>
      </c>
      <c r="AQ500" s="20">
        <f>(AG500-AE500)*1440</f>
        <v/>
      </c>
      <c r="AR500" s="20">
        <f>(AH500-AF500)*1440</f>
        <v/>
      </c>
      <c r="AS500" s="20">
        <f>(AI500-AH500)*1440</f>
        <v/>
      </c>
      <c r="AT500" s="20">
        <f>(AJ500-AH500)*1440</f>
        <v/>
      </c>
      <c r="AU500" s="20">
        <f>(AL500-AK500)*1440</f>
        <v/>
      </c>
      <c r="AV500" s="20">
        <f>(AM500-AL500)*1440</f>
        <v/>
      </c>
      <c r="AW500" s="20">
        <f>(AO500-AM500)*1440</f>
        <v/>
      </c>
      <c r="AX500" s="19">
        <f>AP500+AS500+AU500+AV500+AW500</f>
        <v/>
      </c>
      <c r="AY500" s="18">
        <f>(AG500-AA500)</f>
        <v/>
      </c>
      <c r="AZ500" s="18">
        <f>(AK500-AJ500)</f>
        <v/>
      </c>
      <c r="BA500" s="18">
        <f>AO500-AG500</f>
        <v/>
      </c>
      <c r="BB500" s="18">
        <f>(AO500-AA500)-(AP500/1440)-(AW500/1440)</f>
        <v/>
      </c>
      <c r="BC500" s="20">
        <f>E500/AZ500</f>
        <v/>
      </c>
      <c r="BE500" s="20">
        <f>IF(E500&lt;10000,3000,IF(E500&lt;15000,3600,IF(E500&lt;20000,4500,IF(E500&lt;25000,6000,IF(E500&lt;30000,7500,IF(E500&lt;40000,9000,IF(E500&gt;40000,10000)))))))</f>
        <v/>
      </c>
      <c r="BF500" s="334">
        <f>(E500/BE500)+2</f>
        <v/>
      </c>
      <c r="BS500" s="97" t="inlineStr">
        <is>
          <t>NUL</t>
        </is>
      </c>
      <c r="BT500" s="242" t="n">
        <v>0</v>
      </c>
      <c r="BU500" s="97" t="n"/>
      <c r="BV500" s="97" t="n"/>
      <c r="BW500" s="332">
        <f>AI501-AH501</f>
        <v/>
      </c>
      <c r="CB500" s="14" t="n">
        <v>5458</v>
      </c>
    </row>
    <row r="501" ht="15" customHeight="1" s="70">
      <c r="B501" s="343" t="inlineStr">
        <is>
          <t xml:space="preserve">YEBA </t>
        </is>
      </c>
      <c r="C501" s="15" t="n">
        <v>45893</v>
      </c>
      <c r="D501" s="346" t="n">
        <v>4400</v>
      </c>
      <c r="E501" s="330" t="n"/>
      <c r="G501" s="81" t="n">
        <v>2</v>
      </c>
      <c r="H501" s="75" t="inlineStr">
        <is>
          <t>NPS</t>
        </is>
      </c>
      <c r="I501" s="75" t="inlineStr">
        <is>
          <t>NP 5 40 (TSP N Blendable)</t>
        </is>
      </c>
      <c r="J501" s="75" t="inlineStr">
        <is>
          <t>DAT</t>
        </is>
      </c>
      <c r="Q501" s="75" t="inlineStr">
        <is>
          <t>EUROPE</t>
        </is>
      </c>
      <c r="R501" s="75" t="inlineStr">
        <is>
          <t>Espagne</t>
        </is>
      </c>
      <c r="T501" s="75" t="inlineStr">
        <is>
          <t>INSPECTORATE</t>
        </is>
      </c>
      <c r="U501" s="81" t="n">
        <v>125</v>
      </c>
      <c r="V501" s="53">
        <f>IF(U501&lt;130, "Mini Bulker", IF(AND(U501&gt;=130, U501&lt;150), "Handysize", IF(AND(U501&gt;=150, U501&lt;200), "Handymax", IF(AND(U501&gt;=200, U501&lt;230), "Panamax", IF(AND(U501&gt;=230, U501&lt;=270), "Capesize", "Autre")))))</f>
        <v/>
      </c>
      <c r="X501" s="14">
        <f>IF(E501&lt;9999,"1",IF(E501&lt;19999,"2",IF(E501&lt;29999,"3",IF(E501&lt;39999,"4",IF(E501&lt;49999,"5",IF(E501&gt;50000,"6"))))))</f>
        <v/>
      </c>
      <c r="Y501" s="99" t="inlineStr">
        <is>
          <t>1BIS</t>
        </is>
      </c>
      <c r="AA501" s="98" t="n"/>
      <c r="AB501" s="98" t="n"/>
      <c r="AC501" s="98" t="n"/>
      <c r="AD501" s="98" t="n"/>
      <c r="AE501" s="98" t="n"/>
      <c r="AF501" s="98" t="n"/>
      <c r="AG501" s="98" t="n"/>
      <c r="AH501" s="98" t="n"/>
      <c r="AI501" s="98" t="n"/>
      <c r="AJ501" s="98" t="n"/>
      <c r="AK501" s="98" t="n"/>
      <c r="AL501" s="98" t="n"/>
      <c r="AM501" s="98" t="n"/>
      <c r="AN501" s="98" t="n"/>
      <c r="AO501" s="98" t="n"/>
      <c r="AP501" s="98" t="n"/>
      <c r="AQ501" s="98" t="n"/>
      <c r="AR501" s="98" t="n"/>
      <c r="AS501" s="98" t="n"/>
      <c r="AT501" s="98" t="n"/>
      <c r="AU501" s="98" t="n"/>
      <c r="AV501" s="98" t="n"/>
      <c r="AW501" s="98" t="n"/>
      <c r="AX501" s="98" t="n"/>
      <c r="AY501" s="98" t="n"/>
      <c r="AZ501" s="98" t="n"/>
      <c r="BA501" s="98" t="n"/>
      <c r="BB501" s="98" t="n"/>
      <c r="BC501" s="98" t="n"/>
      <c r="BD501" s="98" t="n"/>
      <c r="BE501" s="98" t="n"/>
      <c r="BF501" s="98" t="n"/>
      <c r="BG501" s="98" t="n"/>
      <c r="BH501" s="98" t="n"/>
      <c r="BI501" s="98" t="n"/>
      <c r="BJ501" s="98" t="n"/>
      <c r="BK501" s="98" t="n"/>
      <c r="BL501" s="98" t="n"/>
      <c r="BM501" s="98" t="n"/>
      <c r="BN501" s="98" t="n"/>
      <c r="BO501" s="98" t="n"/>
      <c r="BP501" s="98" t="n"/>
      <c r="BQ501" s="98" t="n"/>
      <c r="BR501" s="98" t="n"/>
      <c r="BU501" s="97" t="n"/>
      <c r="BV501" s="97" t="n"/>
      <c r="BW501" s="332">
        <f>AI502-AH502</f>
        <v/>
      </c>
      <c r="CB501" s="14" t="n"/>
    </row>
    <row r="502">
      <c r="A502" s="75" t="n">
        <v>325</v>
      </c>
      <c r="B502" s="343" t="inlineStr">
        <is>
          <t>KS CAMELLIA</t>
        </is>
      </c>
      <c r="C502" s="243" t="n">
        <v>45894</v>
      </c>
      <c r="D502" s="346" t="n">
        <v>33000</v>
      </c>
      <c r="E502" s="346" t="n">
        <v>33000</v>
      </c>
      <c r="G502" s="75" t="n">
        <v>1</v>
      </c>
      <c r="H502" s="75" t="inlineStr">
        <is>
          <t>TSP</t>
        </is>
      </c>
      <c r="I502" s="75" t="inlineStr">
        <is>
          <t xml:space="preserve">TSP Standard Low Cd </t>
        </is>
      </c>
      <c r="J502" s="75" t="inlineStr">
        <is>
          <t>FOB</t>
        </is>
      </c>
      <c r="Q502" s="75" t="inlineStr">
        <is>
          <t>ASIE</t>
        </is>
      </c>
      <c r="R502" s="75" t="inlineStr">
        <is>
          <t>BANGLADESH</t>
        </is>
      </c>
      <c r="T502" s="75" t="inlineStr">
        <is>
          <t>INSPECTORATE</t>
        </is>
      </c>
      <c r="U502" s="75" t="n">
        <v>180</v>
      </c>
      <c r="V502" s="53">
        <f>IF(U502&lt;130, "Mini Bulker", IF(AND(U502&gt;=130, U502&lt;150), "Handysize", IF(AND(U502&gt;=150, U502&lt;200), "Handymax", IF(AND(U502&gt;=200, U502&lt;230), "Panamax", IF(AND(U502&gt;=230, U502&lt;=270), "Capesize", "Autre")))))</f>
        <v/>
      </c>
      <c r="X502" s="306">
        <f>IF(E502&lt;9999,"1",IF(E502&lt;19999,"2",IF(E502&lt;29999,"3",IF(E502&lt;39999,"4",IF(E502&lt;49999,"5",IF(E502&gt;50000,"6"))))))</f>
        <v/>
      </c>
      <c r="Y502" s="244" t="inlineStr">
        <is>
          <t>1N/2N/1N/1BIS/4</t>
        </is>
      </c>
      <c r="AA502" s="26" t="n">
        <v>45868.24652777778</v>
      </c>
      <c r="AB502" s="26" t="n">
        <v>45868.375</v>
      </c>
      <c r="AC502" s="15" t="n">
        <v>45897</v>
      </c>
      <c r="AD502" s="15" t="n">
        <v>45899</v>
      </c>
      <c r="AE502" s="26" t="n">
        <v>45868.16666666666</v>
      </c>
      <c r="AF502" s="26" t="n">
        <v>45868.54444444444</v>
      </c>
      <c r="AG502" s="26" t="n">
        <v>45868.625</v>
      </c>
      <c r="AH502" s="26" t="n">
        <v>45868.64583333334</v>
      </c>
      <c r="AI502" s="26" t="n">
        <v>45868.70833333334</v>
      </c>
      <c r="AJ502" s="26" t="n">
        <v>45868.70833333334</v>
      </c>
      <c r="AK502" s="26" t="n">
        <v>45894.47222222222</v>
      </c>
      <c r="AL502" s="26" t="n">
        <v>45895.07916666667</v>
      </c>
      <c r="AM502" s="26" t="n">
        <v>45895.11805555555</v>
      </c>
      <c r="AN502" s="26" t="n">
        <v>45895.1875</v>
      </c>
      <c r="AP502" s="20">
        <f>(AG502-AF502)*1440</f>
        <v/>
      </c>
      <c r="AQ502" s="20">
        <f>(AG502-AE502)*1440</f>
        <v/>
      </c>
      <c r="AR502" s="20">
        <f>(AH502-AF502)*1440</f>
        <v/>
      </c>
      <c r="AS502" s="20">
        <f>(AI502-AH502)*1440</f>
        <v/>
      </c>
      <c r="AT502" s="20">
        <f>(AJ502-AH502)*1440</f>
        <v/>
      </c>
      <c r="AU502" s="20">
        <f>(AL502-AK502)*1440</f>
        <v/>
      </c>
      <c r="AV502" s="20">
        <f>(AM502-AL502)*1440</f>
        <v/>
      </c>
      <c r="AW502" s="20">
        <f>(AO502-AM502)*1440</f>
        <v/>
      </c>
      <c r="AX502" s="19">
        <f>AP502+AS502+AU502+AV502+AW502</f>
        <v/>
      </c>
      <c r="AY502" s="18">
        <f>(AG502-AA502)</f>
        <v/>
      </c>
      <c r="AZ502" s="18">
        <f>(AK502-AJ502)</f>
        <v/>
      </c>
      <c r="BA502" s="18">
        <f>AO502-AG502</f>
        <v/>
      </c>
      <c r="BB502" s="18">
        <f>(AO502-AA502)-(AP502/1440)-(AW502/1440)</f>
        <v/>
      </c>
      <c r="BC502" s="20">
        <f>E502/AZ502</f>
        <v/>
      </c>
      <c r="BE502" s="20">
        <f>IF(E502&lt;10000,3000,IF(E502&lt;15000,3600,IF(E502&lt;20000,4500,IF(E502&lt;25000,6000,IF(E502&lt;30000,7500,IF(E502&lt;40000,9000,IF(E502&gt;40000,10000)))))))</f>
        <v/>
      </c>
      <c r="BF502" s="334">
        <f>(E502/BE502)+2</f>
        <v/>
      </c>
      <c r="BS502" s="97" t="inlineStr">
        <is>
          <t>CHANGE DU POSTE 1N VERS LA RADE LE 02/08- 1435 // RE-ACC AU POSTE 2N LE 04/08 - 0030 // CHANGE DU POSTE 2N VERS LA RADE LE 05/08 - 0844// RE-ACC AU POSTE 1N LE 14/08- 1505 // CHANGE VERS LA RADE LE 19/08 - 1115 // RE-ACCOSTAGE AU POSTE 1BIS LE 25/08 - 0041 // CHANGE DU POSTE 1BIS VERS LA RADE LE 25/08 - 1346 // RE-ACCOSTAGE AU POSTE 4 LE 26/08 - 0012</t>
        </is>
      </c>
      <c r="BT502" s="99" t="n">
        <v>8</v>
      </c>
      <c r="BU502" s="97" t="n"/>
      <c r="BV502" s="97" t="n"/>
      <c r="BW502" s="332">
        <f>AI503-AH503</f>
        <v/>
      </c>
      <c r="CB502" s="14" t="n">
        <v>22522</v>
      </c>
    </row>
    <row r="503" ht="14.55" customHeight="1" s="70">
      <c r="A503" s="81" t="n">
        <v>326</v>
      </c>
      <c r="B503" s="343" t="inlineStr">
        <is>
          <t xml:space="preserve">LOWLANDS FUTURE </t>
        </is>
      </c>
      <c r="C503" s="243" t="n">
        <v>45895</v>
      </c>
      <c r="D503" s="346" t="n">
        <v>18000</v>
      </c>
      <c r="E503" s="333">
        <f>D503+D504+D505</f>
        <v/>
      </c>
      <c r="G503" s="81" t="n">
        <v>3</v>
      </c>
      <c r="H503" s="75" t="inlineStr">
        <is>
          <t>MAP</t>
        </is>
      </c>
      <c r="I503" s="75" t="inlineStr">
        <is>
          <t xml:space="preserve">MAP 11 52 SPECIAL </t>
        </is>
      </c>
      <c r="J503" s="75" t="inlineStr">
        <is>
          <t>FOB</t>
        </is>
      </c>
      <c r="Q503" s="75" t="inlineStr">
        <is>
          <t>AMERIQUE LATINE</t>
        </is>
      </c>
      <c r="R503" s="75" t="inlineStr">
        <is>
          <t>ARGENTINE</t>
        </is>
      </c>
      <c r="T503" s="75" t="inlineStr">
        <is>
          <t>INTERTEK</t>
        </is>
      </c>
      <c r="U503" s="81" t="n">
        <v>200</v>
      </c>
      <c r="V503" s="53">
        <f>IF(U503&lt;130, "Mini Bulker", IF(AND(U503&gt;=130, U503&lt;150), "Handysize", IF(AND(U503&gt;=150, U503&lt;200), "Handymax", IF(AND(U503&gt;=200, U503&lt;230), "Panamax", IF(AND(U503&gt;=230, U503&lt;=270), "Capesize", "Autre")))))</f>
        <v/>
      </c>
      <c r="X503" s="306">
        <f>IF(E503&lt;9999,"1",IF(E503&lt;19999,"2",IF(E503&lt;29999,"3",IF(E503&lt;39999,"4",IF(E503&lt;49999,"5",IF(E503&gt;50000,"6"))))))</f>
        <v/>
      </c>
      <c r="Y503" s="244" t="inlineStr">
        <is>
          <t>1BIS/2BIS</t>
        </is>
      </c>
      <c r="AA503" s="26" t="n">
        <v>45892.19583333333</v>
      </c>
      <c r="AB503" s="26" t="n">
        <v>45892.375</v>
      </c>
      <c r="AC503" s="15" t="n">
        <v>45889</v>
      </c>
      <c r="AD503" s="15" t="n">
        <v>45892</v>
      </c>
      <c r="AE503" s="26" t="n">
        <v>45892.1125</v>
      </c>
      <c r="AF503" s="26" t="n">
        <v>45892.46527777778</v>
      </c>
      <c r="AG503" s="26" t="n">
        <v>45892.51666666667</v>
      </c>
      <c r="AH503" s="26" t="n">
        <v>45892.52916666667</v>
      </c>
      <c r="AI503" s="26" t="n">
        <v>45892.59027777778</v>
      </c>
      <c r="AJ503" s="26" t="n">
        <v>45892.6875</v>
      </c>
      <c r="AK503" s="26" t="n">
        <v>45895.84027777778</v>
      </c>
      <c r="AL503" s="26" t="n">
        <v>45895.88194444445</v>
      </c>
      <c r="AM503" s="26" t="n">
        <v>45895.93055555555</v>
      </c>
      <c r="AN503" s="26" t="n">
        <v>45895.97569444445</v>
      </c>
      <c r="AO503" s="26" t="n">
        <v>45896.00833333333</v>
      </c>
      <c r="AP503" s="20">
        <f>(AG503-AF503)*1440</f>
        <v/>
      </c>
      <c r="AQ503" s="20">
        <f>(AG503-AE503)*1440</f>
        <v/>
      </c>
      <c r="AR503" s="20">
        <f>(AH503-AF503)*1440</f>
        <v/>
      </c>
      <c r="AS503" s="20">
        <f>(AI503-AH503)*1440</f>
        <v/>
      </c>
      <c r="AT503" s="20">
        <f>(AJ503-AH503)*1440</f>
        <v/>
      </c>
      <c r="AU503" s="20">
        <f>(AL503-AK503)*1440</f>
        <v/>
      </c>
      <c r="AV503" s="20">
        <f>(AM503-AL503)*1440</f>
        <v/>
      </c>
      <c r="AW503" s="20">
        <f>(AO503-AM503)*1440</f>
        <v/>
      </c>
      <c r="AX503" s="19">
        <f>AP503+AS503+AU503+AV503+AW503</f>
        <v/>
      </c>
      <c r="AY503" s="18">
        <f>(AG503-AA503)</f>
        <v/>
      </c>
      <c r="AZ503" s="18">
        <f>(AK503-AJ503)</f>
        <v/>
      </c>
      <c r="BA503" s="18">
        <f>AO503-AG503</f>
        <v/>
      </c>
      <c r="BB503" s="18">
        <f>(AO503-AA503)-(AP503/1440)-(AW503/1440)</f>
        <v/>
      </c>
      <c r="BC503" s="20">
        <f>E503/AZ503</f>
        <v/>
      </c>
      <c r="BE503" s="20">
        <f>IF(E503&lt;10000,3000,IF(E503&lt;15000,3600,IF(E503&lt;20000,4500,IF(E503&lt;25000,6000,IF(E503&lt;30000,7500,IF(E503&lt;40000,9000,IF(E503&gt;40000,10000)))))))</f>
        <v/>
      </c>
      <c r="BF503" s="334">
        <f>(E503/BE503)+2</f>
        <v/>
      </c>
      <c r="BS503" s="137" t="inlineStr">
        <is>
          <t>MAINTENUS PAR SHORE TENSION // CHANGE DU POSTE 1BIS VERS POSTE 2BIS LE 23/08- 1600</t>
        </is>
      </c>
      <c r="BT503" s="99" t="n">
        <v>1</v>
      </c>
      <c r="BU503" s="97" t="inlineStr">
        <is>
          <t>CLEAN</t>
        </is>
      </c>
      <c r="BV503" s="97" t="inlineStr">
        <is>
          <t>NUL</t>
        </is>
      </c>
      <c r="BW503" s="332">
        <f>AI504-AH504</f>
        <v/>
      </c>
      <c r="CB503" s="14" t="n">
        <v>34229</v>
      </c>
    </row>
    <row r="504" ht="14.55" customHeight="1" s="70">
      <c r="B504" s="343" t="inlineStr">
        <is>
          <t xml:space="preserve">LOWLANDS FUTURE </t>
        </is>
      </c>
      <c r="C504" s="243" t="n">
        <v>45895</v>
      </c>
      <c r="D504" s="346" t="n">
        <v>10800</v>
      </c>
      <c r="E504" s="330" t="n"/>
      <c r="G504" s="81" t="n">
        <v>3</v>
      </c>
      <c r="H504" s="75" t="inlineStr">
        <is>
          <t>MAP</t>
        </is>
      </c>
      <c r="I504" s="75" t="inlineStr">
        <is>
          <t xml:space="preserve">MAP 10 50 SPECIAL </t>
        </is>
      </c>
      <c r="J504" s="75" t="inlineStr">
        <is>
          <t>FOB</t>
        </is>
      </c>
      <c r="Q504" s="75" t="inlineStr">
        <is>
          <t>AMERIQUE LATINE</t>
        </is>
      </c>
      <c r="R504" s="75" t="inlineStr">
        <is>
          <t>ARGENTINE</t>
        </is>
      </c>
      <c r="T504" s="75" t="inlineStr">
        <is>
          <t>INTERTEK</t>
        </is>
      </c>
      <c r="U504" s="81" t="n">
        <v>200</v>
      </c>
      <c r="V504" s="53">
        <f>IF(U504&lt;130, "Mini Bulker", IF(AND(U504&gt;=130, U504&lt;150), "Handysize", IF(AND(U504&gt;=150, U504&lt;200), "Handymax", IF(AND(U504&gt;=200, U504&lt;230), "Panamax", IF(AND(U504&gt;=230, U504&lt;=270), "Capesize", "Autre")))))</f>
        <v/>
      </c>
      <c r="X504" s="306">
        <f>IF(E504&lt;9999,"1",IF(E504&lt;19999,"2",IF(E504&lt;29999,"3",IF(E504&lt;39999,"4",IF(E504&lt;49999,"5",IF(E504&gt;50000,"6"))))))</f>
        <v/>
      </c>
      <c r="Y504" s="244" t="inlineStr">
        <is>
          <t>1BIS/2BIS</t>
        </is>
      </c>
      <c r="AA504" s="98" t="n"/>
      <c r="AB504" s="98" t="n"/>
      <c r="AC504" s="98" t="n"/>
      <c r="AD504" s="98" t="n"/>
      <c r="AE504" s="98" t="n"/>
      <c r="AF504" s="98" t="n"/>
      <c r="AG504" s="98" t="n"/>
      <c r="AH504" s="98" t="n"/>
      <c r="AI504" s="98" t="n"/>
      <c r="AJ504" s="98" t="n"/>
      <c r="AK504" s="98" t="n"/>
      <c r="AL504" s="98" t="n"/>
      <c r="AM504" s="98" t="n"/>
      <c r="AN504" s="98" t="n"/>
      <c r="AO504" s="98" t="n"/>
      <c r="AP504" s="98" t="n"/>
      <c r="AQ504" s="98" t="n"/>
      <c r="AR504" s="98" t="n"/>
      <c r="AS504" s="98" t="n"/>
      <c r="AT504" s="98" t="n"/>
      <c r="AU504" s="98" t="n"/>
      <c r="AV504" s="98" t="n"/>
      <c r="AW504" s="98" t="n"/>
      <c r="AX504" s="98" t="n"/>
      <c r="AY504" s="98" t="n"/>
      <c r="AZ504" s="98" t="n"/>
      <c r="BA504" s="98" t="n"/>
      <c r="BB504" s="98" t="n"/>
      <c r="BC504" s="98" t="n"/>
      <c r="BD504" s="98" t="n"/>
      <c r="BE504" s="98" t="n"/>
      <c r="BF504" s="98" t="n"/>
      <c r="BG504" s="98" t="n"/>
      <c r="BH504" s="98" t="n"/>
      <c r="BI504" s="98" t="n"/>
      <c r="BJ504" s="98" t="n"/>
      <c r="BK504" s="98" t="n"/>
      <c r="BL504" s="98" t="n"/>
      <c r="BM504" s="98" t="n"/>
      <c r="BN504" s="98" t="n"/>
      <c r="BO504" s="98" t="n"/>
      <c r="BP504" s="98" t="n"/>
      <c r="BQ504" s="98" t="n"/>
      <c r="BR504" s="98" t="n"/>
      <c r="BS504" s="137" t="n"/>
      <c r="BT504" s="99" t="n"/>
      <c r="BU504" s="97" t="n"/>
      <c r="BW504" s="332">
        <f>AI505-AH505</f>
        <v/>
      </c>
      <c r="CB504" s="14" t="n"/>
    </row>
    <row r="505" ht="15" customHeight="1" s="70">
      <c r="A505" s="75" t="n"/>
      <c r="B505" s="343" t="inlineStr">
        <is>
          <t xml:space="preserve">LOWLANDS FUTURE </t>
        </is>
      </c>
      <c r="C505" s="243" t="n">
        <v>45895</v>
      </c>
      <c r="D505" s="346" t="n">
        <v>7200</v>
      </c>
      <c r="E505" s="330" t="n"/>
      <c r="G505" s="81" t="n">
        <v>3</v>
      </c>
      <c r="H505" s="75" t="inlineStr">
        <is>
          <t>TSP</t>
        </is>
      </c>
      <c r="I505" s="75" t="inlineStr">
        <is>
          <t xml:space="preserve">TSP SPECIAL JORF </t>
        </is>
      </c>
      <c r="J505" s="75" t="inlineStr">
        <is>
          <t>FOB</t>
        </is>
      </c>
      <c r="Q505" s="75" t="inlineStr">
        <is>
          <t>AMERIQUE LATINE</t>
        </is>
      </c>
      <c r="R505" s="75" t="inlineStr">
        <is>
          <t>ARGENTINE</t>
        </is>
      </c>
      <c r="T505" s="75" t="inlineStr">
        <is>
          <t>INTERTEK</t>
        </is>
      </c>
      <c r="U505" s="81" t="n">
        <v>200</v>
      </c>
      <c r="V505" s="53">
        <f>IF(U505&lt;130, "Mini Bulker", IF(AND(U505&gt;=130, U505&lt;150), "Handysize", IF(AND(U505&gt;=150, U505&lt;200), "Handymax", IF(AND(U505&gt;=200, U505&lt;230), "Panamax", IF(AND(U505&gt;=230, U505&lt;=270), "Capesize", "Autre")))))</f>
        <v/>
      </c>
      <c r="X505" s="306">
        <f>IF(E505&lt;9999,"1",IF(E505&lt;19999,"2",IF(E505&lt;29999,"3",IF(E505&lt;39999,"4",IF(E505&lt;49999,"5",IF(E505&gt;50000,"6"))))))</f>
        <v/>
      </c>
      <c r="Y505" s="244" t="inlineStr">
        <is>
          <t>1BIS/2BIS</t>
        </is>
      </c>
      <c r="AA505" s="98" t="n"/>
      <c r="AB505" s="98" t="n"/>
      <c r="AC505" s="98" t="n"/>
      <c r="AD505" s="98" t="n"/>
      <c r="AE505" s="98" t="n"/>
      <c r="AF505" s="98" t="n"/>
      <c r="AG505" s="98" t="n"/>
      <c r="AH505" s="98" t="n"/>
      <c r="AI505" s="98" t="n"/>
      <c r="AJ505" s="98" t="n"/>
      <c r="AK505" s="98" t="n"/>
      <c r="AL505" s="98" t="n"/>
      <c r="AM505" s="98" t="n"/>
      <c r="AN505" s="98" t="n"/>
      <c r="AO505" s="98" t="n"/>
      <c r="AP505" s="98" t="n"/>
      <c r="AQ505" s="98" t="n"/>
      <c r="AR505" s="98" t="n"/>
      <c r="AS505" s="98" t="n"/>
      <c r="AT505" s="98" t="n"/>
      <c r="AU505" s="98" t="n"/>
      <c r="AV505" s="98" t="n"/>
      <c r="AW505" s="98" t="n"/>
      <c r="AX505" s="98" t="n"/>
      <c r="AY505" s="98" t="n"/>
      <c r="AZ505" s="98" t="n"/>
      <c r="BA505" s="98" t="n"/>
      <c r="BB505" s="98" t="n"/>
      <c r="BC505" s="98" t="n"/>
      <c r="BD505" s="98" t="n"/>
      <c r="BE505" s="98" t="n"/>
      <c r="BF505" s="98" t="n"/>
      <c r="BG505" s="98" t="n"/>
      <c r="BH505" s="98" t="n"/>
      <c r="BI505" s="98" t="n"/>
      <c r="BJ505" s="98" t="n"/>
      <c r="BK505" s="98" t="n"/>
      <c r="BL505" s="98" t="n"/>
      <c r="BM505" s="98" t="n"/>
      <c r="BN505" s="98" t="n"/>
      <c r="BO505" s="98" t="n"/>
      <c r="BP505" s="98" t="n"/>
      <c r="BQ505" s="98" t="n"/>
      <c r="BR505" s="98" t="n"/>
      <c r="BS505" s="137" t="n"/>
      <c r="BT505" s="99" t="n"/>
      <c r="BU505" s="97" t="n"/>
      <c r="BW505" s="332">
        <f>AI506-AH506</f>
        <v/>
      </c>
      <c r="CB505" s="14" t="n"/>
    </row>
    <row r="506" ht="15" customHeight="1" s="70">
      <c r="A506" s="75" t="n">
        <v>327</v>
      </c>
      <c r="B506" s="343" t="inlineStr">
        <is>
          <t>CS CELESTE</t>
        </is>
      </c>
      <c r="C506" s="243" t="n">
        <v>45896</v>
      </c>
      <c r="D506" s="346" t="n">
        <v>23350</v>
      </c>
      <c r="E506" s="333">
        <f>D506+D507</f>
        <v/>
      </c>
      <c r="G506" s="81" t="n">
        <v>2</v>
      </c>
      <c r="H506" s="75" t="inlineStr">
        <is>
          <t>TSP</t>
        </is>
      </c>
      <c r="I506" s="75" t="inlineStr">
        <is>
          <t xml:space="preserve">TSP SPECIAL JORF </t>
        </is>
      </c>
      <c r="J506" s="75" t="inlineStr">
        <is>
          <t>CFR</t>
        </is>
      </c>
      <c r="Q506" s="75" t="inlineStr">
        <is>
          <t>AMERIQUE LATINE</t>
        </is>
      </c>
      <c r="R506" s="75" t="inlineStr">
        <is>
          <t>ARGENTINE</t>
        </is>
      </c>
      <c r="T506" s="75" t="inlineStr">
        <is>
          <t>INSPECTORATE</t>
        </is>
      </c>
      <c r="U506" s="81" t="n">
        <v>177</v>
      </c>
      <c r="V506" s="53">
        <f>IF(U506&lt;130, "Mini Bulker", IF(AND(U506&gt;=130, U506&lt;150), "Handysize", IF(AND(U506&gt;=150, U506&lt;200), "Handymax", IF(AND(U506&gt;=200, U506&lt;230), "Panamax", IF(AND(U506&gt;=230, U506&lt;=270), "Capesize", "Autre")))))</f>
        <v/>
      </c>
      <c r="X506" s="306">
        <f>IF(E506&lt;9999,"1",IF(E506&lt;19999,"2",IF(E506&lt;29999,"3",IF(E506&lt;39999,"4",IF(E506&lt;49999,"5",IF(E506&gt;50000,"6"))))))</f>
        <v/>
      </c>
      <c r="Y506" s="244" t="inlineStr">
        <is>
          <t>2N</t>
        </is>
      </c>
      <c r="AA506" s="26" t="n">
        <v>45893.0625</v>
      </c>
      <c r="AB506" s="26" t="n">
        <v>45894.375</v>
      </c>
      <c r="AC506" s="15" t="n">
        <v>45888</v>
      </c>
      <c r="AD506" s="15" t="n">
        <v>45890</v>
      </c>
      <c r="AE506" s="26" t="n">
        <v>45893.0625</v>
      </c>
      <c r="AF506" s="26" t="n">
        <v>45893.6875</v>
      </c>
      <c r="AG506" s="26" t="n">
        <v>45893.74166666667</v>
      </c>
      <c r="AH506" s="26" t="n">
        <v>45893.75694444445</v>
      </c>
      <c r="AI506" s="26" t="n">
        <v>45893.82291666666</v>
      </c>
      <c r="AJ506" s="26" t="n">
        <v>45893.84722222222</v>
      </c>
      <c r="AK506" s="26" t="n">
        <v>45896.25</v>
      </c>
      <c r="AL506" s="26" t="n">
        <v>45896.28472222222</v>
      </c>
      <c r="AM506" s="26" t="n">
        <v>45896.29861111111</v>
      </c>
      <c r="AN506" s="26" t="n">
        <v>45896.34166666667</v>
      </c>
      <c r="AO506" s="26" t="n">
        <v>45896.39236111111</v>
      </c>
      <c r="AP506" s="20">
        <f>(AG506-AF506)*1440</f>
        <v/>
      </c>
      <c r="AQ506" s="20">
        <f>(AG506-AE506)*1440</f>
        <v/>
      </c>
      <c r="AR506" s="20">
        <f>(AH506-AF506)*1440</f>
        <v/>
      </c>
      <c r="AS506" s="20">
        <f>(AI506-AH506)*1440</f>
        <v/>
      </c>
      <c r="AT506" s="20">
        <f>(AJ506-AH506)*1440</f>
        <v/>
      </c>
      <c r="AU506" s="20">
        <f>(AL506-AK506)*1440</f>
        <v/>
      </c>
      <c r="AV506" s="20">
        <f>(AM506-AL506)*1440</f>
        <v/>
      </c>
      <c r="AW506" s="20">
        <f>(AO506-AM506)*1440</f>
        <v/>
      </c>
      <c r="AX506" s="19">
        <f>AP506+AS506+AU506+AV506+AW506</f>
        <v/>
      </c>
      <c r="AY506" s="18">
        <f>(AG506-AA506)</f>
        <v/>
      </c>
      <c r="AZ506" s="18">
        <f>(AK506-AJ506)</f>
        <v/>
      </c>
      <c r="BA506" s="18">
        <f>AO506-AG506</f>
        <v/>
      </c>
      <c r="BB506" s="18">
        <f>(AO506-AA506)-(AP506/1440)-(AW506/1440)</f>
        <v/>
      </c>
      <c r="BC506" s="20">
        <f>E506/AZ506</f>
        <v/>
      </c>
      <c r="BE506" s="20">
        <f>IF(E506&lt;10000,3000,IF(E506&lt;15000,3600,IF(E506&lt;20000,4500,IF(E506&lt;25000,6000,IF(E506&lt;30000,7500,IF(E506&lt;40000,9000,IF(E506&gt;40000,10000)))))))</f>
        <v/>
      </c>
      <c r="BF506" s="334">
        <f>(E506/BE506)+2</f>
        <v/>
      </c>
      <c r="BS506" s="137" t="inlineStr">
        <is>
          <t xml:space="preserve">MAINTENUS PAR SHORE TENSION // ARRIVEE LE 17/08 - 1000 // QUITTER LA RADE VERS 
SAFI POUR CHARGEMENT 6600 TSP LE 18/08-  1200 </t>
        </is>
      </c>
      <c r="BT506" s="99" t="n">
        <v>0</v>
      </c>
      <c r="BU506" s="137" t="inlineStr">
        <is>
          <t>CLEAN</t>
        </is>
      </c>
      <c r="BV506" s="137" t="inlineStr">
        <is>
          <t>NUL</t>
        </is>
      </c>
      <c r="BW506" s="332">
        <f>AI507-AH507</f>
        <v/>
      </c>
      <c r="CB506" s="14" t="n">
        <v>24933</v>
      </c>
    </row>
    <row r="507">
      <c r="A507" s="75" t="n"/>
      <c r="B507" s="343" t="inlineStr">
        <is>
          <t>CS CELESTE</t>
        </is>
      </c>
      <c r="C507" s="243" t="n">
        <v>45896</v>
      </c>
      <c r="D507" s="346" t="n">
        <v>4500</v>
      </c>
      <c r="E507" s="330" t="n"/>
      <c r="G507" s="81" t="n">
        <v>2</v>
      </c>
      <c r="H507" s="75" t="inlineStr">
        <is>
          <t>MAP</t>
        </is>
      </c>
      <c r="I507" s="75" t="inlineStr">
        <is>
          <t>MAP 11 52 SPECIAL</t>
        </is>
      </c>
      <c r="J507" s="75" t="inlineStr">
        <is>
          <t>CFR</t>
        </is>
      </c>
      <c r="Q507" s="75" t="inlineStr">
        <is>
          <t>AMERIQUE LATINE</t>
        </is>
      </c>
      <c r="R507" s="75" t="inlineStr">
        <is>
          <t>ARGENTINE</t>
        </is>
      </c>
      <c r="T507" s="75" t="inlineStr">
        <is>
          <t>INSPECTORATE</t>
        </is>
      </c>
      <c r="U507" s="81" t="n">
        <v>177</v>
      </c>
      <c r="V507" s="53">
        <f>IF(U507&lt;130, "Mini Bulker", IF(AND(U507&gt;=130, U507&lt;150), "Handysize", IF(AND(U507&gt;=150, U507&lt;200), "Handymax", IF(AND(U507&gt;=200, U507&lt;230), "Panamax", IF(AND(U507&gt;=230, U507&lt;=270), "Capesize", "Autre")))))</f>
        <v/>
      </c>
      <c r="X507" s="306">
        <f>IF(E507&lt;9999,"1",IF(E507&lt;19999,"2",IF(E507&lt;29999,"3",IF(E507&lt;39999,"4",IF(E507&lt;49999,"5",IF(E507&gt;50000,"6"))))))</f>
        <v/>
      </c>
      <c r="Y507" s="244" t="inlineStr">
        <is>
          <t>2N</t>
        </is>
      </c>
      <c r="AA507" s="98" t="n"/>
      <c r="AB507" s="98" t="n"/>
      <c r="AC507" s="98" t="n"/>
      <c r="AD507" s="98" t="n"/>
      <c r="AE507" s="98" t="n"/>
      <c r="AF507" s="98" t="n"/>
      <c r="AG507" s="98" t="n"/>
      <c r="AH507" s="98" t="n"/>
      <c r="AI507" s="98" t="n"/>
      <c r="AJ507" s="98" t="n"/>
      <c r="AK507" s="98" t="n"/>
      <c r="AL507" s="98" t="n"/>
      <c r="AM507" s="98" t="n"/>
      <c r="AN507" s="98" t="n"/>
      <c r="AO507" s="98" t="n"/>
      <c r="AP507" s="98" t="n"/>
      <c r="AQ507" s="98" t="n"/>
      <c r="AR507" s="98" t="n"/>
      <c r="AS507" s="98" t="n"/>
      <c r="AT507" s="98" t="n"/>
      <c r="AU507" s="98" t="n"/>
      <c r="AV507" s="98" t="n"/>
      <c r="AW507" s="98" t="n"/>
      <c r="AX507" s="98" t="n"/>
      <c r="AY507" s="98" t="n"/>
      <c r="AZ507" s="98" t="n"/>
      <c r="BA507" s="98" t="n"/>
      <c r="BB507" s="98" t="n"/>
      <c r="BC507" s="98" t="n"/>
      <c r="BD507" s="98" t="n"/>
      <c r="BE507" s="98" t="n"/>
      <c r="BF507" s="98" t="n"/>
      <c r="BG507" s="98" t="n"/>
      <c r="BH507" s="98" t="n"/>
      <c r="BI507" s="98" t="n"/>
      <c r="BJ507" s="98" t="n"/>
      <c r="BK507" s="98" t="n"/>
      <c r="BL507" s="98" t="n"/>
      <c r="BM507" s="98" t="n"/>
      <c r="BN507" s="98" t="n"/>
      <c r="BO507" s="98" t="n"/>
      <c r="BP507" s="98" t="n"/>
      <c r="BQ507" s="98" t="n"/>
      <c r="BR507" s="98" t="n"/>
      <c r="BS507" s="137" t="n"/>
      <c r="BT507" s="99" t="n"/>
      <c r="BU507" s="97" t="n"/>
      <c r="BW507" s="332">
        <f>AI508-AH508</f>
        <v/>
      </c>
      <c r="CB507" s="14" t="n"/>
    </row>
    <row r="508">
      <c r="A508" s="75" t="n">
        <v>328</v>
      </c>
      <c r="B508" s="343" t="inlineStr">
        <is>
          <t>PONTICA</t>
        </is>
      </c>
      <c r="C508" s="243" t="n">
        <v>45896</v>
      </c>
      <c r="D508" s="346" t="n">
        <v>3300</v>
      </c>
      <c r="E508" s="333">
        <f>D508+D509</f>
        <v/>
      </c>
      <c r="G508" s="81" t="n">
        <v>2</v>
      </c>
      <c r="H508" s="75" t="inlineStr">
        <is>
          <t>DAP</t>
        </is>
      </c>
      <c r="I508" s="75" t="inlineStr">
        <is>
          <t xml:space="preserve">DAP Euro Low Cd </t>
        </is>
      </c>
      <c r="J508" s="75" t="inlineStr">
        <is>
          <t>FOB</t>
        </is>
      </c>
      <c r="Q508" s="75" t="inlineStr">
        <is>
          <t>EUROPE</t>
        </is>
      </c>
      <c r="R508" s="75" t="inlineStr">
        <is>
          <t>SLOVENIA</t>
        </is>
      </c>
      <c r="S508" s="75" t="n"/>
      <c r="T508" s="75" t="inlineStr">
        <is>
          <t>INSPECTORATE</t>
        </is>
      </c>
      <c r="U508" s="81" t="n">
        <v>137</v>
      </c>
      <c r="V508" s="53">
        <f>IF(U508&lt;130, "Mini Bulker", IF(AND(U508&gt;=130, U508&lt;150), "Handysize", IF(AND(U508&gt;=150, U508&lt;200), "Handymax", IF(AND(U508&gt;=200, U508&lt;230), "Panamax", IF(AND(U508&gt;=230, U508&lt;=270), "Capesize", "Autre")))))</f>
        <v/>
      </c>
      <c r="X508" s="306">
        <f>IF(E508&lt;9999,"1",IF(E508&lt;19999,"2",IF(E508&lt;29999,"3",IF(E508&lt;39999,"4",IF(E508&lt;49999,"5",IF(E508&gt;50000,"6"))))))</f>
        <v/>
      </c>
      <c r="Y508" s="244" t="inlineStr">
        <is>
          <t>2TER</t>
        </is>
      </c>
      <c r="AA508" s="26" t="n">
        <v>45893.60069444445</v>
      </c>
      <c r="AB508" s="26" t="n">
        <v>45894.375</v>
      </c>
      <c r="AC508" s="15" t="n">
        <v>45896</v>
      </c>
      <c r="AD508" s="15" t="n">
        <v>45898</v>
      </c>
      <c r="AE508" s="26" t="n">
        <v>45893.54166666666</v>
      </c>
      <c r="AF508" s="26" t="n">
        <v>45894.76736111111</v>
      </c>
      <c r="AG508" s="26" t="n">
        <v>45894.88888888889</v>
      </c>
      <c r="AH508" s="26" t="n">
        <v>45894.90625</v>
      </c>
      <c r="AI508" s="26" t="n">
        <v>45894.97569444445</v>
      </c>
      <c r="AJ508" s="26" t="n">
        <v>45895.01388888889</v>
      </c>
      <c r="AK508" s="26" t="n">
        <v>45896.35763888889</v>
      </c>
      <c r="AL508" s="26" t="n">
        <v>45896.39583333334</v>
      </c>
      <c r="AM508" s="26" t="n">
        <v>45896.42708333334</v>
      </c>
      <c r="AN508" s="26" t="n">
        <v>45896.48402777778</v>
      </c>
      <c r="AO508" s="26" t="n">
        <v>45896.53125</v>
      </c>
      <c r="AP508" s="20">
        <f>(AG508-AF508)*1440</f>
        <v/>
      </c>
      <c r="AQ508" s="20">
        <f>(AG508-AE508)*1440</f>
        <v/>
      </c>
      <c r="AR508" s="20">
        <f>(AH508-AF508)*1440</f>
        <v/>
      </c>
      <c r="AS508" s="20">
        <f>(AI508-AH508)*1440</f>
        <v/>
      </c>
      <c r="AT508" s="20">
        <f>(AJ508-AH508)*1440</f>
        <v/>
      </c>
      <c r="AU508" s="20">
        <f>(AL508-AK508)*1440</f>
        <v/>
      </c>
      <c r="AV508" s="20">
        <f>(AM508-AL508)*1440</f>
        <v/>
      </c>
      <c r="AW508" s="20">
        <f>(AO508-AM508)*1440</f>
        <v/>
      </c>
      <c r="AX508" s="19">
        <f>AP508+AS508+AU508+AV508+AW508</f>
        <v/>
      </c>
      <c r="AY508" s="18">
        <f>(AG508-AA508)</f>
        <v/>
      </c>
      <c r="AZ508" s="18">
        <f>(AK508-AJ508)</f>
        <v/>
      </c>
      <c r="BA508" s="18">
        <f>AO508-AG508</f>
        <v/>
      </c>
      <c r="BB508" s="18">
        <f>(AO508-AA508)-(AP508/1440)-(AW508/1440)</f>
        <v/>
      </c>
      <c r="BC508" s="20">
        <f>E508/AZ508</f>
        <v/>
      </c>
      <c r="BE508" s="20">
        <f>IF(E508&lt;10000,3000,IF(E508&lt;15000,3600,IF(E508&lt;20000,4500,IF(E508&lt;25000,6000,IF(E508&lt;30000,7500,IF(E508&lt;40000,9000,IF(E508&gt;40000,10000)))))))</f>
        <v/>
      </c>
      <c r="BF508" s="334">
        <f>(E508/BE508)+2</f>
        <v/>
      </c>
      <c r="BS508" s="137" t="inlineStr">
        <is>
          <t>NUL</t>
        </is>
      </c>
      <c r="BT508" s="99" t="n">
        <v>0</v>
      </c>
      <c r="BU508" s="97" t="inlineStr">
        <is>
          <t>CLEAN</t>
        </is>
      </c>
      <c r="BV508" s="97" t="inlineStr">
        <is>
          <t>NUL</t>
        </is>
      </c>
      <c r="BW508" s="332">
        <f>AI509-AH509</f>
        <v/>
      </c>
      <c r="CB508" s="14" t="n">
        <v>6789</v>
      </c>
    </row>
    <row r="509">
      <c r="A509" s="75" t="n"/>
      <c r="B509" s="343" t="inlineStr">
        <is>
          <t>PONTICA</t>
        </is>
      </c>
      <c r="C509" s="243" t="n">
        <v>45896</v>
      </c>
      <c r="D509" s="346" t="n">
        <v>5175</v>
      </c>
      <c r="E509" s="330" t="n"/>
      <c r="G509" s="81" t="n">
        <v>2</v>
      </c>
      <c r="H509" s="75" t="inlineStr">
        <is>
          <t>MAP</t>
        </is>
      </c>
      <c r="I509" s="75" t="inlineStr">
        <is>
          <t xml:space="preserve">MAP 11 52 Special Low Cd </t>
        </is>
      </c>
      <c r="J509" s="75" t="inlineStr">
        <is>
          <t>FOB</t>
        </is>
      </c>
      <c r="Q509" s="75" t="inlineStr">
        <is>
          <t>EUROPE</t>
        </is>
      </c>
      <c r="R509" s="75" t="inlineStr">
        <is>
          <t>SLOVENIA</t>
        </is>
      </c>
      <c r="S509" s="75" t="n"/>
      <c r="T509" s="75" t="inlineStr">
        <is>
          <t>INSPECTORATE</t>
        </is>
      </c>
      <c r="U509" s="81" t="n">
        <v>137</v>
      </c>
      <c r="V509" s="53">
        <f>IF(U509&lt;130, "Mini Bulker", IF(AND(U509&gt;=130, U509&lt;150), "Handysize", IF(AND(U509&gt;=150, U509&lt;200), "Handymax", IF(AND(U509&gt;=200, U509&lt;230), "Panamax", IF(AND(U509&gt;=230, U509&lt;=270), "Capesize", "Autre")))))</f>
        <v/>
      </c>
      <c r="X509" s="306">
        <f>IF(E509&lt;9999,"1",IF(E509&lt;19999,"2",IF(E509&lt;29999,"3",IF(E509&lt;39999,"4",IF(E509&lt;49999,"5",IF(E509&gt;50000,"6"))))))</f>
        <v/>
      </c>
      <c r="Y509" s="244" t="inlineStr">
        <is>
          <t>2TER</t>
        </is>
      </c>
      <c r="AA509" s="98" t="n"/>
      <c r="AB509" s="98" t="n"/>
      <c r="AC509" s="98" t="n"/>
      <c r="AD509" s="98" t="n"/>
      <c r="AE509" s="98" t="n"/>
      <c r="AF509" s="98" t="n"/>
      <c r="AG509" s="98" t="n"/>
      <c r="AH509" s="98" t="n"/>
      <c r="AI509" s="98" t="n"/>
      <c r="AJ509" s="98" t="n"/>
      <c r="AK509" s="98" t="n"/>
      <c r="AL509" s="98" t="n"/>
      <c r="AM509" s="98" t="n"/>
      <c r="AN509" s="98" t="n"/>
      <c r="AO509" s="98" t="n"/>
      <c r="AP509" s="98" t="n"/>
      <c r="AQ509" s="98" t="n"/>
      <c r="AR509" s="98" t="n"/>
      <c r="AS509" s="98" t="n"/>
      <c r="AT509" s="98" t="n"/>
      <c r="AU509" s="98" t="n"/>
      <c r="AV509" s="98" t="n"/>
      <c r="AW509" s="98" t="n"/>
      <c r="AX509" s="98" t="n"/>
      <c r="AY509" s="98" t="n"/>
      <c r="AZ509" s="98" t="n"/>
      <c r="BA509" s="98" t="n"/>
      <c r="BB509" s="98" t="n"/>
      <c r="BC509" s="98" t="n"/>
      <c r="BD509" s="98" t="n"/>
      <c r="BE509" s="98" t="n"/>
      <c r="BF509" s="98" t="n"/>
      <c r="BG509" s="98" t="n"/>
      <c r="BH509" s="98" t="n"/>
      <c r="BI509" s="98" t="n"/>
      <c r="BJ509" s="98" t="n"/>
      <c r="BK509" s="98" t="n"/>
      <c r="BL509" s="98" t="n"/>
      <c r="BM509" s="98" t="n"/>
      <c r="BN509" s="98" t="n"/>
      <c r="BO509" s="98" t="n"/>
      <c r="BP509" s="98" t="n"/>
      <c r="BQ509" s="98" t="n"/>
      <c r="BR509" s="98" t="n"/>
      <c r="BS509" s="137" t="n"/>
      <c r="BT509" s="99" t="n"/>
      <c r="BU509" s="97" t="n"/>
      <c r="BW509" s="332">
        <f>AI510-AH510</f>
        <v/>
      </c>
      <c r="CB509" s="14" t="n"/>
    </row>
    <row r="510">
      <c r="A510" s="75" t="n">
        <v>329</v>
      </c>
      <c r="B510" s="343" t="inlineStr">
        <is>
          <t>ARKLOW VENUS</t>
        </is>
      </c>
      <c r="C510" s="243" t="n">
        <v>45896</v>
      </c>
      <c r="D510" s="346" t="n">
        <v>2200</v>
      </c>
      <c r="E510" s="346" t="n">
        <v>2200</v>
      </c>
      <c r="G510" s="81" t="n">
        <v>1</v>
      </c>
      <c r="H510" s="75" t="inlineStr">
        <is>
          <t>NPK</t>
        </is>
      </c>
      <c r="I510" s="75" t="inlineStr">
        <is>
          <t xml:space="preserve">NPK 15 15 15 Low Cd </t>
        </is>
      </c>
      <c r="J510" s="75" t="inlineStr">
        <is>
          <t>FOB</t>
        </is>
      </c>
      <c r="Q510" s="75" t="inlineStr">
        <is>
          <t>EUROPE</t>
        </is>
      </c>
      <c r="R510" s="75" t="inlineStr">
        <is>
          <t>UK</t>
        </is>
      </c>
      <c r="S510" s="75" t="n"/>
      <c r="T510" s="75" t="inlineStr">
        <is>
          <t>INSPECTORATE</t>
        </is>
      </c>
      <c r="U510" s="81" t="n">
        <v>87</v>
      </c>
      <c r="V510" s="53">
        <f>IF(U510&lt;130, "Mini Bulker", IF(AND(U510&gt;=130, U510&lt;150), "Handysize", IF(AND(U510&gt;=150, U510&lt;200), "Handymax", IF(AND(U510&gt;=200, U510&lt;230), "Panamax", IF(AND(U510&gt;=230, U510&lt;=270), "Capesize", "Autre")))))</f>
        <v/>
      </c>
      <c r="X510" s="306">
        <f>IF(E510&lt;9999,"1",IF(E510&lt;19999,"2",IF(E510&lt;29999,"3",IF(E510&lt;39999,"4",IF(E510&lt;49999,"5",IF(E510&gt;50000,"6"))))))</f>
        <v/>
      </c>
      <c r="Y510" s="244" t="inlineStr">
        <is>
          <t>7/1BIS</t>
        </is>
      </c>
      <c r="AA510" s="26" t="n">
        <v>45888.76388888889</v>
      </c>
      <c r="AB510" s="26" t="n">
        <v>45889.375</v>
      </c>
      <c r="AC510" s="15" t="n">
        <v>45885</v>
      </c>
      <c r="AD510" s="15" t="n">
        <v>45887</v>
      </c>
      <c r="AE510" s="26" t="n">
        <v>45888.73958333334</v>
      </c>
      <c r="AF510" s="26" t="n">
        <v>45895.03472222222</v>
      </c>
      <c r="AG510" s="26" t="n">
        <v>45895.11805555555</v>
      </c>
      <c r="AH510" s="26" t="n">
        <v>45895.16666666666</v>
      </c>
      <c r="AI510" s="26" t="n">
        <v>45895.97222222222</v>
      </c>
      <c r="AJ510" s="26" t="n">
        <v>45895.99305555555</v>
      </c>
      <c r="AK510" s="26" t="n">
        <v>45896.55555555555</v>
      </c>
      <c r="AL510" s="26" t="n">
        <v>45896.58333333334</v>
      </c>
      <c r="AM510" s="26" t="n">
        <v>45896.625</v>
      </c>
      <c r="AN510" s="26" t="n">
        <v>45896.66666666666</v>
      </c>
      <c r="AO510" s="26" t="n">
        <v>45896.72222222222</v>
      </c>
      <c r="AP510" s="20">
        <f>(AG510-AF510)*1440</f>
        <v/>
      </c>
      <c r="AQ510" s="20">
        <f>(AG510-AE510)*1440</f>
        <v/>
      </c>
      <c r="AR510" s="20">
        <f>(AH510-AF510)*1440</f>
        <v/>
      </c>
      <c r="AS510" s="20">
        <f>(AI510-AH510)*1440</f>
        <v/>
      </c>
      <c r="AT510" s="20">
        <f>(AJ510-AH510)*1440</f>
        <v/>
      </c>
      <c r="AU510" s="20">
        <f>(AL510-AK510)*1440</f>
        <v/>
      </c>
      <c r="AV510" s="20">
        <f>(AM510-AL510)*1440</f>
        <v/>
      </c>
      <c r="AW510" s="20">
        <f>(AO510-AM510)*1440</f>
        <v/>
      </c>
      <c r="AX510" s="19">
        <f>AP510+AS510+AU510+AV510+AW510</f>
        <v/>
      </c>
      <c r="AY510" s="18">
        <f>(AG510-AA510)</f>
        <v/>
      </c>
      <c r="AZ510" s="18">
        <f>(AK510-AJ510)</f>
        <v/>
      </c>
      <c r="BA510" s="18">
        <f>AO510-AG510</f>
        <v/>
      </c>
      <c r="BB510" s="18">
        <f>(AO510-AA510)-(AP510/1440)-(AW510/1440)</f>
        <v/>
      </c>
      <c r="BC510" s="20">
        <f>E510/AZ510</f>
        <v/>
      </c>
      <c r="BE510" s="20">
        <f>IF(E510&lt;10000,3000,IF(E510&lt;15000,3600,IF(E510&lt;20000,4500,IF(E510&lt;25000,6000,IF(E510&lt;30000,7500,IF(E510&lt;40000,9000,IF(E510&gt;40000,10000)))))))</f>
        <v/>
      </c>
      <c r="BF510" s="334">
        <f>(E510/BE510)+2</f>
        <v/>
      </c>
      <c r="BS510" s="137" t="inlineStr">
        <is>
          <t>CHANGE DU POSTE 7 VERS POSTE 1BIS LE 26/07- 2310</t>
        </is>
      </c>
      <c r="BT510" s="99" t="n">
        <v>1</v>
      </c>
      <c r="BU510" s="97" t="n"/>
      <c r="BV510" s="97" t="n"/>
      <c r="BW510" s="332">
        <f>AI511-AH511</f>
        <v/>
      </c>
      <c r="CB510" s="14" t="n">
        <v>2999</v>
      </c>
    </row>
    <row r="511">
      <c r="A511" s="75" t="n">
        <v>330</v>
      </c>
      <c r="B511" s="343" t="inlineStr">
        <is>
          <t>ORUBA</t>
        </is>
      </c>
      <c r="C511" s="243" t="n">
        <v>45896</v>
      </c>
      <c r="D511" s="346" t="n">
        <v>8800</v>
      </c>
      <c r="E511" s="346" t="n">
        <v>8800</v>
      </c>
      <c r="G511" s="81" t="n">
        <v>1</v>
      </c>
      <c r="H511" s="75" t="inlineStr">
        <is>
          <t>MAP</t>
        </is>
      </c>
      <c r="I511" s="75" t="inlineStr">
        <is>
          <t xml:space="preserve">MAP 11 52 Special Low Cd </t>
        </is>
      </c>
      <c r="J511" s="75" t="inlineStr">
        <is>
          <t>CFR</t>
        </is>
      </c>
      <c r="Q511" s="75" t="inlineStr">
        <is>
          <t>EUROPE</t>
        </is>
      </c>
      <c r="R511" s="75" t="inlineStr">
        <is>
          <t>CROATIA</t>
        </is>
      </c>
      <c r="T511" s="75" t="inlineStr">
        <is>
          <t>INTERTEK</t>
        </is>
      </c>
      <c r="U511" s="81" t="n">
        <v>132</v>
      </c>
      <c r="V511" s="53">
        <f>IF(U511&lt;130, "Mini Bulker", IF(AND(U511&gt;=130, U511&lt;150), "Handysize", IF(AND(U511&gt;=150, U511&lt;200), "Handymax", IF(AND(U511&gt;=200, U511&lt;230), "Panamax", IF(AND(U511&gt;=230, U511&lt;=270), "Capesize", "Autre")))))</f>
        <v/>
      </c>
      <c r="X511" s="306">
        <f>IF(E511&lt;9999,"1",IF(E511&lt;19999,"2",IF(E511&lt;29999,"3",IF(E511&lt;39999,"4",IF(E511&lt;49999,"5",IF(E511&gt;50000,"6"))))))</f>
        <v/>
      </c>
      <c r="Y511" s="244" t="inlineStr">
        <is>
          <t>7/1TER</t>
        </is>
      </c>
      <c r="AA511" s="26" t="n">
        <v>45889.00069444445</v>
      </c>
      <c r="AB511" s="26" t="n">
        <v>45889.375</v>
      </c>
      <c r="AC511" s="15" t="n">
        <v>45889</v>
      </c>
      <c r="AD511" s="15" t="n">
        <v>45891</v>
      </c>
      <c r="AE511" s="26" t="n">
        <v>45887.83333333334</v>
      </c>
      <c r="AF511" s="26" t="n">
        <v>45894.47708333333</v>
      </c>
      <c r="AG511" s="26" t="n">
        <v>45894.5625</v>
      </c>
      <c r="AH511" s="26" t="n">
        <v>45894.56944444445</v>
      </c>
      <c r="AI511" s="26" t="n">
        <v>45895.08333333334</v>
      </c>
      <c r="AJ511" s="26" t="n">
        <v>45895.50347222222</v>
      </c>
      <c r="AK511" s="26" t="n">
        <v>45896.77083333334</v>
      </c>
      <c r="AL511" s="26" t="n">
        <v>45896.81041666667</v>
      </c>
      <c r="AM511" s="26" t="n">
        <v>45896.84375</v>
      </c>
      <c r="AN511" s="26" t="n">
        <v>45896.89444444444</v>
      </c>
      <c r="AO511" s="26" t="n">
        <v>45896.94166666667</v>
      </c>
      <c r="AP511" s="20">
        <f>(AG511-AF511)*1440</f>
        <v/>
      </c>
      <c r="AQ511" s="20">
        <f>(AG511-AE511)*1440</f>
        <v/>
      </c>
      <c r="AR511" s="20">
        <f>(AH511-AF511)*1440</f>
        <v/>
      </c>
      <c r="AS511" s="20">
        <f>(AI511-AH511)*1440</f>
        <v/>
      </c>
      <c r="AT511" s="20">
        <f>(AJ511-AH511)*1440</f>
        <v/>
      </c>
      <c r="AU511" s="20">
        <f>(AL511-AK511)*1440</f>
        <v/>
      </c>
      <c r="AV511" s="20">
        <f>(AM511-AL511)*1440</f>
        <v/>
      </c>
      <c r="AW511" s="20">
        <f>(AO511-AM511)*1440</f>
        <v/>
      </c>
      <c r="AX511" s="19">
        <f>AP511+AS511+AU511+AV511+AW511</f>
        <v/>
      </c>
      <c r="AY511" s="18">
        <f>(AG511-AA511)</f>
        <v/>
      </c>
      <c r="AZ511" s="18">
        <f>(AK511-AJ511)</f>
        <v/>
      </c>
      <c r="BA511" s="18">
        <f>AO511-AG511</f>
        <v/>
      </c>
      <c r="BB511" s="18">
        <f>(AO511-AA511)-(AP511/1440)-(AW511/1440)</f>
        <v/>
      </c>
      <c r="BC511" s="20">
        <f>E511/AZ511</f>
        <v/>
      </c>
      <c r="BE511" s="20">
        <f>IF(E511&lt;10000,3000,IF(E511&lt;15000,3600,IF(E511&lt;20000,4500,IF(E511&lt;25000,6000,IF(E511&lt;30000,7500,IF(E511&lt;40000,9000,IF(E511&gt;40000,10000)))))))</f>
        <v/>
      </c>
      <c r="BF511" s="334">
        <f>(E511/BE511)+2</f>
        <v/>
      </c>
      <c r="BS511" s="137" t="inlineStr">
        <is>
          <t>CHANGE DU POSTE 7 VERS POSTE 1TER LE 26/08 - 0140</t>
        </is>
      </c>
      <c r="BT511" s="99" t="n">
        <v>1</v>
      </c>
      <c r="BU511" s="97" t="n"/>
      <c r="BV511" s="97" t="n"/>
      <c r="BW511" s="332">
        <f>AI512-AH512</f>
        <v/>
      </c>
      <c r="CB511" s="14" t="n">
        <v>7238</v>
      </c>
    </row>
    <row r="512" ht="15" customHeight="1" s="70">
      <c r="A512" s="75" t="n">
        <v>331</v>
      </c>
      <c r="B512" s="343" t="inlineStr">
        <is>
          <t>BERMEO NM</t>
        </is>
      </c>
      <c r="C512" s="243" t="n">
        <v>45896</v>
      </c>
      <c r="D512" s="346" t="n">
        <v>1076</v>
      </c>
      <c r="E512" s="333">
        <f>D512+D513+D514</f>
        <v/>
      </c>
      <c r="G512" s="81" t="n">
        <v>3</v>
      </c>
      <c r="H512" s="75" t="inlineStr">
        <is>
          <t>TSP</t>
        </is>
      </c>
      <c r="I512" s="75" t="inlineStr">
        <is>
          <t xml:space="preserve">TSP EURO Low Cd </t>
        </is>
      </c>
      <c r="J512" s="75" t="inlineStr">
        <is>
          <t>FOB</t>
        </is>
      </c>
      <c r="Q512" s="75" t="inlineStr">
        <is>
          <t>EUROPE</t>
        </is>
      </c>
      <c r="R512" s="75" t="inlineStr">
        <is>
          <t>France</t>
        </is>
      </c>
      <c r="T512" s="75" t="inlineStr">
        <is>
          <t>INTERTEK</t>
        </is>
      </c>
      <c r="U512" s="81" t="n">
        <v>103</v>
      </c>
      <c r="V512" s="53">
        <f>IF(U512&lt;130, "Mini Bulker", IF(AND(U512&gt;=130, U512&lt;150), "Handysize", IF(AND(U512&gt;=150, U512&lt;200), "Handymax", IF(AND(U512&gt;=200, U512&lt;230), "Panamax", IF(AND(U512&gt;=230, U512&lt;=270), "Capesize", "Autre")))))</f>
        <v/>
      </c>
      <c r="X512" s="306">
        <f>IF(E512&lt;9999,"1",IF(E512&lt;19999,"2",IF(E512&lt;29999,"3",IF(E512&lt;39999,"4",IF(E512&lt;49999,"5",IF(E512&gt;50000,"6"))))))</f>
        <v/>
      </c>
      <c r="Y512" s="244" t="inlineStr">
        <is>
          <t>1N/4/4BIS/1N</t>
        </is>
      </c>
      <c r="AA512" s="26" t="n">
        <v>45884.875</v>
      </c>
      <c r="AB512" s="26" t="n">
        <v>45885.375</v>
      </c>
      <c r="AC512" s="15" t="n">
        <v>45886</v>
      </c>
      <c r="AD512" s="15" t="n">
        <v>45888</v>
      </c>
      <c r="AE512" s="26" t="n">
        <v>45884.86805555555</v>
      </c>
      <c r="AF512" s="26" t="n">
        <v>45891.38888888889</v>
      </c>
      <c r="AG512" s="26" t="n">
        <v>45891.44097222222</v>
      </c>
      <c r="AH512" s="26" t="n">
        <v>45891.44444444445</v>
      </c>
      <c r="AI512" s="26" t="n">
        <v>45891.63541666666</v>
      </c>
      <c r="AJ512" s="26" t="n">
        <v>45891.65972222222</v>
      </c>
      <c r="AK512" s="26" t="n">
        <v>45896.86458333334</v>
      </c>
      <c r="AL512" s="26" t="n">
        <v>45896.91319444445</v>
      </c>
      <c r="AM512" s="26" t="n">
        <v>45896.96527777778</v>
      </c>
      <c r="AN512" s="26" t="n">
        <v>45896.99513888889</v>
      </c>
      <c r="AO512" s="26" t="n">
        <v>45897.01527777778</v>
      </c>
      <c r="AP512" s="20">
        <f>(AG512-AF512)*1440</f>
        <v/>
      </c>
      <c r="AQ512" s="20">
        <f>(AG512-AE512)*1440</f>
        <v/>
      </c>
      <c r="AR512" s="20">
        <f>(AH512-AF512)*1440</f>
        <v/>
      </c>
      <c r="AS512" s="20">
        <f>(AI512-AH512)*1440</f>
        <v/>
      </c>
      <c r="AT512" s="20">
        <f>(AJ512-AH512)*1440</f>
        <v/>
      </c>
      <c r="AU512" s="20">
        <f>(AL512-AK512)*1440</f>
        <v/>
      </c>
      <c r="AV512" s="20">
        <f>(AM512-AL512)*1440</f>
        <v/>
      </c>
      <c r="AW512" s="20">
        <f>(AO512-AM512)*1440</f>
        <v/>
      </c>
      <c r="AX512" s="19">
        <f>AP512+AS512+AU512+AV512+AW512</f>
        <v/>
      </c>
      <c r="AY512" s="18">
        <f>(AG512-AA512)</f>
        <v/>
      </c>
      <c r="AZ512" s="18">
        <f>(AK512-AJ512)</f>
        <v/>
      </c>
      <c r="BA512" s="18">
        <f>AO512-AG512</f>
        <v/>
      </c>
      <c r="BB512" s="18">
        <f>(AO512-AA512)-(AP512/1440)-(AW512/1440)</f>
        <v/>
      </c>
      <c r="BC512" s="20">
        <f>E512/AZ512</f>
        <v/>
      </c>
      <c r="BE512" s="20">
        <f>IF(E512&lt;10000,3000,IF(E512&lt;15000,3600,IF(E512&lt;20000,4500,IF(E512&lt;25000,6000,IF(E512&lt;30000,7500,IF(E512&lt;40000,9000,IF(E512&gt;40000,10000)))))))</f>
        <v/>
      </c>
      <c r="BF512" s="334">
        <f>(E512/BE512)+2</f>
        <v/>
      </c>
      <c r="BS512" s="137" t="inlineStr">
        <is>
          <t>CHANGE DU POSTE 1N VERS LE POSTE 4 LE 24/08 - 1342 // CHANGE DU POSTE 4 VERS LA RADE LE 25/08 - 2045 // RE-ACC AU POSTE 4BIS LE 26/08- 1730 // CHANGE DU POSTE 4BIS VERS POSTE 1N LE 27/08- 0745</t>
        </is>
      </c>
      <c r="BT512" s="99" t="n">
        <v>4</v>
      </c>
      <c r="BU512" s="97" t="inlineStr">
        <is>
          <t>NON CLEAN</t>
        </is>
      </c>
      <c r="BV512" s="97" t="inlineStr">
        <is>
          <t>BULK HEAD</t>
        </is>
      </c>
      <c r="BW512" s="332">
        <f>AI513-AH513</f>
        <v/>
      </c>
      <c r="CB512" s="14" t="n">
        <v>4190</v>
      </c>
    </row>
    <row r="513" ht="14.55" customHeight="1" s="70">
      <c r="B513" s="343" t="inlineStr">
        <is>
          <t>BERMEO NM</t>
        </is>
      </c>
      <c r="C513" s="243" t="n">
        <v>45896</v>
      </c>
      <c r="D513" s="346" t="n">
        <v>2200</v>
      </c>
      <c r="E513" s="330" t="n"/>
      <c r="G513" s="81" t="n">
        <v>3</v>
      </c>
      <c r="H513" s="75" t="inlineStr">
        <is>
          <t>DAP</t>
        </is>
      </c>
      <c r="I513" s="75" t="inlineStr">
        <is>
          <t xml:space="preserve">DAP Euro Low Cd </t>
        </is>
      </c>
      <c r="J513" s="75" t="inlineStr">
        <is>
          <t>FOB</t>
        </is>
      </c>
      <c r="Q513" s="75" t="inlineStr">
        <is>
          <t>EUROPE</t>
        </is>
      </c>
      <c r="R513" s="75" t="inlineStr">
        <is>
          <t>France</t>
        </is>
      </c>
      <c r="T513" s="75" t="inlineStr">
        <is>
          <t>INTERTEK</t>
        </is>
      </c>
      <c r="U513" s="81" t="n">
        <v>103</v>
      </c>
      <c r="V513" s="53">
        <f>IF(U513&lt;130, "Mini Bulker", IF(AND(U513&gt;=130, U513&lt;150), "Handysize", IF(AND(U513&gt;=150, U513&lt;200), "Handymax", IF(AND(U513&gt;=200, U513&lt;230), "Panamax", IF(AND(U513&gt;=230, U513&lt;=270), "Capesize", "Autre")))))</f>
        <v/>
      </c>
      <c r="X513" s="306">
        <f>IF(E513&lt;9999,"1",IF(E513&lt;19999,"2",IF(E513&lt;29999,"3",IF(E513&lt;39999,"4",IF(E513&lt;49999,"5",IF(E513&gt;50000,"6"))))))</f>
        <v/>
      </c>
      <c r="Y513" s="244" t="inlineStr">
        <is>
          <t>1N/4/4BIS/1N</t>
        </is>
      </c>
      <c r="AA513" s="98" t="n"/>
      <c r="AB513" s="98" t="n"/>
      <c r="AC513" s="98" t="n"/>
      <c r="AD513" s="98" t="n"/>
      <c r="AE513" s="98" t="n"/>
      <c r="AF513" s="98" t="n"/>
      <c r="AG513" s="98" t="n"/>
      <c r="AH513" s="98" t="n"/>
      <c r="AI513" s="98" t="n"/>
      <c r="AJ513" s="98" t="n"/>
      <c r="AK513" s="98" t="n"/>
      <c r="AL513" s="98" t="n"/>
      <c r="AM513" s="98" t="n"/>
      <c r="AN513" s="98" t="n"/>
      <c r="AO513" s="98" t="n"/>
      <c r="AP513" s="98" t="n"/>
      <c r="AQ513" s="98" t="n"/>
      <c r="AR513" s="98" t="n"/>
      <c r="AS513" s="98" t="n"/>
      <c r="AT513" s="98" t="n"/>
      <c r="AU513" s="98" t="n"/>
      <c r="AV513" s="98" t="n"/>
      <c r="AW513" s="98" t="n"/>
      <c r="AX513" s="98" t="n"/>
      <c r="AY513" s="98" t="n"/>
      <c r="AZ513" s="98" t="n"/>
      <c r="BA513" s="98" t="n"/>
      <c r="BB513" s="98" t="n"/>
      <c r="BC513" s="98" t="n"/>
      <c r="BD513" s="98" t="n"/>
      <c r="BE513" s="98" t="n"/>
      <c r="BF513" s="98" t="n"/>
      <c r="BG513" s="98" t="n"/>
      <c r="BH513" s="98" t="n"/>
      <c r="BI513" s="98" t="n"/>
      <c r="BJ513" s="98" t="n"/>
      <c r="BK513" s="98" t="n"/>
      <c r="BL513" s="98" t="n"/>
      <c r="BM513" s="98" t="n"/>
      <c r="BN513" s="98" t="n"/>
      <c r="BO513" s="98" t="n"/>
      <c r="BP513" s="98" t="n"/>
      <c r="BQ513" s="98" t="n"/>
      <c r="BR513" s="98" t="n"/>
      <c r="BS513" s="137" t="n"/>
      <c r="BT513" s="99" t="n"/>
      <c r="BU513" s="97" t="n"/>
      <c r="BV513" s="97" t="n"/>
      <c r="BW513" s="332">
        <f>AI514-AH514</f>
        <v/>
      </c>
      <c r="CB513" s="14" t="n"/>
    </row>
    <row r="514" ht="15" customHeight="1" s="70">
      <c r="B514" s="343" t="inlineStr">
        <is>
          <t>BERMEO NM</t>
        </is>
      </c>
      <c r="C514" s="243" t="n">
        <v>45896</v>
      </c>
      <c r="D514" s="346" t="n">
        <v>2163</v>
      </c>
      <c r="E514" s="330" t="n"/>
      <c r="G514" s="81" t="n">
        <v>3</v>
      </c>
      <c r="H514" s="75" t="inlineStr">
        <is>
          <t>NPK</t>
        </is>
      </c>
      <c r="I514" s="75" t="inlineStr">
        <is>
          <t xml:space="preserve">NPK 15 15 15 Low Cd </t>
        </is>
      </c>
      <c r="J514" s="75" t="inlineStr">
        <is>
          <t>FOB</t>
        </is>
      </c>
      <c r="Q514" s="75" t="inlineStr">
        <is>
          <t>EUROPE</t>
        </is>
      </c>
      <c r="R514" s="75" t="inlineStr">
        <is>
          <t>France</t>
        </is>
      </c>
      <c r="T514" s="75" t="inlineStr">
        <is>
          <t>INTERTEK</t>
        </is>
      </c>
      <c r="U514" s="81" t="n">
        <v>103</v>
      </c>
      <c r="V514" s="53">
        <f>IF(U514&lt;130, "Mini Bulker", IF(AND(U514&gt;=130, U514&lt;150), "Handysize", IF(AND(U514&gt;=150, U514&lt;200), "Handymax", IF(AND(U514&gt;=200, U514&lt;230), "Panamax", IF(AND(U514&gt;=230, U514&lt;=270), "Capesize", "Autre")))))</f>
        <v/>
      </c>
      <c r="X514" s="306">
        <f>IF(E514&lt;9999,"1",IF(E514&lt;19999,"2",IF(E514&lt;29999,"3",IF(E514&lt;39999,"4",IF(E514&lt;49999,"5",IF(E514&gt;50000,"6"))))))</f>
        <v/>
      </c>
      <c r="Y514" s="244" t="inlineStr">
        <is>
          <t>1N/4/4BIS/1N</t>
        </is>
      </c>
      <c r="AA514" s="98" t="n"/>
      <c r="AB514" s="98" t="n"/>
      <c r="AC514" s="98" t="n"/>
      <c r="AD514" s="98" t="n"/>
      <c r="AE514" s="98" t="n"/>
      <c r="AF514" s="98" t="n"/>
      <c r="AG514" s="98" t="n"/>
      <c r="AH514" s="98" t="n"/>
      <c r="AI514" s="98" t="n"/>
      <c r="AJ514" s="98" t="n"/>
      <c r="AK514" s="98" t="n"/>
      <c r="AL514" s="98" t="n"/>
      <c r="AM514" s="98" t="n"/>
      <c r="AN514" s="98" t="n"/>
      <c r="AO514" s="98" t="n"/>
      <c r="AP514" s="98" t="n"/>
      <c r="AQ514" s="98" t="n"/>
      <c r="AR514" s="98" t="n"/>
      <c r="AS514" s="98" t="n"/>
      <c r="AT514" s="98" t="n"/>
      <c r="AU514" s="98" t="n"/>
      <c r="AV514" s="98" t="n"/>
      <c r="AW514" s="98" t="n"/>
      <c r="AX514" s="98" t="n"/>
      <c r="AY514" s="98" t="n"/>
      <c r="AZ514" s="98" t="n"/>
      <c r="BA514" s="98" t="n"/>
      <c r="BB514" s="98" t="n"/>
      <c r="BC514" s="98" t="n"/>
      <c r="BD514" s="98" t="n"/>
      <c r="BE514" s="98" t="n"/>
      <c r="BF514" s="98" t="n"/>
      <c r="BG514" s="98" t="n"/>
      <c r="BH514" s="98" t="n"/>
      <c r="BI514" s="98" t="n"/>
      <c r="BJ514" s="98" t="n"/>
      <c r="BK514" s="98" t="n"/>
      <c r="BL514" s="98" t="n"/>
      <c r="BM514" s="98" t="n"/>
      <c r="BN514" s="98" t="n"/>
      <c r="BO514" s="98" t="n"/>
      <c r="BP514" s="98" t="n"/>
      <c r="BQ514" s="98" t="n"/>
      <c r="BR514" s="98" t="n"/>
      <c r="BS514" s="137" t="n"/>
      <c r="BT514" s="99" t="n"/>
      <c r="BU514" s="97" t="n"/>
      <c r="BV514" s="97" t="n"/>
      <c r="BW514" s="332">
        <f>AI515-AH515</f>
        <v/>
      </c>
      <c r="CB514" s="14" t="n"/>
    </row>
    <row r="515" ht="15" customHeight="1" s="70">
      <c r="A515" s="75" t="n">
        <v>332</v>
      </c>
      <c r="B515" s="343" t="inlineStr">
        <is>
          <t>ARKLOW BEACH</t>
        </is>
      </c>
      <c r="C515" s="243" t="n">
        <v>45897</v>
      </c>
      <c r="D515" s="346" t="n">
        <v>2200</v>
      </c>
      <c r="E515" s="333">
        <f>D515+D516</f>
        <v/>
      </c>
      <c r="G515" s="81" t="n">
        <v>2</v>
      </c>
      <c r="H515" s="75" t="inlineStr">
        <is>
          <t>DAP</t>
        </is>
      </c>
      <c r="I515" s="75" t="inlineStr">
        <is>
          <t xml:space="preserve">DAP Euro Low Cd </t>
        </is>
      </c>
      <c r="J515" s="75" t="inlineStr">
        <is>
          <t>DAT</t>
        </is>
      </c>
      <c r="Q515" s="75" t="inlineStr">
        <is>
          <t>EUROPE</t>
        </is>
      </c>
      <c r="R515" s="75" t="inlineStr">
        <is>
          <t>SPAIN</t>
        </is>
      </c>
      <c r="T515" s="75" t="inlineStr">
        <is>
          <t>INTERTEK</t>
        </is>
      </c>
      <c r="U515" s="81" t="n">
        <v>119</v>
      </c>
      <c r="V515" s="53">
        <f>IF(U515&lt;130, "Mini Bulker", IF(AND(U515&gt;=130, U515&lt;150), "Handysize", IF(AND(U515&gt;=150, U515&lt;200), "Handymax", IF(AND(U515&gt;=200, U515&lt;230), "Panamax", IF(AND(U515&gt;=230, U515&lt;=270), "Capesize", "Autre")))))</f>
        <v/>
      </c>
      <c r="X515" s="306">
        <f>IF(E515&lt;9999,"1",IF(E515&lt;19999,"2",IF(E515&lt;29999,"3",IF(E515&lt;39999,"4",IF(E515&lt;49999,"5",IF(E515&gt;50000,"6"))))))</f>
        <v/>
      </c>
      <c r="Y515" s="244" t="inlineStr">
        <is>
          <t>6/2TER/1TER</t>
        </is>
      </c>
      <c r="AA515" s="26" t="n">
        <v>45891.19791666666</v>
      </c>
      <c r="AB515" s="26" t="n">
        <v>45891.375</v>
      </c>
      <c r="AC515" s="15" t="n">
        <v>45889</v>
      </c>
      <c r="AD515" s="15" t="n">
        <v>45891</v>
      </c>
      <c r="AE515" s="26" t="n">
        <v>45891.19791666666</v>
      </c>
      <c r="AF515" s="26" t="n">
        <v>45893.48333333333</v>
      </c>
      <c r="AG515" s="26" t="n">
        <v>45893.54166666666</v>
      </c>
      <c r="AH515" s="26" t="n">
        <v>45893.5625</v>
      </c>
      <c r="AI515" s="26" t="n">
        <v>45893.96875</v>
      </c>
      <c r="AJ515" s="26" t="n">
        <v>45894.00347222222</v>
      </c>
      <c r="AK515" s="26" t="n">
        <v>45897.20138888889</v>
      </c>
      <c r="AL515" s="26" t="n">
        <v>45897.24652777778</v>
      </c>
      <c r="AM515" s="26" t="n">
        <v>45897.27777777778</v>
      </c>
      <c r="AN515" s="26" t="n">
        <v>45897.32013888889</v>
      </c>
      <c r="AO515" s="26" t="n">
        <v>45897.33333333334</v>
      </c>
      <c r="AP515" s="20">
        <f>(AG515-AF515)*1440</f>
        <v/>
      </c>
      <c r="AQ515" s="20">
        <f>(AG515-AE515)*1440</f>
        <v/>
      </c>
      <c r="AR515" s="20">
        <f>(AH515-AF515)*1440</f>
        <v/>
      </c>
      <c r="AS515" s="20">
        <f>(AI515-AH515)*1440</f>
        <v/>
      </c>
      <c r="AT515" s="20">
        <f>(AJ515-AH515)*1440</f>
        <v/>
      </c>
      <c r="AU515" s="20">
        <f>(AL515-AK515)*1440</f>
        <v/>
      </c>
      <c r="AV515" s="20">
        <f>(AM515-AL515)*1440</f>
        <v/>
      </c>
      <c r="AW515" s="20">
        <f>(AO515-AM515)*1440</f>
        <v/>
      </c>
      <c r="AX515" s="19">
        <f>AP515+AS515+AU515+AV515+AW515</f>
        <v/>
      </c>
      <c r="AY515" s="18">
        <f>(AG515-AA515)</f>
        <v/>
      </c>
      <c r="AZ515" s="18">
        <f>(AK515-AJ515)</f>
        <v/>
      </c>
      <c r="BA515" s="18">
        <f>AO515-AG515</f>
        <v/>
      </c>
      <c r="BB515" s="18">
        <f>(AO515-AA515)-(AP515/1440)-(AW515/1440)</f>
        <v/>
      </c>
      <c r="BC515" s="20">
        <f>E515/AZ515</f>
        <v/>
      </c>
      <c r="BE515" s="20">
        <f>IF(E515&lt;10000,3000,IF(E515&lt;15000,3600,IF(E515&lt;20000,4500,IF(E515&lt;25000,6000,IF(E515&lt;30000,7500,IF(E515&lt;40000,9000,IF(E515&gt;40000,10000)))))))</f>
        <v/>
      </c>
      <c r="BF515" s="334">
        <f>(E515/BE515)+2</f>
        <v/>
      </c>
      <c r="BS515" s="137" t="inlineStr">
        <is>
          <t>CHANGE DU POSTE 6 VERS LE POSTE 2TER LE 24/08 - 2300 // CHANGE DU POSTE 2TER VERS LA RADE LE 25/08 - 1935 // RE-ACC AU POSTE 1TER LE 27/08- 2350</t>
        </is>
      </c>
      <c r="BT515" s="99" t="n">
        <v>3</v>
      </c>
      <c r="BU515" s="97" t="n"/>
      <c r="BV515" s="97" t="n"/>
      <c r="BW515" s="332">
        <f>AI516-AH516</f>
        <v/>
      </c>
      <c r="CB515" s="14" t="n">
        <v>5065</v>
      </c>
    </row>
    <row r="516" ht="15" customHeight="1" s="70">
      <c r="B516" s="343" t="inlineStr">
        <is>
          <t>ARKLOW BEACH</t>
        </is>
      </c>
      <c r="C516" s="243" t="n">
        <v>45897</v>
      </c>
      <c r="D516" s="346" t="n">
        <v>4400</v>
      </c>
      <c r="E516" s="330" t="n"/>
      <c r="G516" s="81" t="n">
        <v>2</v>
      </c>
      <c r="H516" s="75" t="inlineStr">
        <is>
          <t>NPS</t>
        </is>
      </c>
      <c r="I516" s="75" t="inlineStr">
        <is>
          <t>NP 5 40 (TSP N Blendable)</t>
        </is>
      </c>
      <c r="J516" s="75" t="inlineStr">
        <is>
          <t>DAT</t>
        </is>
      </c>
      <c r="Q516" s="75" t="inlineStr">
        <is>
          <t>EUROPE</t>
        </is>
      </c>
      <c r="R516" s="75" t="inlineStr">
        <is>
          <t>SPAIN</t>
        </is>
      </c>
      <c r="T516" s="75" t="inlineStr">
        <is>
          <t>INTERTEK</t>
        </is>
      </c>
      <c r="U516" s="81" t="n">
        <v>119</v>
      </c>
      <c r="V516" s="53">
        <f>IF(U516&lt;130, "Mini Bulker", IF(AND(U516&gt;=130, U516&lt;150), "Handysize", IF(AND(U516&gt;=150, U516&lt;200), "Handymax", IF(AND(U516&gt;=200, U516&lt;230), "Panamax", IF(AND(U516&gt;=230, U516&lt;=270), "Capesize", "Autre")))))</f>
        <v/>
      </c>
      <c r="X516" s="306">
        <f>IF(E516&lt;9999,"1",IF(E516&lt;19999,"2",IF(E516&lt;29999,"3",IF(E516&lt;39999,"4",IF(E516&lt;49999,"5",IF(E516&gt;50000,"6"))))))</f>
        <v/>
      </c>
      <c r="Y516" s="244" t="inlineStr">
        <is>
          <t>6/2TER/1TER</t>
        </is>
      </c>
      <c r="AA516" s="98" t="n"/>
      <c r="AB516" s="98" t="n"/>
      <c r="AC516" s="98" t="n"/>
      <c r="AD516" s="98" t="n"/>
      <c r="AE516" s="98" t="n"/>
      <c r="AF516" s="98" t="n"/>
      <c r="AG516" s="98" t="n"/>
      <c r="AH516" s="98" t="n"/>
      <c r="AI516" s="98" t="n"/>
      <c r="AJ516" s="98" t="n"/>
      <c r="AK516" s="98" t="n"/>
      <c r="AL516" s="98" t="n"/>
      <c r="AM516" s="98" t="n"/>
      <c r="AN516" s="98" t="n"/>
      <c r="AO516" s="98" t="n"/>
      <c r="AP516" s="98" t="n"/>
      <c r="AQ516" s="98" t="n"/>
      <c r="AR516" s="98" t="n"/>
      <c r="AS516" s="98" t="n"/>
      <c r="AT516" s="98" t="n"/>
      <c r="AU516" s="98" t="n"/>
      <c r="AV516" s="98" t="n"/>
      <c r="AW516" s="98" t="n"/>
      <c r="AX516" s="98" t="n"/>
      <c r="AY516" s="98" t="n"/>
      <c r="AZ516" s="98" t="n"/>
      <c r="BA516" s="98" t="n"/>
      <c r="BB516" s="98" t="n"/>
      <c r="BC516" s="98" t="n"/>
      <c r="BD516" s="98" t="n"/>
      <c r="BE516" s="98" t="n"/>
      <c r="BF516" s="98" t="n"/>
      <c r="BG516" s="98" t="n"/>
      <c r="BH516" s="98" t="n"/>
      <c r="BI516" s="98" t="n"/>
      <c r="BJ516" s="98" t="n"/>
      <c r="BK516" s="98" t="n"/>
      <c r="BL516" s="98" t="n"/>
      <c r="BM516" s="98" t="n"/>
      <c r="BN516" s="98" t="n"/>
      <c r="BO516" s="98" t="n"/>
      <c r="BP516" s="98" t="n"/>
      <c r="BQ516" s="98" t="n"/>
      <c r="BR516" s="98" t="n"/>
      <c r="BS516" s="137" t="n"/>
      <c r="BT516" s="99" t="n"/>
      <c r="BU516" s="97" t="n"/>
      <c r="BV516" s="97" t="n"/>
      <c r="BW516" s="332">
        <f>AI517-AH517</f>
        <v/>
      </c>
      <c r="CB516" s="14" t="n"/>
    </row>
    <row r="517" ht="14.55" customHeight="1" s="70">
      <c r="A517" s="75" t="n">
        <v>333</v>
      </c>
      <c r="B517" s="343" t="inlineStr">
        <is>
          <t>KOUROS DIAMOND</t>
        </is>
      </c>
      <c r="C517" s="243" t="n">
        <v>45897</v>
      </c>
      <c r="D517" s="346" t="n">
        <v>31500</v>
      </c>
      <c r="E517" s="333">
        <f>D517+D518</f>
        <v/>
      </c>
      <c r="G517" s="81" t="n">
        <v>2</v>
      </c>
      <c r="H517" s="75" t="inlineStr">
        <is>
          <t>TSP</t>
        </is>
      </c>
      <c r="I517" s="75" t="inlineStr">
        <is>
          <t xml:space="preserve">TSP Pakistan </t>
        </is>
      </c>
      <c r="J517" s="75" t="inlineStr">
        <is>
          <t>CFR</t>
        </is>
      </c>
      <c r="Q517" s="75" t="inlineStr">
        <is>
          <t>ASIE</t>
        </is>
      </c>
      <c r="R517" s="75" t="inlineStr">
        <is>
          <t>PAKISTAN</t>
        </is>
      </c>
      <c r="S517" s="75" t="n"/>
      <c r="T517" s="75" t="inlineStr">
        <is>
          <t>INTERTEK</t>
        </is>
      </c>
      <c r="U517" s="81" t="n">
        <v>190</v>
      </c>
      <c r="V517" s="53">
        <f>IF(U517&lt;130, "Mini Bulker", IF(AND(U517&gt;=130, U517&lt;150), "Handysize", IF(AND(U517&gt;=150, U517&lt;200), "Handymax", IF(AND(U517&gt;=200, U517&lt;230), "Panamax", IF(AND(U517&gt;=230, U517&lt;=270), "Capesize", "Autre")))))</f>
        <v/>
      </c>
      <c r="X517" s="306">
        <f>IF(E517&lt;9999,"1",IF(E517&lt;19999,"2",IF(E517&lt;29999,"3",IF(E517&lt;39999,"4",IF(E517&lt;49999,"5",IF(E517&gt;50000,"6"))))))</f>
        <v/>
      </c>
      <c r="Y517" s="97" t="inlineStr">
        <is>
          <t>2BIS/1BIS</t>
        </is>
      </c>
      <c r="AA517" s="26" t="n">
        <v>45883.84375</v>
      </c>
      <c r="AB517" s="26" t="n">
        <v>45884.375</v>
      </c>
      <c r="AC517" s="15" t="n">
        <v>45884</v>
      </c>
      <c r="AD517" s="15" t="n">
        <v>45886</v>
      </c>
      <c r="AE517" s="26" t="n">
        <v>45883.875</v>
      </c>
      <c r="AF517" s="26" t="n">
        <v>45884.80277777778</v>
      </c>
      <c r="AG517" s="26" t="n">
        <v>45884.92916666667</v>
      </c>
      <c r="AH517" s="26" t="n">
        <v>45884.95833333334</v>
      </c>
      <c r="AI517" s="26" t="n">
        <v>45885.03819444445</v>
      </c>
      <c r="AJ517" s="26" t="n">
        <v>45885.09027777778</v>
      </c>
      <c r="AK517" s="26" t="n">
        <v>45897.45833333334</v>
      </c>
      <c r="AL517" s="26" t="n">
        <v>45897.51388888889</v>
      </c>
      <c r="AM517" s="26" t="n">
        <v>45897.54166666666</v>
      </c>
      <c r="AN517" s="26" t="n">
        <v>45897.59027777778</v>
      </c>
      <c r="AO517" s="26" t="n">
        <v>45897.79166666666</v>
      </c>
      <c r="AP517" s="20">
        <f>(AG517-AF517)*1440</f>
        <v/>
      </c>
      <c r="AQ517" s="20">
        <f>(AG517-AE517)*1440</f>
        <v/>
      </c>
      <c r="AR517" s="20">
        <f>(AH517-AF517)*1440</f>
        <v/>
      </c>
      <c r="AS517" s="20">
        <f>(AI517-AH517)*1440</f>
        <v/>
      </c>
      <c r="AT517" s="20">
        <f>(AJ517-AH517)*1440</f>
        <v/>
      </c>
      <c r="AU517" s="20">
        <f>(AL517-AK517)*1440</f>
        <v/>
      </c>
      <c r="AV517" s="20">
        <f>(AM517-AL517)*1440</f>
        <v/>
      </c>
      <c r="AW517" s="20">
        <f>(AO517-AM517)*1440</f>
        <v/>
      </c>
      <c r="AX517" s="19">
        <f>AP517+AS517+AU517+AV517+AW517</f>
        <v/>
      </c>
      <c r="AY517" s="18">
        <f>(AG517-AA517)</f>
        <v/>
      </c>
      <c r="AZ517" s="18">
        <f>(AK517-AJ517)</f>
        <v/>
      </c>
      <c r="BA517" s="18">
        <f>AO517-AG517</f>
        <v/>
      </c>
      <c r="BB517" s="18">
        <f>(AO517-AA517)-(AP517/1440)-(AW517/1440)</f>
        <v/>
      </c>
      <c r="BC517" s="20">
        <f>E517/AZ517</f>
        <v/>
      </c>
      <c r="BE517" s="20">
        <f>IF(E517&lt;10000,3000,IF(E517&lt;15000,3600,IF(E517&lt;20000,4500,IF(E517&lt;25000,6000,IF(E517&lt;30000,7500,IF(E517&lt;40000,9000,IF(E517&gt;40000,10000)))))))</f>
        <v/>
      </c>
      <c r="BF517" s="334">
        <f>(E517/BE517)+2</f>
        <v/>
      </c>
      <c r="BS517" s="137" t="inlineStr">
        <is>
          <t>CHANGE DU POSTE 2BIS VERS LA RADE LE 17/08 - 2235 // RE-ACCOSTAGE AU POSTE 1BIS LE 21/08- 2025 // CHANGE DU POSTE 1BIS VERS LA RADE LE 23/08- 1110 // RE-ACCOSTAGE AU POSTE 1BIS LE 27/08- 1855</t>
        </is>
      </c>
      <c r="BT517" s="99" t="n">
        <v>4</v>
      </c>
      <c r="BU517" s="97" t="n"/>
      <c r="BV517" s="97" t="n"/>
      <c r="BW517" s="332">
        <f>AI518-AH518</f>
        <v/>
      </c>
      <c r="CB517" s="14" t="n">
        <v>31754</v>
      </c>
    </row>
    <row r="518" ht="14.55" customHeight="1" s="70">
      <c r="A518" s="75" t="n"/>
      <c r="B518" s="343" t="inlineStr">
        <is>
          <t>KOUROS DIAMOND</t>
        </is>
      </c>
      <c r="C518" s="243" t="n">
        <v>45897</v>
      </c>
      <c r="D518" s="346" t="n">
        <v>16500</v>
      </c>
      <c r="E518" s="330" t="n"/>
      <c r="G518" s="81" t="n">
        <v>2</v>
      </c>
      <c r="H518" s="75" t="inlineStr">
        <is>
          <t>DAP</t>
        </is>
      </c>
      <c r="I518" s="75" t="inlineStr">
        <is>
          <t xml:space="preserve">DAP STANDARD </t>
        </is>
      </c>
      <c r="J518" s="75" t="inlineStr">
        <is>
          <t>CFR</t>
        </is>
      </c>
      <c r="Q518" s="75" t="inlineStr">
        <is>
          <t>ASIE</t>
        </is>
      </c>
      <c r="R518" s="75" t="inlineStr">
        <is>
          <t>PAKISTAN</t>
        </is>
      </c>
      <c r="S518" s="75" t="n"/>
      <c r="T518" s="75" t="inlineStr">
        <is>
          <t>INTERTEK</t>
        </is>
      </c>
      <c r="U518" s="81" t="n">
        <v>190</v>
      </c>
      <c r="V518" s="53">
        <f>IF(U518&lt;130, "Mini Bulker", IF(AND(U518&gt;=130, U518&lt;150), "Handysize", IF(AND(U518&gt;=150, U518&lt;200), "Handymax", IF(AND(U518&gt;=200, U518&lt;230), "Panamax", IF(AND(U518&gt;=230, U518&lt;=270), "Capesize", "Autre")))))</f>
        <v/>
      </c>
      <c r="X518" s="306">
        <f>IF(E518&lt;9999,"1",IF(E518&lt;19999,"2",IF(E518&lt;29999,"3",IF(E518&lt;39999,"4",IF(E518&lt;49999,"5",IF(E518&gt;50000,"6"))))))</f>
        <v/>
      </c>
      <c r="Y518" s="97" t="inlineStr">
        <is>
          <t>2BIS/1BIS</t>
        </is>
      </c>
      <c r="AA518" s="98" t="n"/>
      <c r="AB518" s="98" t="n"/>
      <c r="AC518" s="98" t="n"/>
      <c r="AD518" s="98" t="n"/>
      <c r="AE518" s="98" t="n"/>
      <c r="AF518" s="98" t="n"/>
      <c r="AG518" s="98" t="n"/>
      <c r="AH518" s="98" t="n"/>
      <c r="AI518" s="98" t="n"/>
      <c r="AJ518" s="98" t="n"/>
      <c r="AK518" s="98" t="n"/>
      <c r="AL518" s="98" t="n"/>
      <c r="AM518" s="98" t="n"/>
      <c r="AN518" s="98" t="n"/>
      <c r="AO518" s="98" t="n"/>
      <c r="AP518" s="98" t="n"/>
      <c r="AQ518" s="98" t="n"/>
      <c r="AR518" s="98" t="n"/>
      <c r="AS518" s="98" t="n"/>
      <c r="AT518" s="98" t="n"/>
      <c r="AU518" s="98" t="n"/>
      <c r="AV518" s="98" t="n"/>
      <c r="AW518" s="98" t="n"/>
      <c r="AX518" s="98" t="n"/>
      <c r="AY518" s="98" t="n"/>
      <c r="AZ518" s="98" t="n"/>
      <c r="BA518" s="98" t="n"/>
      <c r="BB518" s="98" t="n"/>
      <c r="BC518" s="98" t="n"/>
      <c r="BD518" s="98" t="n"/>
      <c r="BE518" s="98" t="n"/>
      <c r="BF518" s="98" t="n"/>
      <c r="BS518" s="137" t="n"/>
      <c r="BT518" s="99" t="n"/>
      <c r="BU518" s="97" t="n"/>
      <c r="BV518" s="97" t="n"/>
      <c r="BW518" s="332">
        <f>AI519-AH519</f>
        <v/>
      </c>
      <c r="CB518" s="14" t="n"/>
    </row>
    <row r="519" ht="14.55" customHeight="1" s="70">
      <c r="A519" s="75" t="n">
        <v>334</v>
      </c>
      <c r="B519" s="343" t="inlineStr">
        <is>
          <t>BURAK</t>
        </is>
      </c>
      <c r="C519" s="243" t="n">
        <v>45897</v>
      </c>
      <c r="D519" s="346" t="n">
        <v>5458</v>
      </c>
      <c r="E519" s="346" t="n">
        <v>5458</v>
      </c>
      <c r="G519" s="81" t="n">
        <v>1</v>
      </c>
      <c r="H519" s="75" t="inlineStr">
        <is>
          <t>DAP</t>
        </is>
      </c>
      <c r="I519" s="75" t="inlineStr">
        <is>
          <t>DAP Euro Low Cd</t>
        </is>
      </c>
      <c r="J519" s="75" t="inlineStr">
        <is>
          <t>CFR</t>
        </is>
      </c>
      <c r="Q519" s="75" t="inlineStr">
        <is>
          <t>EUROPE</t>
        </is>
      </c>
      <c r="R519" s="75" t="inlineStr">
        <is>
          <t>FRANCE</t>
        </is>
      </c>
      <c r="S519" s="75" t="n"/>
      <c r="T519" s="75" t="inlineStr">
        <is>
          <t>INSPECTORATE</t>
        </is>
      </c>
      <c r="U519" s="81" t="n">
        <v>105</v>
      </c>
      <c r="V519" s="53">
        <f>IF(U519&lt;130, "Mini Bulker", IF(AND(U519&gt;=130, U519&lt;150), "Handysize", IF(AND(U519&gt;=150, U519&lt;200), "Handymax", IF(AND(U519&gt;=200, U519&lt;230), "Panamax", IF(AND(U519&gt;=230, U519&lt;=270), "Capesize", "Autre")))))</f>
        <v/>
      </c>
      <c r="X519" s="306">
        <f>IF(E519&lt;9999,"1",IF(E519&lt;19999,"2",IF(E519&lt;29999,"3",IF(E519&lt;39999,"4",IF(E519&lt;49999,"5",IF(E519&gt;50000,"6"))))))</f>
        <v/>
      </c>
      <c r="Y519" s="244" t="inlineStr">
        <is>
          <t>2TER</t>
        </is>
      </c>
      <c r="AA519" s="26" t="n">
        <v>45896.23611111111</v>
      </c>
      <c r="AB519" s="26" t="n">
        <v>45896.375</v>
      </c>
      <c r="AC519" s="15" t="n">
        <v>45894</v>
      </c>
      <c r="AD519" s="15" t="n">
        <v>45896</v>
      </c>
      <c r="AE519" s="26" t="n">
        <v>45896.23611111111</v>
      </c>
      <c r="AF519" s="26" t="n">
        <v>45896.47291666667</v>
      </c>
      <c r="AG519" s="26" t="n">
        <v>45896.59375</v>
      </c>
      <c r="AH519" s="26" t="n">
        <v>45896.625</v>
      </c>
      <c r="AI519" s="26" t="n">
        <v>45896.6875</v>
      </c>
      <c r="AJ519" s="26" t="n">
        <v>45896.83680555555</v>
      </c>
      <c r="AK519" s="26" t="n">
        <v>45897.50694444445</v>
      </c>
      <c r="AL519" s="26" t="n">
        <v>45897.54513888889</v>
      </c>
      <c r="AM519" s="26" t="n">
        <v>45897.57986111111</v>
      </c>
      <c r="AN519" s="26" t="n">
        <v>45897.63611111111</v>
      </c>
      <c r="AO519" s="26" t="n">
        <v>45897.70486111111</v>
      </c>
      <c r="AP519" s="20">
        <f>(AG519-AF519)*1440</f>
        <v/>
      </c>
      <c r="AQ519" s="20">
        <f>(AG519-AE519)*1440</f>
        <v/>
      </c>
      <c r="AR519" s="20">
        <f>(AH519-AF519)*1440</f>
        <v/>
      </c>
      <c r="AS519" s="20">
        <f>(AI519-AH519)*1440</f>
        <v/>
      </c>
      <c r="AT519" s="20">
        <f>(AJ519-AH519)*1440</f>
        <v/>
      </c>
      <c r="AU519" s="20">
        <f>(AL519-AK519)*1440</f>
        <v/>
      </c>
      <c r="AV519" s="20">
        <f>(AM519-AL519)*1440</f>
        <v/>
      </c>
      <c r="AW519" s="20">
        <f>(AO519-AM519)*1440</f>
        <v/>
      </c>
      <c r="AX519" s="19">
        <f>AP519+AS519+AU519+AV519+AW519</f>
        <v/>
      </c>
      <c r="AY519" s="18">
        <f>(AG519-AA519)</f>
        <v/>
      </c>
      <c r="AZ519" s="18">
        <f>(AK519-AJ519)</f>
        <v/>
      </c>
      <c r="BA519" s="18">
        <f>AO519-AG519</f>
        <v/>
      </c>
      <c r="BB519" s="18">
        <f>(AO519-AA519)-(AP519/1440)-(AW519/1440)</f>
        <v/>
      </c>
      <c r="BC519" s="20">
        <f>E519/AZ519</f>
        <v/>
      </c>
      <c r="BE519" s="20">
        <f>IF(E519&lt;10000,3000,IF(E519&lt;15000,3600,IF(E519&lt;20000,4500,IF(E519&lt;25000,6000,IF(E519&lt;30000,7500,IF(E519&lt;40000,9000,IF(E519&gt;40000,10000)))))))</f>
        <v/>
      </c>
      <c r="BF519" s="334">
        <f>(E519/BE519)+2</f>
        <v/>
      </c>
      <c r="BS519" s="137" t="inlineStr">
        <is>
          <t>NUL</t>
        </is>
      </c>
      <c r="BT519" s="99" t="n">
        <v>0</v>
      </c>
      <c r="BU519" s="97" t="n"/>
      <c r="BV519" s="97" t="n"/>
      <c r="BW519" s="332">
        <f>AI520-AH520</f>
        <v/>
      </c>
      <c r="CB519" s="14" t="n">
        <v>3660</v>
      </c>
    </row>
    <row r="520" ht="15" customHeight="1" s="70">
      <c r="A520" s="75" t="n">
        <v>335</v>
      </c>
      <c r="B520" s="343" t="inlineStr">
        <is>
          <t>SSI RESOLUTE</t>
        </is>
      </c>
      <c r="C520" s="243" t="n">
        <v>45897</v>
      </c>
      <c r="D520" s="346" t="n">
        <v>33000</v>
      </c>
      <c r="E520" s="346" t="n">
        <v>33000</v>
      </c>
      <c r="G520" s="81" t="n">
        <v>1</v>
      </c>
      <c r="H520" s="75" t="inlineStr">
        <is>
          <t>MAP</t>
        </is>
      </c>
      <c r="I520" s="75" t="inlineStr">
        <is>
          <t xml:space="preserve">MAP 11 52 SPECIAL </t>
        </is>
      </c>
      <c r="J520" s="75" t="inlineStr">
        <is>
          <t>FOB</t>
        </is>
      </c>
      <c r="Q520" s="75" t="inlineStr">
        <is>
          <t>AMERIQUE</t>
        </is>
      </c>
      <c r="R520" s="75" t="inlineStr">
        <is>
          <t>USA</t>
        </is>
      </c>
      <c r="S520" s="75" t="n"/>
      <c r="T520" s="75" t="inlineStr">
        <is>
          <t>INTERTEK</t>
        </is>
      </c>
      <c r="U520" s="81" t="n">
        <v>199</v>
      </c>
      <c r="V520" s="53">
        <f>IF(U520&lt;130, "Mini Bulker", IF(AND(U520&gt;=130, U520&lt;150), "Handysize", IF(AND(U520&gt;=150, U520&lt;200), "Handymax", IF(AND(U520&gt;=200, U520&lt;230), "Panamax", IF(AND(U520&gt;=230, U520&lt;=270), "Capesize", "Autre")))))</f>
        <v/>
      </c>
      <c r="X520" s="306">
        <f>IF(E520&lt;9999,"1",IF(E520&lt;19999,"2",IF(E520&lt;29999,"3",IF(E520&lt;39999,"4",IF(E520&lt;49999,"5",IF(E520&gt;50000,"6"))))))</f>
        <v/>
      </c>
      <c r="Y520" s="244" t="inlineStr">
        <is>
          <t>4/2BIS</t>
        </is>
      </c>
      <c r="AC520" s="15" t="n">
        <v>45896</v>
      </c>
      <c r="AD520" s="15" t="n">
        <v>45900</v>
      </c>
      <c r="AE520" s="26" t="n">
        <v>45895.57916666667</v>
      </c>
      <c r="AF520" s="26" t="n">
        <v>45896.00833333333</v>
      </c>
      <c r="AG520" s="26" t="n">
        <v>45896.0875</v>
      </c>
      <c r="AH520" s="26" t="n">
        <v>45896.10416666666</v>
      </c>
      <c r="AI520" s="26" t="n">
        <v>45896.15972222222</v>
      </c>
      <c r="AJ520" s="26" t="n">
        <v>45896.16319444445</v>
      </c>
      <c r="AK520" s="26" t="n">
        <v>45897.85416666666</v>
      </c>
      <c r="AL520" s="26" t="n">
        <v>45897.93402777778</v>
      </c>
      <c r="AM520" s="26" t="n">
        <v>45897.97222222222</v>
      </c>
      <c r="AN520" s="26" t="n">
        <v>45898.04166666666</v>
      </c>
      <c r="AO520" s="26" t="n">
        <v>45898.07916666667</v>
      </c>
      <c r="AP520" s="20">
        <f>(AG520-AF520)*1440</f>
        <v/>
      </c>
      <c r="AQ520" s="20">
        <f>(AG520-AE520)*1440</f>
        <v/>
      </c>
      <c r="AR520" s="20">
        <f>(AH520-AF520)*1440</f>
        <v/>
      </c>
      <c r="AS520" s="20">
        <f>(AI520-AH520)*1440</f>
        <v/>
      </c>
      <c r="AT520" s="20">
        <f>(AJ520-AH520)*1440</f>
        <v/>
      </c>
      <c r="AU520" s="20">
        <f>(AL520-AK520)*1440</f>
        <v/>
      </c>
      <c r="AV520" s="20">
        <f>(AM520-AL520)*1440</f>
        <v/>
      </c>
      <c r="AW520" s="20">
        <f>(AO520-AM520)*1440</f>
        <v/>
      </c>
      <c r="AX520" s="19">
        <f>AP520+AS520+AU520+AV520+AW520</f>
        <v/>
      </c>
      <c r="AY520" s="18">
        <f>(AG520-AA520)</f>
        <v/>
      </c>
      <c r="AZ520" s="18">
        <f>(AK520-AJ520)</f>
        <v/>
      </c>
      <c r="BA520" s="18">
        <f>AO520-AG520</f>
        <v/>
      </c>
      <c r="BB520" s="18">
        <f>(AO520-AA520)-(AP520/1440)-(AW520/1440)</f>
        <v/>
      </c>
      <c r="BC520" s="20">
        <f>E520/AZ520</f>
        <v/>
      </c>
      <c r="BE520" s="20">
        <f>IF(E520&lt;10000,3000,IF(E520&lt;15000,3600,IF(E520&lt;20000,4500,IF(E520&lt;25000,6000,IF(E520&lt;30000,7500,IF(E520&lt;40000,9000,IF(E520&gt;40000,10000)))))))</f>
        <v/>
      </c>
      <c r="BF520" s="334">
        <f>(E520/BE520)+2</f>
        <v/>
      </c>
      <c r="BS520" s="137" t="inlineStr">
        <is>
          <t>MAINTENUS PAR SHORE TENSION // CHANGE DU POSTE 4 VERS POSTE 2BIS LE 27/08- 0206</t>
        </is>
      </c>
      <c r="BT520" s="99" t="n">
        <v>1</v>
      </c>
      <c r="BU520" s="97" t="inlineStr">
        <is>
          <t>CLEAN</t>
        </is>
      </c>
      <c r="BV520" s="97" t="inlineStr">
        <is>
          <t>NUL</t>
        </is>
      </c>
      <c r="BW520" s="332">
        <f>AI521-AH521</f>
        <v/>
      </c>
      <c r="CB520" s="14" t="n">
        <v>35846</v>
      </c>
    </row>
    <row r="521" ht="14.55" customHeight="1" s="70">
      <c r="A521" s="75" t="n">
        <v>336</v>
      </c>
      <c r="B521" s="343" t="inlineStr">
        <is>
          <t>JULIETA</t>
        </is>
      </c>
      <c r="C521" s="243" t="n">
        <v>45898</v>
      </c>
      <c r="D521" s="346" t="n">
        <v>2097</v>
      </c>
      <c r="E521" s="333">
        <f>D521+D522</f>
        <v/>
      </c>
      <c r="G521" s="81" t="n">
        <v>2</v>
      </c>
      <c r="H521" s="75" t="inlineStr">
        <is>
          <t>DAP</t>
        </is>
      </c>
      <c r="I521" s="75" t="inlineStr">
        <is>
          <t xml:space="preserve">DAP Euro Low Cd </t>
        </is>
      </c>
      <c r="J521" s="75" t="inlineStr">
        <is>
          <t>CFR</t>
        </is>
      </c>
      <c r="Q521" s="75" t="inlineStr">
        <is>
          <t>EUROPE</t>
        </is>
      </c>
      <c r="R521" s="75" t="inlineStr">
        <is>
          <t>UK</t>
        </is>
      </c>
      <c r="S521" s="75" t="n"/>
      <c r="T521" s="75" t="inlineStr">
        <is>
          <t>INSPECTORATE</t>
        </is>
      </c>
      <c r="U521" s="81" t="n">
        <v>88</v>
      </c>
      <c r="V521" s="53">
        <f>IF(U521&lt;130, "Mini Bulker", IF(AND(U521&gt;=130, U521&lt;150), "Handysize", IF(AND(U521&gt;=150, U521&lt;200), "Handymax", IF(AND(U521&gt;=200, U521&lt;230), "Panamax", IF(AND(U521&gt;=230, U521&lt;=270), "Capesize", "Autre")))))</f>
        <v/>
      </c>
      <c r="X521" s="306">
        <f>IF(E521&lt;9999,"1",IF(E521&lt;19999,"2",IF(E521&lt;29999,"3",IF(E521&lt;39999,"4",IF(E521&lt;49999,"5",IF(E521&gt;50000,"6"))))))</f>
        <v/>
      </c>
      <c r="Y521" s="244" t="inlineStr">
        <is>
          <t>7/2TER</t>
        </is>
      </c>
      <c r="AA521" s="26" t="n">
        <v>45892.25694444445</v>
      </c>
      <c r="AB521" s="26" t="n">
        <v>45892.375</v>
      </c>
      <c r="AC521" s="15" t="n">
        <v>45891</v>
      </c>
      <c r="AD521" s="15" t="n">
        <v>45893</v>
      </c>
      <c r="AE521" s="26" t="n">
        <v>45892.22916666666</v>
      </c>
      <c r="AF521" s="26" t="n">
        <v>45896.04027777778</v>
      </c>
      <c r="AG521" s="26" t="n">
        <v>45896.10208333333</v>
      </c>
      <c r="AH521" s="26" t="n">
        <v>45896.12152777778</v>
      </c>
      <c r="AI521" s="26" t="n">
        <v>45897.81597222222</v>
      </c>
      <c r="AJ521" s="26" t="n">
        <v>45897.81944444445</v>
      </c>
      <c r="AK521" s="26" t="n">
        <v>45898.83333333334</v>
      </c>
      <c r="AL521" s="26" t="n">
        <v>45898.88194444445</v>
      </c>
      <c r="AM521" s="26" t="n">
        <v>45898.91319444445</v>
      </c>
      <c r="AN521" s="26" t="n">
        <v>45898.95833333334</v>
      </c>
      <c r="AO521" s="26" t="n">
        <v>45899.02777777778</v>
      </c>
      <c r="AP521" s="20">
        <f>(AG521-AF521)*1440</f>
        <v/>
      </c>
      <c r="AQ521" s="20">
        <f>(AG521-AE521)*1440</f>
        <v/>
      </c>
      <c r="AR521" s="20">
        <f>(AH521-AF521)*1440</f>
        <v/>
      </c>
      <c r="AS521" s="20">
        <f>(AI521-AH521)*1440</f>
        <v/>
      </c>
      <c r="AT521" s="20">
        <f>(AJ521-AH521)*1440</f>
        <v/>
      </c>
      <c r="AU521" s="20">
        <f>(AL521-AK521)*1440</f>
        <v/>
      </c>
      <c r="AV521" s="20">
        <f>(AM521-AL521)*1440</f>
        <v/>
      </c>
      <c r="AW521" s="20">
        <f>(AO521-AM521)*1440</f>
        <v/>
      </c>
      <c r="AX521" s="19">
        <f>AP521+AS521+AU521+AV521+AW521</f>
        <v/>
      </c>
      <c r="AY521" s="18">
        <f>(AG521-AA521)</f>
        <v/>
      </c>
      <c r="AZ521" s="18">
        <f>(AK521-AJ521)</f>
        <v/>
      </c>
      <c r="BA521" s="18">
        <f>AO521-AG521</f>
        <v/>
      </c>
      <c r="BB521" s="18">
        <f>(AO521-AA521)-(AP521/1440)-(AW521/1440)</f>
        <v/>
      </c>
      <c r="BC521" s="20">
        <f>E521/AZ521</f>
        <v/>
      </c>
      <c r="BE521" s="20">
        <f>IF(E521&lt;10000,3000,IF(E521&lt;15000,3600,IF(E521&lt;20000,4500,IF(E521&lt;25000,6000,IF(E521&lt;30000,7500,IF(E521&lt;40000,9000,IF(E521&gt;40000,10000)))))))</f>
        <v/>
      </c>
      <c r="BF521" s="334">
        <f>(E521/BE521)+2</f>
        <v/>
      </c>
      <c r="BS521" s="137" t="inlineStr">
        <is>
          <t>CHANGE DU POSTE 7 VERS LA RADE LE 28/08- 1320 // RE-ACC AU POSTE 2TER LE 28/08 - 1830</t>
        </is>
      </c>
      <c r="BT521" s="99" t="n">
        <v>2</v>
      </c>
      <c r="BU521" s="97" t="inlineStr">
        <is>
          <t>NON CLEAN</t>
        </is>
      </c>
      <c r="BV521" s="97" t="inlineStr">
        <is>
          <t>WATER/HUMIDITY/BULK HEAD</t>
        </is>
      </c>
      <c r="BW521" s="332">
        <f>AI522-AH522</f>
        <v/>
      </c>
      <c r="CB521" s="14" t="n">
        <v>2050</v>
      </c>
    </row>
    <row r="522" ht="15" customHeight="1" s="70">
      <c r="A522" s="75" t="n"/>
      <c r="B522" s="343" t="inlineStr">
        <is>
          <t>JULIETA</t>
        </is>
      </c>
      <c r="C522" s="243" t="n">
        <v>45898</v>
      </c>
      <c r="D522" s="346" t="n">
        <v>1085</v>
      </c>
      <c r="E522" s="330" t="n"/>
      <c r="G522" s="81" t="n">
        <v>2</v>
      </c>
      <c r="H522" s="75" t="inlineStr">
        <is>
          <t>TSP</t>
        </is>
      </c>
      <c r="I522" s="75" t="inlineStr">
        <is>
          <t xml:space="preserve">TSP EURO Low Cd </t>
        </is>
      </c>
      <c r="J522" s="75" t="inlineStr">
        <is>
          <t>CFR</t>
        </is>
      </c>
      <c r="Q522" s="75" t="inlineStr">
        <is>
          <t>EUROPE</t>
        </is>
      </c>
      <c r="R522" s="75" t="inlineStr">
        <is>
          <t>UK</t>
        </is>
      </c>
      <c r="S522" s="75" t="n"/>
      <c r="T522" s="75" t="inlineStr">
        <is>
          <t>INSPECTORATE</t>
        </is>
      </c>
      <c r="U522" s="81" t="n">
        <v>88</v>
      </c>
      <c r="V522" s="53">
        <f>IF(U522&lt;130, "Mini Bulker", IF(AND(U522&gt;=130, U522&lt;150), "Handysize", IF(AND(U522&gt;=150, U522&lt;200), "Handymax", IF(AND(U522&gt;=200, U522&lt;230), "Panamax", IF(AND(U522&gt;=230, U522&lt;=270), "Capesize", "Autre")))))</f>
        <v/>
      </c>
      <c r="X522" s="306">
        <f>IF(E522&lt;9999,"1",IF(E522&lt;19999,"2",IF(E522&lt;29999,"3",IF(E522&lt;39999,"4",IF(E522&lt;49999,"5",IF(E522&gt;50000,"6"))))))</f>
        <v/>
      </c>
      <c r="Y522" s="244" t="inlineStr">
        <is>
          <t>7/2TER</t>
        </is>
      </c>
      <c r="AA522" s="98" t="n"/>
      <c r="AB522" s="98" t="n"/>
      <c r="AC522" s="98" t="n"/>
      <c r="AD522" s="98" t="n"/>
      <c r="AE522" s="98" t="n"/>
      <c r="AF522" s="98" t="n"/>
      <c r="AG522" s="98" t="n"/>
      <c r="AH522" s="98" t="n"/>
      <c r="AI522" s="98" t="n"/>
      <c r="AJ522" s="98" t="n"/>
      <c r="AK522" s="98" t="n"/>
      <c r="AL522" s="98" t="n"/>
      <c r="AM522" s="98" t="n"/>
      <c r="AN522" s="98" t="n"/>
      <c r="AO522" s="98" t="n"/>
      <c r="AP522" s="98" t="n"/>
      <c r="AQ522" s="98" t="n"/>
      <c r="AR522" s="98" t="n"/>
      <c r="AS522" s="98" t="n"/>
      <c r="AT522" s="98" t="n"/>
      <c r="AU522" s="98" t="n"/>
      <c r="AV522" s="98" t="n"/>
      <c r="AW522" s="98" t="n"/>
      <c r="AX522" s="98" t="n"/>
      <c r="AY522" s="98" t="n"/>
      <c r="AZ522" s="98" t="n"/>
      <c r="BA522" s="98" t="n"/>
      <c r="BB522" s="98" t="n"/>
      <c r="BC522" s="98" t="n"/>
      <c r="BD522" s="98" t="n"/>
      <c r="BE522" s="98" t="n"/>
      <c r="BF522" s="98" t="n"/>
      <c r="BS522" s="137" t="n"/>
      <c r="BT522" s="99" t="n"/>
      <c r="BU522" s="97" t="n"/>
      <c r="BV522" s="97" t="n"/>
      <c r="BW522" s="332">
        <f>AI523-AH523</f>
        <v/>
      </c>
      <c r="CB522" s="14" t="n"/>
    </row>
    <row r="523" ht="14.55" customHeight="1" s="70">
      <c r="A523" s="75" t="n">
        <v>337</v>
      </c>
      <c r="B523" s="343" t="inlineStr">
        <is>
          <t>CELTIC MARINER</t>
        </is>
      </c>
      <c r="C523" s="243" t="n">
        <v>45899</v>
      </c>
      <c r="D523" s="346" t="n">
        <v>2200</v>
      </c>
      <c r="E523" s="333">
        <f>D523+D524</f>
        <v/>
      </c>
      <c r="G523" s="81" t="n">
        <v>2</v>
      </c>
      <c r="H523" s="75" t="inlineStr">
        <is>
          <t>DAP</t>
        </is>
      </c>
      <c r="I523" s="75" t="inlineStr">
        <is>
          <t xml:space="preserve">DAP Euro Low Cd </t>
        </is>
      </c>
      <c r="J523" s="75" t="inlineStr">
        <is>
          <t>CFR</t>
        </is>
      </c>
      <c r="Q523" s="75" t="inlineStr">
        <is>
          <t>EUROPE</t>
        </is>
      </c>
      <c r="R523" s="75" t="inlineStr">
        <is>
          <t>SPAIN</t>
        </is>
      </c>
      <c r="S523" s="75" t="n"/>
      <c r="T523" s="75" t="inlineStr">
        <is>
          <t>INTERTEK</t>
        </is>
      </c>
      <c r="U523" s="81" t="n">
        <v>90</v>
      </c>
      <c r="V523" s="53">
        <f>IF(U523&lt;130, "Mini Bulker", IF(AND(U523&gt;=130, U523&lt;150), "Handysize", IF(AND(U523&gt;=150, U523&lt;200), "Handymax", IF(AND(U523&gt;=200, U523&lt;230), "Panamax", IF(AND(U523&gt;=230, U523&lt;=270), "Capesize", "Autre")))))</f>
        <v/>
      </c>
      <c r="X523" s="306">
        <f>IF(E523&lt;9999,"1",IF(E523&lt;19999,"2",IF(E523&lt;29999,"3",IF(E523&lt;39999,"4",IF(E523&lt;49999,"5",IF(E523&gt;50000,"6"))))))</f>
        <v/>
      </c>
      <c r="Y523" s="244" t="inlineStr">
        <is>
          <t>2BIS</t>
        </is>
      </c>
      <c r="AA523" s="26" t="n">
        <v>45897.38541666666</v>
      </c>
      <c r="AB523" s="26" t="n">
        <v>45897.38541666666</v>
      </c>
      <c r="AC523" s="15" t="n">
        <v>45895</v>
      </c>
      <c r="AD523" s="15" t="n">
        <v>45897</v>
      </c>
      <c r="AE523" s="26" t="n">
        <v>45897.38541666666</v>
      </c>
      <c r="AF523" s="26" t="n">
        <v>45898.07916666667</v>
      </c>
      <c r="AG523" s="26" t="n">
        <v>45898.15625</v>
      </c>
      <c r="AH523" s="26" t="n">
        <v>45898.1875</v>
      </c>
      <c r="AI523" s="26" t="n">
        <v>45898.76041666666</v>
      </c>
      <c r="AJ523" s="26" t="n">
        <v>45898.84722222222</v>
      </c>
      <c r="AK523" s="26" t="n">
        <v>45899.66666666666</v>
      </c>
      <c r="AL523" s="26" t="n">
        <v>45899.7</v>
      </c>
      <c r="AM523" s="26" t="n">
        <v>45899.72916666666</v>
      </c>
      <c r="AN523" s="26" t="n">
        <v>45899.76041666666</v>
      </c>
      <c r="AO523" s="26" t="n">
        <v>45899.77013888889</v>
      </c>
      <c r="AP523" s="20">
        <f>(AG523-AF523)*1440</f>
        <v/>
      </c>
      <c r="AQ523" s="20">
        <f>(AG523-AE523)*1440</f>
        <v/>
      </c>
      <c r="AR523" s="20">
        <f>(AH523-AF523)*1440</f>
        <v/>
      </c>
      <c r="AS523" s="20">
        <f>(AI523-AH523)*1440</f>
        <v/>
      </c>
      <c r="AT523" s="20">
        <f>(AJ523-AH523)*1440</f>
        <v/>
      </c>
      <c r="AU523" s="20">
        <f>(AL523-AK523)*1440</f>
        <v/>
      </c>
      <c r="AV523" s="20">
        <f>(AM523-AL523)*1440</f>
        <v/>
      </c>
      <c r="AW523" s="20">
        <f>(AO523-AM523)*1440</f>
        <v/>
      </c>
      <c r="AX523" s="19">
        <f>AP523+AS523+AU523+AV523+AW523</f>
        <v/>
      </c>
      <c r="AY523" s="18">
        <f>(AG523-AA523)</f>
        <v/>
      </c>
      <c r="AZ523" s="18">
        <f>(AK523-AJ523)</f>
        <v/>
      </c>
      <c r="BA523" s="18">
        <f>AO523-AG523</f>
        <v/>
      </c>
      <c r="BB523" s="18">
        <f>(AO523-AA523)-(AP523/1440)-(AW523/1440)</f>
        <v/>
      </c>
      <c r="BC523" s="20">
        <f>E523/AZ523</f>
        <v/>
      </c>
      <c r="BE523" s="20">
        <f>IF(E523&lt;10000,3000,IF(E523&lt;15000,3600,IF(E523&lt;20000,4500,IF(E523&lt;25000,6000,IF(E523&lt;30000,7500,IF(E523&lt;40000,9000,IF(E523&gt;40000,10000)))))))</f>
        <v/>
      </c>
      <c r="BF523" s="334">
        <f>(E523/BE523)+2</f>
        <v/>
      </c>
      <c r="BS523" s="137" t="inlineStr">
        <is>
          <t>NUL</t>
        </is>
      </c>
      <c r="BT523" s="99" t="n">
        <v>0</v>
      </c>
      <c r="BU523" s="97" t="inlineStr">
        <is>
          <t>NAVIRE NON PRÊT</t>
        </is>
      </c>
      <c r="BV523" s="97" t="inlineStr">
        <is>
          <t>BULK HEAD/DEBALLASTING</t>
        </is>
      </c>
      <c r="BW523" s="332">
        <f>AI524-AH524</f>
        <v/>
      </c>
      <c r="CB523" s="14" t="n">
        <v>2967</v>
      </c>
    </row>
    <row r="524" ht="15.75" customHeight="1" s="70">
      <c r="A524" s="75" t="n"/>
      <c r="B524" s="343" t="inlineStr">
        <is>
          <t>CELTIC MARINER</t>
        </is>
      </c>
      <c r="C524" s="243" t="n">
        <v>45899</v>
      </c>
      <c r="D524" s="346" t="n">
        <v>2200</v>
      </c>
      <c r="E524" s="330" t="n"/>
      <c r="G524" s="81" t="n">
        <v>2</v>
      </c>
      <c r="H524" s="75" t="inlineStr">
        <is>
          <t>NPK</t>
        </is>
      </c>
      <c r="I524" s="75" t="inlineStr">
        <is>
          <t xml:space="preserve">NPK 15 15 15 Low Cd </t>
        </is>
      </c>
      <c r="J524" s="75" t="inlineStr">
        <is>
          <t>CFR</t>
        </is>
      </c>
      <c r="Q524" s="75" t="inlineStr">
        <is>
          <t>EUROPE</t>
        </is>
      </c>
      <c r="R524" s="75" t="inlineStr">
        <is>
          <t>SPAIN</t>
        </is>
      </c>
      <c r="T524" s="75" t="inlineStr">
        <is>
          <t>INTERTEK</t>
        </is>
      </c>
      <c r="U524" s="81" t="n">
        <v>90</v>
      </c>
      <c r="V524" s="53">
        <f>IF(U524&lt;130, "Mini Bulker", IF(AND(U524&gt;=130, U524&lt;150), "Handysize", IF(AND(U524&gt;=150, U524&lt;200), "Handymax", IF(AND(U524&gt;=200, U524&lt;230), "Panamax", IF(AND(U524&gt;=230, U524&lt;=270), "Capesize", "Autre")))))</f>
        <v/>
      </c>
      <c r="X524" s="306">
        <f>IF(E524&lt;9999,"1",IF(E524&lt;19999,"2",IF(E524&lt;29999,"3",IF(E524&lt;39999,"4",IF(E524&lt;49999,"5",IF(E524&gt;50000,"6"))))))</f>
        <v/>
      </c>
      <c r="Y524" s="244" t="inlineStr">
        <is>
          <t>2BIS</t>
        </is>
      </c>
      <c r="AA524" s="98" t="n"/>
      <c r="AB524" s="98" t="n"/>
      <c r="AC524" s="98" t="n"/>
      <c r="AD524" s="98" t="n"/>
      <c r="AE524" s="98" t="n"/>
      <c r="AF524" s="98" t="n"/>
      <c r="AG524" s="98" t="n"/>
      <c r="AH524" s="98" t="n"/>
      <c r="AI524" s="98" t="n"/>
      <c r="AJ524" s="98" t="n"/>
      <c r="AK524" s="98" t="n"/>
      <c r="AL524" s="98" t="n"/>
      <c r="AM524" s="98" t="n"/>
      <c r="AN524" s="98" t="n"/>
      <c r="AO524" s="98" t="n"/>
      <c r="AP524" s="98" t="n"/>
      <c r="AQ524" s="98" t="n"/>
      <c r="AR524" s="98" t="n"/>
      <c r="AS524" s="98" t="n"/>
      <c r="AT524" s="98" t="n"/>
      <c r="AU524" s="98" t="n"/>
      <c r="AV524" s="98" t="n"/>
      <c r="AW524" s="98" t="n"/>
      <c r="AX524" s="98" t="n"/>
      <c r="AY524" s="98" t="n"/>
      <c r="AZ524" s="98" t="n"/>
      <c r="BA524" s="98" t="n"/>
      <c r="BB524" s="98" t="n"/>
      <c r="BC524" s="98" t="n"/>
      <c r="BD524" s="98" t="n"/>
      <c r="BE524" s="98" t="n"/>
      <c r="BF524" s="98" t="n"/>
      <c r="BG524" s="98" t="n"/>
      <c r="BH524" s="98" t="n"/>
      <c r="BI524" s="98" t="n"/>
      <c r="BJ524" s="98" t="n"/>
      <c r="BK524" s="98" t="n"/>
      <c r="BL524" s="98" t="n"/>
      <c r="BM524" s="98" t="n"/>
      <c r="BN524" s="98" t="n"/>
      <c r="BO524" s="98" t="n"/>
      <c r="BP524" s="98" t="n"/>
      <c r="BQ524" s="98" t="n"/>
      <c r="BR524" s="98" t="n"/>
      <c r="BS524" s="137" t="n"/>
      <c r="BT524" s="99" t="n"/>
      <c r="BU524" s="97" t="n"/>
      <c r="BV524" s="97" t="n"/>
      <c r="BW524" s="332">
        <f>AI525-AH525</f>
        <v/>
      </c>
      <c r="CB524" s="14" t="n"/>
    </row>
    <row r="525" ht="15.75" customHeight="1" s="70">
      <c r="A525" s="75" t="n">
        <v>338</v>
      </c>
      <c r="B525" s="343" t="inlineStr">
        <is>
          <t>BERGE RISHIRI</t>
        </is>
      </c>
      <c r="C525" s="243" t="n">
        <v>45900</v>
      </c>
      <c r="D525" s="346" t="n">
        <v>10070</v>
      </c>
      <c r="E525" s="333">
        <f>D525+D526</f>
        <v/>
      </c>
      <c r="G525" s="81" t="n">
        <v>2</v>
      </c>
      <c r="H525" s="75" t="inlineStr">
        <is>
          <t>NPK</t>
        </is>
      </c>
      <c r="I525" s="75" t="inlineStr">
        <is>
          <t xml:space="preserve">NPK 10 20 10 6S ZAMBIE </t>
        </is>
      </c>
      <c r="J525" s="75" t="inlineStr">
        <is>
          <t>DAT</t>
        </is>
      </c>
      <c r="Q525" s="75" t="inlineStr">
        <is>
          <t>AFRIQUE</t>
        </is>
      </c>
      <c r="R525" s="75" t="inlineStr">
        <is>
          <t>Mozambique</t>
        </is>
      </c>
      <c r="S525" s="75" t="n"/>
      <c r="T525" s="75" t="inlineStr">
        <is>
          <t>INSPECTORATE</t>
        </is>
      </c>
      <c r="U525" s="81" t="n">
        <v>180</v>
      </c>
      <c r="V525" s="53">
        <f>IF(U525&lt;130, "Mini Bulker", IF(AND(U525&gt;=130, U525&lt;150), "Handysize", IF(AND(U525&gt;=150, U525&lt;200), "Handymax", IF(AND(U525&gt;=200, U525&lt;230), "Panamax", IF(AND(U525&gt;=230, U525&lt;=270), "Capesize", "Autre")))))</f>
        <v/>
      </c>
      <c r="X525" s="306">
        <f>IF(E525&lt;9999,"1",IF(E525&lt;19999,"2",IF(E525&lt;29999,"3",IF(E525&lt;39999,"4",IF(E525&lt;49999,"5",IF(E525&gt;50000,"6"))))))</f>
        <v/>
      </c>
      <c r="Y525" s="244" t="inlineStr">
        <is>
          <t>1BIS/1TER</t>
        </is>
      </c>
      <c r="AA525" s="26" t="n">
        <v>45894.175</v>
      </c>
      <c r="AB525" s="26" t="n">
        <v>45894.375</v>
      </c>
      <c r="AC525" s="15" t="n">
        <v>45890</v>
      </c>
      <c r="AD525" s="15" t="n">
        <v>45894</v>
      </c>
      <c r="AE525" s="26" t="n">
        <v>45894.08333333334</v>
      </c>
      <c r="AF525" s="26" t="n">
        <v>45894.60416666666</v>
      </c>
      <c r="AG525" s="26" t="n">
        <v>45894.67083333333</v>
      </c>
      <c r="AH525" s="26" t="n">
        <v>45894.6875</v>
      </c>
      <c r="AI525" s="26" t="n">
        <v>45894.73611111111</v>
      </c>
      <c r="AJ525" s="26" t="n">
        <v>45894.78125</v>
      </c>
      <c r="AK525" s="26" t="n">
        <v>45900.77083333334</v>
      </c>
      <c r="AL525" s="26" t="n">
        <v>45900.80555555555</v>
      </c>
      <c r="AM525" s="26" t="n">
        <v>45900.84027777778</v>
      </c>
      <c r="AN525" s="26" t="n">
        <v>45900.875</v>
      </c>
      <c r="AO525" s="26" t="n">
        <v>45900.90972222222</v>
      </c>
      <c r="AP525" s="20">
        <f>(AG525-AF525)*1440</f>
        <v/>
      </c>
      <c r="AQ525" s="20">
        <f>(AG525-AE525)*1440</f>
        <v/>
      </c>
      <c r="AR525" s="20">
        <f>(AH525-AF525)*1440</f>
        <v/>
      </c>
      <c r="AS525" s="20">
        <f>(AI525-AH525)*1440</f>
        <v/>
      </c>
      <c r="AT525" s="20">
        <f>(AJ525-AH525)*1440</f>
        <v/>
      </c>
      <c r="AU525" s="20">
        <f>(AL525-AK525)*1440</f>
        <v/>
      </c>
      <c r="AV525" s="20">
        <f>(AM525-AL525)*1440</f>
        <v/>
      </c>
      <c r="AW525" s="20">
        <f>(AO525-AM525)*1440</f>
        <v/>
      </c>
      <c r="AX525" s="19">
        <f>AP525+AS525+AU525+AV525+AW525</f>
        <v/>
      </c>
      <c r="AY525" s="18">
        <f>(AG525-AA525)</f>
        <v/>
      </c>
      <c r="AZ525" s="18">
        <f>(AK525-AJ525)</f>
        <v/>
      </c>
      <c r="BA525" s="18">
        <f>AO525-AG525</f>
        <v/>
      </c>
      <c r="BB525" s="18">
        <f>(AO525-AA525)-(AP525/1440)-(AW525/1440)</f>
        <v/>
      </c>
      <c r="BC525" s="20">
        <f>E525/AZ525</f>
        <v/>
      </c>
      <c r="BE525" s="20">
        <f>IF(E525&lt;10000,3000,IF(E525&lt;15000,3600,IF(E525&lt;20000,4500,IF(E525&lt;25000,6000,IF(E525&lt;30000,7500,IF(E525&lt;40000,9000,IF(E525&gt;40000,10000)))))))</f>
        <v/>
      </c>
      <c r="BF525" s="334">
        <f>(E525/BE525)+2</f>
        <v/>
      </c>
      <c r="BS525" s="137" t="inlineStr">
        <is>
          <t>CHANGE DU POSTE 1BIS VERS LA RADE LE 26/08- 2212 // RE-ACC AU POSTE 1TER LE 28/08 - 1355</t>
        </is>
      </c>
      <c r="BT525" s="99" t="n">
        <v>2</v>
      </c>
      <c r="BU525" s="97" t="n"/>
      <c r="BV525" s="97" t="n"/>
      <c r="BW525" s="332">
        <f>AI526-AH526</f>
        <v/>
      </c>
      <c r="CB525" s="14" t="n">
        <v>21530</v>
      </c>
    </row>
    <row r="526">
      <c r="B526" s="343" t="inlineStr">
        <is>
          <t>BERGE RISHIRI</t>
        </is>
      </c>
      <c r="C526" s="243" t="n">
        <v>45900</v>
      </c>
      <c r="D526" s="347" t="n">
        <v>20026</v>
      </c>
      <c r="E526" s="330" t="n"/>
      <c r="G526" s="81" t="n">
        <v>2</v>
      </c>
      <c r="H526" s="75" t="inlineStr">
        <is>
          <t>MAP</t>
        </is>
      </c>
      <c r="I526" s="75" t="inlineStr">
        <is>
          <t xml:space="preserve">MAP 12 52 ZAMBIA </t>
        </is>
      </c>
      <c r="J526" s="75" t="inlineStr">
        <is>
          <t>DAT</t>
        </is>
      </c>
      <c r="Q526" s="75" t="inlineStr">
        <is>
          <t>AFRIQUE</t>
        </is>
      </c>
      <c r="R526" s="75" t="inlineStr">
        <is>
          <t>Mozambique</t>
        </is>
      </c>
      <c r="S526" s="75" t="n"/>
      <c r="T526" s="75" t="inlineStr">
        <is>
          <t>INSPECTORATE</t>
        </is>
      </c>
      <c r="U526" s="81" t="n">
        <v>180</v>
      </c>
      <c r="V526" s="53">
        <f>IF(U526&lt;130, "Mini Bulker", IF(AND(U526&gt;=130, U526&lt;150), "Handysize", IF(AND(U526&gt;=150, U526&lt;200), "Handymax", IF(AND(U526&gt;=200, U526&lt;230), "Panamax", IF(AND(U526&gt;=230, U526&lt;=270), "Capesize", "Autre")))))</f>
        <v/>
      </c>
      <c r="X526" s="306">
        <f>IF(E526&lt;9999,"1",IF(E526&lt;19999,"2",IF(E526&lt;29999,"3",IF(E526&lt;39999,"4",IF(E526&lt;49999,"5",IF(E526&gt;50000,"6"))))))</f>
        <v/>
      </c>
      <c r="Y526" s="244" t="inlineStr">
        <is>
          <t>1BIS/1TER</t>
        </is>
      </c>
      <c r="AA526" s="98" t="n"/>
      <c r="AB526" s="98" t="n"/>
      <c r="AC526" s="98" t="n"/>
      <c r="AD526" s="98" t="n"/>
      <c r="AE526" s="98" t="n"/>
      <c r="AF526" s="98" t="n"/>
      <c r="AG526" s="98" t="n"/>
      <c r="AH526" s="98" t="n"/>
      <c r="AI526" s="98" t="n"/>
      <c r="AJ526" s="98" t="n"/>
      <c r="AK526" s="98" t="n"/>
      <c r="AL526" s="98" t="n"/>
      <c r="AM526" s="98" t="n"/>
      <c r="AN526" s="98" t="n"/>
      <c r="AO526" s="98" t="n"/>
      <c r="AP526" s="98" t="n"/>
      <c r="AQ526" s="98" t="n"/>
      <c r="AR526" s="98" t="n"/>
      <c r="AS526" s="98" t="n"/>
      <c r="AT526" s="98" t="n"/>
      <c r="AU526" s="98" t="n"/>
      <c r="AV526" s="98" t="n"/>
      <c r="AW526" s="98" t="n"/>
      <c r="AX526" s="98" t="n"/>
      <c r="AY526" s="98" t="n"/>
      <c r="AZ526" s="98" t="n"/>
      <c r="BA526" s="98" t="n"/>
      <c r="BB526" s="98" t="n"/>
      <c r="BC526" s="98" t="n"/>
      <c r="BD526" s="98" t="n"/>
      <c r="BE526" s="98" t="n"/>
      <c r="BF526" s="98" t="n"/>
      <c r="BS526" s="137" t="n"/>
      <c r="BT526" s="99" t="n"/>
      <c r="BU526" s="99" t="n"/>
      <c r="BW526" s="332">
        <f>AI527-AH527</f>
        <v/>
      </c>
      <c r="CB526" s="14" t="n"/>
    </row>
    <row r="527">
      <c r="A527" s="75" t="n">
        <v>339</v>
      </c>
      <c r="B527" s="343" t="inlineStr">
        <is>
          <t>SYROS TRADER</t>
        </is>
      </c>
      <c r="C527" s="243" t="n">
        <v>45900</v>
      </c>
      <c r="D527" s="347" t="n">
        <v>31000</v>
      </c>
      <c r="E527" s="333">
        <f>D527+D528</f>
        <v/>
      </c>
      <c r="G527" s="81" t="n">
        <v>2</v>
      </c>
      <c r="H527" s="75" t="inlineStr">
        <is>
          <t>DAP</t>
        </is>
      </c>
      <c r="I527" s="75" t="inlineStr">
        <is>
          <t xml:space="preserve">DAP STANDARD </t>
        </is>
      </c>
      <c r="J527" s="75" t="inlineStr">
        <is>
          <t>CFR</t>
        </is>
      </c>
      <c r="Q527" s="75" t="inlineStr">
        <is>
          <t>ASIE</t>
        </is>
      </c>
      <c r="R527" s="75" t="inlineStr">
        <is>
          <t xml:space="preserve">INDIA </t>
        </is>
      </c>
      <c r="S527" s="75" t="n"/>
      <c r="T527" s="75" t="inlineStr">
        <is>
          <t>INSPECTORATE</t>
        </is>
      </c>
      <c r="U527" s="81" t="n">
        <v>190</v>
      </c>
      <c r="V527" s="53">
        <f>IF(U527&lt;130, "Mini Bulker", IF(AND(U527&gt;=130, U527&lt;150), "Handysize", IF(AND(U527&gt;=150, U527&lt;200), "Handymax", IF(AND(U527&gt;=200, U527&lt;230), "Panamax", IF(AND(U527&gt;=230, U527&lt;=270), "Capesize", "Autre")))))</f>
        <v/>
      </c>
      <c r="X527" s="306">
        <f>IF(E527&lt;9999,"1",IF(E527&lt;19999,"2",IF(E527&lt;29999,"3",IF(E527&lt;39999,"4",IF(E527&lt;49999,"5",IF(E527&gt;50000,"6"))))))</f>
        <v/>
      </c>
      <c r="Y527" s="244" t="inlineStr">
        <is>
          <t>2N</t>
        </is>
      </c>
      <c r="AA527" s="26" t="n">
        <v>45896.56944444445</v>
      </c>
      <c r="AB527" s="26" t="n">
        <v>45896.56944444445</v>
      </c>
      <c r="AC527" s="15" t="n">
        <v>45894</v>
      </c>
      <c r="AD527" s="15" t="n">
        <v>45897</v>
      </c>
      <c r="AE527" s="26" t="n">
        <v>45896.45833333334</v>
      </c>
      <c r="AF527" s="26" t="n">
        <v>45896.54861111111</v>
      </c>
      <c r="AG527" s="26" t="n">
        <v>45896.61458333334</v>
      </c>
      <c r="AH527" s="26" t="n">
        <v>45896.63194444445</v>
      </c>
      <c r="AI527" s="26" t="n">
        <v>45896.69444444445</v>
      </c>
      <c r="AJ527" s="26" t="n">
        <v>45896.72222222222</v>
      </c>
      <c r="AK527" s="26" t="n">
        <v>45900.81944444445</v>
      </c>
      <c r="AL527" s="26" t="n">
        <v>45900.86111111111</v>
      </c>
      <c r="AM527" s="26" t="n">
        <v>45900.88194444445</v>
      </c>
      <c r="AN527" s="26" t="n">
        <v>45900.92430555556</v>
      </c>
      <c r="AO527" s="26" t="n">
        <v>45900.95138888889</v>
      </c>
      <c r="AP527" s="20">
        <f>(AG527-AF527)*1440</f>
        <v/>
      </c>
      <c r="AQ527" s="20">
        <f>(AG527-AE527)*1440</f>
        <v/>
      </c>
      <c r="AR527" s="20">
        <f>(AH527-AF527)*1440</f>
        <v/>
      </c>
      <c r="AS527" s="20">
        <f>(AI527-AH527)*1440</f>
        <v/>
      </c>
      <c r="AT527" s="20">
        <f>(AJ527-AH527)*1440</f>
        <v/>
      </c>
      <c r="AU527" s="20">
        <f>(AL527-AK527)*1440</f>
        <v/>
      </c>
      <c r="AV527" s="20">
        <f>(AM527-AL527)*1440</f>
        <v/>
      </c>
      <c r="AW527" s="20">
        <f>(AO527-AM527)*1440</f>
        <v/>
      </c>
      <c r="AX527" s="19">
        <f>AP527+AS527+AU527+AV527+AW527</f>
        <v/>
      </c>
      <c r="AY527" s="18">
        <f>(AG527-AA527)</f>
        <v/>
      </c>
      <c r="AZ527" s="18">
        <f>(AK527-AJ527)</f>
        <v/>
      </c>
      <c r="BA527" s="18">
        <f>AO527-AG527</f>
        <v/>
      </c>
      <c r="BB527" s="18">
        <f>(AO527-AA527)-(AP527/1440)-(AW527/1440)</f>
        <v/>
      </c>
      <c r="BC527" s="20">
        <f>E527/AZ527</f>
        <v/>
      </c>
      <c r="BE527" s="20">
        <f>IF(E527&lt;10000,3000,IF(E527&lt;15000,3600,IF(E527&lt;20000,4500,IF(E527&lt;25000,6000,IF(E527&lt;30000,7500,IF(E527&lt;40000,9000,IF(E527&gt;40000,10000)))))))</f>
        <v/>
      </c>
      <c r="BF527" s="334">
        <f>(E527/BE527)+2</f>
        <v/>
      </c>
      <c r="BS527" s="137" t="inlineStr">
        <is>
          <t>NUL</t>
        </is>
      </c>
      <c r="BT527" s="99" t="n">
        <v>0</v>
      </c>
      <c r="BU527" s="99" t="inlineStr">
        <is>
          <t>CLEAN</t>
        </is>
      </c>
      <c r="BV527" s="97" t="inlineStr">
        <is>
          <t>NUL</t>
        </is>
      </c>
      <c r="BW527" s="332">
        <f>AI528-AH528</f>
        <v/>
      </c>
      <c r="CB527" s="14" t="n">
        <v>31094</v>
      </c>
    </row>
    <row r="528">
      <c r="A528" s="75" t="n"/>
      <c r="B528" s="343" t="inlineStr">
        <is>
          <t>SYROS TRADER</t>
        </is>
      </c>
      <c r="C528" s="243" t="n">
        <v>45900</v>
      </c>
      <c r="D528" s="348" t="n">
        <v>20166</v>
      </c>
      <c r="E528" s="330" t="n"/>
      <c r="G528" s="81" t="n">
        <v>2</v>
      </c>
      <c r="H528" s="75" t="inlineStr">
        <is>
          <t>TSP</t>
        </is>
      </c>
      <c r="I528" s="75" t="inlineStr">
        <is>
          <t xml:space="preserve">TSP CIV </t>
        </is>
      </c>
      <c r="J528" s="75" t="inlineStr">
        <is>
          <t>CFR</t>
        </is>
      </c>
      <c r="Q528" s="75" t="inlineStr">
        <is>
          <t>ASIE</t>
        </is>
      </c>
      <c r="R528" s="75" t="inlineStr">
        <is>
          <t xml:space="preserve">INDIA </t>
        </is>
      </c>
      <c r="S528" s="75" t="n"/>
      <c r="T528" s="75" t="inlineStr">
        <is>
          <t>INSPECTORATE</t>
        </is>
      </c>
      <c r="U528" s="81" t="n">
        <v>190</v>
      </c>
      <c r="V528" s="53">
        <f>IF(U528&lt;130, "Mini Bulker", IF(AND(U528&gt;=130, U528&lt;150), "Handysize", IF(AND(U528&gt;=150, U528&lt;200), "Handymax", IF(AND(U528&gt;=200, U528&lt;230), "Panamax", IF(AND(U528&gt;=230, U528&lt;=270), "Capesize", "Autre")))))</f>
        <v/>
      </c>
      <c r="X528" s="306">
        <f>IF(E528&lt;9999,"1",IF(E528&lt;19999,"2",IF(E528&lt;29999,"3",IF(E528&lt;39999,"4",IF(E528&lt;49999,"5",IF(E528&gt;50000,"6"))))))</f>
        <v/>
      </c>
      <c r="Y528" s="244" t="inlineStr">
        <is>
          <t>2N</t>
        </is>
      </c>
      <c r="AA528" s="98" t="n"/>
      <c r="AB528" s="98" t="n"/>
      <c r="AC528" s="98" t="n"/>
      <c r="AD528" s="98" t="n"/>
      <c r="AE528" s="98" t="n"/>
      <c r="AF528" s="98" t="n"/>
      <c r="AG528" s="98" t="n"/>
      <c r="AH528" s="98" t="n"/>
      <c r="AI528" s="98" t="n"/>
      <c r="AJ528" s="98" t="n"/>
      <c r="AK528" s="98" t="n"/>
      <c r="AL528" s="98" t="n"/>
      <c r="AM528" s="98" t="n"/>
      <c r="AN528" s="98" t="n"/>
      <c r="AO528" s="98" t="n"/>
      <c r="AP528" s="98" t="n"/>
      <c r="AQ528" s="98" t="n"/>
      <c r="AR528" s="98" t="n"/>
      <c r="AS528" s="98" t="n"/>
      <c r="AT528" s="98" t="n"/>
      <c r="AU528" s="98" t="n"/>
      <c r="AV528" s="98" t="n"/>
      <c r="AW528" s="98" t="n"/>
      <c r="AX528" s="98" t="n"/>
      <c r="AY528" s="98" t="n"/>
      <c r="AZ528" s="98" t="n"/>
      <c r="BA528" s="98" t="n"/>
      <c r="BB528" s="98" t="n"/>
      <c r="BC528" s="98" t="n"/>
      <c r="BD528" s="98" t="n"/>
      <c r="BE528" s="98" t="n"/>
      <c r="BF528" s="98" t="n"/>
      <c r="BS528" s="137" t="inlineStr">
        <is>
          <t>SANS AVIS</t>
        </is>
      </c>
      <c r="BT528" s="99" t="n"/>
      <c r="BU528" s="99" t="n"/>
      <c r="BW528" s="332">
        <f>AI529-AH529</f>
        <v/>
      </c>
      <c r="CB528" s="14" t="n"/>
    </row>
    <row r="529" ht="15.75" customHeight="1" s="70">
      <c r="A529" s="75" t="n">
        <v>340</v>
      </c>
      <c r="B529" s="343" t="inlineStr">
        <is>
          <t>CL JIANGMEN</t>
        </is>
      </c>
      <c r="C529" s="243" t="n">
        <v>45900</v>
      </c>
      <c r="D529" s="348" t="n">
        <v>22000</v>
      </c>
      <c r="E529" s="333">
        <f>D529+D530</f>
        <v/>
      </c>
      <c r="G529" s="81" t="n">
        <v>2</v>
      </c>
      <c r="H529" s="75" t="inlineStr">
        <is>
          <t>TSP</t>
        </is>
      </c>
      <c r="I529" s="75" t="inlineStr">
        <is>
          <t xml:space="preserve">TSP CIV </t>
        </is>
      </c>
      <c r="J529" s="75" t="inlineStr">
        <is>
          <t>CFR</t>
        </is>
      </c>
      <c r="Q529" s="75" t="inlineStr">
        <is>
          <t>ASIE</t>
        </is>
      </c>
      <c r="R529" s="75" t="inlineStr">
        <is>
          <t xml:space="preserve">INDIA </t>
        </is>
      </c>
      <c r="S529" s="75" t="n"/>
      <c r="T529" s="75" t="inlineStr">
        <is>
          <t>INTERTEK</t>
        </is>
      </c>
      <c r="U529" s="81" t="n">
        <v>199</v>
      </c>
      <c r="V529" s="53">
        <f>IF(U529&lt;130, "Mini Bulker", IF(AND(U529&gt;=130, U529&lt;150), "Handysize", IF(AND(U529&gt;=150, U529&lt;200), "Handymax", IF(AND(U529&gt;=200, U529&lt;230), "Panamax", IF(AND(U529&gt;=230, U529&lt;=270), "Capesize", "Autre")))))</f>
        <v/>
      </c>
      <c r="X529" s="306">
        <f>IF(E529&lt;9999,"1",IF(E529&lt;19999,"2",IF(E529&lt;29999,"3",IF(E529&lt;39999,"4",IF(E529&lt;49999,"5",IF(E529&gt;50000,"6"))))))</f>
        <v/>
      </c>
      <c r="Y529" s="244" t="inlineStr">
        <is>
          <t>2BIS/1TER/1N</t>
        </is>
      </c>
      <c r="AA529" s="26" t="n">
        <v>45886.14583333334</v>
      </c>
      <c r="AB529" s="26" t="n">
        <v>45887.375</v>
      </c>
      <c r="AC529" s="15" t="n">
        <v>45888</v>
      </c>
      <c r="AD529" s="15" t="n">
        <v>45891</v>
      </c>
      <c r="AE529" s="26" t="n">
        <v>45886.08333333334</v>
      </c>
      <c r="AF529" s="26" t="n">
        <v>45888</v>
      </c>
      <c r="AG529" s="26" t="n">
        <v>45888.075</v>
      </c>
      <c r="AH529" s="26" t="n">
        <v>45888.09027777778</v>
      </c>
      <c r="AI529" s="26" t="n">
        <v>45888.14930555555</v>
      </c>
      <c r="AJ529" s="26" t="n">
        <v>45888.15972222222</v>
      </c>
      <c r="AK529" s="26" t="n">
        <v>45900.99652777778</v>
      </c>
      <c r="AL529" s="26" t="n">
        <v>45901.22222222222</v>
      </c>
      <c r="AM529" s="26" t="n">
        <v>45901.25694444445</v>
      </c>
      <c r="AN529" s="26" t="n">
        <v>45901.3125</v>
      </c>
      <c r="AO529" s="26" t="n">
        <v>45901.34375</v>
      </c>
      <c r="AP529" s="20">
        <f>(AG529-AF529)*1440</f>
        <v/>
      </c>
      <c r="AQ529" s="20">
        <f>(AG529-AE529)*1440</f>
        <v/>
      </c>
      <c r="AR529" s="20">
        <f>(AH529-AF529)*1440</f>
        <v/>
      </c>
      <c r="AS529" s="20">
        <f>(AI529-AH529)*1440</f>
        <v/>
      </c>
      <c r="AT529" s="20">
        <f>(AJ529-AH529)*1440</f>
        <v/>
      </c>
      <c r="AU529" s="20">
        <f>(AL529-AK529)*1440</f>
        <v/>
      </c>
      <c r="AV529" s="20">
        <f>(AM529-AL529)*1440</f>
        <v/>
      </c>
      <c r="AW529" s="20">
        <f>(AO529-AM529)*1440</f>
        <v/>
      </c>
      <c r="AX529" s="19">
        <f>AP529+AS529+AU529+AV529+AW529</f>
        <v/>
      </c>
      <c r="AY529" s="18">
        <f>(AG529-AA529)</f>
        <v/>
      </c>
      <c r="AZ529" s="18">
        <f>(AK529-AJ529)</f>
        <v/>
      </c>
      <c r="BA529" s="18">
        <f>AO529-AG529</f>
        <v/>
      </c>
      <c r="BB529" s="18">
        <f>(AO529-AA529)-(AP529/1440)-(AW529/1440)</f>
        <v/>
      </c>
      <c r="BC529" s="20">
        <f>E529/AZ529</f>
        <v/>
      </c>
      <c r="BE529" s="20">
        <f>IF(E529&lt;10000,3000,IF(E529&lt;15000,3600,IF(E529&lt;20000,4500,IF(E529&lt;25000,6000,IF(E529&lt;30000,7500,IF(E529&lt;40000,9000,IF(E529&gt;40000,10000)))))))</f>
        <v/>
      </c>
      <c r="BF529" s="334">
        <f>(E529/BE529)+2</f>
        <v/>
      </c>
      <c r="BS529" s="137" t="inlineStr">
        <is>
          <t xml:space="preserve">DEHALAGE 20M VERS L'USINE LE 20/08- 1235 // CHANGE DU POSTE 2BIS VERS POSTE 1TER LE 22/08 - 0212 // CHANGE DU POSTE 1TER VERS LA RADE LE 26/08 - 0031 // RE-ACC AU POSTE 1N LE 28/08 - 1108 </t>
        </is>
      </c>
      <c r="BT529" s="99" t="n">
        <v>4</v>
      </c>
      <c r="BU529" s="99" t="n"/>
      <c r="BW529" s="332">
        <f>AI530-AH530</f>
        <v/>
      </c>
      <c r="CB529" s="14" t="n">
        <v>36172</v>
      </c>
    </row>
    <row r="530">
      <c r="A530" s="75" t="n"/>
      <c r="B530" s="349" t="inlineStr">
        <is>
          <t>CL JIANGMEN</t>
        </is>
      </c>
      <c r="C530" s="243" t="n">
        <v>45900</v>
      </c>
      <c r="D530" s="348" t="n">
        <v>38500</v>
      </c>
      <c r="E530" s="330" t="n"/>
      <c r="G530" s="81" t="n">
        <v>2</v>
      </c>
      <c r="H530" s="75" t="inlineStr">
        <is>
          <t>DAP</t>
        </is>
      </c>
      <c r="I530" s="75" t="inlineStr">
        <is>
          <t xml:space="preserve">DAP STANDARD </t>
        </is>
      </c>
      <c r="J530" s="75" t="inlineStr">
        <is>
          <t>FOB</t>
        </is>
      </c>
      <c r="Q530" s="75" t="inlineStr">
        <is>
          <t>ASIE</t>
        </is>
      </c>
      <c r="R530" s="75" t="inlineStr">
        <is>
          <t xml:space="preserve">INDIA </t>
        </is>
      </c>
      <c r="S530" s="75" t="n"/>
      <c r="T530" s="75" t="inlineStr">
        <is>
          <t>INTERTEK</t>
        </is>
      </c>
      <c r="U530" s="81" t="n">
        <v>199</v>
      </c>
      <c r="V530" s="53">
        <f>IF(U530&lt;130, "Mini Bulker", IF(AND(U530&gt;=130, U530&lt;150), "Handysize", IF(AND(U530&gt;=150, U530&lt;200), "Handymax", IF(AND(U530&gt;=200, U530&lt;230), "Panamax", IF(AND(U530&gt;=230, U530&lt;=270), "Capesize", "Autre")))))</f>
        <v/>
      </c>
      <c r="X530" s="306">
        <f>IF(E530&lt;9999,"1",IF(E530&lt;19999,"2",IF(E530&lt;29999,"3",IF(E530&lt;39999,"4",IF(E530&lt;49999,"5",IF(E530&gt;50000,"6"))))))</f>
        <v/>
      </c>
      <c r="Y530" s="244" t="inlineStr">
        <is>
          <t>2BIS/1TER/1N</t>
        </is>
      </c>
      <c r="AA530" s="98" t="n"/>
      <c r="AB530" s="98" t="n"/>
      <c r="AC530" s="98" t="n"/>
      <c r="AD530" s="98" t="n"/>
      <c r="AE530" s="98" t="n"/>
      <c r="AF530" s="98" t="n"/>
      <c r="AG530" s="98" t="n"/>
      <c r="AH530" s="98" t="n"/>
      <c r="AI530" s="98" t="n"/>
      <c r="AJ530" s="98" t="n"/>
      <c r="AK530" s="98" t="n"/>
      <c r="AL530" s="98" t="n"/>
      <c r="AM530" s="98" t="n"/>
      <c r="AN530" s="98" t="n"/>
      <c r="AO530" s="98" t="n"/>
      <c r="AP530" s="98" t="n"/>
      <c r="AQ530" s="98" t="n"/>
      <c r="AR530" s="98" t="n"/>
      <c r="AS530" s="98" t="n"/>
      <c r="AT530" s="98" t="n"/>
      <c r="AU530" s="98" t="n"/>
      <c r="AV530" s="98" t="n"/>
      <c r="AW530" s="98" t="n"/>
      <c r="AX530" s="98" t="n"/>
      <c r="AY530" s="98" t="n"/>
      <c r="AZ530" s="98" t="n"/>
      <c r="BA530" s="98" t="n"/>
      <c r="BB530" s="98" t="n"/>
      <c r="BC530" s="98" t="n"/>
      <c r="BD530" s="98" t="n"/>
      <c r="BE530" s="98" t="n"/>
      <c r="BF530" s="98" t="n"/>
      <c r="BS530" s="137" t="n"/>
      <c r="BT530" s="99" t="n"/>
      <c r="BU530" s="99" t="n"/>
      <c r="BW530" s="332">
        <f>AI531-AH531</f>
        <v/>
      </c>
      <c r="CB530" s="14" t="n"/>
    </row>
    <row r="531">
      <c r="A531" s="75" t="n">
        <v>341</v>
      </c>
      <c r="B531" s="349" t="inlineStr">
        <is>
          <t xml:space="preserve">REGGEDIJK </t>
        </is>
      </c>
      <c r="C531" s="243" t="n">
        <v>45901</v>
      </c>
      <c r="D531" s="348" t="n">
        <v>1650</v>
      </c>
      <c r="E531" s="333">
        <f>D531+D532</f>
        <v/>
      </c>
      <c r="G531" s="81" t="n">
        <v>2</v>
      </c>
      <c r="H531" s="75" t="inlineStr">
        <is>
          <t>MAP</t>
        </is>
      </c>
      <c r="I531" s="75" t="inlineStr">
        <is>
          <t xml:space="preserve">MAP 11 52 Special Low Cd </t>
        </is>
      </c>
      <c r="J531" s="75" t="inlineStr">
        <is>
          <t>CFR</t>
        </is>
      </c>
      <c r="Q531" s="75" t="inlineStr">
        <is>
          <t>EUROPE</t>
        </is>
      </c>
      <c r="R531" s="75" t="inlineStr">
        <is>
          <t>France</t>
        </is>
      </c>
      <c r="T531" s="75" t="inlineStr">
        <is>
          <t>INTERTEK</t>
        </is>
      </c>
      <c r="U531" s="81" t="n">
        <v>90</v>
      </c>
      <c r="V531" s="53">
        <f>IF(U531&lt;130, "Mini Bulker", IF(AND(U531&gt;=130, U531&lt;150), "Handysize", IF(AND(U531&gt;=150, U531&lt;200), "Handymax", IF(AND(U531&gt;=200, U531&lt;230), "Panamax", IF(AND(U531&gt;=230, U531&lt;=270), "Capesize", "Autre")))))</f>
        <v/>
      </c>
      <c r="X531" s="306">
        <f>IF(E531&lt;9999,"1",IF(E531&lt;19999,"2",IF(E531&lt;29999,"3",IF(E531&lt;39999,"4",IF(E531&lt;49999,"5",IF(E531&gt;50000,"6"))))))</f>
        <v/>
      </c>
      <c r="Y531" s="244" t="inlineStr">
        <is>
          <t>13/2TER</t>
        </is>
      </c>
      <c r="AA531" s="26" t="n">
        <v>45899.29166666666</v>
      </c>
      <c r="AB531" s="26" t="n">
        <v>45899.375</v>
      </c>
      <c r="AC531" s="15" t="n">
        <v>45900</v>
      </c>
      <c r="AD531" s="15" t="n">
        <v>45902</v>
      </c>
      <c r="AE531" s="26" t="n">
        <v>45899.29166666666</v>
      </c>
      <c r="AF531" s="26" t="n">
        <v>45899.44444444445</v>
      </c>
      <c r="AG531" s="26" t="n">
        <v>45899.53125</v>
      </c>
      <c r="AH531" s="26" t="n">
        <v>45899.54166666666</v>
      </c>
      <c r="AI531" s="26" t="n">
        <v>45899.85763888889</v>
      </c>
      <c r="AJ531" s="26" t="n">
        <v>45899.875</v>
      </c>
      <c r="AK531" s="26" t="n">
        <v>45901.63194444445</v>
      </c>
      <c r="AL531" s="26" t="n">
        <v>45901.65625</v>
      </c>
      <c r="AM531" s="26" t="n">
        <v>45901.67013888889</v>
      </c>
      <c r="AN531" s="26" t="n">
        <v>45901.73958333334</v>
      </c>
      <c r="AO531" s="26" t="n">
        <v>45901.76041666666</v>
      </c>
      <c r="AP531" s="20">
        <f>(AG531-AF531)*1440</f>
        <v/>
      </c>
      <c r="AQ531" s="20">
        <f>(AG531-AE531)*1440</f>
        <v/>
      </c>
      <c r="AR531" s="20">
        <f>(AH531-AF531)*1440</f>
        <v/>
      </c>
      <c r="AS531" s="20">
        <f>(AI531-AH531)*1440</f>
        <v/>
      </c>
      <c r="AT531" s="20">
        <f>(AJ531-AH531)*1440</f>
        <v/>
      </c>
      <c r="AU531" s="20">
        <f>(AL531-AK531)*1440</f>
        <v/>
      </c>
      <c r="AV531" s="20">
        <f>(AM531-AL531)*1440</f>
        <v/>
      </c>
      <c r="AW531" s="20">
        <f>(AO531-AM531)*1440</f>
        <v/>
      </c>
      <c r="AX531" s="19">
        <f>AP531+AS531+AU531+AV531+AW531</f>
        <v/>
      </c>
      <c r="AY531" s="18">
        <f>(AG531-AA531)</f>
        <v/>
      </c>
      <c r="AZ531" s="18">
        <f>(AK531-AJ531)</f>
        <v/>
      </c>
      <c r="BA531" s="18">
        <f>AO531-AG531</f>
        <v/>
      </c>
      <c r="BB531" s="18">
        <f>(AO531-AA531)-(AP531/1440)-(AW531/1440)</f>
        <v/>
      </c>
      <c r="BC531" s="20">
        <f>E531/AZ531</f>
        <v/>
      </c>
      <c r="BE531" s="20">
        <f>IF(E531&lt;10000,3000,IF(E531&lt;15000,3600,IF(E531&lt;20000,4500,IF(E531&lt;25000,6000,IF(E531&lt;30000,7500,IF(E531&lt;40000,9000,IF(E531&gt;40000,10000)))))))</f>
        <v/>
      </c>
      <c r="BF531" s="334">
        <f>(E531/BE531)+2</f>
        <v/>
      </c>
      <c r="BS531" s="137" t="inlineStr">
        <is>
          <t>CHANGE DU POSTE 13 VERS POSTE 2TER LE 30/08- 1940</t>
        </is>
      </c>
      <c r="BT531" s="99" t="n">
        <v>1</v>
      </c>
      <c r="BU531" s="99" t="inlineStr">
        <is>
          <t>NAVIRE NON PRÊT</t>
        </is>
      </c>
      <c r="BV531" s="248" t="inlineStr">
        <is>
          <t>BULK HEAD</t>
        </is>
      </c>
      <c r="BW531" s="332">
        <f>AI532-AH532</f>
        <v/>
      </c>
      <c r="CB531" s="14" t="n">
        <v>2984</v>
      </c>
    </row>
    <row r="532">
      <c r="A532" s="75" t="n"/>
      <c r="B532" s="349" t="inlineStr">
        <is>
          <t xml:space="preserve">REGGEDIJK </t>
        </is>
      </c>
      <c r="C532" s="243" t="n">
        <v>45901</v>
      </c>
      <c r="D532" s="348" t="n">
        <v>2500</v>
      </c>
      <c r="E532" s="330" t="n"/>
      <c r="G532" s="81" t="n">
        <v>2</v>
      </c>
      <c r="H532" s="75" t="inlineStr">
        <is>
          <t>NPK</t>
        </is>
      </c>
      <c r="I532" s="75" t="inlineStr">
        <is>
          <t xml:space="preserve">NPK 15 15 15 Low Cd </t>
        </is>
      </c>
      <c r="J532" s="75" t="inlineStr">
        <is>
          <t>CFR</t>
        </is>
      </c>
      <c r="Q532" s="75" t="inlineStr">
        <is>
          <t>EUROPE</t>
        </is>
      </c>
      <c r="R532" s="75" t="inlineStr">
        <is>
          <t>France</t>
        </is>
      </c>
      <c r="T532" s="75" t="inlineStr">
        <is>
          <t>INTERTEK</t>
        </is>
      </c>
      <c r="U532" s="81" t="n">
        <v>90</v>
      </c>
      <c r="V532" s="53">
        <f>IF(U532&lt;130, "Mini Bulker", IF(AND(U532&gt;=130, U532&lt;150), "Handysize", IF(AND(U532&gt;=150, U532&lt;200), "Handymax", IF(AND(U532&gt;=200, U532&lt;230), "Panamax", IF(AND(U532&gt;=230, U532&lt;=270), "Capesize", "Autre")))))</f>
        <v/>
      </c>
      <c r="X532" s="306">
        <f>IF(E532&lt;9999,"1",IF(E532&lt;19999,"2",IF(E532&lt;29999,"3",IF(E532&lt;39999,"4",IF(E532&lt;49999,"5",IF(E532&gt;50000,"6"))))))</f>
        <v/>
      </c>
      <c r="Y532" s="244" t="inlineStr">
        <is>
          <t>13/2TER</t>
        </is>
      </c>
      <c r="AA532" s="98" t="n"/>
      <c r="AB532" s="98" t="n"/>
      <c r="AC532" s="98" t="n"/>
      <c r="AD532" s="98" t="n"/>
      <c r="AE532" s="98" t="n"/>
      <c r="AF532" s="98" t="n"/>
      <c r="AG532" s="98" t="n"/>
      <c r="AH532" s="98" t="n"/>
      <c r="AI532" s="98" t="n"/>
      <c r="AJ532" s="98" t="n"/>
      <c r="AK532" s="98" t="n"/>
      <c r="AL532" s="98" t="n"/>
      <c r="AM532" s="98" t="n"/>
      <c r="AN532" s="98" t="n"/>
      <c r="AO532" s="98" t="n"/>
      <c r="AP532" s="98" t="n"/>
      <c r="AQ532" s="98" t="n"/>
      <c r="AR532" s="98" t="n"/>
      <c r="AS532" s="98" t="n"/>
      <c r="AT532" s="98" t="n"/>
      <c r="AU532" s="98" t="n"/>
      <c r="AV532" s="98" t="n"/>
      <c r="AW532" s="98" t="n"/>
      <c r="AX532" s="98" t="n"/>
      <c r="AY532" s="98" t="n"/>
      <c r="AZ532" s="98" t="n"/>
      <c r="BA532" s="98" t="n"/>
      <c r="BB532" s="98" t="n"/>
      <c r="BC532" s="98" t="n"/>
      <c r="BD532" s="98" t="n"/>
      <c r="BE532" s="98" t="n"/>
      <c r="BF532" s="98" t="n"/>
      <c r="BS532" s="137" t="n"/>
      <c r="BT532" s="99" t="n"/>
      <c r="BU532" s="99" t="n"/>
      <c r="BW532" s="332">
        <f>AI533-AH533</f>
        <v/>
      </c>
      <c r="CB532" s="14" t="n"/>
    </row>
    <row r="533">
      <c r="A533" s="75" t="n">
        <v>342</v>
      </c>
      <c r="B533" s="349" t="inlineStr">
        <is>
          <t>CIVARINA</t>
        </is>
      </c>
      <c r="C533" s="243" t="n">
        <v>45901</v>
      </c>
      <c r="D533" s="348" t="n">
        <v>2200</v>
      </c>
      <c r="E533" s="333">
        <f>D533+D534</f>
        <v/>
      </c>
      <c r="G533" s="81" t="n">
        <v>2</v>
      </c>
      <c r="H533" s="75" t="inlineStr">
        <is>
          <t>DAP</t>
        </is>
      </c>
      <c r="I533" s="75" t="inlineStr">
        <is>
          <t xml:space="preserve">DAP Euro Low Cd </t>
        </is>
      </c>
      <c r="J533" s="75" t="inlineStr">
        <is>
          <t>CFR</t>
        </is>
      </c>
      <c r="Q533" s="75" t="inlineStr">
        <is>
          <t>EUROPE</t>
        </is>
      </c>
      <c r="R533" s="75" t="inlineStr">
        <is>
          <t>France</t>
        </is>
      </c>
      <c r="T533" s="75" t="inlineStr">
        <is>
          <t>INSPECTORATE</t>
        </is>
      </c>
      <c r="U533" s="81" t="n">
        <v>93</v>
      </c>
      <c r="V533" s="53">
        <f>IF(U533&lt;130, "Mini Bulker", IF(AND(U533&gt;=130, U533&lt;150), "Handysize", IF(AND(U533&gt;=150, U533&lt;200), "Handymax", IF(AND(U533&gt;=200, U533&lt;230), "Panamax", IF(AND(U533&gt;=230, U533&lt;=270), "Capesize", "Autre")))))</f>
        <v/>
      </c>
      <c r="X533" s="306">
        <f>IF(E533&lt;9999,"1",IF(E533&lt;19999,"2",IF(E533&lt;29999,"3",IF(E533&lt;39999,"4",IF(E533&lt;49999,"5",IF(E533&gt;50000,"6"))))))</f>
        <v/>
      </c>
      <c r="Y533" s="244" t="inlineStr">
        <is>
          <t>7/1TER</t>
        </is>
      </c>
      <c r="AA533" s="26" t="n">
        <v>45900.64583333334</v>
      </c>
      <c r="AB533" s="26" t="n">
        <v>45901.375</v>
      </c>
      <c r="AC533" s="15" t="n">
        <v>45897</v>
      </c>
      <c r="AD533" s="15" t="n">
        <v>45900</v>
      </c>
      <c r="AE533" s="26" t="n">
        <v>45900.64583333334</v>
      </c>
      <c r="AF533" s="26" t="n">
        <v>45900.61597222222</v>
      </c>
      <c r="AG533" s="26" t="n">
        <v>45900.6875</v>
      </c>
      <c r="AH533" s="26" t="n">
        <v>45900.72916666666</v>
      </c>
      <c r="AI533" s="26" t="n">
        <v>45900.95833333334</v>
      </c>
      <c r="AJ533" s="26" t="n">
        <v>45900.97222222222</v>
      </c>
      <c r="AK533" s="26" t="n">
        <v>45901.72222222222</v>
      </c>
      <c r="AL533" s="26" t="n">
        <v>45901.75694444445</v>
      </c>
      <c r="AM533" s="26" t="n">
        <v>45901.79861111111</v>
      </c>
      <c r="AN533" s="26" t="n">
        <v>45901.83680555555</v>
      </c>
      <c r="AO533" s="26" t="n">
        <v>45901.89583333334</v>
      </c>
      <c r="AP533" s="20">
        <f>(AG533-AF533)*1440</f>
        <v/>
      </c>
      <c r="AQ533" s="20">
        <f>(AG533-AE533)*1440</f>
        <v/>
      </c>
      <c r="AR533" s="20">
        <f>(AH533-AF533)*1440</f>
        <v/>
      </c>
      <c r="AS533" s="20">
        <f>(AI533-AH533)*1440</f>
        <v/>
      </c>
      <c r="AT533" s="20">
        <f>(AJ533-AH533)*1440</f>
        <v/>
      </c>
      <c r="AU533" s="20">
        <f>(AL533-AK533)*1440</f>
        <v/>
      </c>
      <c r="AV533" s="20">
        <f>(AM533-AL533)*1440</f>
        <v/>
      </c>
      <c r="AW533" s="20">
        <f>(AO533-AM533)*1440</f>
        <v/>
      </c>
      <c r="AX533" s="19">
        <f>AP533+AS533+AU533+AV533+AW533</f>
        <v/>
      </c>
      <c r="AY533" s="18">
        <f>(AG533-AA533)</f>
        <v/>
      </c>
      <c r="AZ533" s="18">
        <f>(AK533-AJ533)</f>
        <v/>
      </c>
      <c r="BA533" s="18">
        <f>AO533-AG533</f>
        <v/>
      </c>
      <c r="BB533" s="18">
        <f>(AO533-AA533)-(AP533/1440)-(AW533/1440)</f>
        <v/>
      </c>
      <c r="BC533" s="20">
        <f>E533/AZ533</f>
        <v/>
      </c>
      <c r="BE533" s="20">
        <f>IF(E533&lt;10000,3000,IF(E533&lt;15000,3600,IF(E533&lt;20000,4500,IF(E533&lt;25000,6000,IF(E533&lt;30000,7500,IF(E533&lt;40000,9000,IF(E533&gt;40000,10000)))))))</f>
        <v/>
      </c>
      <c r="BF533" s="334">
        <f>(E533/BE533)+2</f>
        <v/>
      </c>
      <c r="BS533" s="137" t="inlineStr">
        <is>
          <t>CHANGE DU POSTE 7 VERS POSTE 1TER LE 31/08- 2240</t>
        </is>
      </c>
      <c r="BT533" s="99" t="n">
        <v>1</v>
      </c>
      <c r="BU533" s="99" t="inlineStr">
        <is>
          <t>CLEAN</t>
        </is>
      </c>
      <c r="BV533" s="97" t="inlineStr">
        <is>
          <t>NUL</t>
        </is>
      </c>
      <c r="BW533" s="332">
        <f>AI534-AH534</f>
        <v/>
      </c>
      <c r="CB533" s="14" t="n">
        <v>2895</v>
      </c>
    </row>
    <row r="534">
      <c r="A534" s="75" t="n"/>
      <c r="B534" s="349" t="inlineStr">
        <is>
          <t>CIVARINA</t>
        </is>
      </c>
      <c r="C534" s="243" t="n">
        <v>45901</v>
      </c>
      <c r="D534" s="348" t="n">
        <v>1650</v>
      </c>
      <c r="E534" s="330" t="n"/>
      <c r="G534" s="81" t="n">
        <v>2</v>
      </c>
      <c r="H534" s="75" t="inlineStr">
        <is>
          <t>MAP</t>
        </is>
      </c>
      <c r="I534" s="75" t="inlineStr">
        <is>
          <t xml:space="preserve">MAP Euro Low Cd </t>
        </is>
      </c>
      <c r="J534" s="75" t="inlineStr">
        <is>
          <t>CFR</t>
        </is>
      </c>
      <c r="Q534" s="75" t="inlineStr">
        <is>
          <t>EUROPE</t>
        </is>
      </c>
      <c r="R534" s="75" t="inlineStr">
        <is>
          <t>France</t>
        </is>
      </c>
      <c r="T534" s="75" t="inlineStr">
        <is>
          <t>INSPECTORATE</t>
        </is>
      </c>
      <c r="U534" s="81" t="n">
        <v>93</v>
      </c>
      <c r="V534" s="53">
        <f>IF(U534&lt;130, "Mini Bulker", IF(AND(U534&gt;=130, U534&lt;150), "Handysize", IF(AND(U534&gt;=150, U534&lt;200), "Handymax", IF(AND(U534&gt;=200, U534&lt;230), "Panamax", IF(AND(U534&gt;=230, U534&lt;=270), "Capesize", "Autre")))))</f>
        <v/>
      </c>
      <c r="X534" s="306">
        <f>IF(E534&lt;9999,"1",IF(E534&lt;19999,"2",IF(E534&lt;29999,"3",IF(E534&lt;39999,"4",IF(E534&lt;49999,"5",IF(E534&gt;50000,"6"))))))</f>
        <v/>
      </c>
      <c r="Y534" s="244" t="inlineStr">
        <is>
          <t>7/1TER</t>
        </is>
      </c>
      <c r="AA534" s="98" t="n"/>
      <c r="AB534" s="98" t="n"/>
      <c r="AC534" s="98" t="n"/>
      <c r="AD534" s="98" t="n"/>
      <c r="AE534" s="98" t="n"/>
      <c r="AF534" s="98" t="n"/>
      <c r="AG534" s="98" t="n"/>
      <c r="AH534" s="98" t="n"/>
      <c r="AI534" s="98" t="n"/>
      <c r="AJ534" s="98" t="n"/>
      <c r="AK534" s="98" t="n"/>
      <c r="AL534" s="98" t="n"/>
      <c r="AM534" s="98" t="n"/>
      <c r="AN534" s="98" t="n"/>
      <c r="AO534" s="98" t="n"/>
      <c r="AP534" s="98" t="n"/>
      <c r="AQ534" s="98" t="n"/>
      <c r="AR534" s="98" t="n"/>
      <c r="AS534" s="98" t="n"/>
      <c r="AT534" s="98" t="n"/>
      <c r="AU534" s="98" t="n"/>
      <c r="AV534" s="98" t="n"/>
      <c r="AW534" s="98" t="n"/>
      <c r="AX534" s="98" t="n"/>
      <c r="AY534" s="98" t="n"/>
      <c r="AZ534" s="98" t="n"/>
      <c r="BA534" s="98" t="n"/>
      <c r="BB534" s="98" t="n"/>
      <c r="BC534" s="98" t="n"/>
      <c r="BD534" s="98" t="n"/>
      <c r="BE534" s="98" t="n"/>
      <c r="BF534" s="98" t="n"/>
      <c r="BS534" s="137" t="n"/>
      <c r="BT534" s="99" t="n"/>
      <c r="BU534" s="99" t="n"/>
      <c r="BW534" s="332">
        <f>AI535-AH535</f>
        <v/>
      </c>
      <c r="CB534" s="14" t="n"/>
    </row>
    <row r="535">
      <c r="A535" s="75" t="n">
        <v>343</v>
      </c>
      <c r="B535" s="349" t="inlineStr">
        <is>
          <t>LAPISLAND</t>
        </is>
      </c>
      <c r="C535" s="243" t="n">
        <v>45905</v>
      </c>
      <c r="D535" s="348" t="n">
        <v>3712.5</v>
      </c>
      <c r="E535" s="348" t="n">
        <v>3712.5</v>
      </c>
      <c r="G535" s="81" t="n">
        <v>1</v>
      </c>
      <c r="H535" s="75" t="inlineStr">
        <is>
          <t>NPK</t>
        </is>
      </c>
      <c r="I535" s="75" t="inlineStr">
        <is>
          <t xml:space="preserve">NPK 15 15 15 Low Cd </t>
        </is>
      </c>
      <c r="J535" s="75" t="inlineStr">
        <is>
          <t>CFR</t>
        </is>
      </c>
      <c r="Q535" s="75" t="inlineStr">
        <is>
          <t>EUROPE</t>
        </is>
      </c>
      <c r="R535" s="75" t="inlineStr">
        <is>
          <t>SPAIN</t>
        </is>
      </c>
      <c r="T535" s="75" t="inlineStr">
        <is>
          <t>INSPECTORATE</t>
        </is>
      </c>
      <c r="U535" s="81" t="n">
        <v>109</v>
      </c>
      <c r="V535" s="53">
        <f>IF(U535&lt;130, "Mini Bulker", IF(AND(U535&gt;=130, U535&lt;150), "Handysize", IF(AND(U535&gt;=150, U535&lt;200), "Handymax", IF(AND(U535&gt;=200, U535&lt;230), "Panamax", IF(AND(U535&gt;=230, U535&lt;=270), "Capesize", "Autre")))))</f>
        <v/>
      </c>
      <c r="X535" s="306">
        <f>IF(E535&lt;9999,"1",IF(E535&lt;19999,"2",IF(E535&lt;29999,"3",IF(E535&lt;39999,"4",IF(E535&lt;49999,"5",IF(E535&gt;50000,"6"))))))</f>
        <v/>
      </c>
      <c r="Y535" s="244" t="inlineStr">
        <is>
          <t>2TER</t>
        </is>
      </c>
      <c r="AA535" s="26" t="n">
        <v>45904.3125</v>
      </c>
      <c r="AB535" s="26" t="n">
        <v>45904.375</v>
      </c>
      <c r="AC535" s="15" t="n">
        <v>45903</v>
      </c>
      <c r="AD535" s="15" t="n">
        <v>45909</v>
      </c>
      <c r="AE535" s="26" t="n">
        <v>45904.3125</v>
      </c>
      <c r="AF535" s="26" t="n">
        <v>45904.42083333333</v>
      </c>
      <c r="AG535" s="26" t="n">
        <v>45904.51736111111</v>
      </c>
      <c r="AH535" s="26" t="n">
        <v>45904.53125</v>
      </c>
      <c r="AI535" s="26" t="n">
        <v>45904.63541666666</v>
      </c>
      <c r="AJ535" s="26" t="n">
        <v>45904.69791666666</v>
      </c>
      <c r="AK535" s="26" t="n">
        <v>45905.08333333334</v>
      </c>
      <c r="AL535" s="26" t="n">
        <v>45905.125</v>
      </c>
      <c r="AM535" s="26" t="n">
        <v>45905.14583333334</v>
      </c>
      <c r="AN535" s="26" t="n">
        <v>45905.19236111111</v>
      </c>
      <c r="AO535" s="26" t="n">
        <v>45905.21527777778</v>
      </c>
      <c r="AP535" s="20">
        <f>(AG535-AF535)*1440</f>
        <v/>
      </c>
      <c r="AQ535" s="20">
        <f>(AG535-AE535)*1440</f>
        <v/>
      </c>
      <c r="AR535" s="20">
        <f>(AH535-AF535)*1440</f>
        <v/>
      </c>
      <c r="AS535" s="20">
        <f>(AI535-AH535)*1440</f>
        <v/>
      </c>
      <c r="AT535" s="20">
        <f>(AJ535-AH535)*1440</f>
        <v/>
      </c>
      <c r="AU535" s="20">
        <f>(AL535-AK535)*1440</f>
        <v/>
      </c>
      <c r="AV535" s="20">
        <f>(AM535-AL535)*1440</f>
        <v/>
      </c>
      <c r="AW535" s="20">
        <f>(AO535-AM535)*1440</f>
        <v/>
      </c>
      <c r="AX535" s="19">
        <f>AP535+AS535+AU535+AV535+AW535</f>
        <v/>
      </c>
      <c r="AY535" s="18">
        <f>(AG535-AA535)</f>
        <v/>
      </c>
      <c r="AZ535" s="18">
        <f>(AK535-AJ535)</f>
        <v/>
      </c>
      <c r="BA535" s="18">
        <f>AO535-AG535</f>
        <v/>
      </c>
      <c r="BB535" s="18">
        <f>(AO535-AA535)-(AP535/1440)-(AW535/1440)</f>
        <v/>
      </c>
      <c r="BC535" s="20">
        <f>E535/AZ535</f>
        <v/>
      </c>
      <c r="BE535" s="20">
        <f>IF(E535&lt;10000,3000,IF(E535&lt;15000,3600,IF(E535&lt;20000,4500,IF(E535&lt;25000,6000,IF(E535&lt;30000,7500,IF(E535&lt;40000,9000,IF(E535&gt;40000,10000)))))))</f>
        <v/>
      </c>
      <c r="BF535" s="334">
        <f>(E535/BE535)+2</f>
        <v/>
      </c>
      <c r="BS535" s="137" t="inlineStr">
        <is>
          <t>NUL</t>
        </is>
      </c>
      <c r="BT535" s="99" t="n">
        <v>0</v>
      </c>
      <c r="BU535" s="99" t="inlineStr">
        <is>
          <t>NON CLEAN</t>
        </is>
      </c>
      <c r="BV535" s="248" t="inlineStr">
        <is>
          <t>WATER/HUMIDITY</t>
        </is>
      </c>
      <c r="BW535" s="332">
        <f>AI536-AH536</f>
        <v/>
      </c>
      <c r="CB535" s="14" t="n">
        <v>4358</v>
      </c>
    </row>
    <row r="536">
      <c r="A536" s="75" t="n">
        <v>344</v>
      </c>
      <c r="B536" s="349" t="inlineStr">
        <is>
          <t>MAI TAI</t>
        </is>
      </c>
      <c r="C536" s="243" t="n">
        <v>45905</v>
      </c>
      <c r="D536" s="348" t="n">
        <v>16507</v>
      </c>
      <c r="E536" s="333">
        <f>D536+D537</f>
        <v/>
      </c>
      <c r="G536" s="81" t="n">
        <v>2</v>
      </c>
      <c r="H536" s="75" t="inlineStr">
        <is>
          <t>NPS</t>
        </is>
      </c>
      <c r="I536" s="75" t="inlineStr">
        <is>
          <t xml:space="preserve">NPS 3 30 9S </t>
        </is>
      </c>
      <c r="J536" s="75" t="inlineStr">
        <is>
          <t>CFR</t>
        </is>
      </c>
      <c r="Q536" s="75" t="inlineStr">
        <is>
          <t>AMERIQUE LATINE</t>
        </is>
      </c>
      <c r="R536" s="75" t="inlineStr">
        <is>
          <t>BRESIL</t>
        </is>
      </c>
      <c r="T536" s="75" t="inlineStr">
        <is>
          <t>INSPECTORATE</t>
        </is>
      </c>
      <c r="U536" s="81" t="n">
        <v>179</v>
      </c>
      <c r="V536" s="53">
        <f>IF(U536&lt;130, "Mini Bulker", IF(AND(U536&gt;=130, U536&lt;150), "Handysize", IF(AND(U536&gt;=150, U536&lt;200), "Handymax", IF(AND(U536&gt;=200, U536&lt;230), "Panamax", IF(AND(U536&gt;=230, U536&lt;=270), "Capesize", "Autre")))))</f>
        <v/>
      </c>
      <c r="X536" s="306">
        <f>IF(E536&lt;9999,"1",IF(E536&lt;19999,"2",IF(E536&lt;29999,"3",IF(E536&lt;39999,"4",IF(E536&lt;49999,"5",IF(E536&gt;50000,"6"))))))</f>
        <v/>
      </c>
      <c r="Y536" s="244" t="inlineStr">
        <is>
          <t>1BIS/1TER</t>
        </is>
      </c>
      <c r="AA536" s="26" t="n">
        <v>45893.79166666666</v>
      </c>
      <c r="AB536" s="26" t="n">
        <v>45894.375</v>
      </c>
      <c r="AC536" s="15" t="n">
        <v>45893</v>
      </c>
      <c r="AD536" s="15" t="n">
        <v>45895</v>
      </c>
      <c r="AE536" s="26" t="n">
        <v>45893.70833333334</v>
      </c>
      <c r="AF536" s="26" t="n">
        <v>45897.79166666666</v>
      </c>
      <c r="AG536" s="26" t="n">
        <v>45897.875</v>
      </c>
      <c r="AH536" s="26" t="n">
        <v>45897.88541666666</v>
      </c>
      <c r="AI536" s="26" t="n">
        <v>45897.92361111111</v>
      </c>
      <c r="AJ536" s="26" t="n">
        <v>45897.98263888889</v>
      </c>
      <c r="AK536" s="26" t="n">
        <v>45905.59722222222</v>
      </c>
      <c r="AL536" s="26" t="n">
        <v>45905.65277777778</v>
      </c>
      <c r="AM536" s="26" t="n">
        <v>45905.68055555555</v>
      </c>
      <c r="AN536" s="26" t="n">
        <v>45905.72916666666</v>
      </c>
      <c r="AO536" s="26" t="n">
        <v>45905.76041666666</v>
      </c>
      <c r="AP536" s="20">
        <f>(AG536-AF536)*1440</f>
        <v/>
      </c>
      <c r="AQ536" s="20">
        <f>(AG536-AE536)*1440</f>
        <v/>
      </c>
      <c r="AR536" s="20">
        <f>(AH536-AF536)*1440</f>
        <v/>
      </c>
      <c r="AS536" s="20">
        <f>(AI536-AH536)*1440</f>
        <v/>
      </c>
      <c r="AT536" s="20">
        <f>(AJ536-AH536)*1440</f>
        <v/>
      </c>
      <c r="AU536" s="20">
        <f>(AL536-AK536)*1440</f>
        <v/>
      </c>
      <c r="AV536" s="20">
        <f>(AM536-AL536)*1440</f>
        <v/>
      </c>
      <c r="AW536" s="20">
        <f>(AO536-AM536)*1440</f>
        <v/>
      </c>
      <c r="AX536" s="19">
        <f>AP536+AS536+AU536+AV536+AW536</f>
        <v/>
      </c>
      <c r="AY536" s="18">
        <f>(AG536-AA536)</f>
        <v/>
      </c>
      <c r="AZ536" s="18">
        <f>(AK536-AJ536)</f>
        <v/>
      </c>
      <c r="BA536" s="18">
        <f>AO536-AG536</f>
        <v/>
      </c>
      <c r="BB536" s="18">
        <f>(AO536-AA536)-(AP536/1440)-(AW536/1440)</f>
        <v/>
      </c>
      <c r="BC536" s="20">
        <f>E536/AZ536</f>
        <v/>
      </c>
      <c r="BE536" s="20">
        <f>IF(E536&lt;10000,3000,IF(E536&lt;15000,3600,IF(E536&lt;20000,4500,IF(E536&lt;25000,6000,IF(E536&lt;30000,7500,IF(E536&lt;40000,9000,IF(E536&gt;40000,10000)))))))</f>
        <v/>
      </c>
      <c r="BF536" s="334">
        <f>(E536/BE536)+2</f>
        <v/>
      </c>
      <c r="BS536" s="137" t="inlineStr">
        <is>
          <t>CHANGE DU POSTE 1BIS VERS LE POSTE 1TER LE 02/09 - 0627</t>
        </is>
      </c>
      <c r="BT536" s="99" t="n">
        <v>1</v>
      </c>
      <c r="BU536" s="99" t="n"/>
      <c r="BV536" s="97" t="n"/>
      <c r="BW536" s="332">
        <f>AI537-AH537</f>
        <v/>
      </c>
      <c r="CB536" s="14" t="n">
        <v>25546</v>
      </c>
    </row>
    <row r="537">
      <c r="B537" s="349" t="inlineStr">
        <is>
          <t>MAI TAI</t>
        </is>
      </c>
      <c r="C537" s="243" t="n">
        <v>45905</v>
      </c>
      <c r="D537" s="348" t="n">
        <v>10048</v>
      </c>
      <c r="E537" s="330" t="n"/>
      <c r="G537" s="81" t="n">
        <v>2</v>
      </c>
      <c r="H537" s="75" t="inlineStr">
        <is>
          <t>NPS</t>
        </is>
      </c>
      <c r="I537" s="75" t="inlineStr">
        <is>
          <t xml:space="preserve">NP 5 40 (TSP N Blendable) </t>
        </is>
      </c>
      <c r="J537" s="75" t="inlineStr">
        <is>
          <t>CFR</t>
        </is>
      </c>
      <c r="Q537" s="75" t="inlineStr">
        <is>
          <t>AMERIQUE LATINE</t>
        </is>
      </c>
      <c r="R537" s="75" t="inlineStr">
        <is>
          <t>BRESIL</t>
        </is>
      </c>
      <c r="T537" s="75" t="inlineStr">
        <is>
          <t>INSPECTORATE</t>
        </is>
      </c>
      <c r="U537" s="81" t="n">
        <v>179</v>
      </c>
      <c r="V537" s="53">
        <f>IF(U537&lt;130, "Mini Bulker", IF(AND(U537&gt;=130, U537&lt;150), "Handysize", IF(AND(U537&gt;=150, U537&lt;200), "Handymax", IF(AND(U537&gt;=200, U537&lt;230), "Panamax", IF(AND(U537&gt;=230, U537&lt;=270), "Capesize", "Autre")))))</f>
        <v/>
      </c>
      <c r="X537" s="306">
        <f>IF(E537&lt;9999,"1",IF(E537&lt;19999,"2",IF(E537&lt;29999,"3",IF(E537&lt;39999,"4",IF(E537&lt;49999,"5",IF(E537&gt;50000,"6"))))))</f>
        <v/>
      </c>
      <c r="Y537" s="244" t="inlineStr">
        <is>
          <t>1BIS/1TER</t>
        </is>
      </c>
      <c r="AA537" s="98" t="n"/>
      <c r="AB537" s="98" t="n"/>
      <c r="AC537" s="98" t="n"/>
      <c r="AD537" s="98" t="n"/>
      <c r="AE537" s="98" t="n"/>
      <c r="AF537" s="98" t="n"/>
      <c r="AG537" s="98" t="n"/>
      <c r="AH537" s="98" t="n"/>
      <c r="AI537" s="98" t="n"/>
      <c r="AJ537" s="98" t="n"/>
      <c r="AK537" s="98" t="n"/>
      <c r="AL537" s="98" t="n"/>
      <c r="AM537" s="98" t="n"/>
      <c r="AN537" s="98" t="n"/>
      <c r="AO537" s="98" t="n"/>
      <c r="AP537" s="98" t="n"/>
      <c r="AQ537" s="98" t="n"/>
      <c r="AR537" s="98" t="n"/>
      <c r="AS537" s="98" t="n"/>
      <c r="AT537" s="98" t="n"/>
      <c r="AU537" s="98" t="n"/>
      <c r="AV537" s="98" t="n"/>
      <c r="AW537" s="98" t="n"/>
      <c r="AX537" s="98" t="n"/>
      <c r="AY537" s="98" t="n"/>
      <c r="AZ537" s="98" t="n"/>
      <c r="BA537" s="98" t="n"/>
      <c r="BB537" s="98" t="n"/>
      <c r="BC537" s="98" t="n"/>
      <c r="BD537" s="98" t="n"/>
      <c r="BE537" s="98" t="n"/>
      <c r="BF537" s="98" t="n"/>
      <c r="BG537" s="98" t="n"/>
      <c r="BH537" s="98" t="n"/>
      <c r="BI537" s="98" t="n"/>
      <c r="BJ537" s="98" t="n"/>
      <c r="BK537" s="98" t="n"/>
      <c r="BL537" s="98" t="n"/>
      <c r="BM537" s="98" t="n"/>
      <c r="BN537" s="98" t="n"/>
      <c r="BO537" s="98" t="n"/>
      <c r="BP537" s="98" t="n"/>
      <c r="BQ537" s="98" t="n"/>
      <c r="BR537" s="98" t="n"/>
      <c r="BS537" s="137" t="n"/>
      <c r="BT537" s="99" t="n"/>
      <c r="BU537" s="99" t="n"/>
      <c r="BV537" s="97" t="n"/>
      <c r="BW537" s="332">
        <f>AI538-AH538</f>
        <v/>
      </c>
      <c r="CB537" s="14" t="n"/>
    </row>
    <row r="538">
      <c r="A538" s="75" t="n">
        <v>345</v>
      </c>
      <c r="B538" s="349" t="inlineStr">
        <is>
          <t>MEA MARE</t>
        </is>
      </c>
      <c r="C538" s="243" t="n">
        <v>45905</v>
      </c>
      <c r="D538" s="348" t="n">
        <v>38500</v>
      </c>
      <c r="E538" s="333">
        <f>D538+D539</f>
        <v/>
      </c>
      <c r="G538" s="81" t="n">
        <v>2</v>
      </c>
      <c r="H538" s="75" t="inlineStr">
        <is>
          <t>DAP</t>
        </is>
      </c>
      <c r="I538" s="75" t="inlineStr">
        <is>
          <t xml:space="preserve">DAP STANDARD </t>
        </is>
      </c>
      <c r="J538" s="75" t="inlineStr">
        <is>
          <t>CFR</t>
        </is>
      </c>
      <c r="Q538" s="75" t="inlineStr">
        <is>
          <t>ASIE</t>
        </is>
      </c>
      <c r="R538" s="75" t="inlineStr">
        <is>
          <t>INDIA</t>
        </is>
      </c>
      <c r="T538" s="75" t="inlineStr">
        <is>
          <t>INTERTEK</t>
        </is>
      </c>
      <c r="U538" s="81" t="n">
        <v>200</v>
      </c>
      <c r="V538" s="53">
        <f>IF(U538&lt;130, "Mini Bulker", IF(AND(U538&gt;=130, U538&lt;150), "Handysize", IF(AND(U538&gt;=150, U538&lt;200), "Handymax", IF(AND(U538&gt;=200, U538&lt;230), "Panamax", IF(AND(U538&gt;=230, U538&lt;=270), "Capesize", "Autre")))))</f>
        <v/>
      </c>
      <c r="X538" s="306">
        <f>IF(E538&lt;9999,"1",IF(E538&lt;19999,"2",IF(E538&lt;29999,"3",IF(E538&lt;39999,"4",IF(E538&lt;49999,"5",IF(E538&gt;50000,"6"))))))</f>
        <v/>
      </c>
      <c r="Y538" s="244" t="inlineStr">
        <is>
          <t>2BIS</t>
        </is>
      </c>
      <c r="AA538" s="26" t="n">
        <v>45900.63055555556</v>
      </c>
      <c r="AB538" s="26" t="n">
        <v>45901.375</v>
      </c>
      <c r="AC538" s="15" t="n">
        <v>45894</v>
      </c>
      <c r="AD538" s="15" t="n">
        <v>45896</v>
      </c>
      <c r="AE538" s="26" t="n">
        <v>45900.58333333334</v>
      </c>
      <c r="AF538" s="26" t="n">
        <v>45900.60208333333</v>
      </c>
      <c r="AG538" s="26" t="n">
        <v>45900.66666666666</v>
      </c>
      <c r="AH538" s="26" t="n">
        <v>45900.69791666666</v>
      </c>
      <c r="AI538" s="26" t="n">
        <v>45900.74305555555</v>
      </c>
      <c r="AJ538" s="26" t="n">
        <v>45900.77430555555</v>
      </c>
      <c r="AK538" s="26" t="n">
        <v>45905.80208333334</v>
      </c>
      <c r="AL538" s="26" t="n">
        <v>45905.84027777778</v>
      </c>
      <c r="AM538" s="26" t="n">
        <v>45905.86458333334</v>
      </c>
      <c r="AN538" s="26" t="n">
        <v>45905.90625</v>
      </c>
      <c r="AO538" s="26" t="n">
        <v>45905.90625</v>
      </c>
      <c r="AP538" s="20">
        <f>(AG538-AF538)*1440</f>
        <v/>
      </c>
      <c r="AQ538" s="20">
        <f>(AG538-AE538)*1440</f>
        <v/>
      </c>
      <c r="AR538" s="20">
        <f>(AH538-AF538)*1440</f>
        <v/>
      </c>
      <c r="AS538" s="20">
        <f>(AI538-AH538)*1440</f>
        <v/>
      </c>
      <c r="AT538" s="20">
        <f>(AJ538-AH538)*1440</f>
        <v/>
      </c>
      <c r="AU538" s="20">
        <f>(AL538-AK538)*1440</f>
        <v/>
      </c>
      <c r="AV538" s="20">
        <f>(AM538-AL538)*1440</f>
        <v/>
      </c>
      <c r="AW538" s="20">
        <f>(AO538-AM538)*1440</f>
        <v/>
      </c>
      <c r="AX538" s="19">
        <f>AP538+AS538+AU538+AV538+AW538</f>
        <v/>
      </c>
      <c r="AY538" s="18">
        <f>(AG538-AA538)</f>
        <v/>
      </c>
      <c r="AZ538" s="18">
        <f>(AK538-AJ538)</f>
        <v/>
      </c>
      <c r="BA538" s="18">
        <f>AO538-AG538</f>
        <v/>
      </c>
      <c r="BB538" s="18">
        <f>(AO538-AA538)-(AP538/1440)-(AW538/1440)</f>
        <v/>
      </c>
      <c r="BC538" s="20">
        <f>E538/AZ538</f>
        <v/>
      </c>
      <c r="BE538" s="20">
        <f>IF(E538&lt;10000,3000,IF(E538&lt;15000,3600,IF(E538&lt;20000,4500,IF(E538&lt;25000,6000,IF(E538&lt;30000,7500,IF(E538&lt;40000,9000,IF(E538&gt;40000,10000)))))))</f>
        <v/>
      </c>
      <c r="BF538" s="334">
        <f>(E538/BE538)+2</f>
        <v/>
      </c>
      <c r="BS538" s="137" t="inlineStr">
        <is>
          <t>LEVEE SURESOIRE DU LOT DAP RECU LE 26/08- 0933</t>
        </is>
      </c>
      <c r="BT538" s="99" t="n">
        <v>0</v>
      </c>
      <c r="BU538" s="99" t="inlineStr">
        <is>
          <t>CLEAN</t>
        </is>
      </c>
      <c r="BV538" s="97" t="inlineStr">
        <is>
          <t>NUL</t>
        </is>
      </c>
      <c r="BW538" s="332">
        <f>AI539-AH539</f>
        <v/>
      </c>
      <c r="CB538" s="14" t="n">
        <v>36434</v>
      </c>
    </row>
    <row r="539">
      <c r="B539" s="349" t="inlineStr">
        <is>
          <t>MEA MARE</t>
        </is>
      </c>
      <c r="C539" s="243" t="n">
        <v>45905</v>
      </c>
      <c r="D539" s="348" t="n">
        <v>22000</v>
      </c>
      <c r="E539" s="330" t="n"/>
      <c r="G539" s="81" t="n">
        <v>2</v>
      </c>
      <c r="H539" s="75" t="inlineStr">
        <is>
          <t>TSP</t>
        </is>
      </c>
      <c r="I539" s="75" t="inlineStr">
        <is>
          <t xml:space="preserve">TSP CIV </t>
        </is>
      </c>
      <c r="J539" s="75" t="inlineStr">
        <is>
          <t>CFR</t>
        </is>
      </c>
      <c r="Q539" s="75" t="inlineStr">
        <is>
          <t>ASIE</t>
        </is>
      </c>
      <c r="R539" s="75" t="inlineStr">
        <is>
          <t>INDIA</t>
        </is>
      </c>
      <c r="T539" s="75" t="inlineStr">
        <is>
          <t>INTERTEK</t>
        </is>
      </c>
      <c r="U539" s="81" t="n">
        <v>200</v>
      </c>
      <c r="V539" s="53">
        <f>IF(U539&lt;130, "Mini Bulker", IF(AND(U539&gt;=130, U539&lt;150), "Handysize", IF(AND(U539&gt;=150, U539&lt;200), "Handymax", IF(AND(U539&gt;=200, U539&lt;230), "Panamax", IF(AND(U539&gt;=230, U539&lt;=270), "Capesize", "Autre")))))</f>
        <v/>
      </c>
      <c r="X539" s="306">
        <f>IF(E539&lt;9999,"1",IF(E539&lt;19999,"2",IF(E539&lt;29999,"3",IF(E539&lt;39999,"4",IF(E539&lt;49999,"5",IF(E539&gt;50000,"6"))))))</f>
        <v/>
      </c>
      <c r="Y539" s="244" t="inlineStr">
        <is>
          <t>2BIS</t>
        </is>
      </c>
      <c r="AA539" s="98" t="n"/>
      <c r="AB539" s="98" t="n"/>
      <c r="AC539" s="98" t="n"/>
      <c r="AD539" s="98" t="n"/>
      <c r="AE539" s="98" t="n"/>
      <c r="AF539" s="98" t="n"/>
      <c r="AG539" s="98" t="n"/>
      <c r="AH539" s="98" t="n"/>
      <c r="AI539" s="98" t="n"/>
      <c r="AJ539" s="98" t="n"/>
      <c r="AK539" s="98" t="n"/>
      <c r="AL539" s="98" t="n"/>
      <c r="AM539" s="98" t="n"/>
      <c r="AN539" s="98" t="n"/>
      <c r="AO539" s="98" t="n"/>
      <c r="AP539" s="98" t="n"/>
      <c r="AQ539" s="98" t="n"/>
      <c r="AR539" s="98" t="n"/>
      <c r="AS539" s="98" t="n"/>
      <c r="AT539" s="98" t="n"/>
      <c r="AU539" s="98" t="n"/>
      <c r="AV539" s="98" t="n"/>
      <c r="AW539" s="98" t="n"/>
      <c r="AX539" s="98" t="n"/>
      <c r="AY539" s="98" t="n"/>
      <c r="AZ539" s="98" t="n"/>
      <c r="BA539" s="98" t="n"/>
      <c r="BB539" s="98" t="n"/>
      <c r="BC539" s="98" t="n"/>
      <c r="BD539" s="98" t="n"/>
      <c r="BE539" s="98" t="n"/>
      <c r="BF539" s="98" t="n"/>
      <c r="BG539" s="98" t="n"/>
      <c r="BH539" s="98" t="n"/>
      <c r="BI539" s="98" t="n"/>
      <c r="BJ539" s="98" t="n"/>
      <c r="BK539" s="98" t="n"/>
      <c r="BL539" s="98" t="n"/>
      <c r="BM539" s="98" t="n"/>
      <c r="BN539" s="98" t="n"/>
      <c r="BO539" s="98" t="n"/>
      <c r="BP539" s="98" t="n"/>
      <c r="BQ539" s="98" t="n"/>
      <c r="BR539" s="98" t="n"/>
      <c r="BS539" s="137" t="n"/>
      <c r="BV539" s="97" t="n"/>
      <c r="BW539" s="332">
        <f>AI540-AH540</f>
        <v/>
      </c>
      <c r="CB539" s="14" t="n"/>
    </row>
    <row r="540">
      <c r="A540" s="75" t="n">
        <v>346</v>
      </c>
      <c r="B540" s="349" t="inlineStr">
        <is>
          <t>THEOSKEPASTI</t>
        </is>
      </c>
      <c r="C540" s="243" t="n">
        <v>45907</v>
      </c>
      <c r="D540" s="348" t="n">
        <v>44000</v>
      </c>
      <c r="E540" s="348" t="n">
        <v>44000</v>
      </c>
      <c r="G540" s="81" t="n">
        <v>1</v>
      </c>
      <c r="H540" s="75" t="inlineStr">
        <is>
          <t>DAP</t>
        </is>
      </c>
      <c r="I540" s="75" t="inlineStr">
        <is>
          <t>DAP Bangladesh</t>
        </is>
      </c>
      <c r="J540" s="75" t="inlineStr">
        <is>
          <t>FOB</t>
        </is>
      </c>
      <c r="Q540" s="75" t="inlineStr">
        <is>
          <t>ASIE</t>
        </is>
      </c>
      <c r="R540" s="75" t="inlineStr">
        <is>
          <t>BANGLADESH</t>
        </is>
      </c>
      <c r="T540" s="75" t="inlineStr">
        <is>
          <t>INSPECTORATE</t>
        </is>
      </c>
      <c r="U540" s="81" t="n">
        <v>189</v>
      </c>
      <c r="V540" s="53">
        <f>IF(U540&lt;130, "Mini Bulker", IF(AND(U540&gt;=130, U540&lt;150), "Handysize", IF(AND(U540&gt;=150, U540&lt;200), "Handymax", IF(AND(U540&gt;=200, U540&lt;230), "Panamax", IF(AND(U540&gt;=230, U540&lt;=270), "Capesize", "Autre")))))</f>
        <v/>
      </c>
      <c r="X540" s="306">
        <f>IF(E540&lt;9999,"1",IF(E540&lt;19999,"2",IF(E540&lt;29999,"3",IF(E540&lt;39999,"4",IF(E540&lt;49999,"5",IF(E540&gt;50000,"6"))))))</f>
        <v/>
      </c>
      <c r="Y540" s="244" t="inlineStr">
        <is>
          <t>2N</t>
        </is>
      </c>
      <c r="AA540" s="26" t="n">
        <v>45901.66666666666</v>
      </c>
      <c r="AB540" s="26" t="n">
        <v>45901.66666666666</v>
      </c>
      <c r="AC540" s="15" t="n">
        <v>45898</v>
      </c>
      <c r="AD540" s="15" t="n">
        <v>45903</v>
      </c>
      <c r="AE540" s="26" t="n">
        <v>45901.66666666666</v>
      </c>
      <c r="AF540" s="26" t="n">
        <v>45901.65486111111</v>
      </c>
      <c r="AG540" s="26" t="n">
        <v>45901.7875</v>
      </c>
      <c r="AH540" s="26" t="n">
        <v>45901.79861111111</v>
      </c>
      <c r="AI540" s="26" t="n">
        <v>45901.85416666666</v>
      </c>
      <c r="AJ540" s="26" t="n">
        <v>45901.90277777778</v>
      </c>
      <c r="AK540" s="26" t="n">
        <v>45907.34375</v>
      </c>
      <c r="AL540" s="26" t="n">
        <v>45907.38541666666</v>
      </c>
      <c r="AM540" s="26" t="n">
        <v>45907.38888888889</v>
      </c>
      <c r="AN540" s="26" t="n">
        <v>45907.43055555555</v>
      </c>
      <c r="AO540" s="26" t="n">
        <v>45907.46111111111</v>
      </c>
      <c r="AP540" s="20">
        <f>(AG540-AF540)*1440</f>
        <v/>
      </c>
      <c r="AQ540" s="20">
        <f>(AG540-AE540)*1440</f>
        <v/>
      </c>
      <c r="AR540" s="20">
        <f>(AH540-AF540)*1440</f>
        <v/>
      </c>
      <c r="AS540" s="20">
        <f>(AI540-AH540)*1440</f>
        <v/>
      </c>
      <c r="AT540" s="20">
        <f>(AJ540-AH540)*1440</f>
        <v/>
      </c>
      <c r="AU540" s="20">
        <f>(AL540-AK540)*1440</f>
        <v/>
      </c>
      <c r="AV540" s="20">
        <f>(AM540-AL540)*1440</f>
        <v/>
      </c>
      <c r="AW540" s="20">
        <f>(AO540-AM540)*1440</f>
        <v/>
      </c>
      <c r="AX540" s="19">
        <f>AP540+AS540+AU540+AV540+AW540</f>
        <v/>
      </c>
      <c r="AY540" s="18">
        <f>(AG540-AA540)</f>
        <v/>
      </c>
      <c r="AZ540" s="18">
        <f>(AK540-AJ540)</f>
        <v/>
      </c>
      <c r="BA540" s="18">
        <f>AO540-AG540</f>
        <v/>
      </c>
      <c r="BB540" s="18">
        <f>(AO540-AA540)-(AP540/1440)-(AW540/1440)</f>
        <v/>
      </c>
      <c r="BC540" s="20">
        <f>E540/AZ540</f>
        <v/>
      </c>
      <c r="BE540" s="20">
        <f>IF(E540&lt;10000,3000,IF(E540&lt;15000,3600,IF(E540&lt;20000,4500,IF(E540&lt;25000,6000,IF(E540&lt;30000,7500,IF(E540&lt;40000,9000,IF(E540&gt;40000,10000)))))))</f>
        <v/>
      </c>
      <c r="BF540" s="334">
        <f>(E540/BE540)+2</f>
        <v/>
      </c>
      <c r="BS540" s="137" t="inlineStr">
        <is>
          <t>NUL</t>
        </is>
      </c>
      <c r="BT540" s="99" t="n">
        <v>0</v>
      </c>
      <c r="BV540" s="97" t="n"/>
      <c r="BW540" s="332">
        <f>AI541-AH541</f>
        <v/>
      </c>
      <c r="CB540" s="14" t="n">
        <v>27989</v>
      </c>
    </row>
    <row r="541">
      <c r="A541" s="75" t="n">
        <v>347</v>
      </c>
      <c r="B541" s="349" t="inlineStr">
        <is>
          <t>LADY DIVINA</t>
        </is>
      </c>
      <c r="C541" s="243" t="n">
        <v>45908</v>
      </c>
      <c r="D541" s="348" t="n">
        <v>12000</v>
      </c>
      <c r="E541" s="348" t="n">
        <v>12000</v>
      </c>
      <c r="G541" s="81" t="n">
        <v>1</v>
      </c>
      <c r="H541" s="75" t="inlineStr">
        <is>
          <t>DAP</t>
        </is>
      </c>
      <c r="I541" s="75" t="inlineStr">
        <is>
          <t xml:space="preserve">DAP Euro Low Cd </t>
        </is>
      </c>
      <c r="J541" s="75" t="inlineStr">
        <is>
          <t>FOB</t>
        </is>
      </c>
      <c r="Q541" s="75" t="inlineStr">
        <is>
          <t>EUROPE</t>
        </is>
      </c>
      <c r="R541" s="75" t="inlineStr">
        <is>
          <t>TURQUIE</t>
        </is>
      </c>
      <c r="T541" s="75" t="inlineStr">
        <is>
          <t>INSPECTORATE</t>
        </is>
      </c>
      <c r="U541" s="81" t="n">
        <v>140</v>
      </c>
      <c r="V541" s="53">
        <f>IF(U541&lt;130, "Mini Bulker", IF(AND(U541&gt;=130, U541&lt;150), "Handysize", IF(AND(U541&gt;=150, U541&lt;200), "Handymax", IF(AND(U541&gt;=200, U541&lt;230), "Panamax", IF(AND(U541&gt;=230, U541&lt;=270), "Capesize", "Autre")))))</f>
        <v/>
      </c>
      <c r="X541" s="306">
        <f>IF(E541&lt;9999,"1",IF(E541&lt;19999,"2",IF(E541&lt;29999,"3",IF(E541&lt;39999,"4",IF(E541&lt;49999,"5",IF(E541&gt;50000,"6"))))))</f>
        <v/>
      </c>
      <c r="Y541" s="244" t="inlineStr">
        <is>
          <t>7/2TER</t>
        </is>
      </c>
      <c r="AA541" s="26" t="n">
        <v>45904.66666666666</v>
      </c>
      <c r="AB541" s="26" t="n">
        <v>45904.66666666666</v>
      </c>
      <c r="AC541" s="15" t="n">
        <v>45905</v>
      </c>
      <c r="AD541" s="15" t="n">
        <v>45907</v>
      </c>
      <c r="AE541" s="26" t="n">
        <v>45902.51736111111</v>
      </c>
      <c r="AF541" s="26" t="n">
        <v>45904.69722222222</v>
      </c>
      <c r="AG541" s="26" t="n">
        <v>45904.78125</v>
      </c>
      <c r="AH541" s="26" t="n">
        <v>45904.80555555555</v>
      </c>
      <c r="AI541" s="26" t="n">
        <v>45905.61458333334</v>
      </c>
      <c r="AJ541" s="26" t="n">
        <v>45905.65625</v>
      </c>
      <c r="AK541" s="26" t="n">
        <v>45908.17708333334</v>
      </c>
      <c r="AL541" s="26" t="n">
        <v>45908.24652777778</v>
      </c>
      <c r="AM541" s="26" t="n">
        <v>45908.27777777778</v>
      </c>
      <c r="AN541" s="26" t="n">
        <v>45908.34027777778</v>
      </c>
      <c r="AO541" s="26" t="n">
        <v>45908.38888888889</v>
      </c>
      <c r="AP541" s="20">
        <f>(AG541-AF541)*1440</f>
        <v/>
      </c>
      <c r="AQ541" s="20">
        <f>(AG541-AE541)*1440</f>
        <v/>
      </c>
      <c r="AR541" s="20">
        <f>(AH541-AF541)*1440</f>
        <v/>
      </c>
      <c r="AS541" s="20">
        <f>(AI541-AH541)*1440</f>
        <v/>
      </c>
      <c r="AT541" s="20">
        <f>(AJ541-AH541)*1440</f>
        <v/>
      </c>
      <c r="AU541" s="20">
        <f>(AL541-AK541)*1440</f>
        <v/>
      </c>
      <c r="AV541" s="20">
        <f>(AM541-AL541)*1440</f>
        <v/>
      </c>
      <c r="AW541" s="20">
        <f>(AO541-AM541)*1440</f>
        <v/>
      </c>
      <c r="AX541" s="19">
        <f>AP541+AS541+AU541+AV541+AW541</f>
        <v/>
      </c>
      <c r="AY541" s="18">
        <f>(AG541-AA541)</f>
        <v/>
      </c>
      <c r="AZ541" s="18">
        <f>(AK541-AJ541)</f>
        <v/>
      </c>
      <c r="BA541" s="18">
        <f>AO541-AG541</f>
        <v/>
      </c>
      <c r="BB541" s="18">
        <f>(AO541-AA541)-(AP541/1440)-(AW541/1440)</f>
        <v/>
      </c>
      <c r="BC541" s="20">
        <f>E541/AZ541</f>
        <v/>
      </c>
      <c r="BE541" s="20">
        <f>IF(E541&lt;10000,3000,IF(E541&lt;15000,3600,IF(E541&lt;20000,4500,IF(E541&lt;25000,6000,IF(E541&lt;30000,7500,IF(E541&lt;40000,9000,IF(E541&gt;40000,10000)))))))</f>
        <v/>
      </c>
      <c r="BF541" s="334">
        <f>(E541/BE541)+2</f>
        <v/>
      </c>
      <c r="BS541" s="97" t="inlineStr">
        <is>
          <t>CHANGE DU POSTE 7 VERS LA RADE LE 05/09- 0528 // RE-ACC AU POSTE 2TER LE 05-09- 1045</t>
        </is>
      </c>
      <c r="BT541" s="99" t="n">
        <v>2</v>
      </c>
      <c r="BU541" s="99" t="inlineStr">
        <is>
          <t>NON CLEAN</t>
        </is>
      </c>
      <c r="BV541" s="97" t="inlineStr">
        <is>
          <t>WATER/HUMIDITY</t>
        </is>
      </c>
      <c r="BW541" s="332">
        <f>AI542-AH542</f>
        <v/>
      </c>
      <c r="CB541" s="14" t="n">
        <v>11697</v>
      </c>
    </row>
    <row r="542" ht="15.75" customHeight="1" s="70">
      <c r="A542" s="75" t="n">
        <v>348</v>
      </c>
      <c r="B542" s="349" t="inlineStr">
        <is>
          <t>VERTOM JOSE</t>
        </is>
      </c>
      <c r="C542" s="243" t="n">
        <v>45908</v>
      </c>
      <c r="D542" s="348" t="n">
        <v>2077</v>
      </c>
      <c r="E542" s="333">
        <f>D542+D543</f>
        <v/>
      </c>
      <c r="G542" s="81" t="n">
        <v>2</v>
      </c>
      <c r="H542" s="75" t="inlineStr">
        <is>
          <t>MAP</t>
        </is>
      </c>
      <c r="I542" s="75" t="inlineStr">
        <is>
          <t xml:space="preserve">MAP 11 52 Special Low Cd </t>
        </is>
      </c>
      <c r="J542" s="75" t="inlineStr">
        <is>
          <t>CFR</t>
        </is>
      </c>
      <c r="Q542" s="75" t="inlineStr">
        <is>
          <t>EUROPE</t>
        </is>
      </c>
      <c r="R542" s="75" t="inlineStr">
        <is>
          <t>France</t>
        </is>
      </c>
      <c r="T542" s="75" t="inlineStr">
        <is>
          <t>INTERTEK</t>
        </is>
      </c>
      <c r="U542" s="81" t="n">
        <v>101</v>
      </c>
      <c r="V542" s="53">
        <f>IF(U542&lt;130, "Mini Bulker", IF(AND(U542&gt;=130, U542&lt;150), "Handysize", IF(AND(U542&gt;=150, U542&lt;200), "Handymax", IF(AND(U542&gt;=200, U542&lt;230), "Panamax", IF(AND(U542&gt;=230, U542&lt;=270), "Capesize", "Autre")))))</f>
        <v/>
      </c>
      <c r="X542" s="306">
        <f>IF(E542&lt;9999,"1",IF(E542&lt;19999,"2",IF(E542&lt;29999,"3",IF(E542&lt;39999,"4",IF(E542&lt;49999,"5",IF(E542&gt;50000,"6"))))))</f>
        <v/>
      </c>
      <c r="Y542" s="244" t="inlineStr">
        <is>
          <t>2TER/1N/2TER/1N/2TER</t>
        </is>
      </c>
      <c r="AA542" s="26" t="n">
        <v>45894.00069444445</v>
      </c>
      <c r="AB542" s="26" t="n">
        <v>45894.375</v>
      </c>
      <c r="AC542" s="15" t="n">
        <v>45894</v>
      </c>
      <c r="AD542" s="15" t="n">
        <v>45896</v>
      </c>
      <c r="AE542" s="26" t="n">
        <v>45887.77083333334</v>
      </c>
      <c r="AF542" s="26" t="n">
        <v>45899.02777777778</v>
      </c>
      <c r="AG542" s="26" t="n">
        <v>45899.08333333334</v>
      </c>
      <c r="AH542" s="26" t="n">
        <v>45899.09375</v>
      </c>
      <c r="AI542" s="26" t="n">
        <v>45899.33680555555</v>
      </c>
      <c r="AJ542" s="26" t="n">
        <v>45899.45138888889</v>
      </c>
      <c r="AK542" s="26" t="n">
        <v>45908.45138888889</v>
      </c>
      <c r="AL542" s="26" t="n">
        <v>45908.53472222222</v>
      </c>
      <c r="AM542" s="26" t="n">
        <v>45908.5625</v>
      </c>
      <c r="AN542" s="26" t="n">
        <v>45908.625</v>
      </c>
      <c r="AO542" s="26" t="n">
        <v>45908.64930555555</v>
      </c>
      <c r="AP542" s="20">
        <f>(AG542-AF542)*1440</f>
        <v/>
      </c>
      <c r="AQ542" s="20">
        <f>(AG542-AE542)*1440</f>
        <v/>
      </c>
      <c r="AR542" s="20">
        <f>(AH542-AF542)*1440</f>
        <v/>
      </c>
      <c r="AS542" s="20">
        <f>(AI542-AH542)*1440</f>
        <v/>
      </c>
      <c r="AT542" s="20">
        <f>(AJ542-AH542)*1440</f>
        <v/>
      </c>
      <c r="AU542" s="20">
        <f>(AL542-AK542)*1440</f>
        <v/>
      </c>
      <c r="AV542" s="20">
        <f>(AM542-AL542)*1440</f>
        <v/>
      </c>
      <c r="AW542" s="20">
        <f>(AO542-AM542)*1440</f>
        <v/>
      </c>
      <c r="AX542" s="19">
        <f>AP542+AS542+AU542+AV542+AW542</f>
        <v/>
      </c>
      <c r="AY542" s="18">
        <f>(AG542-AA542)</f>
        <v/>
      </c>
      <c r="AZ542" s="18">
        <f>(AK542-AJ542)</f>
        <v/>
      </c>
      <c r="BA542" s="18">
        <f>AO542-AG542</f>
        <v/>
      </c>
      <c r="BB542" s="18">
        <f>(AO542-AA542)-(AP542/1440)-(AW542/1440)</f>
        <v/>
      </c>
      <c r="BC542" s="20">
        <f>E542/AZ542</f>
        <v/>
      </c>
      <c r="BE542" s="20">
        <f>IF(E542&lt;10000,3000,IF(E542&lt;15000,3600,IF(E542&lt;20000,4500,IF(E542&lt;25000,6000,IF(E542&lt;30000,7500,IF(E542&lt;40000,9000,IF(E542&gt;40000,10000)))))))</f>
        <v/>
      </c>
      <c r="BF542" s="334">
        <f>(E542/BE542)+2</f>
        <v/>
      </c>
      <c r="BS542" s="137" t="inlineStr">
        <is>
          <t>CHANGE DU POSTE 2TER VERS LA RADE LE 30/08- 1849 // RE-ACC AU POSTE 1N LE 01/09- 1217 // CHANGE DU POSTE 1N VERS LE POSTE 2TER LE 02/09 - 1925 / CHANGE DU POSTE 2TER VERS POSTE 1N LE 04/09- 1150 //CHANGE DU POSTE 1N VERS POSTE 2TER LE 08/09- 1020</t>
        </is>
      </c>
      <c r="BT542" s="99" t="n">
        <v>5</v>
      </c>
      <c r="BU542" s="99" t="inlineStr">
        <is>
          <t>NAVIRE NON PRÊT</t>
        </is>
      </c>
      <c r="BV542" s="248" t="inlineStr">
        <is>
          <t>BULK HEAD</t>
        </is>
      </c>
      <c r="BW542" s="332">
        <f>AI543-AH543</f>
        <v/>
      </c>
      <c r="CB542" s="14" t="n">
        <v>3603</v>
      </c>
    </row>
    <row r="543">
      <c r="A543" s="75" t="n"/>
      <c r="B543" s="349" t="inlineStr">
        <is>
          <t>VERTOM JOSE</t>
        </is>
      </c>
      <c r="C543" s="243" t="n">
        <v>45908</v>
      </c>
      <c r="D543" s="348" t="n">
        <v>1960</v>
      </c>
      <c r="E543" s="330" t="n"/>
      <c r="G543" s="81" t="n">
        <v>2</v>
      </c>
      <c r="H543" s="75" t="inlineStr">
        <is>
          <t>TSP</t>
        </is>
      </c>
      <c r="I543" s="75" t="inlineStr">
        <is>
          <t xml:space="preserve">TSP EURO Low Cd </t>
        </is>
      </c>
      <c r="J543" s="75" t="inlineStr">
        <is>
          <t>CFR</t>
        </is>
      </c>
      <c r="Q543" s="75" t="inlineStr">
        <is>
          <t>EUROPE</t>
        </is>
      </c>
      <c r="R543" s="75" t="inlineStr">
        <is>
          <t>France</t>
        </is>
      </c>
      <c r="T543" s="75" t="inlineStr">
        <is>
          <t>INTERTEK</t>
        </is>
      </c>
      <c r="U543" s="81" t="n">
        <v>101</v>
      </c>
      <c r="V543" s="53">
        <f>IF(U543&lt;130, "Mini Bulker", IF(AND(U543&gt;=130, U543&lt;150), "Handysize", IF(AND(U543&gt;=150, U543&lt;200), "Handymax", IF(AND(U543&gt;=200, U543&lt;230), "Panamax", IF(AND(U543&gt;=230, U543&lt;=270), "Capesize", "Autre")))))</f>
        <v/>
      </c>
      <c r="X543" s="306">
        <f>IF(E543&lt;9999,"1",IF(E543&lt;19999,"2",IF(E543&lt;29999,"3",IF(E543&lt;39999,"4",IF(E543&lt;49999,"5",IF(E543&gt;50000,"6"))))))</f>
        <v/>
      </c>
      <c r="Y543" s="244" t="inlineStr">
        <is>
          <t>2TER/1N/2TER/1N/2TER</t>
        </is>
      </c>
      <c r="AA543" s="98" t="n"/>
      <c r="AB543" s="98" t="n"/>
      <c r="AC543" s="98" t="n"/>
      <c r="AD543" s="98" t="n"/>
      <c r="AE543" s="98" t="n"/>
      <c r="AF543" s="98" t="n"/>
      <c r="AG543" s="98" t="n"/>
      <c r="AH543" s="98" t="n"/>
      <c r="AI543" s="98" t="n"/>
      <c r="AJ543" s="98" t="n"/>
      <c r="AK543" s="98" t="n"/>
      <c r="AL543" s="98" t="n"/>
      <c r="AM543" s="98" t="n"/>
      <c r="AN543" s="98" t="n"/>
      <c r="AO543" s="98" t="n"/>
      <c r="AP543" s="98" t="n"/>
      <c r="AQ543" s="98" t="n"/>
      <c r="AR543" s="98" t="n"/>
      <c r="AS543" s="98" t="n"/>
      <c r="AT543" s="98" t="n"/>
      <c r="AU543" s="98" t="n"/>
      <c r="AV543" s="98" t="n"/>
      <c r="AW543" s="98" t="n"/>
      <c r="AX543" s="98" t="n"/>
      <c r="AY543" s="98" t="n"/>
      <c r="AZ543" s="98" t="n"/>
      <c r="BA543" s="98" t="n"/>
      <c r="BB543" s="98" t="n"/>
      <c r="BC543" s="98" t="n"/>
      <c r="BD543" s="98" t="n"/>
      <c r="BE543" s="98" t="n"/>
      <c r="BF543" s="98" t="n"/>
      <c r="BG543" s="98" t="n"/>
      <c r="BH543" s="98" t="n"/>
      <c r="BI543" s="98" t="n"/>
      <c r="BJ543" s="98" t="n"/>
      <c r="BK543" s="98" t="n"/>
      <c r="BL543" s="98" t="n"/>
      <c r="BM543" s="98" t="n"/>
      <c r="BN543" s="98" t="n"/>
      <c r="BO543" s="98" t="n"/>
      <c r="BP543" s="98" t="n"/>
      <c r="BQ543" s="98" t="n"/>
      <c r="BR543" s="98" t="n"/>
      <c r="BS543" s="137" t="n"/>
      <c r="BV543" s="97" t="n"/>
      <c r="BW543" s="332">
        <f>AI544-AH544</f>
        <v/>
      </c>
      <c r="CB543" s="14" t="n"/>
    </row>
    <row r="544">
      <c r="A544" s="75" t="n">
        <v>349</v>
      </c>
      <c r="B544" s="349" t="inlineStr">
        <is>
          <t>SPIKE</t>
        </is>
      </c>
      <c r="C544" s="243" t="n">
        <v>45908</v>
      </c>
      <c r="D544" s="348" t="n">
        <v>33000</v>
      </c>
      <c r="E544" s="333">
        <f>D544+D545</f>
        <v/>
      </c>
      <c r="G544" s="81" t="n">
        <v>2</v>
      </c>
      <c r="H544" s="75" t="inlineStr">
        <is>
          <t>DAP</t>
        </is>
      </c>
      <c r="I544" s="75" t="inlineStr">
        <is>
          <t xml:space="preserve">DAP STANDARD </t>
        </is>
      </c>
      <c r="J544" s="75" t="inlineStr">
        <is>
          <t>CFR</t>
        </is>
      </c>
      <c r="Q544" s="75" t="inlineStr">
        <is>
          <t>ASIE</t>
        </is>
      </c>
      <c r="R544" s="75" t="inlineStr">
        <is>
          <t>INDIA</t>
        </is>
      </c>
      <c r="T544" s="75" t="inlineStr">
        <is>
          <t>INTERTEK</t>
        </is>
      </c>
      <c r="U544" s="81" t="n">
        <v>200</v>
      </c>
      <c r="V544" s="53">
        <f>IF(U544&lt;130, "Mini Bulker", IF(AND(U544&gt;=130, U544&lt;150), "Handysize", IF(AND(U544&gt;=150, U544&lt;200), "Handymax", IF(AND(U544&gt;=200, U544&lt;230), "Panamax", IF(AND(U544&gt;=230, U544&lt;=270), "Capesize", "Autre")))))</f>
        <v/>
      </c>
      <c r="X544" s="306">
        <f>IF(E544&lt;9999,"1",IF(E544&lt;19999,"2",IF(E544&lt;29999,"3",IF(E544&lt;39999,"4",IF(E544&lt;49999,"5",IF(E544&gt;50000,"6"))))))</f>
        <v/>
      </c>
      <c r="Y544" s="244" t="inlineStr">
        <is>
          <t>1BIS</t>
        </is>
      </c>
      <c r="AA544" s="26" t="n">
        <v>45902.1875</v>
      </c>
      <c r="AB544" s="26" t="n">
        <v>45902.375</v>
      </c>
      <c r="AC544" s="15" t="n">
        <v>45903</v>
      </c>
      <c r="AD544" s="15" t="n">
        <v>45906</v>
      </c>
      <c r="AE544" s="26" t="n">
        <v>45902.125</v>
      </c>
      <c r="AF544" s="26" t="n">
        <v>45902.69444444445</v>
      </c>
      <c r="AG544" s="26" t="n">
        <v>45902.79166666666</v>
      </c>
      <c r="AH544" s="26" t="n">
        <v>45902.8125</v>
      </c>
      <c r="AI544" s="26" t="n">
        <v>45902.86458333334</v>
      </c>
      <c r="AJ544" s="26" t="n">
        <v>45902.90972222222</v>
      </c>
      <c r="AK544" s="26" t="n">
        <v>45908.95833333334</v>
      </c>
      <c r="AL544" s="26" t="n">
        <v>45908.98888888889</v>
      </c>
      <c r="AM544" s="26" t="n">
        <v>45909.03472222222</v>
      </c>
      <c r="AN544" s="26" t="n">
        <v>45909.125</v>
      </c>
      <c r="AO544" s="26" t="n">
        <v>45909.15277777778</v>
      </c>
      <c r="AP544" s="20">
        <f>(AG544-AF544)*1440</f>
        <v/>
      </c>
      <c r="AQ544" s="20">
        <f>(AG544-AE544)*1440</f>
        <v/>
      </c>
      <c r="AR544" s="20">
        <f>(AH544-AF544)*1440</f>
        <v/>
      </c>
      <c r="AS544" s="20">
        <f>(AI544-AH544)*1440</f>
        <v/>
      </c>
      <c r="AT544" s="20">
        <f>(AJ544-AH544)*1440</f>
        <v/>
      </c>
      <c r="AU544" s="20">
        <f>(AL544-AK544)*1440</f>
        <v/>
      </c>
      <c r="AV544" s="20">
        <f>(AM544-AL544)*1440</f>
        <v/>
      </c>
      <c r="AW544" s="20">
        <f>(AO544-AM544)*1440</f>
        <v/>
      </c>
      <c r="AX544" s="19">
        <f>AP544+AS544+AU544+AV544+AW544</f>
        <v/>
      </c>
      <c r="AY544" s="18">
        <f>(AG544-AA544)</f>
        <v/>
      </c>
      <c r="AZ544" s="18">
        <f>(AK544-AJ544)</f>
        <v/>
      </c>
      <c r="BA544" s="18">
        <f>AO544-AG544</f>
        <v/>
      </c>
      <c r="BB544" s="18">
        <f>(AO544-AA544)-(AP544/1440)-(AW544/1440)</f>
        <v/>
      </c>
      <c r="BC544" s="20">
        <f>E544/AZ544</f>
        <v/>
      </c>
      <c r="BE544" s="20">
        <f>IF(E544&lt;10000,3000,IF(E544&lt;15000,3600,IF(E544&lt;20000,4500,IF(E544&lt;25000,6000,IF(E544&lt;30000,7500,IF(E544&lt;40000,9000,IF(E544&gt;40000,10000)))))))</f>
        <v/>
      </c>
      <c r="BF544" s="334">
        <f>(E544/BE544)+2</f>
        <v/>
      </c>
      <c r="BS544" s="137" t="inlineStr">
        <is>
          <t>NUL</t>
        </is>
      </c>
      <c r="BT544" s="99" t="n">
        <v>0</v>
      </c>
      <c r="BU544" s="99" t="n"/>
      <c r="BV544" s="97" t="n"/>
      <c r="BW544" s="332">
        <f>AI545-AH545</f>
        <v/>
      </c>
      <c r="CB544" s="14" t="n">
        <v>36434</v>
      </c>
    </row>
    <row r="545">
      <c r="B545" s="349" t="inlineStr">
        <is>
          <t>SPIKE</t>
        </is>
      </c>
      <c r="C545" s="243" t="n">
        <v>45908</v>
      </c>
      <c r="D545" s="348" t="n">
        <v>27500</v>
      </c>
      <c r="E545" s="330" t="n"/>
      <c r="G545" s="81" t="n">
        <v>2</v>
      </c>
      <c r="H545" s="75" t="inlineStr">
        <is>
          <t>TSP</t>
        </is>
      </c>
      <c r="I545" s="75" t="inlineStr">
        <is>
          <t xml:space="preserve">TSP CIV </t>
        </is>
      </c>
      <c r="J545" s="75" t="inlineStr">
        <is>
          <t>CFR</t>
        </is>
      </c>
      <c r="Q545" s="75" t="inlineStr">
        <is>
          <t>ASIE</t>
        </is>
      </c>
      <c r="R545" s="75" t="inlineStr">
        <is>
          <t>INDIA</t>
        </is>
      </c>
      <c r="T545" s="75" t="inlineStr">
        <is>
          <t>INTERTEK</t>
        </is>
      </c>
      <c r="U545" s="81" t="n">
        <v>200</v>
      </c>
      <c r="V545" s="53">
        <f>IF(U545&lt;130, "Mini Bulker", IF(AND(U545&gt;=130, U545&lt;150), "Handysize", IF(AND(U545&gt;=150, U545&lt;200), "Handymax", IF(AND(U545&gt;=200, U545&lt;230), "Panamax", IF(AND(U545&gt;=230, U545&lt;=270), "Capesize", "Autre")))))</f>
        <v/>
      </c>
      <c r="X545" s="306">
        <f>IF(E545&lt;9999,"1",IF(E545&lt;19999,"2",IF(E545&lt;29999,"3",IF(E545&lt;39999,"4",IF(E545&lt;49999,"5",IF(E545&gt;50000,"6"))))))</f>
        <v/>
      </c>
      <c r="Y545" s="244" t="inlineStr">
        <is>
          <t>1BIS</t>
        </is>
      </c>
      <c r="AA545" s="98" t="n"/>
      <c r="AB545" s="98" t="n"/>
      <c r="AC545" s="98" t="n"/>
      <c r="AD545" s="98" t="n"/>
      <c r="AE545" s="98" t="n"/>
      <c r="AF545" s="98" t="n"/>
      <c r="AG545" s="98" t="n"/>
      <c r="AH545" s="98" t="n"/>
      <c r="AI545" s="98" t="n"/>
      <c r="AJ545" s="98" t="n"/>
      <c r="AK545" s="98" t="n"/>
      <c r="AL545" s="98" t="n"/>
      <c r="AM545" s="98" t="n"/>
      <c r="AN545" s="98" t="n"/>
      <c r="AO545" s="98" t="n"/>
      <c r="AP545" s="98" t="n"/>
      <c r="AQ545" s="98" t="n"/>
      <c r="AR545" s="98" t="n"/>
      <c r="AS545" s="98" t="n"/>
      <c r="AT545" s="98" t="n"/>
      <c r="AU545" s="98" t="n"/>
      <c r="AV545" s="98" t="n"/>
      <c r="AW545" s="98" t="n"/>
      <c r="AX545" s="98" t="n"/>
      <c r="AY545" s="98" t="n"/>
      <c r="AZ545" s="98" t="n"/>
      <c r="BA545" s="98" t="n"/>
      <c r="BB545" s="98" t="n"/>
      <c r="BC545" s="98" t="n"/>
      <c r="BD545" s="98" t="n"/>
      <c r="BE545" s="98" t="n"/>
      <c r="BF545" s="98" t="n"/>
      <c r="BG545" s="98" t="n"/>
      <c r="BH545" s="98" t="n"/>
      <c r="BI545" s="98" t="n"/>
      <c r="BJ545" s="98" t="n"/>
      <c r="BK545" s="98" t="n"/>
      <c r="BL545" s="98" t="n"/>
      <c r="BM545" s="98" t="n"/>
      <c r="BN545" s="98" t="n"/>
      <c r="BO545" s="98" t="n"/>
      <c r="BP545" s="98" t="n"/>
      <c r="BQ545" s="98" t="n"/>
      <c r="BR545" s="98" t="n"/>
      <c r="BU545" s="99" t="n"/>
      <c r="BV545" s="97" t="n"/>
      <c r="BW545" s="332">
        <f>AI546-AH546</f>
        <v/>
      </c>
      <c r="CB545" s="14" t="n"/>
    </row>
    <row r="546">
      <c r="A546" s="75" t="n">
        <v>350</v>
      </c>
      <c r="B546" s="349" t="inlineStr">
        <is>
          <t>WARIYA NAREE</t>
        </is>
      </c>
      <c r="C546" s="243" t="n">
        <v>45911</v>
      </c>
      <c r="D546" s="348" t="n">
        <v>22871</v>
      </c>
      <c r="E546" s="333">
        <f>D546+D547</f>
        <v/>
      </c>
      <c r="G546" s="81" t="n">
        <v>2</v>
      </c>
      <c r="H546" s="75" t="inlineStr">
        <is>
          <t>DAP</t>
        </is>
      </c>
      <c r="I546" s="75" t="inlineStr">
        <is>
          <t xml:space="preserve">DAP STANDARD </t>
        </is>
      </c>
      <c r="J546" s="75" t="inlineStr">
        <is>
          <t>CFR</t>
        </is>
      </c>
      <c r="Q546" s="75" t="inlineStr">
        <is>
          <t>ASIE</t>
        </is>
      </c>
      <c r="R546" s="75" t="inlineStr">
        <is>
          <t>INDIA</t>
        </is>
      </c>
      <c r="T546" s="75" t="inlineStr">
        <is>
          <t>INSPECTORATE</t>
        </is>
      </c>
      <c r="U546" s="81" t="n">
        <v>190</v>
      </c>
      <c r="V546" s="53">
        <f>IF(U546&lt;130, "Mini Bulker", IF(AND(U546&gt;=130, U546&lt;150), "Handysize", IF(AND(U546&gt;=150, U546&lt;200), "Handymax", IF(AND(U546&gt;=200, U546&lt;230), "Panamax", IF(AND(U546&gt;=230, U546&lt;=270), "Capesize", "Autre")))))</f>
        <v/>
      </c>
      <c r="X546" s="306">
        <f>IF(E546&lt;9999,"1",IF(E546&lt;19999,"2",IF(E546&lt;29999,"3",IF(E546&lt;39999,"4",IF(E546&lt;49999,"5",IF(E546&gt;50000,"6"))))))</f>
        <v/>
      </c>
      <c r="Y546" s="244" t="inlineStr">
        <is>
          <t>2BIS</t>
        </is>
      </c>
      <c r="AA546" s="26" t="n">
        <v>45906.05555555555</v>
      </c>
      <c r="AB546" s="26" t="n">
        <v>45906.375</v>
      </c>
      <c r="AC546" s="15" t="n">
        <v>45905</v>
      </c>
      <c r="AD546" s="15" t="n">
        <v>45908</v>
      </c>
      <c r="AE546" s="26" t="n">
        <v>45906.02083333334</v>
      </c>
      <c r="AF546" s="26" t="n">
        <v>45906.02777777778</v>
      </c>
      <c r="AG546" s="26" t="n">
        <v>45906.10416666666</v>
      </c>
      <c r="AH546" s="26" t="n">
        <v>45906.125</v>
      </c>
      <c r="AI546" s="26" t="n">
        <v>45906.22916666666</v>
      </c>
      <c r="AJ546" s="26" t="n">
        <v>45906.22916666666</v>
      </c>
      <c r="AK546" s="26" t="n">
        <v>45911.13194444445</v>
      </c>
      <c r="AL546" s="26" t="n">
        <v>45911.17708333334</v>
      </c>
      <c r="AM546" s="26" t="n">
        <v>45911.18055555555</v>
      </c>
      <c r="AN546" s="26" t="n">
        <v>45911.19166666667</v>
      </c>
      <c r="AO546" s="26" t="n">
        <v>45911.24722222222</v>
      </c>
      <c r="AP546" s="20">
        <f>(AG546-AF546)*1440</f>
        <v/>
      </c>
      <c r="AQ546" s="20">
        <f>(AG546-AE546)*1440</f>
        <v/>
      </c>
      <c r="AR546" s="20">
        <f>(AH546-AF546)*1440</f>
        <v/>
      </c>
      <c r="AS546" s="20">
        <f>(AI546-AH546)*1440</f>
        <v/>
      </c>
      <c r="AT546" s="20">
        <f>(AJ546-AH546)*1440</f>
        <v/>
      </c>
      <c r="AU546" s="20">
        <f>(AL546-AK546)*1440</f>
        <v/>
      </c>
      <c r="AV546" s="20">
        <f>(AM546-AL546)*1440</f>
        <v/>
      </c>
      <c r="AW546" s="20">
        <f>(AO546-AM546)*1440</f>
        <v/>
      </c>
      <c r="AX546" s="19">
        <f>AP546+AS546+AU546+AV546+AW546</f>
        <v/>
      </c>
      <c r="AY546" s="18">
        <f>(AG546-AA546)</f>
        <v/>
      </c>
      <c r="AZ546" s="18">
        <f>(AK546-AJ546)</f>
        <v/>
      </c>
      <c r="BA546" s="18">
        <f>AO546-AG546</f>
        <v/>
      </c>
      <c r="BB546" s="18">
        <f>(AO546-AA546)-(AP546/1440)-(AW546/1440)</f>
        <v/>
      </c>
      <c r="BC546" s="20">
        <f>E546/AZ546</f>
        <v/>
      </c>
      <c r="BE546" s="20">
        <f>IF(E546&lt;10000,3000,IF(E546&lt;15000,3600,IF(E546&lt;20000,4500,IF(E546&lt;25000,6000,IF(E546&lt;30000,7500,IF(E546&lt;40000,9000,IF(E546&gt;40000,10000)))))))</f>
        <v/>
      </c>
      <c r="BF546" s="334">
        <f>(E546/BE546)+2</f>
        <v/>
      </c>
      <c r="BS546" s="249" t="inlineStr">
        <is>
          <t>NUL</t>
        </is>
      </c>
      <c r="BT546" s="99" t="n">
        <v>0</v>
      </c>
      <c r="BU546" s="99" t="inlineStr">
        <is>
          <t>NON CLEAN</t>
        </is>
      </c>
      <c r="BV546" s="97" t="inlineStr">
        <is>
          <t>HUMIDITY</t>
        </is>
      </c>
      <c r="BW546" s="332">
        <f>AI547-AH547</f>
        <v/>
      </c>
      <c r="CB546" s="14" t="n">
        <v>32661</v>
      </c>
    </row>
    <row r="547">
      <c r="A547" s="75" t="n"/>
      <c r="B547" s="349" t="inlineStr">
        <is>
          <t>WARIYA NAREE</t>
        </is>
      </c>
      <c r="C547" s="243" t="n">
        <v>45911</v>
      </c>
      <c r="D547" s="348" t="n">
        <v>28798</v>
      </c>
      <c r="E547" s="330" t="n"/>
      <c r="G547" s="81" t="n">
        <v>2</v>
      </c>
      <c r="H547" s="75" t="inlineStr">
        <is>
          <t>TSP</t>
        </is>
      </c>
      <c r="I547" s="75" t="inlineStr">
        <is>
          <t xml:space="preserve">TSP CIV </t>
        </is>
      </c>
      <c r="J547" s="75" t="inlineStr">
        <is>
          <t>CFR</t>
        </is>
      </c>
      <c r="Q547" s="75" t="inlineStr">
        <is>
          <t>ASIE</t>
        </is>
      </c>
      <c r="R547" s="75" t="inlineStr">
        <is>
          <t>INDIA</t>
        </is>
      </c>
      <c r="T547" s="75" t="inlineStr">
        <is>
          <t>INSPECTORATE</t>
        </is>
      </c>
      <c r="U547" s="81" t="n">
        <v>190</v>
      </c>
      <c r="V547" s="53">
        <f>IF(U547&lt;130, "Mini Bulker", IF(AND(U547&gt;=130, U547&lt;150), "Handysize", IF(AND(U547&gt;=150, U547&lt;200), "Handymax", IF(AND(U547&gt;=200, U547&lt;230), "Panamax", IF(AND(U547&gt;=230, U547&lt;=270), "Capesize", "Autre")))))</f>
        <v/>
      </c>
      <c r="X547" s="306">
        <f>IF(E547&lt;9999,"1",IF(E547&lt;19999,"2",IF(E547&lt;29999,"3",IF(E547&lt;39999,"4",IF(E547&lt;49999,"5",IF(E547&gt;50000,"6"))))))</f>
        <v/>
      </c>
      <c r="Y547" s="244" t="inlineStr">
        <is>
          <t>2BIS</t>
        </is>
      </c>
      <c r="AA547" s="98" t="n"/>
      <c r="AB547" s="98" t="n"/>
      <c r="AC547" s="98" t="n"/>
      <c r="AD547" s="98" t="n"/>
      <c r="AE547" s="98" t="n"/>
      <c r="AF547" s="98" t="n"/>
      <c r="AG547" s="98" t="n"/>
      <c r="AH547" s="98" t="n"/>
      <c r="AI547" s="98" t="n"/>
      <c r="AJ547" s="98" t="n"/>
      <c r="AK547" s="98" t="n"/>
      <c r="AL547" s="98" t="n"/>
      <c r="AM547" s="98" t="n"/>
      <c r="AN547" s="98" t="n"/>
      <c r="AO547" s="98" t="n"/>
      <c r="AP547" s="98" t="n"/>
      <c r="AQ547" s="98" t="n"/>
      <c r="AR547" s="98" t="n"/>
      <c r="AS547" s="98" t="n"/>
      <c r="AT547" s="98" t="n"/>
      <c r="AU547" s="98" t="n"/>
      <c r="AV547" s="98" t="n"/>
      <c r="AW547" s="98" t="n"/>
      <c r="AX547" s="98" t="n"/>
      <c r="AY547" s="98" t="n"/>
      <c r="AZ547" s="98" t="n"/>
      <c r="BA547" s="98" t="n"/>
      <c r="BB547" s="98" t="n"/>
      <c r="BC547" s="98" t="n"/>
      <c r="BD547" s="98" t="n"/>
      <c r="BE547" s="98" t="n"/>
      <c r="BF547" s="98" t="n"/>
      <c r="BG547" s="98" t="n"/>
      <c r="BH547" s="98" t="n"/>
      <c r="BI547" s="98" t="n"/>
      <c r="BJ547" s="98" t="n"/>
      <c r="BK547" s="98" t="n"/>
      <c r="BL547" s="98" t="n"/>
      <c r="BM547" s="98" t="n"/>
      <c r="BN547" s="98" t="n"/>
      <c r="BO547" s="98" t="n"/>
      <c r="BP547" s="98" t="n"/>
      <c r="BQ547" s="98" t="n"/>
      <c r="BR547" s="98" t="n"/>
      <c r="BS547" s="137" t="n"/>
      <c r="BU547" s="99" t="n"/>
      <c r="BW547" s="332">
        <f>AI548-AH548</f>
        <v/>
      </c>
      <c r="CB547" s="14" t="n"/>
    </row>
    <row r="548" ht="15" customHeight="1" s="70">
      <c r="A548" s="75" t="n">
        <v>351</v>
      </c>
      <c r="B548" s="349" t="inlineStr">
        <is>
          <t>DALARNA</t>
        </is>
      </c>
      <c r="C548" s="243" t="n">
        <v>45911</v>
      </c>
      <c r="D548" s="348" t="n">
        <v>6500</v>
      </c>
      <c r="E548" s="348">
        <f>+D548+D549+D550</f>
        <v/>
      </c>
      <c r="G548" s="81" t="n">
        <v>3</v>
      </c>
      <c r="H548" s="75" t="inlineStr">
        <is>
          <t>NPK</t>
        </is>
      </c>
      <c r="I548" s="75" t="inlineStr">
        <is>
          <t xml:space="preserve">NPK 14 18 18 7S 0.12B 0.12Zn 6Cl </t>
        </is>
      </c>
      <c r="J548" s="75" t="inlineStr">
        <is>
          <t>CFR / DPU</t>
        </is>
      </c>
      <c r="Q548" s="75" t="inlineStr">
        <is>
          <t>AFRIQUE</t>
        </is>
      </c>
      <c r="R548" s="75" t="inlineStr">
        <is>
          <t xml:space="preserve">MOZAMBIQUE / NAMIBIA </t>
        </is>
      </c>
      <c r="S548" s="75" t="n"/>
      <c r="T548" s="75" t="inlineStr">
        <is>
          <t>INTERTEK</t>
        </is>
      </c>
      <c r="U548" s="81" t="n">
        <v>180</v>
      </c>
      <c r="V548" s="53">
        <f>IF(U548&lt;130, "Mini Bulker", IF(AND(U548&gt;=130, U548&lt;150), "Handysize", IF(AND(U548&gt;=150, U548&lt;200), "Handymax", IF(AND(U548&gt;=200, U548&lt;230), "Panamax", IF(AND(U548&gt;=230, U548&lt;=270), "Capesize", "Autre")))))</f>
        <v/>
      </c>
      <c r="X548" s="306">
        <f>IF(E548&lt;9999,"1",IF(E548&lt;19999,"2",IF(E548&lt;29999,"3",IF(E548&lt;39999,"4",IF(E548&lt;49999,"5",IF(E548&gt;50000,"6"))))))</f>
        <v/>
      </c>
      <c r="Y548" s="244" t="inlineStr">
        <is>
          <t>4/1TER</t>
        </is>
      </c>
      <c r="AA548" s="26" t="n">
        <v>45904.6875</v>
      </c>
      <c r="AB548" s="26" t="n">
        <v>45904.6875</v>
      </c>
      <c r="AC548" s="15" t="n">
        <v>45906</v>
      </c>
      <c r="AD548" s="15" t="n">
        <v>45908</v>
      </c>
      <c r="AE548" s="26" t="n">
        <v>45903.85416666666</v>
      </c>
      <c r="AF548" s="26" t="n">
        <v>45904.91388888889</v>
      </c>
      <c r="AG548" s="26" t="n">
        <v>45905.03472222222</v>
      </c>
      <c r="AH548" s="26" t="n">
        <v>45905.89930555555</v>
      </c>
      <c r="AI548" s="26" t="n">
        <v>45905.91666666666</v>
      </c>
      <c r="AJ548" s="26" t="n">
        <v>45906.07291666666</v>
      </c>
      <c r="AK548" s="26" t="n">
        <v>45911.375</v>
      </c>
      <c r="AL548" s="26" t="n">
        <v>45911.4125</v>
      </c>
      <c r="AM548" s="26" t="n">
        <v>45911.42847222222</v>
      </c>
      <c r="AN548" s="26" t="n">
        <v>45911.47013888889</v>
      </c>
      <c r="AO548" s="26" t="n">
        <v>45911.50347222222</v>
      </c>
      <c r="AP548" s="20">
        <f>(AG548-AF548)*1440</f>
        <v/>
      </c>
      <c r="AQ548" s="20">
        <f>(AG548-AE548)*1440</f>
        <v/>
      </c>
      <c r="AR548" s="20">
        <f>(AH548-AF548)*1440</f>
        <v/>
      </c>
      <c r="AS548" s="20">
        <f>(AI548-AH548)*1440</f>
        <v/>
      </c>
      <c r="AT548" s="20">
        <f>(AJ548-AH548)*1440</f>
        <v/>
      </c>
      <c r="AU548" s="20">
        <f>(AL548-AK548)*1440</f>
        <v/>
      </c>
      <c r="AV548" s="20">
        <f>(AM548-AL548)*1440</f>
        <v/>
      </c>
      <c r="AW548" s="20">
        <f>(AO548-AM548)*1440</f>
        <v/>
      </c>
      <c r="AX548" s="19">
        <f>AP548+AS548+AU548+AV548+AW548</f>
        <v/>
      </c>
      <c r="AY548" s="18">
        <f>(AG548-AA548)</f>
        <v/>
      </c>
      <c r="AZ548" s="18">
        <f>(AK548-AJ548)</f>
        <v/>
      </c>
      <c r="BA548" s="18">
        <f>AO548-AG548</f>
        <v/>
      </c>
      <c r="BB548" s="18">
        <f>(AO548-AA548)-(AP548/1440)-(AW548/1440)</f>
        <v/>
      </c>
      <c r="BC548" s="20">
        <f>E548/AZ548</f>
        <v/>
      </c>
      <c r="BE548" s="20">
        <f>IF(E548&lt;10000,3000,IF(E548&lt;15000,3600,IF(E548&lt;20000,4500,IF(E548&lt;25000,6000,IF(E548&lt;30000,7500,IF(E548&lt;40000,9000,IF(E548&gt;40000,10000)))))))</f>
        <v/>
      </c>
      <c r="BF548" s="334">
        <f>(E548/BE548)+2</f>
        <v/>
      </c>
      <c r="BS548" s="137" t="inlineStr">
        <is>
          <t>CHANGE DU POSTE 4BIS VERS 1TER LE 05/09- 2130</t>
        </is>
      </c>
      <c r="BT548" s="99" t="n">
        <v>1</v>
      </c>
      <c r="BU548" s="99" t="inlineStr">
        <is>
          <t>NON CLEAN</t>
        </is>
      </c>
      <c r="BV548" s="97" t="inlineStr">
        <is>
          <t>WATER/HUMIDITY</t>
        </is>
      </c>
      <c r="BW548" s="332">
        <f>AI549-AH549</f>
        <v/>
      </c>
      <c r="CB548" s="14" t="n">
        <v>24166</v>
      </c>
    </row>
    <row r="549">
      <c r="A549" s="75" t="n"/>
      <c r="B549" s="349" t="inlineStr">
        <is>
          <t>DALARNA</t>
        </is>
      </c>
      <c r="C549" s="243" t="n">
        <v>45911</v>
      </c>
      <c r="D549" s="348" t="n">
        <v>10000</v>
      </c>
      <c r="E549" s="330" t="n"/>
      <c r="G549" s="81" t="n">
        <v>3</v>
      </c>
      <c r="H549" s="75" t="inlineStr">
        <is>
          <t>MAP</t>
        </is>
      </c>
      <c r="I549" s="75" t="inlineStr">
        <is>
          <t xml:space="preserve">MAP 12 52 ZAMBIA </t>
        </is>
      </c>
      <c r="J549" s="75" t="inlineStr">
        <is>
          <t>CFR / DPU</t>
        </is>
      </c>
      <c r="Q549" s="75" t="inlineStr">
        <is>
          <t>AFRIQUE</t>
        </is>
      </c>
      <c r="R549" s="75" t="inlineStr">
        <is>
          <t xml:space="preserve">MOZAMBIQUE / NAMIBIA </t>
        </is>
      </c>
      <c r="S549" s="75" t="n"/>
      <c r="T549" s="75" t="inlineStr">
        <is>
          <t>INTERTEK</t>
        </is>
      </c>
      <c r="U549" s="81" t="n">
        <v>180</v>
      </c>
      <c r="V549" s="53">
        <f>IF(U549&lt;130, "Mini Bulker", IF(AND(U549&gt;=130, U549&lt;150), "Handysize", IF(AND(U549&gt;=150, U549&lt;200), "Handymax", IF(AND(U549&gt;=200, U549&lt;230), "Panamax", IF(AND(U549&gt;=230, U549&lt;=270), "Capesize", "Autre")))))</f>
        <v/>
      </c>
      <c r="X549" s="306">
        <f>IF(E549&lt;9999,"1",IF(E549&lt;19999,"2",IF(E549&lt;29999,"3",IF(E549&lt;39999,"4",IF(E549&lt;49999,"5",IF(E549&gt;50000,"6"))))))</f>
        <v/>
      </c>
      <c r="Y549" s="244" t="inlineStr">
        <is>
          <t>4/1TER</t>
        </is>
      </c>
      <c r="AA549" s="98" t="n"/>
      <c r="AB549" s="98" t="n"/>
      <c r="AC549" s="98" t="n"/>
      <c r="AD549" s="98" t="n"/>
      <c r="AE549" s="98" t="n"/>
      <c r="AF549" s="98" t="n"/>
      <c r="AG549" s="98" t="n"/>
      <c r="AH549" s="98" t="n"/>
      <c r="AI549" s="98" t="n"/>
      <c r="AJ549" s="98" t="n"/>
      <c r="AK549" s="98" t="n"/>
      <c r="AL549" s="98" t="n"/>
      <c r="AM549" s="98" t="n"/>
      <c r="AN549" s="98" t="n"/>
      <c r="AO549" s="98" t="n"/>
      <c r="AP549" s="98" t="n"/>
      <c r="AQ549" s="98" t="n"/>
      <c r="AR549" s="98" t="n"/>
      <c r="AS549" s="98" t="n"/>
      <c r="AT549" s="98" t="n"/>
      <c r="AU549" s="98" t="n"/>
      <c r="AV549" s="98" t="n"/>
      <c r="AW549" s="98" t="n"/>
      <c r="AX549" s="98" t="n"/>
      <c r="AY549" s="98" t="n"/>
      <c r="AZ549" s="98" t="n"/>
      <c r="BA549" s="98" t="n"/>
      <c r="BB549" s="98" t="n"/>
      <c r="BC549" s="98" t="n"/>
      <c r="BD549" s="98" t="n"/>
      <c r="BE549" s="98" t="n"/>
      <c r="BF549" s="98" t="n"/>
      <c r="BG549" s="98" t="n"/>
      <c r="BH549" s="98" t="n"/>
      <c r="BI549" s="98" t="n"/>
      <c r="BJ549" s="98" t="n"/>
      <c r="BK549" s="98" t="n"/>
      <c r="BL549" s="98" t="n"/>
      <c r="BM549" s="98" t="n"/>
      <c r="BN549" s="98" t="n"/>
      <c r="BO549" s="98" t="n"/>
      <c r="BP549" s="98" t="n"/>
      <c r="BQ549" s="98" t="n"/>
      <c r="BR549" s="98" t="n"/>
      <c r="BS549" s="137" t="n"/>
      <c r="BT549" s="99" t="n"/>
      <c r="BU549" s="99" t="n"/>
      <c r="BW549" s="332">
        <f>AI550-AH550</f>
        <v/>
      </c>
    </row>
    <row r="550">
      <c r="A550" s="75" t="n"/>
      <c r="B550" s="349" t="inlineStr">
        <is>
          <t>DALARNA</t>
        </is>
      </c>
      <c r="C550" s="243" t="n">
        <v>45911</v>
      </c>
      <c r="D550" s="348" t="n">
        <v>16448</v>
      </c>
      <c r="E550" s="330" t="n"/>
      <c r="G550" s="81" t="n">
        <v>3</v>
      </c>
      <c r="H550" s="75" t="inlineStr">
        <is>
          <t>TSP</t>
        </is>
      </c>
      <c r="I550" s="75" t="inlineStr">
        <is>
          <t xml:space="preserve">TSP-JORF </t>
        </is>
      </c>
      <c r="J550" s="75" t="inlineStr">
        <is>
          <t>CFR / DPU</t>
        </is>
      </c>
      <c r="Q550" s="75" t="inlineStr">
        <is>
          <t>AFRIQUE</t>
        </is>
      </c>
      <c r="R550" s="75" t="inlineStr">
        <is>
          <t xml:space="preserve">MOZAMBIQUE / NAMIBIA </t>
        </is>
      </c>
      <c r="S550" s="75" t="n"/>
      <c r="T550" s="75" t="inlineStr">
        <is>
          <t>INTERTEK</t>
        </is>
      </c>
      <c r="U550" s="81" t="n">
        <v>180</v>
      </c>
      <c r="V550" s="53">
        <f>IF(U550&lt;130, "Mini Bulker", IF(AND(U550&gt;=130, U550&lt;150), "Handysize", IF(AND(U550&gt;=150, U550&lt;200), "Handymax", IF(AND(U550&gt;=200, U550&lt;230), "Panamax", IF(AND(U550&gt;=230, U550&lt;=270), "Capesize", "Autre")))))</f>
        <v/>
      </c>
      <c r="X550" s="306">
        <f>IF(E550&lt;9999,"1",IF(E550&lt;19999,"2",IF(E550&lt;29999,"3",IF(E550&lt;39999,"4",IF(E550&lt;49999,"5",IF(E550&gt;50000,"6"))))))</f>
        <v/>
      </c>
      <c r="Y550" s="244" t="inlineStr">
        <is>
          <t>4/1TER</t>
        </is>
      </c>
      <c r="AA550" s="98" t="n"/>
      <c r="AB550" s="98" t="n"/>
      <c r="AC550" s="98" t="n"/>
      <c r="AD550" s="98" t="n"/>
      <c r="AE550" s="98" t="n"/>
      <c r="AF550" s="98" t="n"/>
      <c r="AG550" s="98" t="n"/>
      <c r="AH550" s="98" t="n"/>
      <c r="AI550" s="98" t="n"/>
      <c r="AJ550" s="98" t="n"/>
      <c r="AK550" s="98" t="n"/>
      <c r="AL550" s="98" t="n"/>
      <c r="AM550" s="98" t="n"/>
      <c r="AN550" s="98" t="n"/>
      <c r="AO550" s="98" t="n"/>
      <c r="AP550" s="98" t="n"/>
      <c r="AQ550" s="98" t="n"/>
      <c r="AR550" s="98" t="n"/>
      <c r="AS550" s="98" t="n"/>
      <c r="AT550" s="98" t="n"/>
      <c r="AU550" s="98" t="n"/>
      <c r="AV550" s="98" t="n"/>
      <c r="AW550" s="98" t="n"/>
      <c r="AX550" s="98" t="n"/>
      <c r="AY550" s="98" t="n"/>
      <c r="AZ550" s="98" t="n"/>
      <c r="BA550" s="98" t="n"/>
      <c r="BB550" s="98" t="n"/>
      <c r="BC550" s="98" t="n"/>
      <c r="BD550" s="98" t="n"/>
      <c r="BE550" s="98" t="n"/>
      <c r="BF550" s="98" t="n"/>
      <c r="BG550" s="98" t="n"/>
      <c r="BH550" s="98" t="n"/>
      <c r="BI550" s="98" t="n"/>
      <c r="BJ550" s="98" t="n"/>
      <c r="BK550" s="98" t="n"/>
      <c r="BL550" s="98" t="n"/>
      <c r="BM550" s="98" t="n"/>
      <c r="BN550" s="98" t="n"/>
      <c r="BO550" s="98" t="n"/>
      <c r="BP550" s="98" t="n"/>
      <c r="BQ550" s="98" t="n"/>
      <c r="BR550" s="98" t="n"/>
      <c r="BS550" s="137" t="n"/>
      <c r="BT550" s="99" t="n"/>
      <c r="BU550" s="99" t="n"/>
      <c r="BV550" s="99" t="n"/>
      <c r="BW550" s="332">
        <f>AI551-AH551</f>
        <v/>
      </c>
    </row>
    <row r="551">
      <c r="A551" s="75" t="n">
        <v>352</v>
      </c>
      <c r="B551" s="349" t="inlineStr">
        <is>
          <t>KEMET STAR</t>
        </is>
      </c>
      <c r="C551" s="243" t="n">
        <v>45912</v>
      </c>
      <c r="D551" s="348" t="n">
        <v>9104</v>
      </c>
      <c r="E551" s="348" t="n">
        <v>9104</v>
      </c>
      <c r="G551" s="81" t="n">
        <v>1</v>
      </c>
      <c r="H551" s="75" t="inlineStr">
        <is>
          <t>NPK</t>
        </is>
      </c>
      <c r="I551" s="75" t="inlineStr">
        <is>
          <t xml:space="preserve">NPK 10 26 26 Low Cd </t>
        </is>
      </c>
      <c r="J551" s="75" t="inlineStr">
        <is>
          <t>FOB</t>
        </is>
      </c>
      <c r="Q551" s="75" t="inlineStr">
        <is>
          <t>EUROPE</t>
        </is>
      </c>
      <c r="R551" s="75" t="inlineStr">
        <is>
          <t>UKRAINE</t>
        </is>
      </c>
      <c r="S551" s="75" t="n"/>
      <c r="T551" s="75" t="inlineStr">
        <is>
          <t>INSPECTORATE</t>
        </is>
      </c>
      <c r="U551" s="81" t="n">
        <v>149</v>
      </c>
      <c r="V551" s="53">
        <f>IF(U551&lt;130, "Mini Bulker", IF(AND(U551&gt;=130, U551&lt;150), "Handysize", IF(AND(U551&gt;=150, U551&lt;200), "Handymax", IF(AND(U551&gt;=200, U551&lt;230), "Panamax", IF(AND(U551&gt;=230, U551&lt;=270), "Capesize", "Autre")))))</f>
        <v/>
      </c>
      <c r="X551" s="306">
        <f>IF(E551&lt;9999,"1",IF(E551&lt;19999,"2",IF(E551&lt;29999,"3",IF(E551&lt;39999,"4",IF(E551&lt;49999,"5",IF(E551&gt;50000,"6"))))))</f>
        <v/>
      </c>
      <c r="Y551" s="244" t="inlineStr">
        <is>
          <t>2TER</t>
        </is>
      </c>
      <c r="AA551" s="26" t="n">
        <v>45909.97916666666</v>
      </c>
      <c r="AB551" s="26" t="n">
        <v>45910.375</v>
      </c>
      <c r="AC551" s="15" t="n">
        <v>45909</v>
      </c>
      <c r="AD551" s="15" t="n">
        <v>45910</v>
      </c>
      <c r="AE551" s="26" t="n">
        <v>45907.75</v>
      </c>
      <c r="AF551" s="26" t="n">
        <v>45910.42708333334</v>
      </c>
      <c r="AG551" s="26" t="n">
        <v>45910.55208333334</v>
      </c>
      <c r="AH551" s="26" t="n">
        <v>45910.56944444445</v>
      </c>
      <c r="AI551" s="26" t="n">
        <v>45910.64930555555</v>
      </c>
      <c r="AJ551" s="26" t="n">
        <v>45910.66319444445</v>
      </c>
      <c r="AK551" s="26" t="n">
        <v>45912.04166666666</v>
      </c>
      <c r="AL551" s="26" t="n">
        <v>45912.11111111111</v>
      </c>
      <c r="AM551" s="26" t="n">
        <v>45912.13194444445</v>
      </c>
      <c r="AN551" s="26" t="n">
        <v>45912.16666666666</v>
      </c>
      <c r="AO551" s="26" t="n">
        <v>45912.19791666666</v>
      </c>
      <c r="AP551" s="20">
        <f>(AG551-AF551)*1440</f>
        <v/>
      </c>
      <c r="AQ551" s="20">
        <f>(AG551-AE551)*1440</f>
        <v/>
      </c>
      <c r="AR551" s="20">
        <f>(AH551-AF551)*1440</f>
        <v/>
      </c>
      <c r="AS551" s="20">
        <f>(AI551-AH551)*1440</f>
        <v/>
      </c>
      <c r="AT551" s="20">
        <f>(AJ551-AH551)*1440</f>
        <v/>
      </c>
      <c r="AU551" s="20">
        <f>(AL551-AK551)*1440</f>
        <v/>
      </c>
      <c r="AV551" s="20">
        <f>(AM551-AL551)*1440</f>
        <v/>
      </c>
      <c r="AW551" s="20">
        <f>(AO551-AM551)*1440</f>
        <v/>
      </c>
      <c r="AX551" s="19">
        <f>AP551+AS551+AU551+AV551+AW551</f>
        <v/>
      </c>
      <c r="AY551" s="18">
        <f>(AG551-AA551)</f>
        <v/>
      </c>
      <c r="AZ551" s="18">
        <f>(AK551-AJ551)</f>
        <v/>
      </c>
      <c r="BA551" s="18">
        <f>AO551-AG551</f>
        <v/>
      </c>
      <c r="BB551" s="18">
        <f>(AO551-AA551)-(AP551/1440)-(AW551/1440)</f>
        <v/>
      </c>
      <c r="BC551" s="20">
        <f>E551/AZ551</f>
        <v/>
      </c>
      <c r="BE551" s="20">
        <f>IF(E551&lt;10000,3000,IF(E551&lt;15000,3600,IF(E551&lt;20000,4500,IF(E551&lt;25000,6000,IF(E551&lt;30000,7500,IF(E551&lt;40000,9000,IF(E551&gt;40000,10000)))))))</f>
        <v/>
      </c>
      <c r="BF551" s="334">
        <f>(E551/BE551)+2</f>
        <v/>
      </c>
      <c r="BS551" s="137" t="inlineStr">
        <is>
          <t>NUL</t>
        </is>
      </c>
      <c r="BT551" s="99" t="n">
        <v>0</v>
      </c>
      <c r="BU551" s="99" t="n"/>
      <c r="BV551" s="99" t="n"/>
      <c r="BW551" s="332">
        <f>AI552-AH552</f>
        <v/>
      </c>
      <c r="CB551" s="14" t="n">
        <v>11848</v>
      </c>
    </row>
    <row r="552">
      <c r="A552" s="75" t="n">
        <v>353</v>
      </c>
      <c r="B552" s="349" t="inlineStr">
        <is>
          <t>KAMARI</t>
        </is>
      </c>
      <c r="C552" s="243" t="n">
        <v>45912</v>
      </c>
      <c r="D552" s="348" t="n">
        <v>45000</v>
      </c>
      <c r="E552" s="348" t="n">
        <v>45000</v>
      </c>
      <c r="G552" s="81" t="n">
        <v>1</v>
      </c>
      <c r="H552" s="75" t="inlineStr">
        <is>
          <t>DAP</t>
        </is>
      </c>
      <c r="I552" s="75" t="inlineStr">
        <is>
          <t>DAP STANDARD</t>
        </is>
      </c>
      <c r="J552" s="75" t="inlineStr">
        <is>
          <t>CFR</t>
        </is>
      </c>
      <c r="Q552" s="75" t="inlineStr">
        <is>
          <t>ASIE</t>
        </is>
      </c>
      <c r="R552" s="75" t="inlineStr">
        <is>
          <t>INDE</t>
        </is>
      </c>
      <c r="T552" s="75" t="inlineStr">
        <is>
          <t>INTERTEK</t>
        </is>
      </c>
      <c r="U552" s="81" t="n">
        <v>190</v>
      </c>
      <c r="V552" s="53">
        <f>IF(U552&lt;130, "Mini Bulker", IF(AND(U552&gt;=130, U552&lt;150), "Handysize", IF(AND(U552&gt;=150, U552&lt;200), "Handymax", IF(AND(U552&gt;=200, U552&lt;230), "Panamax", IF(AND(U552&gt;=230, U552&lt;=270), "Capesize", "Autre")))))</f>
        <v/>
      </c>
      <c r="X552" s="306">
        <f>IF(E552&lt;9999,"1",IF(E552&lt;19999,"2",IF(E552&lt;29999,"3",IF(E552&lt;39999,"4",IF(E552&lt;49999,"5",IF(E552&gt;50000,"6"))))))</f>
        <v/>
      </c>
      <c r="Y552" s="244" t="inlineStr">
        <is>
          <t>1N/1BIS</t>
        </is>
      </c>
      <c r="AA552" s="26" t="n">
        <v>45909.10416666666</v>
      </c>
      <c r="AB552" s="26" t="n">
        <v>45909.375</v>
      </c>
      <c r="AC552" s="15" t="n">
        <v>45903</v>
      </c>
      <c r="AD552" s="15" t="n">
        <v>45909</v>
      </c>
      <c r="AE552" s="26" t="n">
        <v>45909.07916666667</v>
      </c>
      <c r="AF552" s="26" t="n">
        <v>45909.25</v>
      </c>
      <c r="AG552" s="26" t="n">
        <v>45909.26041666666</v>
      </c>
      <c r="AH552" s="26" t="n">
        <v>45909.29166666666</v>
      </c>
      <c r="AI552" s="26" t="n">
        <v>45909.35416666666</v>
      </c>
      <c r="AJ552" s="26" t="n">
        <v>45909.5</v>
      </c>
      <c r="AK552" s="26" t="n">
        <v>45912.40277777778</v>
      </c>
      <c r="AL552" s="26" t="n">
        <v>45912.4375</v>
      </c>
      <c r="AM552" s="26" t="n">
        <v>45912.44444444445</v>
      </c>
      <c r="AN552" s="26" t="n">
        <v>45912.48263888889</v>
      </c>
      <c r="AO552" s="26" t="n">
        <v>45912.52638888889</v>
      </c>
      <c r="AP552" s="20">
        <f>(AG552-AF552)*1440</f>
        <v/>
      </c>
      <c r="AQ552" s="20">
        <f>(AG552-AE552)*1440</f>
        <v/>
      </c>
      <c r="AR552" s="20">
        <f>(AH552-AF552)*1440</f>
        <v/>
      </c>
      <c r="AS552" s="20">
        <f>(AI552-AH552)*1440</f>
        <v/>
      </c>
      <c r="AT552" s="20">
        <f>(AJ552-AH552)*1440</f>
        <v/>
      </c>
      <c r="AU552" s="20">
        <f>(AL552-AK552)*1440</f>
        <v/>
      </c>
      <c r="AV552" s="20">
        <f>(AM552-AL552)*1440</f>
        <v/>
      </c>
      <c r="AW552" s="20">
        <f>(AO552-AM552)*1440</f>
        <v/>
      </c>
      <c r="AX552" s="19">
        <f>AP552+AS552+AU552+AV552+AW552</f>
        <v/>
      </c>
      <c r="AY552" s="18">
        <f>(AG552-AA552)</f>
        <v/>
      </c>
      <c r="AZ552" s="18">
        <f>(AK552-AJ552)</f>
        <v/>
      </c>
      <c r="BA552" s="18">
        <f>AO552-AG552</f>
        <v/>
      </c>
      <c r="BB552" s="18">
        <f>(AO552-AA552)-(AP552/1440)-(AW552/1440)</f>
        <v/>
      </c>
      <c r="BC552" s="20">
        <f>E552/AZ552</f>
        <v/>
      </c>
      <c r="BE552" s="20">
        <f>IF(E552&lt;10000,3000,IF(E552&lt;15000,3600,IF(E552&lt;20000,4500,IF(E552&lt;25000,6000,IF(E552&lt;30000,7500,IF(E552&lt;40000,9000,IF(E552&gt;40000,10000)))))))</f>
        <v/>
      </c>
      <c r="BF552" s="334">
        <f>(E552/BE552)+2</f>
        <v/>
      </c>
      <c r="BS552" s="137" t="inlineStr">
        <is>
          <t>CHANGE DU POSTE 1N VERS POSTE 1BIS LE 09/09  1146</t>
        </is>
      </c>
      <c r="BT552" s="99" t="n">
        <v>1</v>
      </c>
      <c r="BU552" s="99" t="n"/>
      <c r="BV552" s="99" t="n"/>
      <c r="BW552" s="332">
        <f>AI553-AH553</f>
        <v/>
      </c>
      <c r="CB552" s="14" t="n">
        <v>32614</v>
      </c>
    </row>
    <row r="553">
      <c r="A553" s="75" t="n">
        <v>354</v>
      </c>
      <c r="B553" s="349" t="inlineStr">
        <is>
          <t>BARBRO G</t>
        </is>
      </c>
      <c r="C553" s="243" t="n">
        <v>45913</v>
      </c>
      <c r="D553" s="348" t="n">
        <v>22000</v>
      </c>
      <c r="E553" s="333">
        <f>D553+D554</f>
        <v/>
      </c>
      <c r="G553" s="81" t="n">
        <v>2</v>
      </c>
      <c r="H553" s="75" t="inlineStr">
        <is>
          <t>MAP</t>
        </is>
      </c>
      <c r="I553" s="75" t="inlineStr">
        <is>
          <t>MAP 11 52 SPECIAL</t>
        </is>
      </c>
      <c r="J553" s="75" t="inlineStr">
        <is>
          <t>CFR</t>
        </is>
      </c>
      <c r="Q553" s="75" t="inlineStr">
        <is>
          <t>AMERIQUE</t>
        </is>
      </c>
      <c r="R553" s="75" t="inlineStr">
        <is>
          <t>CANADA</t>
        </is>
      </c>
      <c r="T553" s="75" t="inlineStr">
        <is>
          <t>INTERTEK</t>
        </is>
      </c>
      <c r="U553" s="81" t="n">
        <v>190</v>
      </c>
      <c r="V553" s="53">
        <f>IF(U553&lt;130, "Mini Bulker", IF(AND(U553&gt;=130, U553&lt;150), "Handysize", IF(AND(U553&gt;=150, U553&lt;200), "Handymax", IF(AND(U553&gt;=200, U553&lt;230), "Panamax", IF(AND(U553&gt;=230, U553&lt;=270), "Capesize", "Autre")))))</f>
        <v/>
      </c>
      <c r="X553" s="306">
        <f>IF(E553&lt;9999,"1",IF(E553&lt;19999,"2",IF(E553&lt;29999,"3",IF(E553&lt;39999,"4",IF(E553&lt;49999,"5",IF(E553&gt;50000,"6"))))))</f>
        <v/>
      </c>
      <c r="Y553" s="244" t="inlineStr">
        <is>
          <t>7/2BIS</t>
        </is>
      </c>
      <c r="AA553" s="26" t="n">
        <v>45910.42708333334</v>
      </c>
      <c r="AB553" s="26" t="n">
        <v>45910.42708333334</v>
      </c>
      <c r="AC553" s="15" t="n">
        <v>45909</v>
      </c>
      <c r="AD553" s="15" t="n">
        <v>45914</v>
      </c>
      <c r="AE553" s="26" t="n">
        <v>45910.40277777778</v>
      </c>
      <c r="AF553" s="26" t="n">
        <v>45910.67361111111</v>
      </c>
      <c r="AG553" s="26" t="n">
        <v>45910.80902777778</v>
      </c>
      <c r="AH553" s="26" t="n">
        <v>45910.82638888889</v>
      </c>
      <c r="AI553" s="26" t="n">
        <v>45911.33333333334</v>
      </c>
      <c r="AJ553" s="26" t="n">
        <v>45911.44097222222</v>
      </c>
      <c r="AK553" s="26" t="n">
        <v>45913.42708333334</v>
      </c>
      <c r="AL553" s="26" t="n">
        <v>45913.44930555556</v>
      </c>
      <c r="AM553" s="26" t="n">
        <v>45913.47916666666</v>
      </c>
      <c r="AN553" s="26" t="n">
        <v>45913.52638888889</v>
      </c>
      <c r="AO553" s="26" t="n">
        <v>45913.53472222222</v>
      </c>
      <c r="AP553" s="20">
        <f>(AG553-AF553)*1440</f>
        <v/>
      </c>
      <c r="AQ553" s="20">
        <f>(AG553-AE553)*1440</f>
        <v/>
      </c>
      <c r="AR553" s="20">
        <f>(AH553-AF553)*1440</f>
        <v/>
      </c>
      <c r="AS553" s="20">
        <f>(AI553-AH553)*1440</f>
        <v/>
      </c>
      <c r="AT553" s="20">
        <f>(AJ553-AH553)*1440</f>
        <v/>
      </c>
      <c r="AU553" s="20">
        <f>(AL553-AK553)*1440</f>
        <v/>
      </c>
      <c r="AV553" s="20">
        <f>(AM553-AL553)*1440</f>
        <v/>
      </c>
      <c r="AW553" s="20">
        <f>(AO553-AM553)*1440</f>
        <v/>
      </c>
      <c r="AX553" s="19">
        <f>AP553+AS553+AU553+AV553+AW553</f>
        <v/>
      </c>
      <c r="AY553" s="18">
        <f>(AG553-AA553)</f>
        <v/>
      </c>
      <c r="AZ553" s="18">
        <f>(AK553-AJ553)</f>
        <v/>
      </c>
      <c r="BA553" s="18">
        <f>AO553-AG553</f>
        <v/>
      </c>
      <c r="BB553" s="18">
        <f>(AO553-AA553)-(AP553/1440)-(AW553/1440)</f>
        <v/>
      </c>
      <c r="BC553" s="20">
        <f>E553/AZ553</f>
        <v/>
      </c>
      <c r="BE553" s="20">
        <f>IF(E553&lt;10000,3000,IF(E553&lt;15000,3600,IF(E553&lt;20000,4500,IF(E553&lt;25000,6000,IF(E553&lt;30000,7500,IF(E553&lt;40000,9000,IF(E553&gt;40000,10000)))))))</f>
        <v/>
      </c>
      <c r="BF553" s="334">
        <f>(E553/BE553)+2</f>
        <v/>
      </c>
      <c r="BS553" s="137" t="inlineStr">
        <is>
          <t>CHANGE DU POSTE 7 VERS LE POSTE 2BIS LE 11/09  0725</t>
        </is>
      </c>
      <c r="BT553" s="99" t="n">
        <v>1</v>
      </c>
      <c r="BU553" s="99" t="inlineStr">
        <is>
          <t>CLEAN</t>
        </is>
      </c>
      <c r="BV553" s="99" t="inlineStr">
        <is>
          <t>NUL</t>
        </is>
      </c>
      <c r="BW553" s="332">
        <f>AI554-AH554</f>
        <v/>
      </c>
      <c r="CB553" s="14" t="n">
        <v>20535</v>
      </c>
    </row>
    <row r="554">
      <c r="B554" s="349" t="inlineStr">
        <is>
          <t>BARBRO G</t>
        </is>
      </c>
      <c r="C554" s="243" t="n">
        <v>45913</v>
      </c>
      <c r="D554" s="348" t="n">
        <v>2006</v>
      </c>
      <c r="E554" s="330" t="n"/>
      <c r="G554" s="81" t="n">
        <v>2</v>
      </c>
      <c r="H554" s="75" t="inlineStr">
        <is>
          <t>TSP</t>
        </is>
      </c>
      <c r="I554" s="75" t="inlineStr">
        <is>
          <t>TSP Euro Hors EU</t>
        </is>
      </c>
      <c r="J554" s="75" t="inlineStr">
        <is>
          <t>CFR</t>
        </is>
      </c>
      <c r="Q554" s="75" t="inlineStr">
        <is>
          <t>AMERIQUE</t>
        </is>
      </c>
      <c r="R554" s="75" t="inlineStr">
        <is>
          <t>CANADA</t>
        </is>
      </c>
      <c r="T554" s="75" t="inlineStr">
        <is>
          <t>INTERTEK</t>
        </is>
      </c>
      <c r="U554" s="81" t="n">
        <v>190</v>
      </c>
      <c r="V554" s="53">
        <f>IF(U554&lt;130, "Mini Bulker", IF(AND(U554&gt;=130, U554&lt;150), "Handysize", IF(AND(U554&gt;=150, U554&lt;200), "Handymax", IF(AND(U554&gt;=200, U554&lt;230), "Panamax", IF(AND(U554&gt;=230, U554&lt;=270), "Capesize", "Autre")))))</f>
        <v/>
      </c>
      <c r="X554" s="306">
        <f>IF(E554&lt;9999,"1",IF(E554&lt;19999,"2",IF(E554&lt;29999,"3",IF(E554&lt;39999,"4",IF(E554&lt;49999,"5",IF(E554&gt;50000,"6"))))))</f>
        <v/>
      </c>
      <c r="Y554" s="244" t="inlineStr">
        <is>
          <t>7/2BIS</t>
        </is>
      </c>
      <c r="AA554" s="98" t="n"/>
      <c r="AB554" s="98" t="n"/>
      <c r="AC554" s="98" t="n"/>
      <c r="AD554" s="98" t="n"/>
      <c r="AE554" s="98" t="n"/>
      <c r="AF554" s="98" t="n"/>
      <c r="AG554" s="98" t="n"/>
      <c r="AH554" s="98" t="n"/>
      <c r="AI554" s="98" t="n"/>
      <c r="AJ554" s="98" t="n"/>
      <c r="AK554" s="98" t="n"/>
      <c r="AL554" s="98" t="n"/>
      <c r="AM554" s="98" t="n"/>
      <c r="AN554" s="98" t="n"/>
      <c r="AO554" s="98" t="n"/>
      <c r="AP554" s="98" t="n"/>
      <c r="AQ554" s="98" t="n"/>
      <c r="AR554" s="98" t="n"/>
      <c r="AS554" s="98" t="n"/>
      <c r="AT554" s="98" t="n"/>
      <c r="AU554" s="98" t="n"/>
      <c r="AV554" s="98" t="n"/>
      <c r="AW554" s="98" t="n"/>
      <c r="AX554" s="98" t="n"/>
      <c r="AY554" s="98" t="n"/>
      <c r="AZ554" s="98" t="n"/>
      <c r="BA554" s="98" t="n"/>
      <c r="BB554" s="98" t="n"/>
      <c r="BC554" s="98" t="n"/>
      <c r="BD554" s="98" t="n"/>
      <c r="BE554" s="98" t="n"/>
      <c r="BF554" s="98" t="n"/>
      <c r="BT554" s="99" t="n"/>
      <c r="BU554" s="99" t="n"/>
      <c r="BV554" s="99" t="n"/>
      <c r="BW554" s="332">
        <f>AI555-AH555</f>
        <v/>
      </c>
      <c r="CB554" s="14" t="n"/>
    </row>
    <row r="555">
      <c r="A555" s="75" t="n">
        <v>355</v>
      </c>
      <c r="B555" s="349" t="inlineStr">
        <is>
          <t>VICTORIA</t>
        </is>
      </c>
      <c r="C555" s="243" t="n">
        <v>45913</v>
      </c>
      <c r="D555" s="348" t="n">
        <v>44000</v>
      </c>
      <c r="E555" s="348" t="n">
        <v>44000</v>
      </c>
      <c r="G555" s="81" t="n">
        <v>1</v>
      </c>
      <c r="H555" s="75" t="inlineStr">
        <is>
          <t>DAP</t>
        </is>
      </c>
      <c r="I555" s="75" t="inlineStr">
        <is>
          <t>DAP Bangladesh</t>
        </is>
      </c>
      <c r="J555" s="75" t="inlineStr">
        <is>
          <t>FOB</t>
        </is>
      </c>
      <c r="Q555" s="75" t="inlineStr">
        <is>
          <t>ASIE</t>
        </is>
      </c>
      <c r="R555" s="75" t="inlineStr">
        <is>
          <t>BANGLADESH</t>
        </is>
      </c>
      <c r="T555" s="75" t="inlineStr">
        <is>
          <t>INSPECTORATE</t>
        </is>
      </c>
      <c r="X555" s="306">
        <f>IF(E555&lt;9999,"1",IF(E555&lt;19999,"2",IF(E555&lt;29999,"3",IF(E555&lt;39999,"4",IF(E555&lt;49999,"5",IF(E555&gt;50000,"6"))))))</f>
        <v/>
      </c>
      <c r="Y555" s="244" t="inlineStr">
        <is>
          <t>2N</t>
        </is>
      </c>
      <c r="AA555" s="26" t="n">
        <v>45903.375</v>
      </c>
      <c r="AB555" s="26" t="n">
        <v>45903.375</v>
      </c>
      <c r="AC555" s="15" t="n">
        <v>45902</v>
      </c>
      <c r="AD555" s="15" t="n">
        <v>45906</v>
      </c>
      <c r="AE555" s="26" t="n">
        <v>45903.29166666666</v>
      </c>
      <c r="AF555" s="26" t="n">
        <v>45907.39027777778</v>
      </c>
      <c r="AG555" s="26" t="n">
        <v>45907.53125</v>
      </c>
      <c r="AH555" s="26" t="n">
        <v>45907.57986111111</v>
      </c>
      <c r="AI555" s="26" t="n">
        <v>45907.72222222222</v>
      </c>
      <c r="AJ555" s="26" t="n">
        <v>45907.75694444445</v>
      </c>
      <c r="AK555" s="26" t="n">
        <v>45913.98263888889</v>
      </c>
      <c r="AL555" s="26" t="n">
        <v>45914.04166666666</v>
      </c>
      <c r="AM555" s="26" t="n">
        <v>45914.09722222222</v>
      </c>
      <c r="AN555" s="26" t="n">
        <v>45914.125</v>
      </c>
      <c r="AO555" s="26" t="n">
        <v>45914.17777777778</v>
      </c>
      <c r="AP555" s="20">
        <f>(AG555-AF555)*1440</f>
        <v/>
      </c>
      <c r="AQ555" s="20">
        <f>(AG555-AE555)*1440</f>
        <v/>
      </c>
      <c r="AR555" s="20">
        <f>(AH555-AF555)*1440</f>
        <v/>
      </c>
      <c r="AS555" s="20">
        <f>(AI555-AH555)*1440</f>
        <v/>
      </c>
      <c r="AT555" s="20">
        <f>(AJ555-AH555)*1440</f>
        <v/>
      </c>
      <c r="AU555" s="20">
        <f>(AL555-AK555)*1440</f>
        <v/>
      </c>
      <c r="AV555" s="20">
        <f>(AM555-AL555)*1440</f>
        <v/>
      </c>
      <c r="AW555" s="20">
        <f>(AO555-AM555)*1440</f>
        <v/>
      </c>
      <c r="AX555" s="19">
        <f>AP555+AS555+AU555+AV555+AW555</f>
        <v/>
      </c>
      <c r="AY555" s="18">
        <f>(AG555-AA555)</f>
        <v/>
      </c>
      <c r="AZ555" s="18">
        <f>(AK555-AJ555)</f>
        <v/>
      </c>
      <c r="BA555" s="18">
        <f>AO555-AG555</f>
        <v/>
      </c>
      <c r="BB555" s="18">
        <f>(AO555-AA555)-(AP555/1440)-(AW555/1440)</f>
        <v/>
      </c>
      <c r="BC555" s="20">
        <f>E555/AZ555</f>
        <v/>
      </c>
      <c r="BE555" s="20">
        <f>IF(E555&lt;10000,3000,IF(E555&lt;15000,3600,IF(E555&lt;20000,4500,IF(E555&lt;25000,6000,IF(E555&lt;30000,7500,IF(E555&lt;40000,9000,IF(E555&gt;40000,10000)))))))</f>
        <v/>
      </c>
      <c r="BF555" s="334">
        <f>(E555/BE555)+2</f>
        <v/>
      </c>
      <c r="BS555" s="250" t="inlineStr">
        <is>
          <t>NUL</t>
        </is>
      </c>
      <c r="BT555" s="99" t="n">
        <v>0</v>
      </c>
      <c r="BU555" s="99" t="inlineStr">
        <is>
          <t>NON CLEAN</t>
        </is>
      </c>
      <c r="BV555" s="99" t="inlineStr">
        <is>
          <t>WATER/HUMIDITY</t>
        </is>
      </c>
      <c r="BW555" s="332">
        <f>AI556-AH556</f>
        <v/>
      </c>
      <c r="CB555" s="14" t="n"/>
    </row>
    <row r="556">
      <c r="A556" s="75" t="n">
        <v>356</v>
      </c>
      <c r="B556" s="349" t="inlineStr">
        <is>
          <t>CENGIZ AMCA</t>
        </is>
      </c>
      <c r="C556" s="243" t="n">
        <v>45914</v>
      </c>
      <c r="D556" s="348" t="n">
        <v>8800</v>
      </c>
      <c r="E556" s="333">
        <f>D556+D557</f>
        <v/>
      </c>
      <c r="G556" s="81" t="n">
        <v>2</v>
      </c>
      <c r="H556" s="75" t="inlineStr">
        <is>
          <t>DAP</t>
        </is>
      </c>
      <c r="I556" s="75" t="inlineStr">
        <is>
          <t xml:space="preserve">DAP Euro Low Cd </t>
        </is>
      </c>
      <c r="J556" s="75" t="inlineStr">
        <is>
          <t>FOB</t>
        </is>
      </c>
      <c r="Q556" s="75" t="inlineStr">
        <is>
          <t>EUROPE</t>
        </is>
      </c>
      <c r="R556" s="75" t="inlineStr">
        <is>
          <t>BELGIUM</t>
        </is>
      </c>
      <c r="S556" s="75" t="inlineStr">
        <is>
          <t>INTERTEK</t>
        </is>
      </c>
      <c r="T556" s="75" t="inlineStr">
        <is>
          <t>INSPECTORATE</t>
        </is>
      </c>
      <c r="U556" s="81" t="n">
        <v>131</v>
      </c>
      <c r="V556" s="53">
        <f>IF(U556&lt;130, "Mini Bulker", IF(AND(U556&gt;=130, U556&lt;150), "Handysize", IF(AND(U556&gt;=150, U556&lt;200), "Handymax", IF(AND(U556&gt;=200, U556&lt;230), "Panamax", IF(AND(U556&gt;=230, U556&lt;=270), "Capesize", "Autre")))))</f>
        <v/>
      </c>
      <c r="X556" s="306">
        <f>IF(E556&lt;9999,"1",IF(E556&lt;19999,"2",IF(E556&lt;29999,"3",IF(E556&lt;39999,"4",IF(E556&lt;49999,"5",IF(E556&gt;50000,"6"))))))</f>
        <v/>
      </c>
      <c r="Y556" s="244" t="inlineStr">
        <is>
          <t>1N/2TER</t>
        </is>
      </c>
      <c r="AA556" s="26" t="n">
        <v>45907.00347222222</v>
      </c>
      <c r="AB556" s="26" t="n">
        <v>45908.375</v>
      </c>
      <c r="AC556" s="15" t="n">
        <v>45907</v>
      </c>
      <c r="AD556" s="15" t="n">
        <v>45909</v>
      </c>
      <c r="AE556" s="26" t="n">
        <v>45907</v>
      </c>
      <c r="AF556" s="26" t="n">
        <v>45911.56597222222</v>
      </c>
      <c r="AG556" s="26" t="n">
        <v>45911.58333333334</v>
      </c>
      <c r="AH556" s="26" t="n">
        <v>45911.61458333334</v>
      </c>
      <c r="AI556" s="26" t="n">
        <v>45911.67708333334</v>
      </c>
      <c r="AJ556" s="26" t="n">
        <v>45912.45833333334</v>
      </c>
      <c r="AK556" s="26" t="n">
        <v>45914.53472222222</v>
      </c>
      <c r="AL556" s="26" t="n">
        <v>45914.58680555555</v>
      </c>
      <c r="AM556" s="26" t="n">
        <v>45914.60416666666</v>
      </c>
      <c r="AN556" s="26" t="n">
        <v>45914.6625</v>
      </c>
      <c r="AO556" s="26" t="n">
        <v>45914.68888888889</v>
      </c>
      <c r="AP556" s="20">
        <f>(AG556-AF556)*1440</f>
        <v/>
      </c>
      <c r="AQ556" s="20">
        <f>(AG556-AE556)*1440</f>
        <v/>
      </c>
      <c r="AR556" s="20">
        <f>(AH556-AF556)*1440</f>
        <v/>
      </c>
      <c r="AS556" s="20">
        <f>(AI556-AH556)*1440</f>
        <v/>
      </c>
      <c r="AT556" s="20">
        <f>(AJ556-AH556)*1440</f>
        <v/>
      </c>
      <c r="AU556" s="20">
        <f>(AL556-AK556)*1440</f>
        <v/>
      </c>
      <c r="AV556" s="20">
        <f>(AM556-AL556)*1440</f>
        <v/>
      </c>
      <c r="AW556" s="20">
        <f>(AO556-AM556)*1440</f>
        <v/>
      </c>
      <c r="AX556" s="19">
        <f>AP556+AS556+AU556+AV556+AW556</f>
        <v/>
      </c>
      <c r="AY556" s="18">
        <f>(AG556-AA556)</f>
        <v/>
      </c>
      <c r="AZ556" s="18">
        <f>(AK556-AJ556)</f>
        <v/>
      </c>
      <c r="BA556" s="18">
        <f>AO556-AG556</f>
        <v/>
      </c>
      <c r="BB556" s="18">
        <f>(AO556-AA556)-(AP556/1440)-(AW556/1440)</f>
        <v/>
      </c>
      <c r="BC556" s="20">
        <f>E556/AZ556</f>
        <v/>
      </c>
      <c r="BE556" s="20">
        <f>IF(E556&lt;10000,3000,IF(E556&lt;15000,3600,IF(E556&lt;20000,4500,IF(E556&lt;25000,6000,IF(E556&lt;30000,7500,IF(E556&lt;40000,9000,IF(E556&gt;40000,10000)))))))</f>
        <v/>
      </c>
      <c r="BF556" s="334">
        <f>(E556/BE556)+2</f>
        <v/>
      </c>
      <c r="BS556" s="250" t="inlineStr">
        <is>
          <t>CHANGE DU POSTE 1N VERS POSTE 2TER LE 12/09  05:30</t>
        </is>
      </c>
      <c r="BT556" s="99" t="n">
        <v>1</v>
      </c>
      <c r="BW556" s="332">
        <f>AI557-AH557</f>
        <v/>
      </c>
      <c r="CB556" s="14" t="n">
        <v>7758</v>
      </c>
    </row>
    <row r="557">
      <c r="B557" s="349" t="inlineStr">
        <is>
          <t>CENGIZ AMCA</t>
        </is>
      </c>
      <c r="C557" s="243" t="n">
        <v>45914</v>
      </c>
      <c r="D557" s="348" t="n">
        <v>1100</v>
      </c>
      <c r="E557" s="330" t="n"/>
      <c r="G557" s="81" t="n">
        <v>2</v>
      </c>
      <c r="H557" s="75" t="inlineStr">
        <is>
          <t>MAP</t>
        </is>
      </c>
      <c r="I557" s="75" t="inlineStr">
        <is>
          <t xml:space="preserve">MAP 11 52 Special Low Cd </t>
        </is>
      </c>
      <c r="J557" s="75" t="inlineStr">
        <is>
          <t>FOB</t>
        </is>
      </c>
      <c r="Q557" s="75" t="inlineStr">
        <is>
          <t>EUROPE</t>
        </is>
      </c>
      <c r="R557" s="75" t="inlineStr">
        <is>
          <t>BELGIUM</t>
        </is>
      </c>
      <c r="T557" s="75" t="inlineStr">
        <is>
          <t>INSPECTORATE</t>
        </is>
      </c>
      <c r="U557" s="81" t="n">
        <v>131</v>
      </c>
      <c r="V557" s="53">
        <f>IF(U557&lt;130, "Mini Bulker", IF(AND(U557&gt;=130, U557&lt;150), "Handysize", IF(AND(U557&gt;=150, U557&lt;200), "Handymax", IF(AND(U557&gt;=200, U557&lt;230), "Panamax", IF(AND(U557&gt;=230, U557&lt;=270), "Capesize", "Autre")))))</f>
        <v/>
      </c>
      <c r="X557" s="306">
        <f>IF(E557&lt;9999,"1",IF(E557&lt;19999,"2",IF(E557&lt;29999,"3",IF(E557&lt;39999,"4",IF(E557&lt;49999,"5",IF(E557&gt;50000,"6"))))))</f>
        <v/>
      </c>
      <c r="Y557" s="244" t="inlineStr">
        <is>
          <t>1N/2TER</t>
        </is>
      </c>
      <c r="AA557" s="98" t="n"/>
      <c r="AB557" s="98" t="n"/>
      <c r="AC557" s="98" t="n"/>
      <c r="AD557" s="98" t="n"/>
      <c r="AE557" s="98" t="n"/>
      <c r="AF557" s="98" t="n"/>
      <c r="AG557" s="98" t="n"/>
      <c r="AH557" s="98" t="n"/>
      <c r="AI557" s="98" t="n"/>
      <c r="AJ557" s="98" t="n"/>
      <c r="AK557" s="98" t="n"/>
      <c r="AL557" s="98" t="n"/>
      <c r="AM557" s="98" t="n"/>
      <c r="AN557" s="98" t="n"/>
      <c r="AO557" s="98" t="n"/>
      <c r="AP557" s="98" t="n"/>
      <c r="AQ557" s="98" t="n"/>
      <c r="AR557" s="98" t="n"/>
      <c r="AS557" s="98" t="n"/>
      <c r="AT557" s="98" t="n"/>
      <c r="AU557" s="98" t="n"/>
      <c r="AV557" s="98" t="n"/>
      <c r="AW557" s="98" t="n"/>
      <c r="AX557" s="98" t="n"/>
      <c r="AY557" s="98" t="n"/>
      <c r="AZ557" s="98" t="n"/>
      <c r="BA557" s="98" t="n"/>
      <c r="BB557" s="98" t="n"/>
      <c r="BC557" s="98" t="n"/>
      <c r="BD557" s="98" t="n"/>
      <c r="BE557" s="98" t="n"/>
      <c r="BF557" s="98" t="n"/>
      <c r="BU557" s="99" t="n"/>
      <c r="BV557" s="99" t="n"/>
      <c r="BW557" s="332">
        <f>AI558-AH558</f>
        <v/>
      </c>
      <c r="CB557" s="14" t="n"/>
    </row>
    <row r="558">
      <c r="A558" s="75" t="n">
        <v>357</v>
      </c>
      <c r="B558" s="349" t="inlineStr">
        <is>
          <t>TINA S</t>
        </is>
      </c>
      <c r="C558" s="243" t="n">
        <v>45917</v>
      </c>
      <c r="D558" s="348" t="n">
        <v>33301</v>
      </c>
      <c r="E558" s="348" t="n">
        <v>33301</v>
      </c>
      <c r="G558" s="81" t="n">
        <v>1</v>
      </c>
      <c r="H558" s="75" t="inlineStr">
        <is>
          <t>MAP</t>
        </is>
      </c>
      <c r="I558" s="75" t="inlineStr">
        <is>
          <t>MAP 11 52 SPECIAL</t>
        </is>
      </c>
      <c r="J558" s="75" t="inlineStr">
        <is>
          <t>CFR</t>
        </is>
      </c>
      <c r="Q558" s="75" t="inlineStr">
        <is>
          <t>AMERIQUE</t>
        </is>
      </c>
      <c r="R558" s="75" t="inlineStr">
        <is>
          <t>USA</t>
        </is>
      </c>
      <c r="T558" s="75" t="inlineStr">
        <is>
          <t>INTERTEK</t>
        </is>
      </c>
      <c r="U558" s="81" t="n">
        <v>180</v>
      </c>
      <c r="V558" s="53">
        <f>IF(U558&lt;130, "Mini Bulker", IF(AND(U558&gt;=130, U558&lt;150), "Handysize", IF(AND(U558&gt;=150, U558&lt;200), "Handymax", IF(AND(U558&gt;=200, U558&lt;230), "Panamax", IF(AND(U558&gt;=230, U558&lt;=270), "Capesize", "Autre")))))</f>
        <v/>
      </c>
      <c r="X558" s="306">
        <f>IF(E558&lt;9999,"1",IF(E558&lt;19999,"2",IF(E558&lt;29999,"3",IF(E558&lt;39999,"4",IF(E558&lt;49999,"5",IF(E558&gt;50000,"6"))))))</f>
        <v/>
      </c>
      <c r="Y558" s="244" t="inlineStr">
        <is>
          <t>2BIS/2N</t>
        </is>
      </c>
      <c r="AA558" s="26" t="n">
        <v>45912.76666666667</v>
      </c>
      <c r="AB558" s="26" t="n">
        <v>45913.375</v>
      </c>
      <c r="AC558" s="15" t="n">
        <v>45912</v>
      </c>
      <c r="AD558" s="15" t="n">
        <v>45914</v>
      </c>
      <c r="AE558" s="26" t="n">
        <v>45912.625</v>
      </c>
      <c r="AF558" s="26" t="n">
        <v>45913.53472222222</v>
      </c>
      <c r="AG558" s="26" t="n">
        <v>45913.6</v>
      </c>
      <c r="AH558" s="26" t="n">
        <v>45913.63194444445</v>
      </c>
      <c r="AI558" s="26" t="n">
        <v>45913.77430555555</v>
      </c>
      <c r="AJ558" s="26" t="n">
        <v>45913.79166666666</v>
      </c>
      <c r="AK558" s="26" t="n">
        <v>45917.42361111111</v>
      </c>
      <c r="AL558" s="26" t="n">
        <v>45917.49652777778</v>
      </c>
      <c r="AM558" s="26" t="n">
        <v>45917.53125</v>
      </c>
      <c r="AN558" s="26" t="n">
        <v>45917.57430555556</v>
      </c>
      <c r="AO558" s="26" t="n">
        <v>45917.59444444445</v>
      </c>
      <c r="AP558" s="20">
        <f>(AG558-AF558)*1440</f>
        <v/>
      </c>
      <c r="AQ558" s="20">
        <f>(AG558-AE558)*1440</f>
        <v/>
      </c>
      <c r="AR558" s="20">
        <f>(AH558-AF558)*1440</f>
        <v/>
      </c>
      <c r="AS558" s="20">
        <f>(AI558-AH558)*1440</f>
        <v/>
      </c>
      <c r="AT558" s="20">
        <f>(AJ558-AH558)*1440</f>
        <v/>
      </c>
      <c r="AU558" s="20">
        <f>(AL558-AK558)*1440</f>
        <v/>
      </c>
      <c r="AV558" s="20">
        <f>(AM558-AL558)*1440</f>
        <v/>
      </c>
      <c r="AW558" s="20">
        <f>(AO558-AM558)*1440</f>
        <v/>
      </c>
      <c r="AX558" s="19">
        <f>AP558+AS558+AU558+AV558+AW558</f>
        <v/>
      </c>
      <c r="AY558" s="18">
        <f>(AG558-AA558)</f>
        <v/>
      </c>
      <c r="AZ558" s="18">
        <f>(AK558-AJ558)</f>
        <v/>
      </c>
      <c r="BA558" s="18">
        <f>AO558-AG558</f>
        <v/>
      </c>
      <c r="BB558" s="18">
        <f>(AO558-AA558)-(AP558/1440)-(AW558/1440)</f>
        <v/>
      </c>
      <c r="BC558" s="20">
        <f>E558/AZ558</f>
        <v/>
      </c>
      <c r="BE558" s="20">
        <f>IF(E558&lt;10000,3000,IF(E558&lt;15000,3600,IF(E558&lt;20000,4500,IF(E558&lt;25000,6000,IF(E558&lt;30000,7500,IF(E558&lt;40000,9000,IF(E558&gt;40000,10000)))))))</f>
        <v/>
      </c>
      <c r="BF558" s="334">
        <f>(E558/BE558)+2</f>
        <v/>
      </c>
      <c r="BS558" s="250" t="inlineStr">
        <is>
          <t>CHANGE DU POSTE 2BIS VERS POSTE 2N LE 15/09 1545</t>
        </is>
      </c>
      <c r="BT558" s="99" t="n">
        <v>1</v>
      </c>
      <c r="BU558" s="99" t="inlineStr">
        <is>
          <t>NON CLEAN</t>
        </is>
      </c>
      <c r="BV558" s="99" t="inlineStr">
        <is>
          <t>WATER/HUMIDITY/GRAIN</t>
        </is>
      </c>
      <c r="BW558" s="332">
        <f>AI559-AH559</f>
        <v/>
      </c>
      <c r="CB558" s="14" t="n">
        <v>23448</v>
      </c>
    </row>
    <row r="559">
      <c r="A559" s="75" t="n">
        <v>358</v>
      </c>
      <c r="B559" s="349" t="inlineStr">
        <is>
          <t>SPANACO FIDELITY</t>
        </is>
      </c>
      <c r="C559" s="243" t="n">
        <v>45918</v>
      </c>
      <c r="D559" s="348" t="n">
        <v>3791</v>
      </c>
      <c r="E559" s="348" t="n">
        <v>3791</v>
      </c>
      <c r="G559" s="81" t="n">
        <v>1</v>
      </c>
      <c r="H559" s="75" t="inlineStr">
        <is>
          <t>DAP</t>
        </is>
      </c>
      <c r="I559" s="75" t="inlineStr">
        <is>
          <t>DAP EURO LOW MOISTURE LOW CD</t>
        </is>
      </c>
      <c r="J559" s="75" t="inlineStr">
        <is>
          <t>CFR</t>
        </is>
      </c>
      <c r="Q559" s="75" t="inlineStr">
        <is>
          <t>EUROPE</t>
        </is>
      </c>
      <c r="R559" s="75" t="inlineStr">
        <is>
          <t>UK</t>
        </is>
      </c>
      <c r="T559" s="75" t="inlineStr">
        <is>
          <t>INSPECTORATE</t>
        </is>
      </c>
      <c r="U559" s="81" t="n">
        <v>90</v>
      </c>
      <c r="V559" s="53">
        <f>IF(U559&lt;130, "Mini Bulker", IF(AND(U559&gt;=130, U559&lt;150), "Handysize", IF(AND(U559&gt;=150, U559&lt;200), "Handymax", IF(AND(U559&gt;=200, U559&lt;230), "Panamax", IF(AND(U559&gt;=230, U559&lt;=270), "Capesize", "Autre")))))</f>
        <v/>
      </c>
      <c r="X559" s="306">
        <f>IF(E559&lt;9999,"1",IF(E559&lt;19999,"2",IF(E559&lt;29999,"3",IF(E559&lt;39999,"4",IF(E559&lt;49999,"5",IF(E559&gt;50000,"6"))))))</f>
        <v/>
      </c>
      <c r="Y559" s="244" t="inlineStr">
        <is>
          <t>2N/7/1N</t>
        </is>
      </c>
      <c r="AA559" s="26" t="n">
        <v>45910.75</v>
      </c>
      <c r="AB559" s="26" t="n">
        <v>45911.375</v>
      </c>
      <c r="AC559" s="15" t="n">
        <v>45909</v>
      </c>
      <c r="AD559" s="15" t="n">
        <v>45911</v>
      </c>
      <c r="AE559" s="26" t="n">
        <v>45910.75</v>
      </c>
      <c r="AF559" s="26" t="n">
        <v>45914.76180555556</v>
      </c>
      <c r="AG559" s="26" t="n">
        <v>45914.875</v>
      </c>
      <c r="AH559" s="26" t="n">
        <v>45914.89583333334</v>
      </c>
      <c r="AI559" s="26" t="n">
        <v>45914.94791666666</v>
      </c>
      <c r="AJ559" s="26" t="n">
        <v>45915.10763888889</v>
      </c>
      <c r="AK559" s="26" t="n">
        <v>45918.08680555555</v>
      </c>
      <c r="AL559" s="26" t="n">
        <v>45918.125</v>
      </c>
      <c r="AM559" s="26" t="n">
        <v>45918.15277777778</v>
      </c>
      <c r="AN559" s="26" t="n">
        <v>45918.20138888889</v>
      </c>
      <c r="AO559" s="26" t="n">
        <v>45918.30902777778</v>
      </c>
      <c r="AP559" s="20">
        <f>(AG559-AF559)*1440</f>
        <v/>
      </c>
      <c r="AQ559" s="20">
        <f>(AG559-AE559)*1440</f>
        <v/>
      </c>
      <c r="AR559" s="20">
        <f>(AH559-AF559)*1440</f>
        <v/>
      </c>
      <c r="AS559" s="20">
        <f>(AI559-AH559)*1440</f>
        <v/>
      </c>
      <c r="AT559" s="20">
        <f>(AJ559-AH559)*1440</f>
        <v/>
      </c>
      <c r="AU559" s="20">
        <f>(AL559-AK559)*1440</f>
        <v/>
      </c>
      <c r="AV559" s="20">
        <f>(AM559-AL559)*1440</f>
        <v/>
      </c>
      <c r="AW559" s="20">
        <f>(AO559-AM559)*1440</f>
        <v/>
      </c>
      <c r="AX559" s="19">
        <f>AP559+AS559+AU559+AV559+AW559</f>
        <v/>
      </c>
      <c r="AY559" s="18">
        <f>(AG559-AA559)</f>
        <v/>
      </c>
      <c r="AZ559" s="18">
        <f>(AK559-AJ559)</f>
        <v/>
      </c>
      <c r="BA559" s="18">
        <f>AO559-AG559</f>
        <v/>
      </c>
      <c r="BB559" s="18">
        <f>(AO559-AA559)-(AP559/1440)-(AW559/1440)</f>
        <v/>
      </c>
      <c r="BC559" s="20">
        <f>E559/AZ559</f>
        <v/>
      </c>
      <c r="BE559" s="20">
        <f>IF(E559&lt;10000,3000,IF(E559&lt;15000,3600,IF(E559&lt;20000,4500,IF(E559&lt;25000,6000,IF(E559&lt;30000,7500,IF(E559&lt;40000,9000,IF(E559&gt;40000,10000)))))))</f>
        <v/>
      </c>
      <c r="BF559" s="334">
        <f>(E559/BE559)+2</f>
        <v/>
      </c>
      <c r="BS559" s="99" t="inlineStr">
        <is>
          <t>CHANGE DU POSTE 2N VERS POSTE 7 LE 15/09 1517 // CHANGE DU POSTE 7 VERS LE POSTE 1N LE 17/09 1912</t>
        </is>
      </c>
      <c r="BT559" s="99" t="n">
        <v>2</v>
      </c>
      <c r="BU559" s="99" t="n"/>
      <c r="BV559" s="99" t="n"/>
      <c r="BW559" s="332">
        <f>AI560-AH560</f>
        <v/>
      </c>
      <c r="CB559" s="14" t="n">
        <v>2984</v>
      </c>
    </row>
    <row r="560">
      <c r="A560" s="75" t="n">
        <v>359</v>
      </c>
      <c r="B560" s="349" t="inlineStr">
        <is>
          <t>SANTA VENERA</t>
        </is>
      </c>
      <c r="C560" s="243" t="n">
        <v>45918</v>
      </c>
      <c r="D560" s="348" t="n">
        <v>5500</v>
      </c>
      <c r="E560" s="348" t="n">
        <v>5500</v>
      </c>
      <c r="G560" s="81" t="n">
        <v>1</v>
      </c>
      <c r="H560" s="75" t="inlineStr">
        <is>
          <t>MAP</t>
        </is>
      </c>
      <c r="I560" s="75" t="inlineStr">
        <is>
          <t>MAP 11 52 SPECIAL</t>
        </is>
      </c>
      <c r="J560" s="75" t="inlineStr">
        <is>
          <t>CFR</t>
        </is>
      </c>
      <c r="Q560" s="75" t="inlineStr">
        <is>
          <t>AMERIQUE LATINE</t>
        </is>
      </c>
      <c r="R560" s="75" t="inlineStr">
        <is>
          <t>BRESIL</t>
        </is>
      </c>
      <c r="T560" s="75" t="inlineStr">
        <is>
          <t>INSPECTORATE</t>
        </is>
      </c>
      <c r="U560" s="81" t="n">
        <v>180</v>
      </c>
      <c r="V560" s="53">
        <f>IF(U560&lt;130, "Mini Bulker", IF(AND(U560&gt;=130, U560&lt;150), "Handysize", IF(AND(U560&gt;=150, U560&lt;200), "Handymax", IF(AND(U560&gt;=200, U560&lt;230), "Panamax", IF(AND(U560&gt;=230, U560&lt;=270), "Capesize", "Autre")))))</f>
        <v/>
      </c>
      <c r="X560" s="306">
        <f>IF(E560&lt;9999,"1",IF(E560&lt;19999,"2",IF(E560&lt;29999,"3",IF(E560&lt;39999,"4",IF(E560&lt;49999,"5",IF(E560&gt;50000,"6"))))))</f>
        <v/>
      </c>
      <c r="Y560" s="244" t="inlineStr">
        <is>
          <t>2TER</t>
        </is>
      </c>
      <c r="AA560" s="26" t="n">
        <v>45915.09166666667</v>
      </c>
      <c r="AB560" s="26" t="n">
        <v>45915.375</v>
      </c>
      <c r="AC560" s="15" t="n">
        <v>45912</v>
      </c>
      <c r="AD560" s="15" t="n">
        <v>45914</v>
      </c>
      <c r="AE560" s="26" t="n">
        <v>45915.02083333334</v>
      </c>
      <c r="AF560" s="26" t="n">
        <v>45917.64583333334</v>
      </c>
      <c r="AG560" s="26" t="n">
        <v>45917.70416666667</v>
      </c>
      <c r="AH560" s="26" t="n">
        <v>45917.71875</v>
      </c>
      <c r="AI560" s="26" t="n">
        <v>45917.83680555555</v>
      </c>
      <c r="AJ560" s="26" t="n">
        <v>45917.875</v>
      </c>
      <c r="AK560" s="26" t="n">
        <v>45918.30208333334</v>
      </c>
      <c r="AL560" s="26" t="n">
        <v>45918.36111111111</v>
      </c>
      <c r="AM560" s="26" t="n">
        <v>45918.41666666666</v>
      </c>
      <c r="AN560" s="26" t="n">
        <v>45918.45833333334</v>
      </c>
      <c r="AO560" s="26" t="n">
        <v>45918.46180555555</v>
      </c>
      <c r="AP560" s="20">
        <f>(AG560-AF560)*1440</f>
        <v/>
      </c>
      <c r="AQ560" s="20">
        <f>(AG560-AE560)*1440</f>
        <v/>
      </c>
      <c r="AR560" s="20">
        <f>(AH560-AF560)*1440</f>
        <v/>
      </c>
      <c r="AS560" s="20">
        <f>(AI560-AH560)*1440</f>
        <v/>
      </c>
      <c r="AT560" s="20">
        <f>(AJ560-AH560)*1440</f>
        <v/>
      </c>
      <c r="AU560" s="20">
        <f>(AL560-AK560)*1440</f>
        <v/>
      </c>
      <c r="AV560" s="20">
        <f>(AM560-AL560)*1440</f>
        <v/>
      </c>
      <c r="AW560" s="20">
        <f>(AO560-AM560)*1440</f>
        <v/>
      </c>
      <c r="AX560" s="19">
        <f>AP560+AS560+AU560+AV560+AW560</f>
        <v/>
      </c>
      <c r="AY560" s="18">
        <f>(AG560-AA560)</f>
        <v/>
      </c>
      <c r="AZ560" s="18">
        <f>(AK560-AJ560)</f>
        <v/>
      </c>
      <c r="BA560" s="18">
        <f>AO560-AG560</f>
        <v/>
      </c>
      <c r="BB560" s="18">
        <f>(AO560-AA560)-(AP560/1440)-(AW560/1440)</f>
        <v/>
      </c>
      <c r="BC560" s="20">
        <f>E560/AZ560</f>
        <v/>
      </c>
      <c r="BE560" s="20">
        <f>IF(E560&lt;10000,3000,IF(E560&lt;15000,3600,IF(E560&lt;20000,4500,IF(E560&lt;25000,6000,IF(E560&lt;30000,7500,IF(E560&lt;40000,9000,IF(E560&gt;40000,10000)))))))</f>
        <v/>
      </c>
      <c r="BF560" s="334">
        <f>(E560/BE560)+2</f>
        <v/>
      </c>
      <c r="BS560" s="250" t="inlineStr">
        <is>
          <t>NUL</t>
        </is>
      </c>
      <c r="BT560" s="99" t="n">
        <v>0</v>
      </c>
      <c r="BU560" s="99" t="n"/>
      <c r="BV560" s="99" t="n"/>
      <c r="BW560" s="332">
        <f>AI561-AH561</f>
        <v/>
      </c>
      <c r="CB560" s="14" t="n">
        <v>26128</v>
      </c>
    </row>
    <row r="561">
      <c r="A561" s="75" t="n">
        <v>360</v>
      </c>
      <c r="B561" s="349" t="inlineStr">
        <is>
          <t>LADY JASMIN</t>
        </is>
      </c>
      <c r="C561" s="243" t="n">
        <v>45918</v>
      </c>
      <c r="D561" s="348" t="n">
        <v>6755</v>
      </c>
      <c r="E561" s="333">
        <f>D561+D562</f>
        <v/>
      </c>
      <c r="G561" s="81" t="n">
        <v>2</v>
      </c>
      <c r="H561" s="75" t="inlineStr">
        <is>
          <t>NPK</t>
        </is>
      </c>
      <c r="I561" s="75" t="inlineStr">
        <is>
          <t xml:space="preserve">NPK 15 15 15 Low Cd </t>
        </is>
      </c>
      <c r="J561" s="75" t="inlineStr">
        <is>
          <t>CFR</t>
        </is>
      </c>
      <c r="Q561" s="75" t="inlineStr">
        <is>
          <t>EUROPE</t>
        </is>
      </c>
      <c r="R561" s="75" t="inlineStr">
        <is>
          <t>SPAIN</t>
        </is>
      </c>
      <c r="S561" s="75" t="n"/>
      <c r="T561" s="75" t="inlineStr">
        <is>
          <t>INTERTEK</t>
        </is>
      </c>
      <c r="U561" s="81" t="n">
        <v>135</v>
      </c>
      <c r="V561" s="53">
        <f>IF(U561&lt;130, "Mini Bulker", IF(AND(U561&gt;=130, U561&lt;150), "Handysize", IF(AND(U561&gt;=150, U561&lt;200), "Handymax", IF(AND(U561&gt;=200, U561&lt;230), "Panamax", IF(AND(U561&gt;=230, U561&lt;=270), "Capesize", "Autre")))))</f>
        <v/>
      </c>
      <c r="X561" s="306">
        <f>IF(E561&lt;9999,"1",IF(E561&lt;19999,"2",IF(E561&lt;29999,"3",IF(E561&lt;39999,"4",IF(E561&lt;49999,"5",IF(E561&gt;50000,"6"))))))</f>
        <v/>
      </c>
      <c r="Y561" s="244" t="inlineStr">
        <is>
          <t>4BIS/1BIS/1N/1TER/1SUD</t>
        </is>
      </c>
      <c r="AA561" s="26" t="n">
        <v>45907.5</v>
      </c>
      <c r="AB561" s="26" t="n">
        <v>45908.375</v>
      </c>
      <c r="AC561" s="15" t="n">
        <v>45905</v>
      </c>
      <c r="AD561" s="15" t="n">
        <v>45907</v>
      </c>
      <c r="AE561" s="26" t="n">
        <v>45906.125</v>
      </c>
      <c r="AF561" s="26" t="n">
        <v>45908.08333333334</v>
      </c>
      <c r="AG561" s="26" t="n">
        <v>45908.22916666666</v>
      </c>
      <c r="AH561" s="26" t="n">
        <v>45908.25</v>
      </c>
      <c r="AI561" s="26" t="n">
        <v>45909.22222222222</v>
      </c>
      <c r="AJ561" s="26" t="n">
        <v>45911.77083333334</v>
      </c>
      <c r="AK561" s="26" t="n">
        <v>45916.6875</v>
      </c>
      <c r="AL561" s="26" t="n">
        <v>45918.47222222222</v>
      </c>
      <c r="AM561" s="26" t="n">
        <v>45918.50694444445</v>
      </c>
      <c r="AN561" s="26" t="n">
        <v>45918.5625</v>
      </c>
      <c r="AO561" s="26" t="n">
        <v>45918.58819444444</v>
      </c>
      <c r="AP561" s="20">
        <f>(AG561-AF561)*1440</f>
        <v/>
      </c>
      <c r="AQ561" s="20">
        <f>(AG561-AE561)*1440</f>
        <v/>
      </c>
      <c r="AR561" s="20">
        <f>(AH561-AF561)*1440</f>
        <v/>
      </c>
      <c r="AS561" s="20">
        <f>(AI561-AH561)*1440</f>
        <v/>
      </c>
      <c r="AT561" s="20">
        <f>(AJ561-AH561)*1440</f>
        <v/>
      </c>
      <c r="AU561" s="20">
        <f>(AL561-AK561)*1440</f>
        <v/>
      </c>
      <c r="AV561" s="20">
        <f>(AM561-AL561)*1440</f>
        <v/>
      </c>
      <c r="AW561" s="20">
        <f>(AO561-AM561)*1440</f>
        <v/>
      </c>
      <c r="AX561" s="19">
        <f>AP561+AS561+AU561+AV561+AW561</f>
        <v/>
      </c>
      <c r="AY561" s="18">
        <f>(AG561-AA561)</f>
        <v/>
      </c>
      <c r="AZ561" s="18">
        <f>(AK561-AJ561)</f>
        <v/>
      </c>
      <c r="BA561" s="18">
        <f>AO561-AG561</f>
        <v/>
      </c>
      <c r="BB561" s="18">
        <f>(AO561-AA561)-(AP561/1440)-(AW561/1440)</f>
        <v/>
      </c>
      <c r="BC561" s="20">
        <f>E561/AZ561</f>
        <v/>
      </c>
      <c r="BE561" s="20">
        <f>IF(E561&lt;10000,3000,IF(E561&lt;15000,3600,IF(E561&lt;20000,4500,IF(E561&lt;25000,6000,IF(E561&lt;30000,7500,IF(E561&lt;40000,9000,IF(E561&gt;40000,10000)))))))</f>
        <v/>
      </c>
      <c r="BF561" s="334">
        <f>(E561/BE561)+2</f>
        <v/>
      </c>
      <c r="BS561" s="99" t="inlineStr">
        <is>
          <t>CHANGE DU POSTE 4BIS VERS 1BIS LE 09/09 0415// CHANGE DU POSTE 1BIS VERS LA RADE LE 09/09 1055// REACCOSTAGE AU POSTE 1N LE 09/09 1219 //DEHALAGE DU POSTE 1N VERS POSTE 1TER LE 11/09 1335//CHANGE DU POSTE 1TER VERS LA RADE LE 16/09 2020//REACCOSTAGE AU POSTE 1SUD LE 17/09 1950</t>
        </is>
      </c>
      <c r="BT561" s="99" t="n">
        <v>6</v>
      </c>
      <c r="BU561" s="99" t="inlineStr">
        <is>
          <t>NON CLEAN</t>
        </is>
      </c>
      <c r="BV561" s="99" t="inlineStr">
        <is>
          <t>WATER/HUMIDITY</t>
        </is>
      </c>
      <c r="BW561" s="332">
        <f>AI562-AH562</f>
        <v/>
      </c>
      <c r="CB561" s="14" t="n">
        <v>7269</v>
      </c>
    </row>
    <row r="562">
      <c r="B562" s="349" t="inlineStr">
        <is>
          <t>LADY JASMIN</t>
        </is>
      </c>
      <c r="C562" s="243" t="n">
        <v>45918</v>
      </c>
      <c r="D562" s="348" t="n">
        <v>3300</v>
      </c>
      <c r="E562" s="330" t="n"/>
      <c r="G562" s="81" t="n">
        <v>2</v>
      </c>
      <c r="H562" s="75" t="inlineStr">
        <is>
          <t>TSP</t>
        </is>
      </c>
      <c r="I562" s="75" t="inlineStr">
        <is>
          <t>TSP EURO LOW CD</t>
        </is>
      </c>
      <c r="J562" s="75" t="inlineStr">
        <is>
          <t>CFR</t>
        </is>
      </c>
      <c r="Q562" s="75" t="inlineStr">
        <is>
          <t>ASIE</t>
        </is>
      </c>
      <c r="R562" s="75" t="inlineStr">
        <is>
          <t>INDIA</t>
        </is>
      </c>
      <c r="S562" s="75" t="n"/>
      <c r="T562" s="75" t="inlineStr">
        <is>
          <t>INTERTEK</t>
        </is>
      </c>
      <c r="U562" s="81" t="n">
        <v>135</v>
      </c>
      <c r="V562" s="53">
        <f>IF(U562&lt;130, "Mini Bulker", IF(AND(U562&gt;=130, U562&lt;150), "Handysize", IF(AND(U562&gt;=150, U562&lt;200), "Handymax", IF(AND(U562&gt;=200, U562&lt;230), "Panamax", IF(AND(U562&gt;=230, U562&lt;=270), "Capesize", "Autre")))))</f>
        <v/>
      </c>
      <c r="X562" s="306">
        <f>IF(E562&lt;9999,"1",IF(E562&lt;19999,"2",IF(E562&lt;29999,"3",IF(E562&lt;39999,"4",IF(E562&lt;49999,"5",IF(E562&gt;50000,"6"))))))</f>
        <v/>
      </c>
      <c r="Y562" s="244" t="inlineStr">
        <is>
          <t>4BIS/1BIS/1N/1TER/1SUD</t>
        </is>
      </c>
      <c r="AA562" s="98" t="n"/>
      <c r="AB562" s="251" t="n"/>
      <c r="AC562" s="98" t="n"/>
      <c r="AD562" s="98" t="n"/>
      <c r="AE562" s="98" t="n"/>
      <c r="AF562" s="98" t="n"/>
      <c r="AG562" s="98" t="n"/>
      <c r="AH562" s="98" t="n"/>
      <c r="AI562" s="98" t="n"/>
      <c r="AJ562" s="98" t="n"/>
      <c r="AK562" s="98" t="n"/>
      <c r="AL562" s="98" t="n"/>
      <c r="AM562" s="98" t="n"/>
      <c r="AN562" s="98" t="n"/>
      <c r="AO562" s="98" t="n"/>
      <c r="AP562" s="98" t="n"/>
      <c r="AQ562" s="98" t="n"/>
      <c r="AR562" s="98" t="n"/>
      <c r="AS562" s="98" t="n"/>
      <c r="AT562" s="98" t="n"/>
      <c r="AU562" s="98" t="n"/>
      <c r="AV562" s="98" t="n"/>
      <c r="AW562" s="98" t="n"/>
      <c r="AX562" s="98" t="n"/>
      <c r="AY562" s="98" t="n"/>
      <c r="AZ562" s="98" t="n"/>
      <c r="BA562" s="98" t="n"/>
      <c r="BB562" s="98" t="n"/>
      <c r="BC562" s="98" t="n"/>
      <c r="BD562" s="98" t="n"/>
      <c r="BE562" s="98" t="n"/>
      <c r="BF562" s="98" t="n"/>
      <c r="BG562" s="98" t="n"/>
      <c r="BH562" s="98" t="n"/>
      <c r="BI562" s="98" t="n"/>
      <c r="BJ562" s="98" t="n"/>
      <c r="BK562" s="98" t="n"/>
      <c r="BL562" s="98" t="n"/>
      <c r="BM562" s="98" t="n"/>
      <c r="BN562" s="98" t="n"/>
      <c r="BO562" s="98" t="n"/>
      <c r="BP562" s="98" t="n"/>
      <c r="BQ562" s="98" t="n"/>
      <c r="BR562" s="98" t="n"/>
      <c r="BW562" s="332">
        <f>AI563-AH563</f>
        <v/>
      </c>
    </row>
    <row r="563" ht="15.75" customHeight="1" s="70">
      <c r="A563" s="75" t="n">
        <v>361</v>
      </c>
      <c r="B563" s="349" t="inlineStr">
        <is>
          <t>THOE</t>
        </is>
      </c>
      <c r="C563" s="243" t="n">
        <v>45920</v>
      </c>
      <c r="D563" s="348" t="n">
        <v>5390</v>
      </c>
      <c r="E563" s="348">
        <f>+D563+D564+D565</f>
        <v/>
      </c>
      <c r="G563" s="81" t="n">
        <v>3</v>
      </c>
      <c r="H563" s="75" t="inlineStr">
        <is>
          <t>NPK</t>
        </is>
      </c>
      <c r="I563" s="75" t="inlineStr">
        <is>
          <t>NPK 15 15 15 Low Cd</t>
        </is>
      </c>
      <c r="J563" s="75" t="inlineStr">
        <is>
          <t>CFR</t>
        </is>
      </c>
      <c r="Q563" s="75" t="inlineStr">
        <is>
          <t>EUROPE</t>
        </is>
      </c>
      <c r="R563" s="75" t="inlineStr">
        <is>
          <t>SPAIN</t>
        </is>
      </c>
      <c r="S563" s="75" t="n"/>
      <c r="T563" s="75" t="inlineStr">
        <is>
          <t>INSPECTORATE</t>
        </is>
      </c>
      <c r="U563" s="81" t="n">
        <v>136</v>
      </c>
      <c r="V563" s="53">
        <f>IF(U563&lt;130, "Mini Bulker", IF(AND(U563&gt;=130, U563&lt;150), "Handysize", IF(AND(U563&gt;=150, U563&lt;200), "Handymax", IF(AND(U563&gt;=200, U563&lt;230), "Panamax", IF(AND(U563&gt;=230, U563&lt;=270), "Capesize", "Autre")))))</f>
        <v/>
      </c>
      <c r="X563" s="306">
        <f>IF(E563&lt;9999,"1",IF(E563&lt;19999,"2",IF(E563&lt;29999,"3",IF(E563&lt;39999,"4",IF(E563&lt;49999,"5",IF(E563&gt;50000,"6"))))))</f>
        <v/>
      </c>
      <c r="Y563" s="244" t="inlineStr">
        <is>
          <t>2TER/4BIS/2TER</t>
        </is>
      </c>
      <c r="AA563" s="26" t="n">
        <v>45907.67361111111</v>
      </c>
      <c r="AB563" s="26" t="n">
        <v>45908.375</v>
      </c>
      <c r="AC563" s="15" t="n">
        <v>45905</v>
      </c>
      <c r="AD563" s="15" t="n">
        <v>45907</v>
      </c>
      <c r="AE563" s="26" t="n">
        <v>45907.66666666666</v>
      </c>
      <c r="AF563" s="26" t="n">
        <v>45908.64930555555</v>
      </c>
      <c r="AG563" s="26" t="n">
        <v>45908.70833333334</v>
      </c>
      <c r="AH563" s="26" t="n">
        <v>45908.72916666666</v>
      </c>
      <c r="AI563" s="26" t="n">
        <v>45908.78472222222</v>
      </c>
      <c r="AJ563" s="26" t="n">
        <v>45909.14583333334</v>
      </c>
      <c r="AK563" s="26" t="n">
        <v>45920.09027777778</v>
      </c>
      <c r="AL563" s="26" t="n">
        <v>45920.125</v>
      </c>
      <c r="AM563" s="26" t="n">
        <v>45920.14236111111</v>
      </c>
      <c r="AN563" s="26" t="n">
        <v>45920.1875</v>
      </c>
      <c r="AO563" s="26" t="n">
        <v>45920.22916666666</v>
      </c>
      <c r="AP563" s="20">
        <f>(AG563-AF563)*1440</f>
        <v/>
      </c>
      <c r="AQ563" s="20">
        <f>(AG563-AE563)*1440</f>
        <v/>
      </c>
      <c r="AR563" s="20">
        <f>(AH563-AF563)*1440</f>
        <v/>
      </c>
      <c r="AS563" s="20">
        <f>(AI563-AH563)*1440</f>
        <v/>
      </c>
      <c r="AT563" s="20">
        <f>(AJ563-AH563)*1440</f>
        <v/>
      </c>
      <c r="AU563" s="20">
        <f>(AL563-AK563)*1440</f>
        <v/>
      </c>
      <c r="AV563" s="20">
        <f>(AM563-AL563)*1440</f>
        <v/>
      </c>
      <c r="AW563" s="20">
        <f>(AO563-AM563)*1440</f>
        <v/>
      </c>
      <c r="AX563" s="19">
        <f>AP563+AS563+AU563+AV563+AW563</f>
        <v/>
      </c>
      <c r="AY563" s="18">
        <f>(AG563-AA563)</f>
        <v/>
      </c>
      <c r="AZ563" s="18">
        <f>(AK563-AJ563)</f>
        <v/>
      </c>
      <c r="BA563" s="18">
        <f>AO563-AG563</f>
        <v/>
      </c>
      <c r="BB563" s="18">
        <f>(AO563-AA563)-(AP563/1440)-(AW563/1440)</f>
        <v/>
      </c>
      <c r="BC563" s="20">
        <f>E563/AZ563</f>
        <v/>
      </c>
      <c r="BE563" s="20">
        <f>IF(E563&lt;10000,3000,IF(E563&lt;15000,3600,IF(E563&lt;20000,4500,IF(E563&lt;25000,6000,IF(E563&lt;30000,7500,IF(E563&lt;40000,9000,IF(E563&gt;40000,10000)))))))</f>
        <v/>
      </c>
      <c r="BF563" s="334">
        <f>(E563/BE563)+2</f>
        <v/>
      </c>
      <c r="BS563" s="99" t="inlineStr">
        <is>
          <t>CHANGE DU POSTE 2TER VERS LE POSTE 4BIS LE 10/09 - 1215 // CHANGE DU POSTE 4BIS VERS LA RADE LE 13/09 - 2025 // RE-ACCOSTAGE AU POSTE 2TER LE 18/09- 1715</t>
        </is>
      </c>
      <c r="BT563" s="99" t="n">
        <v>3</v>
      </c>
      <c r="BU563" s="99" t="inlineStr">
        <is>
          <t>CLEAN</t>
        </is>
      </c>
      <c r="BV563" s="99" t="inlineStr">
        <is>
          <t>NUL</t>
        </is>
      </c>
      <c r="BW563" s="332">
        <f>AI564-AH564</f>
        <v/>
      </c>
      <c r="CB563" s="14" t="n">
        <v>7959</v>
      </c>
    </row>
    <row r="564">
      <c r="B564" s="349" t="inlineStr">
        <is>
          <t>THOE</t>
        </is>
      </c>
      <c r="C564" s="243" t="n">
        <v>45920</v>
      </c>
      <c r="D564" s="348" t="n">
        <v>2200</v>
      </c>
      <c r="E564" s="330" t="n"/>
      <c r="G564" s="81" t="n">
        <v>3</v>
      </c>
      <c r="H564" s="75" t="inlineStr">
        <is>
          <t>DAP</t>
        </is>
      </c>
      <c r="I564" s="75" t="inlineStr">
        <is>
          <t>DAP Euro Low cd</t>
        </is>
      </c>
      <c r="J564" s="75" t="inlineStr">
        <is>
          <t>CFR</t>
        </is>
      </c>
      <c r="Q564" s="75" t="inlineStr">
        <is>
          <t>EUROPE</t>
        </is>
      </c>
      <c r="R564" s="75" t="inlineStr">
        <is>
          <t>SPAIN</t>
        </is>
      </c>
      <c r="S564" s="75" t="n"/>
      <c r="T564" s="75" t="inlineStr">
        <is>
          <t>INSPECTORATE</t>
        </is>
      </c>
      <c r="U564" s="81" t="n">
        <v>136</v>
      </c>
      <c r="V564" s="53">
        <f>IF(U564&lt;130, "Mini Bulker", IF(AND(U564&gt;=130, U564&lt;150), "Handysize", IF(AND(U564&gt;=150, U564&lt;200), "Handymax", IF(AND(U564&gt;=200, U564&lt;230), "Panamax", IF(AND(U564&gt;=230, U564&lt;=270), "Capesize", "Autre")))))</f>
        <v/>
      </c>
      <c r="X564" s="306">
        <f>IF(E564&lt;9999,"1",IF(E564&lt;19999,"2",IF(E564&lt;29999,"3",IF(E564&lt;39999,"4",IF(E564&lt;49999,"5",IF(E564&gt;50000,"6"))))))</f>
        <v/>
      </c>
      <c r="Y564" s="244" t="inlineStr">
        <is>
          <t>2TER/4BIS/2TER</t>
        </is>
      </c>
      <c r="AA564" s="98" t="n"/>
      <c r="AB564" s="98" t="n"/>
      <c r="AC564" s="98" t="n"/>
      <c r="AD564" s="98" t="n"/>
      <c r="AE564" s="98" t="n"/>
      <c r="AF564" s="98" t="n"/>
      <c r="AG564" s="98" t="n"/>
      <c r="AH564" s="98" t="n"/>
      <c r="AI564" s="98" t="n"/>
      <c r="AJ564" s="98" t="n"/>
      <c r="AK564" s="98" t="n"/>
      <c r="AL564" s="98" t="n"/>
      <c r="AM564" s="98" t="n"/>
      <c r="AN564" s="98" t="n"/>
      <c r="AO564" s="98" t="n"/>
      <c r="AP564" s="98" t="n"/>
      <c r="AQ564" s="98" t="n"/>
      <c r="AR564" s="98" t="n"/>
      <c r="AS564" s="98" t="n"/>
      <c r="AT564" s="98" t="n"/>
      <c r="AU564" s="98" t="n"/>
      <c r="AV564" s="98" t="n"/>
      <c r="AW564" s="98" t="n"/>
      <c r="AX564" s="98" t="n"/>
      <c r="AY564" s="98" t="n"/>
      <c r="AZ564" s="98" t="n"/>
      <c r="BA564" s="98" t="n"/>
      <c r="BB564" s="98" t="n"/>
      <c r="BC564" s="98" t="n"/>
      <c r="BD564" s="98" t="n"/>
      <c r="BE564" s="98" t="n"/>
      <c r="BF564" s="98" t="n"/>
      <c r="BG564" s="98" t="n"/>
      <c r="BH564" s="98" t="n"/>
      <c r="BI564" s="98" t="n"/>
      <c r="BJ564" s="98" t="n"/>
      <c r="BK564" s="98" t="n"/>
      <c r="BL564" s="98" t="n"/>
      <c r="BM564" s="98" t="n"/>
      <c r="BN564" s="98" t="n"/>
      <c r="BO564" s="98" t="n"/>
      <c r="BP564" s="98" t="n"/>
      <c r="BQ564" s="98" t="n"/>
      <c r="BR564" s="98" t="n"/>
      <c r="BS564" s="99" t="n"/>
      <c r="BW564" s="332">
        <f>AI565-AH565</f>
        <v/>
      </c>
      <c r="CB564" s="14" t="n"/>
    </row>
    <row r="565">
      <c r="B565" s="349" t="inlineStr">
        <is>
          <t>THOE</t>
        </is>
      </c>
      <c r="C565" s="243" t="n">
        <v>45920</v>
      </c>
      <c r="D565" s="348" t="n">
        <v>2200</v>
      </c>
      <c r="E565" s="330" t="n"/>
      <c r="G565" s="81" t="n">
        <v>3</v>
      </c>
      <c r="H565" s="75" t="inlineStr">
        <is>
          <t>NPS</t>
        </is>
      </c>
      <c r="I565" s="75" t="inlineStr">
        <is>
          <t>NP 5 42 Blendable Low Cd</t>
        </is>
      </c>
      <c r="J565" s="75" t="inlineStr">
        <is>
          <t>CFR</t>
        </is>
      </c>
      <c r="Q565" s="75" t="inlineStr">
        <is>
          <t>EUROPE</t>
        </is>
      </c>
      <c r="R565" s="75" t="inlineStr">
        <is>
          <t>SPAIN</t>
        </is>
      </c>
      <c r="S565" s="75" t="n"/>
      <c r="T565" s="75" t="inlineStr">
        <is>
          <t>INSPECTORATE</t>
        </is>
      </c>
      <c r="U565" s="81" t="n">
        <v>136</v>
      </c>
      <c r="V565" s="53">
        <f>IF(U565&lt;130, "Mini Bulker", IF(AND(U565&gt;=130, U565&lt;150), "Handysize", IF(AND(U565&gt;=150, U565&lt;200), "Handymax", IF(AND(U565&gt;=200, U565&lt;230), "Panamax", IF(AND(U565&gt;=230, U565&lt;=270), "Capesize", "Autre")))))</f>
        <v/>
      </c>
      <c r="X565" s="306">
        <f>IF(E565&lt;9999,"1",IF(E565&lt;19999,"2",IF(E565&lt;29999,"3",IF(E565&lt;39999,"4",IF(E565&lt;49999,"5",IF(E565&gt;50000,"6"))))))</f>
        <v/>
      </c>
      <c r="Y565" s="244" t="inlineStr">
        <is>
          <t>2TER/4BIS/2TER</t>
        </is>
      </c>
      <c r="AA565" s="98" t="n"/>
      <c r="AB565" s="98" t="n"/>
      <c r="AC565" s="98" t="n"/>
      <c r="AD565" s="98" t="n"/>
      <c r="AE565" s="98" t="n"/>
      <c r="AF565" s="98" t="n"/>
      <c r="AG565" s="98" t="n"/>
      <c r="AH565" s="98" t="n"/>
      <c r="AI565" s="98" t="n"/>
      <c r="AJ565" s="98" t="n"/>
      <c r="AK565" s="98" t="n"/>
      <c r="AL565" s="98" t="n"/>
      <c r="AM565" s="98" t="n"/>
      <c r="AN565" s="98" t="n"/>
      <c r="AO565" s="98" t="n"/>
      <c r="AP565" s="98" t="n"/>
      <c r="AQ565" s="98" t="n"/>
      <c r="AR565" s="98" t="n"/>
      <c r="AS565" s="98" t="n"/>
      <c r="AT565" s="98" t="n"/>
      <c r="AU565" s="98" t="n"/>
      <c r="AV565" s="98" t="n"/>
      <c r="AW565" s="98" t="n"/>
      <c r="AX565" s="98" t="n"/>
      <c r="AY565" s="98" t="n"/>
      <c r="AZ565" s="98" t="n"/>
      <c r="BA565" s="98" t="n"/>
      <c r="BB565" s="98" t="n"/>
      <c r="BC565" s="98" t="n"/>
      <c r="BD565" s="98" t="n"/>
      <c r="BE565" s="98" t="n"/>
      <c r="BF565" s="98" t="n"/>
      <c r="BG565" s="98" t="n"/>
      <c r="BH565" s="98" t="n"/>
      <c r="BI565" s="98" t="n"/>
      <c r="BJ565" s="98" t="n"/>
      <c r="BK565" s="98" t="n"/>
      <c r="BL565" s="98" t="n"/>
      <c r="BM565" s="98" t="n"/>
      <c r="BN565" s="98" t="n"/>
      <c r="BO565" s="98" t="n"/>
      <c r="BP565" s="98" t="n"/>
      <c r="BQ565" s="98" t="n"/>
      <c r="BR565" s="98" t="n"/>
      <c r="BS565" s="99" t="n"/>
      <c r="BT565" s="99" t="n"/>
      <c r="BW565" s="332">
        <f>AI566-AH566</f>
        <v/>
      </c>
      <c r="CB565" s="14" t="n"/>
    </row>
    <row r="566">
      <c r="A566" s="75" t="n">
        <v>362</v>
      </c>
      <c r="B566" s="349" t="inlineStr">
        <is>
          <t>HANSA NAREE</t>
        </is>
      </c>
      <c r="C566" s="243" t="n">
        <v>45921</v>
      </c>
      <c r="D566" s="348" t="n">
        <v>33000</v>
      </c>
      <c r="E566" s="348" t="n">
        <v>33000</v>
      </c>
      <c r="G566" s="81" t="n">
        <v>1</v>
      </c>
      <c r="H566" s="75" t="inlineStr">
        <is>
          <t>MAP</t>
        </is>
      </c>
      <c r="I566" s="75" t="inlineStr">
        <is>
          <t xml:space="preserve">MAP 11 52 SPECIAL </t>
        </is>
      </c>
      <c r="J566" s="75" t="inlineStr">
        <is>
          <t>FOB</t>
        </is>
      </c>
      <c r="Q566" s="75" t="inlineStr">
        <is>
          <t>AMERIQUE</t>
        </is>
      </c>
      <c r="R566" s="75" t="inlineStr">
        <is>
          <t>USA</t>
        </is>
      </c>
      <c r="S566" s="75" t="inlineStr">
        <is>
          <t>B.V</t>
        </is>
      </c>
      <c r="T566" s="75" t="inlineStr">
        <is>
          <t>INSPECTORATE</t>
        </is>
      </c>
      <c r="U566" s="81" t="n">
        <v>180</v>
      </c>
      <c r="V566" s="53">
        <f>IF(U566&lt;130, "Mini Bulker", IF(AND(U566&gt;=130, U566&lt;150), "Handysize", IF(AND(U566&gt;=150, U566&lt;200), "Handymax", IF(AND(U566&gt;=200, U566&lt;230), "Panamax", IF(AND(U566&gt;=230, U566&lt;=270), "Capesize", "Autre")))))</f>
        <v/>
      </c>
      <c r="X566" s="306">
        <f>IF(E566&lt;9999,"1",IF(E566&lt;19999,"2",IF(E566&lt;29999,"3",IF(E566&lt;39999,"4",IF(E566&lt;49999,"5",IF(E566&gt;50000,"6"))))))</f>
        <v/>
      </c>
      <c r="Y566" s="244" t="inlineStr">
        <is>
          <t>1BIS</t>
        </is>
      </c>
      <c r="AA566" s="26" t="n">
        <v>45918.59375</v>
      </c>
      <c r="AB566" s="26" t="n">
        <v>45918.59375</v>
      </c>
      <c r="AC566" s="15" t="n">
        <v>45915</v>
      </c>
      <c r="AD566" s="15" t="n">
        <v>45920</v>
      </c>
      <c r="AE566" s="26" t="n">
        <v>45918.52083333334</v>
      </c>
      <c r="AF566" s="26" t="n">
        <v>45918.60138888889</v>
      </c>
      <c r="AG566" s="26" t="n">
        <v>45918.67916666667</v>
      </c>
      <c r="AH566" s="26" t="n">
        <v>45918.6875</v>
      </c>
      <c r="AI566" s="26" t="n">
        <v>45918.74305555555</v>
      </c>
      <c r="AJ566" s="26" t="n">
        <v>45918.77083333334</v>
      </c>
      <c r="AK566" s="26" t="n">
        <v>45921.05902777778</v>
      </c>
      <c r="AL566" s="26" t="n">
        <v>45921.09722222222</v>
      </c>
      <c r="AM566" s="26" t="n">
        <v>45921.11111111111</v>
      </c>
      <c r="AN566" s="26" t="n">
        <v>45921.15277777778</v>
      </c>
      <c r="AO566" s="26" t="n">
        <v>45921.16319444445</v>
      </c>
      <c r="AP566" s="20">
        <f>(AG566-AF566)*1440</f>
        <v/>
      </c>
      <c r="AQ566" s="20">
        <f>(AG566-AE566)*1440</f>
        <v/>
      </c>
      <c r="AR566" s="20">
        <f>(AH566-AF566)*1440</f>
        <v/>
      </c>
      <c r="AS566" s="20">
        <f>(AI566-AH566)*1440</f>
        <v/>
      </c>
      <c r="AT566" s="20">
        <f>(AJ566-AH566)*1440</f>
        <v/>
      </c>
      <c r="AU566" s="20">
        <f>(AL566-AK566)*1440</f>
        <v/>
      </c>
      <c r="AV566" s="20">
        <f>(AM566-AL566)*1440</f>
        <v/>
      </c>
      <c r="AW566" s="20">
        <f>(AO566-AM566)*1440</f>
        <v/>
      </c>
      <c r="AX566" s="19">
        <f>AP566+AS566+AU566+AV566+AW566</f>
        <v/>
      </c>
      <c r="AY566" s="18">
        <f>(AG566-AA566)</f>
        <v/>
      </c>
      <c r="AZ566" s="18">
        <f>(AK566-AJ566)</f>
        <v/>
      </c>
      <c r="BA566" s="18">
        <f>AO566-AG566</f>
        <v/>
      </c>
      <c r="BB566" s="18">
        <f>(AO566-AA566)-(AP566/1440)-(AW566/1440)</f>
        <v/>
      </c>
      <c r="BC566" s="20">
        <f>E566/AZ566</f>
        <v/>
      </c>
      <c r="BE566" s="20">
        <f>IF(E566&lt;10000,3000,IF(E566&lt;15000,3600,IF(E566&lt;20000,4500,IF(E566&lt;25000,6000,IF(E566&lt;30000,7500,IF(E566&lt;40000,9000,IF(E566&gt;40000,10000)))))))</f>
        <v/>
      </c>
      <c r="BF566" s="334">
        <f>(E566/BE566)+2</f>
        <v/>
      </c>
      <c r="BS566" s="99" t="inlineStr">
        <is>
          <t>NUL</t>
        </is>
      </c>
      <c r="BT566" s="99" t="n">
        <v>0</v>
      </c>
      <c r="BU566" s="99" t="inlineStr">
        <is>
          <t>CLEAN</t>
        </is>
      </c>
      <c r="BV566" s="99" t="inlineStr">
        <is>
          <t>NUL</t>
        </is>
      </c>
      <c r="BW566" s="332">
        <f>AI567-AH567</f>
        <v/>
      </c>
      <c r="CB566" s="14" t="n">
        <v>25546</v>
      </c>
    </row>
    <row r="567">
      <c r="A567" s="75" t="n">
        <v>363</v>
      </c>
      <c r="B567" s="349" t="inlineStr">
        <is>
          <t>SHENG FENG HAI</t>
        </is>
      </c>
      <c r="C567" s="243" t="n">
        <v>45922</v>
      </c>
      <c r="D567" s="348" t="n">
        <v>32945</v>
      </c>
      <c r="E567" s="333">
        <f>D567+D568</f>
        <v/>
      </c>
      <c r="G567" s="81" t="n">
        <v>2</v>
      </c>
      <c r="H567" s="75" t="inlineStr">
        <is>
          <t>DAP</t>
        </is>
      </c>
      <c r="I567" s="75" t="inlineStr">
        <is>
          <t>DAP STANDARD</t>
        </is>
      </c>
      <c r="J567" s="75" t="inlineStr">
        <is>
          <t>CFR</t>
        </is>
      </c>
      <c r="Q567" s="75" t="inlineStr">
        <is>
          <t>ASIE</t>
        </is>
      </c>
      <c r="R567" s="75" t="inlineStr">
        <is>
          <t>INDIA</t>
        </is>
      </c>
      <c r="S567" s="75" t="n"/>
      <c r="T567" s="75" t="inlineStr">
        <is>
          <t>INSPECTORATE</t>
        </is>
      </c>
      <c r="U567" s="81" t="n">
        <v>190</v>
      </c>
      <c r="V567" s="53">
        <f>IF(U567&lt;130, "Mini Bulker", IF(AND(U567&gt;=130, U567&lt;150), "Handysize", IF(AND(U567&gt;=150, U567&lt;200), "Handymax", IF(AND(U567&gt;=200, U567&lt;230), "Panamax", IF(AND(U567&gt;=230, U567&lt;=270), "Capesize", "Autre")))))</f>
        <v/>
      </c>
      <c r="X567" s="306">
        <f>IF(E567&lt;9999,"1",IF(E567&lt;19999,"2",IF(E567&lt;29999,"3",IF(E567&lt;39999,"4",IF(E567&lt;49999,"5",IF(E567&gt;50000,"6"))))))</f>
        <v/>
      </c>
      <c r="Y567" s="244" t="inlineStr">
        <is>
          <t>2BIS</t>
        </is>
      </c>
      <c r="AA567" s="26" t="n">
        <v>45913.51666666667</v>
      </c>
      <c r="AB567" s="26" t="n">
        <v>45913.54166666666</v>
      </c>
      <c r="AC567" s="15" t="n">
        <v>45916</v>
      </c>
      <c r="AD567" s="15" t="n">
        <v>45919</v>
      </c>
      <c r="AE567" s="26" t="n">
        <v>45913.42083333333</v>
      </c>
      <c r="AF567" s="26" t="n">
        <v>45915.73611111111</v>
      </c>
      <c r="AG567" s="26" t="n">
        <v>45915.8625</v>
      </c>
      <c r="AH567" s="26" t="n">
        <v>45915.89583333334</v>
      </c>
      <c r="AI567" s="26" t="n">
        <v>45916.44791666666</v>
      </c>
      <c r="AJ567" s="26" t="n">
        <v>45916.51736111111</v>
      </c>
      <c r="AK567" s="26" t="n">
        <v>45922.04166666666</v>
      </c>
      <c r="AL567" s="26" t="n">
        <v>45922.07291666666</v>
      </c>
      <c r="AM567" s="26" t="n">
        <v>45922.10069444445</v>
      </c>
      <c r="AN567" s="26" t="n">
        <v>45922.15</v>
      </c>
      <c r="AO567" s="26" t="n">
        <v>45922.16111111111</v>
      </c>
      <c r="AP567" s="20">
        <f>(AG567-AF567)*1440</f>
        <v/>
      </c>
      <c r="AQ567" s="20">
        <f>(AG567-AE567)*1440</f>
        <v/>
      </c>
      <c r="AR567" s="20">
        <f>(AH567-AF567)*1440</f>
        <v/>
      </c>
      <c r="AS567" s="20">
        <f>(AI567-AH567)*1440</f>
        <v/>
      </c>
      <c r="AT567" s="20">
        <f>(AJ567-AH567)*1440</f>
        <v/>
      </c>
      <c r="AU567" s="20">
        <f>(AL567-AK567)*1440</f>
        <v/>
      </c>
      <c r="AV567" s="20">
        <f>(AM567-AL567)*1440</f>
        <v/>
      </c>
      <c r="AW567" s="20">
        <f>(AO567-AM567)*1440</f>
        <v/>
      </c>
      <c r="AX567" s="19">
        <f>AP567+AS567+AU567+AV567+AW567</f>
        <v/>
      </c>
      <c r="AY567" s="18">
        <f>(AG567-AA567)</f>
        <v/>
      </c>
      <c r="AZ567" s="18">
        <f>(AK567-AJ567)</f>
        <v/>
      </c>
      <c r="BA567" s="18">
        <f>AO567-AG567</f>
        <v/>
      </c>
      <c r="BB567" s="18">
        <f>(AO567-AA567)-(AP567/1440)-(AW567/1440)</f>
        <v/>
      </c>
      <c r="BC567" s="20">
        <f>E567/AZ567</f>
        <v/>
      </c>
      <c r="BE567" s="20">
        <f>IF(E567&lt;10000,3000,IF(E567&lt;15000,3600,IF(E567&lt;20000,4500,IF(E567&lt;25000,6000,IF(E567&lt;30000,7500,IF(E567&lt;40000,9000,IF(E567&gt;40000,10000)))))))</f>
        <v/>
      </c>
      <c r="BF567" s="334">
        <f>(E567/BE567)+2</f>
        <v/>
      </c>
      <c r="BS567" s="99" t="inlineStr">
        <is>
          <t>NUL</t>
        </is>
      </c>
      <c r="BT567" s="99" t="n">
        <v>0</v>
      </c>
      <c r="BU567" s="99" t="inlineStr">
        <is>
          <t>NON CLEAN</t>
        </is>
      </c>
      <c r="BV567" s="99" t="inlineStr">
        <is>
          <t>WATER/HUMIDITY/CONDENSATION</t>
        </is>
      </c>
      <c r="BW567" s="332">
        <f>AI568-AH568</f>
        <v/>
      </c>
      <c r="CB567" s="14" t="n">
        <v>32953</v>
      </c>
    </row>
    <row r="568">
      <c r="A568" s="75" t="n"/>
      <c r="B568" s="349" t="inlineStr">
        <is>
          <t>SHENG FENG HAI</t>
        </is>
      </c>
      <c r="C568" s="243" t="n">
        <v>45922</v>
      </c>
      <c r="D568" s="348" t="n">
        <v>21329</v>
      </c>
      <c r="E568" s="330" t="n"/>
      <c r="G568" s="81" t="n">
        <v>2</v>
      </c>
      <c r="H568" s="75" t="inlineStr">
        <is>
          <t>TSP</t>
        </is>
      </c>
      <c r="I568" s="75" t="inlineStr">
        <is>
          <t>TSP CIV</t>
        </is>
      </c>
      <c r="J568" s="75" t="inlineStr">
        <is>
          <t>CFR</t>
        </is>
      </c>
      <c r="Q568" s="75" t="inlineStr">
        <is>
          <t>ASIE</t>
        </is>
      </c>
      <c r="R568" s="75" t="inlineStr">
        <is>
          <t>INDIA</t>
        </is>
      </c>
      <c r="S568" s="75" t="n"/>
      <c r="T568" s="75" t="inlineStr">
        <is>
          <t>INSPECTORATE</t>
        </is>
      </c>
      <c r="U568" s="81" t="n">
        <v>190</v>
      </c>
      <c r="V568" s="53">
        <f>IF(U568&lt;130, "Mini Bulker", IF(AND(U568&gt;=130, U568&lt;150), "Handysize", IF(AND(U568&gt;=150, U568&lt;200), "Handymax", IF(AND(U568&gt;=200, U568&lt;230), "Panamax", IF(AND(U568&gt;=230, U568&lt;=270), "Capesize", "Autre")))))</f>
        <v/>
      </c>
      <c r="X568" s="306">
        <f>IF(E568&lt;9999,"1",IF(E568&lt;19999,"2",IF(E568&lt;29999,"3",IF(E568&lt;39999,"4",IF(E568&lt;49999,"5",IF(E568&gt;50000,"6"))))))</f>
        <v/>
      </c>
      <c r="Y568" s="244" t="inlineStr">
        <is>
          <t>2BIS</t>
        </is>
      </c>
      <c r="AA568" s="98" t="n"/>
      <c r="AB568" s="98" t="n"/>
      <c r="AC568" s="98" t="n"/>
      <c r="AD568" s="98" t="n"/>
      <c r="AE568" s="98" t="n"/>
      <c r="AF568" s="98" t="n"/>
      <c r="AG568" s="98" t="n"/>
      <c r="AH568" s="98" t="n"/>
      <c r="AI568" s="98" t="n"/>
      <c r="AJ568" s="98" t="n"/>
      <c r="AK568" s="98" t="n"/>
      <c r="AL568" s="98" t="n"/>
      <c r="AM568" s="98" t="n"/>
      <c r="AN568" s="98" t="n"/>
      <c r="AO568" s="98" t="n"/>
      <c r="AP568" s="98" t="n"/>
      <c r="AQ568" s="98" t="n"/>
      <c r="AR568" s="98" t="n"/>
      <c r="AS568" s="98" t="n"/>
      <c r="AT568" s="98" t="n"/>
      <c r="AU568" s="98" t="n"/>
      <c r="AV568" s="98" t="n"/>
      <c r="AW568" s="98" t="n"/>
      <c r="AX568" s="98" t="n"/>
      <c r="AY568" s="98" t="n"/>
      <c r="AZ568" s="98" t="n"/>
      <c r="BA568" s="98" t="n"/>
      <c r="BB568" s="98" t="n"/>
      <c r="BC568" s="98" t="n"/>
      <c r="BD568" s="98" t="n"/>
      <c r="BE568" s="98" t="n"/>
      <c r="BF568" s="98" t="n"/>
      <c r="BG568" s="98" t="n"/>
      <c r="BH568" s="98" t="n"/>
      <c r="BI568" s="98" t="n"/>
      <c r="BJ568" s="98" t="n"/>
      <c r="BK568" s="98" t="n"/>
      <c r="BL568" s="98" t="n"/>
      <c r="BM568" s="98" t="n"/>
      <c r="BN568" s="98" t="n"/>
      <c r="BO568" s="98" t="n"/>
      <c r="BP568" s="98" t="n"/>
      <c r="BQ568" s="98" t="n"/>
      <c r="BR568" s="98" t="n"/>
      <c r="BS568" s="99" t="n"/>
      <c r="BT568" s="99" t="n"/>
      <c r="BV568" s="99" t="n"/>
      <c r="BW568" s="332">
        <f>AI569-AH569</f>
        <v/>
      </c>
      <c r="CB568" s="14" t="n"/>
    </row>
    <row r="569">
      <c r="A569" s="75" t="n">
        <v>364</v>
      </c>
      <c r="B569" s="349" t="inlineStr">
        <is>
          <t>SIFTERI</t>
        </is>
      </c>
      <c r="C569" s="243" t="n">
        <v>45922</v>
      </c>
      <c r="D569" s="348" t="n">
        <v>4400</v>
      </c>
      <c r="E569" s="333">
        <f>D569+D570</f>
        <v/>
      </c>
      <c r="G569" s="81" t="n">
        <v>2</v>
      </c>
      <c r="H569" s="75" t="inlineStr">
        <is>
          <t>DAP</t>
        </is>
      </c>
      <c r="I569" s="75" t="inlineStr">
        <is>
          <t>DAP EURO LOW CD</t>
        </is>
      </c>
      <c r="J569" s="75" t="inlineStr">
        <is>
          <t>CFR</t>
        </is>
      </c>
      <c r="Q569" s="75" t="inlineStr">
        <is>
          <t>EUROPE</t>
        </is>
      </c>
      <c r="R569" s="75" t="inlineStr">
        <is>
          <t>SPAIN</t>
        </is>
      </c>
      <c r="S569" s="75" t="n"/>
      <c r="T569" s="75" t="inlineStr">
        <is>
          <t>INTERTEK</t>
        </is>
      </c>
      <c r="U569" s="81" t="n">
        <v>131</v>
      </c>
      <c r="V569" s="53">
        <f>IF(U569&lt;130, "Mini Bulker", IF(AND(U569&gt;=130, U569&lt;150), "Handysize", IF(AND(U569&gt;=150, U569&lt;200), "Handymax", IF(AND(U569&gt;=200, U569&lt;230), "Panamax", IF(AND(U569&gt;=230, U569&lt;=270), "Capesize", "Autre")))))</f>
        <v/>
      </c>
      <c r="X569" s="306">
        <f>IF(E569&lt;9999,"1",IF(E569&lt;19999,"2",IF(E569&lt;29999,"3",IF(E569&lt;39999,"4",IF(E569&lt;49999,"5",IF(E569&gt;50000,"6"))))))</f>
        <v/>
      </c>
      <c r="Y569" s="244" t="inlineStr">
        <is>
          <t>2N</t>
        </is>
      </c>
      <c r="AA569" s="26" t="n">
        <v>45918.33333333334</v>
      </c>
      <c r="AB569" s="26" t="n">
        <v>45918.375</v>
      </c>
      <c r="AC569" s="15" t="n">
        <v>45916</v>
      </c>
      <c r="AD569" s="15" t="n">
        <v>45918</v>
      </c>
      <c r="AE569" s="26" t="n">
        <v>45912.94444444445</v>
      </c>
      <c r="AF569" s="26" t="n">
        <v>45920.51388888889</v>
      </c>
      <c r="AG569" s="26" t="n">
        <v>45920.58333333334</v>
      </c>
      <c r="AH569" s="26" t="n">
        <v>45920.60416666666</v>
      </c>
      <c r="AI569" s="26" t="n">
        <v>45920.67013888889</v>
      </c>
      <c r="AJ569" s="26" t="n">
        <v>45921.08680555555</v>
      </c>
      <c r="AK569" s="26" t="n">
        <v>45922.04861111111</v>
      </c>
      <c r="AL569" s="26" t="n">
        <v>45922.11319444444</v>
      </c>
      <c r="AM569" s="26" t="n">
        <v>45922.14930555555</v>
      </c>
      <c r="AN569" s="26" t="n">
        <v>45922.2</v>
      </c>
      <c r="AO569" s="26" t="n">
        <v>45922.25</v>
      </c>
      <c r="AP569" s="20">
        <f>(AG569-AF569)*1440</f>
        <v/>
      </c>
      <c r="AQ569" s="20">
        <f>(AG569-AE569)*1440</f>
        <v/>
      </c>
      <c r="AR569" s="20">
        <f>(AH569-AF569)*1440</f>
        <v/>
      </c>
      <c r="AS569" s="20">
        <f>(AI569-AH569)*1440</f>
        <v/>
      </c>
      <c r="AT569" s="20">
        <f>(AJ569-AH569)*1440</f>
        <v/>
      </c>
      <c r="AU569" s="20">
        <f>(AL569-AK569)*1440</f>
        <v/>
      </c>
      <c r="AV569" s="20">
        <f>(AM569-AL569)*1440</f>
        <v/>
      </c>
      <c r="AW569" s="20">
        <f>(AO569-AM569)*1440</f>
        <v/>
      </c>
      <c r="AX569" s="19">
        <f>AP569+AS569+AU569+AV569+AW569</f>
        <v/>
      </c>
      <c r="AY569" s="18">
        <f>(AG569-AA569)</f>
        <v/>
      </c>
      <c r="AZ569" s="18">
        <f>(AK569-AJ569)</f>
        <v/>
      </c>
      <c r="BA569" s="18">
        <f>AO569-AG569</f>
        <v/>
      </c>
      <c r="BB569" s="18">
        <f>(AO569-AA569)-(AP569/1440)-(AW569/1440)</f>
        <v/>
      </c>
      <c r="BC569" s="20">
        <f>E569/AZ569</f>
        <v/>
      </c>
      <c r="BE569" s="20">
        <f>IF(E569&lt;10000,3000,IF(E569&lt;15000,3600,IF(E569&lt;20000,4500,IF(E569&lt;25000,6000,IF(E569&lt;30000,7500,IF(E569&lt;40000,9000,IF(E569&gt;40000,10000)))))))</f>
        <v/>
      </c>
      <c r="BF569" s="334">
        <f>(E569/BE569)+2</f>
        <v/>
      </c>
      <c r="BS569" s="99" t="inlineStr">
        <is>
          <t>NUL</t>
        </is>
      </c>
      <c r="BT569" s="99" t="n">
        <v>0</v>
      </c>
      <c r="BU569" s="99" t="inlineStr">
        <is>
          <t>NON CLEAN</t>
        </is>
      </c>
      <c r="BV569" s="99" t="inlineStr">
        <is>
          <t>WATER/HUMIDITY</t>
        </is>
      </c>
      <c r="BW569" s="332">
        <f>AI570-AH570</f>
        <v/>
      </c>
      <c r="CB569" s="14" t="n">
        <v>7180</v>
      </c>
    </row>
    <row r="570">
      <c r="A570" s="75" t="n"/>
      <c r="B570" s="349" t="inlineStr">
        <is>
          <t>SIFTERI</t>
        </is>
      </c>
      <c r="C570" s="243" t="n">
        <v>45922</v>
      </c>
      <c r="D570" s="348" t="n">
        <v>2200</v>
      </c>
      <c r="E570" s="330" t="n"/>
      <c r="G570" s="81" t="n">
        <v>2</v>
      </c>
      <c r="H570" s="75" t="inlineStr">
        <is>
          <t>NPS</t>
        </is>
      </c>
      <c r="I570" s="75" t="inlineStr">
        <is>
          <t>NP S 42 BLENDABLE LOW CD</t>
        </is>
      </c>
      <c r="J570" s="75" t="inlineStr">
        <is>
          <t>CFR</t>
        </is>
      </c>
      <c r="Q570" s="75" t="inlineStr">
        <is>
          <t>EUROPE</t>
        </is>
      </c>
      <c r="R570" s="75" t="inlineStr">
        <is>
          <t>SPAIN</t>
        </is>
      </c>
      <c r="S570" s="75" t="n"/>
      <c r="T570" s="75" t="inlineStr">
        <is>
          <t>INTERTEK</t>
        </is>
      </c>
      <c r="U570" s="81" t="n">
        <v>131</v>
      </c>
      <c r="V570" s="53">
        <f>IF(U570&lt;130, "Mini Bulker", IF(AND(U570&gt;=130, U570&lt;150), "Handysize", IF(AND(U570&gt;=150, U570&lt;200), "Handymax", IF(AND(U570&gt;=200, U570&lt;230), "Panamax", IF(AND(U570&gt;=230, U570&lt;=270), "Capesize", "Autre")))))</f>
        <v/>
      </c>
      <c r="X570" s="306">
        <f>IF(E570&lt;9999,"1",IF(E570&lt;19999,"2",IF(E570&lt;29999,"3",IF(E570&lt;39999,"4",IF(E570&lt;49999,"5",IF(E570&gt;50000,"6"))))))</f>
        <v/>
      </c>
      <c r="Y570" s="244" t="inlineStr">
        <is>
          <t>2N</t>
        </is>
      </c>
      <c r="AA570" s="98" t="n"/>
      <c r="AB570" s="98" t="n"/>
      <c r="AC570" s="98" t="n"/>
      <c r="AD570" s="98" t="n"/>
      <c r="AE570" s="98" t="n"/>
      <c r="AF570" s="98" t="n"/>
      <c r="AG570" s="98" t="n"/>
      <c r="AH570" s="98" t="n"/>
      <c r="AI570" s="98" t="n"/>
      <c r="AJ570" s="98" t="n"/>
      <c r="AK570" s="98" t="n"/>
      <c r="AL570" s="98" t="n"/>
      <c r="AM570" s="98" t="n"/>
      <c r="AN570" s="98" t="n"/>
      <c r="AO570" s="98" t="n"/>
      <c r="AP570" s="98" t="n"/>
      <c r="AQ570" s="98" t="n"/>
      <c r="AR570" s="98" t="n"/>
      <c r="AS570" s="98" t="n"/>
      <c r="AT570" s="98" t="n"/>
      <c r="AU570" s="98" t="n"/>
      <c r="AV570" s="98" t="n"/>
      <c r="AW570" s="98" t="n"/>
      <c r="AX570" s="98" t="n"/>
      <c r="AY570" s="98" t="n"/>
      <c r="AZ570" s="98" t="n"/>
      <c r="BA570" s="98" t="n"/>
      <c r="BB570" s="98" t="n"/>
      <c r="BC570" s="98" t="n"/>
      <c r="BD570" s="98" t="n"/>
      <c r="BE570" s="98" t="n"/>
      <c r="BF570" s="98" t="n"/>
      <c r="BG570" s="98" t="n"/>
      <c r="BH570" s="98" t="n"/>
      <c r="BI570" s="98" t="n"/>
      <c r="BJ570" s="98" t="n"/>
      <c r="BK570" s="98" t="n"/>
      <c r="BL570" s="98" t="n"/>
      <c r="BM570" s="98" t="n"/>
      <c r="BN570" s="98" t="n"/>
      <c r="BO570" s="98" t="n"/>
      <c r="BP570" s="98" t="n"/>
      <c r="BQ570" s="98" t="n"/>
      <c r="BR570" s="98" t="n"/>
      <c r="BS570" s="99" t="n"/>
      <c r="BW570" s="332">
        <f>AI571-AH571</f>
        <v/>
      </c>
      <c r="CB570" s="14" t="n"/>
    </row>
    <row r="571">
      <c r="A571" s="75" t="n">
        <v>365</v>
      </c>
      <c r="B571" s="349" t="inlineStr">
        <is>
          <t>FULDABORG</t>
        </is>
      </c>
      <c r="C571" s="243" t="n">
        <v>45922</v>
      </c>
      <c r="D571" s="348" t="n">
        <v>13750</v>
      </c>
      <c r="E571" s="348" t="n">
        <v>13750</v>
      </c>
      <c r="G571" s="81" t="n">
        <v>1</v>
      </c>
      <c r="H571" s="75" t="inlineStr">
        <is>
          <t>NPK</t>
        </is>
      </c>
      <c r="I571" s="75" t="inlineStr">
        <is>
          <t>NPK 15 15 15 LOW CD</t>
        </is>
      </c>
      <c r="J571" s="75" t="inlineStr">
        <is>
          <t>FOB</t>
        </is>
      </c>
      <c r="Q571" s="75" t="inlineStr">
        <is>
          <t>EUROPE</t>
        </is>
      </c>
      <c r="R571" s="75" t="inlineStr">
        <is>
          <t>GERMANY</t>
        </is>
      </c>
      <c r="S571" s="75" t="n"/>
      <c r="T571" s="75" t="inlineStr">
        <is>
          <t>INSPECTORATE</t>
        </is>
      </c>
      <c r="U571" s="81" t="n">
        <v>157</v>
      </c>
      <c r="V571" s="53">
        <f>IF(U571&lt;130, "Mini Bulker", IF(AND(U571&gt;=130, U571&lt;150), "Handysize", IF(AND(U571&gt;=150, U571&lt;200), "Handymax", IF(AND(U571&gt;=200, U571&lt;230), "Panamax", IF(AND(U571&gt;=230, U571&lt;=270), "Capesize", "Autre")))))</f>
        <v/>
      </c>
      <c r="X571" s="306">
        <f>IF(E571&lt;9999,"1",IF(E571&lt;19999,"2",IF(E571&lt;29999,"3",IF(E571&lt;39999,"4",IF(E571&lt;49999,"5",IF(E571&gt;50000,"6"))))))</f>
        <v/>
      </c>
      <c r="Y571" s="244" t="inlineStr">
        <is>
          <t>2TER</t>
        </is>
      </c>
      <c r="AA571" s="26" t="n">
        <v>45906.86527777778</v>
      </c>
      <c r="AB571" s="26" t="n">
        <v>45908.375</v>
      </c>
      <c r="AC571" s="15" t="n">
        <v>45910</v>
      </c>
      <c r="AD571" s="15" t="n">
        <v>45912</v>
      </c>
      <c r="AE571" s="26" t="n">
        <v>45906.83333333334</v>
      </c>
      <c r="AF571" s="26" t="n">
        <v>45914.27083333334</v>
      </c>
      <c r="AG571" s="26" t="n">
        <v>45914.40625</v>
      </c>
      <c r="AH571" s="26" t="n">
        <v>45914.43402777778</v>
      </c>
      <c r="AI571" s="26" t="n">
        <v>45915.49305555555</v>
      </c>
      <c r="AJ571" s="26" t="n">
        <v>45915.57638888889</v>
      </c>
      <c r="AK571" s="26" t="n">
        <v>45922.11458333334</v>
      </c>
      <c r="AL571" s="26" t="n">
        <v>45922.15277777778</v>
      </c>
      <c r="AM571" s="26" t="n">
        <v>45922.19444444445</v>
      </c>
      <c r="AN571" s="26" t="n">
        <v>45922.28472222222</v>
      </c>
      <c r="AO571" s="26" t="n">
        <v>45922.3</v>
      </c>
      <c r="AP571" s="20">
        <f>(AG571-AF571)*1440</f>
        <v/>
      </c>
      <c r="AQ571" s="20">
        <f>(AG571-AE571)*1440</f>
        <v/>
      </c>
      <c r="AR571" s="20">
        <f>(AH571-AF571)*1440</f>
        <v/>
      </c>
      <c r="AS571" s="20">
        <f>(AI571-AH571)*1440</f>
        <v/>
      </c>
      <c r="AT571" s="20">
        <f>(AJ571-AH571)*1440</f>
        <v/>
      </c>
      <c r="AU571" s="20">
        <f>(AL571-AK571)*1440</f>
        <v/>
      </c>
      <c r="AV571" s="20">
        <f>(AM571-AL571)*1440</f>
        <v/>
      </c>
      <c r="AW571" s="20">
        <f>(AO571-AM571)*1440</f>
        <v/>
      </c>
      <c r="AX571" s="19">
        <f>AP571+AS571+AU571+AV571+AW571</f>
        <v/>
      </c>
      <c r="AY571" s="18">
        <f>(AG571-AA571)</f>
        <v/>
      </c>
      <c r="AZ571" s="18">
        <f>(AK571-AJ571)</f>
        <v/>
      </c>
      <c r="BA571" s="18">
        <f>AO571-AG571</f>
        <v/>
      </c>
      <c r="BB571" s="18">
        <f>(AO571-AA571)-(AP571/1440)-(AW571/1440)</f>
        <v/>
      </c>
      <c r="BC571" s="20">
        <f>E571/AZ571</f>
        <v/>
      </c>
      <c r="BE571" s="20">
        <f>IF(E571&lt;10000,3000,IF(E571&lt;15000,3600,IF(E571&lt;20000,4500,IF(E571&lt;25000,6000,IF(E571&lt;30000,7500,IF(E571&lt;40000,9000,IF(E571&gt;40000,10000)))))))</f>
        <v/>
      </c>
      <c r="BF571" s="334">
        <f>(E571/BE571)+2</f>
        <v/>
      </c>
      <c r="BS571" s="99" t="inlineStr">
        <is>
          <t>CHANGE DU POSTE 2TER VERS LA RADE LE 17/09 1530// RE ACCOSTAGE AU POSTE 2TER LE 20/09 6:30</t>
        </is>
      </c>
      <c r="BT571" s="99" t="n">
        <v>2</v>
      </c>
      <c r="BU571" s="99" t="inlineStr">
        <is>
          <t>NON CLEAN</t>
        </is>
      </c>
      <c r="BV571" s="99" t="inlineStr">
        <is>
          <t>LAST CARGO/WATER/HUMIDITY/BULK HEAD</t>
        </is>
      </c>
      <c r="BW571" s="332">
        <f>AI572-AH572</f>
        <v/>
      </c>
      <c r="CB571" s="14" t="n">
        <v>8911</v>
      </c>
    </row>
    <row r="572">
      <c r="A572" s="75" t="n">
        <v>366</v>
      </c>
      <c r="B572" s="349" t="inlineStr">
        <is>
          <t>JAHAN BROTHERS I</t>
        </is>
      </c>
      <c r="C572" s="243" t="n">
        <v>45922</v>
      </c>
      <c r="D572" s="348" t="n">
        <v>25030</v>
      </c>
      <c r="E572" s="333">
        <f>D572+D573</f>
        <v/>
      </c>
      <c r="G572" s="81" t="n">
        <v>2</v>
      </c>
      <c r="H572" s="75" t="inlineStr">
        <is>
          <t>DAP</t>
        </is>
      </c>
      <c r="I572" s="75" t="inlineStr">
        <is>
          <t>DAP STANDARD</t>
        </is>
      </c>
      <c r="J572" s="75" t="inlineStr">
        <is>
          <t>CFR</t>
        </is>
      </c>
      <c r="Q572" s="75" t="inlineStr">
        <is>
          <t>ASIE</t>
        </is>
      </c>
      <c r="R572" s="75" t="inlineStr">
        <is>
          <t>INDIA</t>
        </is>
      </c>
      <c r="T572" s="75" t="inlineStr">
        <is>
          <t>INSPECTORATE</t>
        </is>
      </c>
      <c r="U572" s="81" t="n">
        <v>190</v>
      </c>
      <c r="V572" s="53">
        <f>IF(U572&lt;130, "Mini Bulker", IF(AND(U572&gt;=130, U572&lt;150), "Handysize", IF(AND(U572&gt;=150, U572&lt;200), "Handymax", IF(AND(U572&gt;=200, U572&lt;230), "Panamax", IF(AND(U572&gt;=230, U572&lt;=270), "Capesize", "Autre")))))</f>
        <v/>
      </c>
      <c r="X572" s="306">
        <f>IF(E572&lt;9999,"1",IF(E572&lt;19999,"2",IF(E572&lt;29999,"3",IF(E572&lt;39999,"4",IF(E572&lt;49999,"5",IF(E572&gt;50000,"6"))))))</f>
        <v/>
      </c>
      <c r="Y572" s="244" t="inlineStr">
        <is>
          <t>1BIS</t>
        </is>
      </c>
      <c r="AA572" s="26" t="n">
        <v>45911.875</v>
      </c>
      <c r="AB572" s="26" t="n">
        <v>45912.375</v>
      </c>
      <c r="AC572" s="15" t="n">
        <v>45912</v>
      </c>
      <c r="AD572" s="15" t="n">
        <v>45915</v>
      </c>
      <c r="AE572" s="26" t="n">
        <v>45911.79166666666</v>
      </c>
      <c r="AF572" s="26" t="n">
        <v>45912.52638888889</v>
      </c>
      <c r="AG572" s="26" t="n">
        <v>45912.59375</v>
      </c>
      <c r="AH572" s="26" t="n">
        <v>45912.61805555555</v>
      </c>
      <c r="AI572" s="26" t="n">
        <v>45912.69791666666</v>
      </c>
      <c r="AJ572" s="26" t="n">
        <v>45912.70833333334</v>
      </c>
      <c r="AK572" s="26" t="n">
        <v>45922.55902777778</v>
      </c>
      <c r="AL572" s="26" t="n">
        <v>45922.61805555555</v>
      </c>
      <c r="AM572" s="26" t="n">
        <v>45922.61805555555</v>
      </c>
      <c r="AN572" s="26" t="n">
        <v>45922.62847222222</v>
      </c>
      <c r="AO572" s="26" t="n">
        <v>45922.65277777778</v>
      </c>
      <c r="AP572" s="20">
        <f>(AG572-AF572)*1440</f>
        <v/>
      </c>
      <c r="AQ572" s="20">
        <f>(AG572-AE572)*1440</f>
        <v/>
      </c>
      <c r="AR572" s="20">
        <f>(AH572-AF572)*1440</f>
        <v/>
      </c>
      <c r="AS572" s="20">
        <f>(AI572-AH572)*1440</f>
        <v/>
      </c>
      <c r="AT572" s="20">
        <f>(AJ572-AH572)*1440</f>
        <v/>
      </c>
      <c r="AU572" s="20">
        <f>(AL572-AK572)*1440</f>
        <v/>
      </c>
      <c r="AV572" s="20">
        <f>(AM572-AL572)*1440</f>
        <v/>
      </c>
      <c r="AW572" s="20">
        <f>(AO572-AM572)*1440</f>
        <v/>
      </c>
      <c r="AX572" s="19">
        <f>AP572+AS572+AU572+AV572+AW572</f>
        <v/>
      </c>
      <c r="AY572" s="18">
        <f>(AG572-AA572)</f>
        <v/>
      </c>
      <c r="AZ572" s="18">
        <f>(AK572-AJ572)</f>
        <v/>
      </c>
      <c r="BA572" s="18">
        <f>AO572-AG572</f>
        <v/>
      </c>
      <c r="BB572" s="18">
        <f>(AO572-AA572)-(AP572/1440)-(AW572/1440)</f>
        <v/>
      </c>
      <c r="BC572" s="20">
        <f>E572/AZ572</f>
        <v/>
      </c>
      <c r="BE572" s="20">
        <f>IF(E572&lt;10000,3000,IF(E572&lt;15000,3600,IF(E572&lt;20000,4500,IF(E572&lt;25000,6000,IF(E572&lt;30000,7500,IF(E572&lt;40000,9000,IF(E572&gt;40000,10000)))))))</f>
        <v/>
      </c>
      <c r="BF572" s="334">
        <f>(E572/BE572)+2</f>
        <v/>
      </c>
      <c r="BS572" s="99" t="inlineStr">
        <is>
          <t>CHANGE DU POSTE 1BIS VERS LA RADE LE 18/09 1426 // RE ACCOSTAGE AU POSTE 1BIS LE 21/09  0512</t>
        </is>
      </c>
      <c r="BT572" s="99" t="n">
        <v>2</v>
      </c>
      <c r="BU572" s="99" t="inlineStr">
        <is>
          <t>NON CLEAN</t>
        </is>
      </c>
      <c r="BV572" s="99" t="inlineStr">
        <is>
          <t>WATER</t>
        </is>
      </c>
      <c r="BW572" s="332">
        <f>AI573-AH573</f>
        <v/>
      </c>
      <c r="CB572" s="14" t="n">
        <v>32297</v>
      </c>
    </row>
    <row r="573">
      <c r="B573" s="349" t="inlineStr">
        <is>
          <t>JAHAN BROTHERS I</t>
        </is>
      </c>
      <c r="C573" s="243" t="n">
        <v>45922</v>
      </c>
      <c r="D573" s="348" t="n">
        <v>31030</v>
      </c>
      <c r="E573" s="330" t="n"/>
      <c r="G573" s="81" t="n">
        <v>2</v>
      </c>
      <c r="H573" s="75" t="inlineStr">
        <is>
          <t>TSP</t>
        </is>
      </c>
      <c r="I573" s="75" t="inlineStr">
        <is>
          <t>TSP CIV</t>
        </is>
      </c>
      <c r="J573" s="75" t="inlineStr">
        <is>
          <t>CFR</t>
        </is>
      </c>
      <c r="Q573" s="75" t="inlineStr">
        <is>
          <t>ASIE</t>
        </is>
      </c>
      <c r="R573" s="75" t="inlineStr">
        <is>
          <t>INDIA</t>
        </is>
      </c>
      <c r="T573" s="75" t="inlineStr">
        <is>
          <t>INSPECTORATE</t>
        </is>
      </c>
      <c r="U573" s="81" t="n">
        <v>190</v>
      </c>
      <c r="V573" s="53">
        <f>IF(U573&lt;130, "Mini Bulker", IF(AND(U573&gt;=130, U573&lt;150), "Handysize", IF(AND(U573&gt;=150, U573&lt;200), "Handymax", IF(AND(U573&gt;=200, U573&lt;230), "Panamax", IF(AND(U573&gt;=230, U573&lt;=270), "Capesize", "Autre")))))</f>
        <v/>
      </c>
      <c r="X573" s="306">
        <f>IF(E573&lt;9999,"1",IF(E573&lt;19999,"2",IF(E573&lt;29999,"3",IF(E573&lt;39999,"4",IF(E573&lt;49999,"5",IF(E573&gt;50000,"6"))))))</f>
        <v/>
      </c>
      <c r="Y573" s="244" t="inlineStr">
        <is>
          <t>1BIS</t>
        </is>
      </c>
      <c r="AA573" s="98" t="n"/>
      <c r="AB573" s="98" t="n"/>
      <c r="AC573" s="98" t="n"/>
      <c r="AD573" s="98" t="n"/>
      <c r="AE573" s="98" t="n"/>
      <c r="AF573" s="98" t="n"/>
      <c r="AG573" s="98" t="n"/>
      <c r="AH573" s="98" t="n"/>
      <c r="AI573" s="98" t="n"/>
      <c r="AJ573" s="98" t="n"/>
      <c r="AK573" s="98" t="n"/>
      <c r="AL573" s="98" t="n"/>
      <c r="AM573" s="98" t="n"/>
      <c r="AN573" s="98" t="n"/>
      <c r="AO573" s="98" t="n"/>
      <c r="AP573" s="98" t="n"/>
      <c r="AQ573" s="98" t="n"/>
      <c r="AR573" s="98" t="n"/>
      <c r="AS573" s="98" t="n"/>
      <c r="AT573" s="98" t="n"/>
      <c r="AU573" s="98" t="n"/>
      <c r="AV573" s="98" t="n"/>
      <c r="AW573" s="98" t="n"/>
      <c r="AX573" s="98" t="n"/>
      <c r="AY573" s="98" t="n"/>
      <c r="AZ573" s="98" t="n"/>
      <c r="BA573" s="98" t="n"/>
      <c r="BB573" s="98" t="n"/>
      <c r="BC573" s="98" t="n"/>
      <c r="BD573" s="98" t="n"/>
      <c r="BE573" s="98" t="n"/>
      <c r="BF573" s="98" t="n"/>
      <c r="BG573" s="98" t="n"/>
      <c r="BH573" s="98" t="n"/>
      <c r="BI573" s="98" t="n"/>
      <c r="BJ573" s="98" t="n"/>
      <c r="BK573" s="98" t="n"/>
      <c r="BL573" s="98" t="n"/>
      <c r="BM573" s="98" t="n"/>
      <c r="BN573" s="98" t="n"/>
      <c r="BO573" s="98" t="n"/>
      <c r="BP573" s="98" t="n"/>
      <c r="BQ573" s="98" t="n"/>
      <c r="BR573" s="98" t="n"/>
      <c r="BS573" s="99" t="n"/>
      <c r="BW573" s="332">
        <f>AI574-AH574</f>
        <v/>
      </c>
      <c r="CB573" s="14" t="n"/>
    </row>
    <row r="574">
      <c r="A574" s="75" t="n">
        <v>367</v>
      </c>
      <c r="B574" s="349" t="inlineStr">
        <is>
          <t>BIWA ARROW</t>
        </is>
      </c>
      <c r="C574" s="243" t="n">
        <v>45923</v>
      </c>
      <c r="D574" s="348" t="n">
        <v>27500</v>
      </c>
      <c r="E574" s="333">
        <f>D574+D575</f>
        <v/>
      </c>
      <c r="G574" s="81" t="n">
        <v>2</v>
      </c>
      <c r="H574" s="75" t="inlineStr">
        <is>
          <t>DAP</t>
        </is>
      </c>
      <c r="I574" s="75" t="inlineStr">
        <is>
          <t>DAP STANDARD</t>
        </is>
      </c>
      <c r="J574" s="75" t="inlineStr">
        <is>
          <t>CFR</t>
        </is>
      </c>
      <c r="Q574" s="75" t="inlineStr">
        <is>
          <t>ASIE</t>
        </is>
      </c>
      <c r="R574" s="75" t="inlineStr">
        <is>
          <t>INDIA</t>
        </is>
      </c>
      <c r="T574" s="75" t="inlineStr">
        <is>
          <t>INTERTEK</t>
        </is>
      </c>
      <c r="U574" s="81" t="n">
        <v>190</v>
      </c>
      <c r="V574" s="53">
        <f>IF(U574&lt;130, "Mini Bulker", IF(AND(U574&gt;=130, U574&lt;150), "Handysize", IF(AND(U574&gt;=150, U574&lt;200), "Handymax", IF(AND(U574&gt;=200, U574&lt;230), "Panamax", IF(AND(U574&gt;=230, U574&lt;=270), "Capesize", "Autre")))))</f>
        <v/>
      </c>
      <c r="X574" s="306">
        <f>IF(E574&lt;9999,"1",IF(E574&lt;19999,"2",IF(E574&lt;29999,"3",IF(E574&lt;39999,"4",IF(E574&lt;49999,"5",IF(E574&gt;50000,"6"))))))</f>
        <v/>
      </c>
      <c r="Y574" s="244" t="inlineStr">
        <is>
          <t>1N</t>
        </is>
      </c>
      <c r="AA574" s="26" t="n">
        <v>45912.61527777778</v>
      </c>
      <c r="AB574" s="26" t="n">
        <v>45912.61527777778</v>
      </c>
      <c r="AC574" s="15" t="n">
        <v>45909</v>
      </c>
      <c r="AD574" s="15" t="n">
        <v>45912</v>
      </c>
      <c r="AE574" s="26" t="n">
        <v>45911.29166666666</v>
      </c>
      <c r="AF574" s="26" t="n">
        <v>45912.60277777778</v>
      </c>
      <c r="AG574" s="26" t="n">
        <v>45912.65833333333</v>
      </c>
      <c r="AH574" s="26" t="n">
        <v>45912.68055555555</v>
      </c>
      <c r="AI574" s="26" t="n">
        <v>45912.74305555555</v>
      </c>
      <c r="AJ574" s="26" t="n">
        <v>45912.81944444445</v>
      </c>
      <c r="AK574" s="26" t="n">
        <v>45923.64583333334</v>
      </c>
      <c r="AL574" s="26" t="n">
        <v>45923.69444444445</v>
      </c>
      <c r="AM574" s="26" t="n">
        <v>45923.70138888889</v>
      </c>
      <c r="AN574" s="26" t="n">
        <v>45923.74305555555</v>
      </c>
      <c r="AO574" s="26" t="n">
        <v>45923.73125</v>
      </c>
      <c r="AP574" s="20">
        <f>(AG574-AF574)*1440</f>
        <v/>
      </c>
      <c r="AQ574" s="20">
        <f>(AG574-AE574)*1440</f>
        <v/>
      </c>
      <c r="AR574" s="20">
        <f>(AH574-AF574)*1440</f>
        <v/>
      </c>
      <c r="AS574" s="20">
        <f>(AI574-AH574)*1440</f>
        <v/>
      </c>
      <c r="AT574" s="20">
        <f>(AJ574-AH574)*1440</f>
        <v/>
      </c>
      <c r="AU574" s="20">
        <f>(AL574-AK574)*1440</f>
        <v/>
      </c>
      <c r="AV574" s="20">
        <f>(AM574-AL574)*1440</f>
        <v/>
      </c>
      <c r="AW574" s="20">
        <f>(AO574-AM574)*1440</f>
        <v/>
      </c>
      <c r="AX574" s="19">
        <f>AP574+AS574+AU574+AV574+AW574</f>
        <v/>
      </c>
      <c r="AY574" s="18">
        <f>(AG574-AA574)</f>
        <v/>
      </c>
      <c r="AZ574" s="18">
        <f>(AK574-AJ574)</f>
        <v/>
      </c>
      <c r="BA574" s="18">
        <f>AO574-AG574</f>
        <v/>
      </c>
      <c r="BB574" s="18">
        <f>(AO574-AA574)-(AP574/1440)-(AW574/1440)</f>
        <v/>
      </c>
      <c r="BC574" s="20">
        <f>E574/AZ574</f>
        <v/>
      </c>
      <c r="BE574" s="20">
        <f>IF(E574&lt;10000,3000,IF(E574&lt;15000,3600,IF(E574&lt;20000,4500,IF(E574&lt;25000,6000,IF(E574&lt;30000,7500,IF(E574&lt;40000,9000,IF(E574&gt;40000,10000)))))))</f>
        <v/>
      </c>
      <c r="BF574" s="334">
        <f>(E574/BE574)+2</f>
        <v/>
      </c>
      <c r="BS574" s="99" t="inlineStr">
        <is>
          <t>CHANGE DU ¨POSTE 1N VERS LA RADE LE 17/09 18:30// RE ACCOSTAGE AU POSTE 1N LE 18/09 1813</t>
        </is>
      </c>
      <c r="BT574" s="99" t="n">
        <v>2</v>
      </c>
      <c r="BU574" s="99" t="inlineStr">
        <is>
          <t>CLEAN</t>
        </is>
      </c>
      <c r="BV574" s="99" t="inlineStr">
        <is>
          <t>NUL</t>
        </is>
      </c>
      <c r="BW574" s="332">
        <f>AI575-AH575</f>
        <v/>
      </c>
      <c r="CB574" s="14" t="n">
        <v>31864</v>
      </c>
    </row>
    <row r="575">
      <c r="B575" s="349" t="inlineStr">
        <is>
          <t>BIWA ARROW</t>
        </is>
      </c>
      <c r="C575" s="243" t="n">
        <v>45923</v>
      </c>
      <c r="D575" s="348" t="n">
        <v>25833</v>
      </c>
      <c r="E575" s="330" t="n"/>
      <c r="G575" s="81" t="n">
        <v>2</v>
      </c>
      <c r="H575" s="75" t="inlineStr">
        <is>
          <t>TSP</t>
        </is>
      </c>
      <c r="I575" s="75" t="inlineStr">
        <is>
          <t>TSP CIV</t>
        </is>
      </c>
      <c r="J575" s="75" t="inlineStr">
        <is>
          <t>CFR</t>
        </is>
      </c>
      <c r="Q575" s="75" t="inlineStr">
        <is>
          <t>ASIE</t>
        </is>
      </c>
      <c r="R575" s="75" t="inlineStr">
        <is>
          <t>INDIA</t>
        </is>
      </c>
      <c r="T575" s="75" t="inlineStr">
        <is>
          <t>INTERTEK</t>
        </is>
      </c>
      <c r="U575" s="81" t="n">
        <v>190</v>
      </c>
      <c r="V575" s="53">
        <f>IF(U575&lt;130, "Mini Bulker", IF(AND(U575&gt;=130, U575&lt;150), "Handysize", IF(AND(U575&gt;=150, U575&lt;200), "Handymax", IF(AND(U575&gt;=200, U575&lt;230), "Panamax", IF(AND(U575&gt;=230, U575&lt;=270), "Capesize", "Autre")))))</f>
        <v/>
      </c>
      <c r="X575" s="306">
        <f>IF(E575&lt;9999,"1",IF(E575&lt;19999,"2",IF(E575&lt;29999,"3",IF(E575&lt;39999,"4",IF(E575&lt;49999,"5",IF(E575&gt;50000,"6"))))))</f>
        <v/>
      </c>
      <c r="Y575" s="244" t="inlineStr">
        <is>
          <t>1N</t>
        </is>
      </c>
      <c r="AA575" s="98" t="n"/>
      <c r="AB575" s="98" t="n"/>
      <c r="AC575" s="98" t="n"/>
      <c r="AD575" s="98" t="n"/>
      <c r="AE575" s="98" t="n"/>
      <c r="AF575" s="98" t="n"/>
      <c r="AG575" s="98" t="n"/>
      <c r="AH575" s="98" t="n"/>
      <c r="AI575" s="98" t="n"/>
      <c r="AJ575" s="98" t="n"/>
      <c r="AK575" s="98" t="n"/>
      <c r="AL575" s="98" t="n"/>
      <c r="AM575" s="98" t="n"/>
      <c r="AN575" s="98" t="n"/>
      <c r="AO575" s="98" t="n"/>
      <c r="AP575" s="98" t="n"/>
      <c r="AQ575" s="98" t="n"/>
      <c r="AR575" s="98" t="n"/>
      <c r="AS575" s="98" t="n"/>
      <c r="AT575" s="98" t="n"/>
      <c r="AU575" s="98" t="n"/>
      <c r="AV575" s="98" t="n"/>
      <c r="AW575" s="98" t="n"/>
      <c r="AX575" s="98" t="n"/>
      <c r="AY575" s="98" t="n"/>
      <c r="AZ575" s="98" t="n"/>
      <c r="BA575" s="98" t="n"/>
      <c r="BB575" s="98" t="n"/>
      <c r="BC575" s="98" t="n"/>
      <c r="BD575" s="98" t="n"/>
      <c r="BE575" s="98" t="n"/>
      <c r="BF575" s="98" t="n"/>
      <c r="BG575" s="98" t="n"/>
      <c r="BH575" s="98" t="n"/>
      <c r="BI575" s="98" t="n"/>
      <c r="BJ575" s="98" t="n"/>
      <c r="BK575" s="98" t="n"/>
      <c r="BL575" s="98" t="n"/>
      <c r="BM575" s="98" t="n"/>
      <c r="BN575" s="98" t="n"/>
      <c r="BO575" s="98" t="n"/>
      <c r="BP575" s="98" t="n"/>
      <c r="BQ575" s="98" t="n"/>
      <c r="BR575" s="98" t="n"/>
      <c r="BW575" s="332">
        <f>AI576-AH576</f>
        <v/>
      </c>
      <c r="CB575" s="14" t="n"/>
    </row>
    <row r="576">
      <c r="A576" s="75" t="n">
        <v>378</v>
      </c>
      <c r="B576" s="350" t="inlineStr">
        <is>
          <t>ADASUN</t>
        </is>
      </c>
      <c r="C576" s="243" t="n">
        <v>45923</v>
      </c>
      <c r="D576" s="348" t="n">
        <v>11000</v>
      </c>
      <c r="E576" s="348" t="n">
        <v>11000</v>
      </c>
      <c r="G576" s="81" t="n">
        <v>1</v>
      </c>
      <c r="H576" s="75" t="inlineStr">
        <is>
          <t>MAP</t>
        </is>
      </c>
      <c r="I576" s="75" t="inlineStr">
        <is>
          <t>MAP 11-52</t>
        </is>
      </c>
      <c r="J576" s="75" t="inlineStr">
        <is>
          <t>CFR</t>
        </is>
      </c>
      <c r="Q576" s="75" t="inlineStr">
        <is>
          <t>AMERIQUE LATINE</t>
        </is>
      </c>
      <c r="R576" s="75" t="inlineStr">
        <is>
          <t>ARGENTINE</t>
        </is>
      </c>
      <c r="T576" s="75" t="inlineStr">
        <is>
          <t>INTERTEK</t>
        </is>
      </c>
      <c r="U576" s="81" t="n">
        <v>180</v>
      </c>
      <c r="V576" s="53">
        <f>IF(U576&lt;130, "Mini Bulker", IF(AND(U576&gt;=130, U576&lt;150), "Handysize", IF(AND(U576&gt;=150, U576&lt;200), "Handymax", IF(AND(U576&gt;=200, U576&lt;230), "Panamax", IF(AND(U576&gt;=230, U576&lt;=270), "Capesize", "Autre")))))</f>
        <v/>
      </c>
      <c r="X576" s="306">
        <f>IF(E576&lt;9999,"1",IF(E576&lt;19999,"2",IF(E576&lt;29999,"3",IF(E576&lt;39999,"4",IF(E576&lt;49999,"5",IF(E576&gt;50000,"6"))))))</f>
        <v/>
      </c>
      <c r="Y576" s="244" t="inlineStr">
        <is>
          <t>1BIS</t>
        </is>
      </c>
      <c r="AP576" s="20">
        <f>(AG576-AF576)*1440</f>
        <v/>
      </c>
      <c r="AQ576" s="20">
        <f>(AG576-AE576)*1440</f>
        <v/>
      </c>
      <c r="AR576" s="20">
        <f>(AH576-AF576)*1440</f>
        <v/>
      </c>
      <c r="AS576" s="20">
        <f>(AI576-AH576)*1440</f>
        <v/>
      </c>
      <c r="AT576" s="20">
        <f>(AJ576-AH576)*1440</f>
        <v/>
      </c>
      <c r="AU576" s="20">
        <f>(AL576-AK576)*1440</f>
        <v/>
      </c>
      <c r="AV576" s="20">
        <f>(AM576-AL576)*1440</f>
        <v/>
      </c>
      <c r="AW576" s="20">
        <f>(AO576-AM576)*1440</f>
        <v/>
      </c>
      <c r="AX576" s="19">
        <f>AP576+AS576+AU576+AV576+AW576</f>
        <v/>
      </c>
      <c r="AY576" s="18">
        <f>(AG576-AA576)</f>
        <v/>
      </c>
      <c r="AZ576" s="18">
        <f>(AK576-AJ576)</f>
        <v/>
      </c>
      <c r="BA576" s="18">
        <f>AO576-AG576</f>
        <v/>
      </c>
      <c r="BB576" s="18">
        <f>(AO576-AA576)-(AP576/1440)-(AW576/1440)</f>
        <v/>
      </c>
      <c r="BC576" s="20">
        <f>E576/AZ576</f>
        <v/>
      </c>
      <c r="BE576" s="20">
        <f>IF(E576&lt;10000,3000,IF(E576&lt;15000,3600,IF(E576&lt;20000,4500,IF(E576&lt;25000,6000,IF(E576&lt;30000,7500,IF(E576&lt;40000,9000,IF(E576&gt;40000,10000)))))))</f>
        <v/>
      </c>
      <c r="BF576" s="334">
        <f>(E576/BE576)+2</f>
        <v/>
      </c>
      <c r="BS576" s="99" t="inlineStr">
        <is>
          <t>NUL</t>
        </is>
      </c>
      <c r="BT576" s="99" t="n">
        <v>0</v>
      </c>
      <c r="BW576" s="332">
        <f>AI577-AH577</f>
        <v/>
      </c>
      <c r="CB576" s="14" t="n">
        <v>21530</v>
      </c>
    </row>
    <row r="577">
      <c r="I577" s="75" t="n"/>
      <c r="BS577" s="99" t="n"/>
      <c r="BT577" s="99" t="n"/>
      <c r="CB577" s="14" t="n"/>
    </row>
    <row r="578">
      <c r="I578" s="75" t="n"/>
      <c r="BS578" s="99" t="n"/>
      <c r="BT578" s="99" t="n"/>
    </row>
    <row r="579">
      <c r="BS579" s="99" t="n"/>
      <c r="BT579" s="99" t="n"/>
    </row>
    <row r="580">
      <c r="BS580" s="99" t="n"/>
      <c r="BT580" s="99" t="n"/>
    </row>
    <row r="581">
      <c r="BS581" s="99" t="n"/>
      <c r="BT581" s="99" t="n"/>
    </row>
    <row r="582">
      <c r="BS582" s="99" t="n"/>
      <c r="BT582" s="99" t="n"/>
    </row>
  </sheetData>
  <autoFilter ref="A1:CQ576">
    <filterColumn colId="67" hiddenButton="0" showButton="0"/>
    <filterColumn colId="68" hiddenButton="0" showButton="0"/>
    <sortState ref="A2:CQ470">
      <sortCondition ref="C1:C470"/>
    </sortState>
  </autoFilter>
  <mergeCells count="1">
    <mergeCell ref="BP1:BR1"/>
  </mergeCells>
  <conditionalFormatting sqref="BP1">
    <cfRule type="uniqueValues" priority="1" dxfId="0"/>
  </conditionalFormatting>
  <dataValidations count="2">
    <dataValidation sqref="J1 J3:J4 J7:J8 J10:J11" showDropDown="0" showInputMessage="1" showErrorMessage="1" allowBlank="0" type="list">
      <formula1>"FOB,CFR,DAT,DAP,CIF,EXW"</formula1>
    </dataValidation>
    <dataValidation sqref="H2:H3 H6:H8 H10 H13 H16 H23" showDropDown="0" showInputMessage="1" showErrorMessage="1" allowBlank="1" type="list">
      <formula1>"MAP,MAP OIJ,ASP,MAP JFF,MAP JFD,MAP JFT,DAP,NPSB,DAP OIJ,DAP JFQ,DAP JFT,DAP JFD,NPK,NPK OIJ,TSP,TSP OIJ,TSP JFT,TSP JFF,NPS,NPS OIJ,NPS JFT,NPS JFQ,NP JFT,NP JFD"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15"/>
  <sheetViews>
    <sheetView zoomScale="109" workbookViewId="0">
      <pane xSplit="2" topLeftCell="C1" activePane="topRight" state="frozen"/>
      <selection pane="topRight" activeCell="C20" sqref="C20"/>
    </sheetView>
  </sheetViews>
  <sheetFormatPr baseColWidth="10" defaultRowHeight="14.4"/>
  <cols>
    <col width="4.77734375" customWidth="1" style="237" min="1" max="1"/>
    <col width="14.21875" customWidth="1" style="70" min="2" max="2"/>
    <col width="12.21875" bestFit="1" customWidth="1" style="70" min="3" max="3"/>
    <col width="4.77734375" customWidth="1" style="237" min="6" max="6"/>
    <col hidden="1" style="70" min="11" max="11"/>
    <col hidden="1" width="18.77734375" customWidth="1" style="70" min="12" max="12"/>
    <col hidden="1" style="70" min="13" max="13"/>
    <col hidden="1" width="14.21875" customWidth="1" style="70" min="14" max="14"/>
    <col hidden="1" width="18.21875" customWidth="1" style="70" min="15" max="15"/>
    <col width="39.21875" customWidth="1" style="70" min="16" max="16"/>
    <col width="13.21875" customWidth="1" style="70" min="18" max="18"/>
    <col width="13.77734375" customWidth="1" style="70" min="19" max="19"/>
    <col hidden="1" style="70" min="23" max="23"/>
    <col width="14.77734375" customWidth="1" style="70" min="24" max="24"/>
    <col width="16.21875" customWidth="1" style="70" min="25" max="25"/>
    <col width="13.5546875" customWidth="1" style="70" min="26" max="26"/>
    <col width="14.21875" customWidth="1" style="70" min="27" max="27"/>
    <col width="15.5546875" customWidth="1" style="70" min="28" max="28"/>
    <col width="14.77734375" customWidth="1" style="70" min="29" max="29"/>
    <col width="16.21875" customWidth="1" style="70" min="30" max="30"/>
    <col width="13.77734375" customWidth="1" style="70" min="31" max="31"/>
    <col width="15.21875" customWidth="1" style="70" min="32" max="32"/>
    <col width="13.5546875" customWidth="1" style="70" min="33" max="33"/>
    <col width="15" customWidth="1" style="70" min="34" max="34"/>
    <col width="14.77734375" customWidth="1" style="70" min="35" max="35"/>
    <col width="14.5546875" customWidth="1" style="70" min="36" max="36"/>
    <col width="15.44140625" customWidth="1" style="70" min="37" max="37"/>
  </cols>
  <sheetData>
    <row r="1" ht="42" customFormat="1" customHeight="1" s="67">
      <c r="A1" s="55" t="inlineStr">
        <is>
          <t>N</t>
        </is>
      </c>
      <c r="B1" s="55" t="inlineStr">
        <is>
          <t>Navires</t>
        </is>
      </c>
      <c r="C1" s="56" t="inlineStr">
        <is>
          <t>Date B/L</t>
        </is>
      </c>
      <c r="D1" s="61" t="inlineStr">
        <is>
          <t>Tonnage
B/L</t>
        </is>
      </c>
      <c r="E1" s="61" t="inlineStr">
        <is>
          <t>Tonnage total   b/l</t>
        </is>
      </c>
      <c r="F1" s="61" t="inlineStr">
        <is>
          <t>TAUX HUMIDITE</t>
        </is>
      </c>
      <c r="G1" s="61" t="inlineStr">
        <is>
          <t>TONNAGE FACTURER</t>
        </is>
      </c>
      <c r="H1" s="61" t="inlineStr">
        <is>
          <t>Facturation</t>
        </is>
      </c>
      <c r="I1" s="61" t="inlineStr">
        <is>
          <t>Qualité</t>
        </is>
      </c>
      <c r="J1" s="61" t="inlineStr">
        <is>
          <t>Incoterm</t>
        </is>
      </c>
      <c r="K1" s="57" t="inlineStr">
        <is>
          <t>PU</t>
        </is>
      </c>
      <c r="L1" s="351" t="inlineStr">
        <is>
          <t>VALEUR $</t>
        </is>
      </c>
      <c r="M1" s="61" t="inlineStr">
        <is>
          <t>COURS DH</t>
        </is>
      </c>
      <c r="N1" s="351" t="inlineStr">
        <is>
          <t>VALEUR DH</t>
        </is>
      </c>
      <c r="O1" s="61" t="inlineStr">
        <is>
          <t>DUM INITIAL</t>
        </is>
      </c>
      <c r="P1" s="61" t="inlineStr">
        <is>
          <t>CLIENT</t>
        </is>
      </c>
      <c r="Q1" s="61" t="inlineStr">
        <is>
          <t xml:space="preserve">REGION </t>
        </is>
      </c>
      <c r="R1" s="61" t="inlineStr">
        <is>
          <t>DESTINATION</t>
        </is>
      </c>
      <c r="S1" s="61" t="inlineStr">
        <is>
          <t>surveillant interne</t>
        </is>
      </c>
      <c r="T1" s="61" t="inlineStr">
        <is>
          <t>LOA</t>
        </is>
      </c>
      <c r="U1" s="61" t="inlineStr">
        <is>
          <t>Catégorie navire</t>
        </is>
      </c>
      <c r="V1" s="61" t="inlineStr">
        <is>
          <t xml:space="preserve">Quai </t>
        </is>
      </c>
      <c r="W1" s="352" t="inlineStr">
        <is>
          <t>TONNAGE
1 bascule</t>
        </is>
      </c>
      <c r="X1" s="353" t="inlineStr">
        <is>
          <t>NOR RECU</t>
        </is>
      </c>
      <c r="Y1" s="353" t="inlineStr">
        <is>
          <t>NOR ACCEPTEE</t>
        </is>
      </c>
      <c r="Z1" s="61" t="inlineStr">
        <is>
          <t>DEBUT 
PLANCHE</t>
        </is>
      </c>
      <c r="AA1" s="61" t="inlineStr">
        <is>
          <t>FIN 
PLANCHE</t>
        </is>
      </c>
      <c r="AB1" s="61" t="inlineStr">
        <is>
          <t>ARRIVEE</t>
        </is>
      </c>
      <c r="AC1" s="61" t="inlineStr">
        <is>
          <t>QUAI LIBRE
DISPONIBLE</t>
        </is>
      </c>
      <c r="AD1" s="61" t="inlineStr">
        <is>
          <t>ACCOSTAGE</t>
        </is>
      </c>
      <c r="AE1" s="61" t="inlineStr">
        <is>
          <t>POSE 
PASSERELLE</t>
        </is>
      </c>
      <c r="AF1" s="61" t="inlineStr">
        <is>
          <t>ORDRE</t>
        </is>
      </c>
      <c r="AG1" s="61" t="inlineStr">
        <is>
          <t>DEBUT</t>
        </is>
      </c>
      <c r="AH1" s="55" t="inlineStr">
        <is>
          <t>FIN</t>
        </is>
      </c>
      <c r="AI1" s="60" t="inlineStr">
        <is>
          <t>Chiffre
communiqué</t>
        </is>
      </c>
      <c r="AJ1" s="60" t="inlineStr">
        <is>
          <t>Documents 
à bord</t>
        </is>
      </c>
      <c r="AK1" s="55" t="inlineStr">
        <is>
          <t>Appareillage</t>
        </is>
      </c>
      <c r="AL1" s="61" t="inlineStr">
        <is>
          <t>ACCOSTAGE-QUAI LIBRE</t>
        </is>
      </c>
      <c r="AM1" s="61" t="inlineStr">
        <is>
          <t>Accostage - arrivée</t>
        </is>
      </c>
      <c r="AN1" s="61" t="inlineStr">
        <is>
          <t>P. passerelle
- Quai libre disponible</t>
        </is>
      </c>
      <c r="AO1" s="61" t="inlineStr">
        <is>
          <t>Remise ordre-Pose passerelle</t>
        </is>
      </c>
      <c r="AP1" s="61" t="inlineStr">
        <is>
          <t>début - remise ordre</t>
        </is>
      </c>
      <c r="AQ1" s="61" t="inlineStr">
        <is>
          <t>chiffre commu-fin</t>
        </is>
      </c>
      <c r="AR1" s="61" t="inlineStr">
        <is>
          <t>doc à bord -chiffre communiqué</t>
        </is>
      </c>
      <c r="AS1" s="61" t="inlineStr">
        <is>
          <t>appareillage-doc à bord</t>
        </is>
      </c>
      <c r="AT1" s="61" t="inlineStr">
        <is>
          <t>Performance réalisée</t>
        </is>
      </c>
      <c r="AU1" s="61" t="inlineStr">
        <is>
          <t xml:space="preserve">Attente en Rade (jr)
accostage-NOR </t>
        </is>
      </c>
      <c r="AV1" s="61" t="inlineStr">
        <is>
          <t>Temps utilisé
fin-début</t>
        </is>
      </c>
      <c r="AW1" s="61" t="inlineStr">
        <is>
          <t>Séjour à Quai
app-accostage</t>
        </is>
      </c>
      <c r="AX1" s="61" t="inlineStr">
        <is>
          <t>Séjour Total
app-nor accepted</t>
        </is>
      </c>
      <c r="AY1" s="61" t="inlineStr">
        <is>
          <t>Cadence Moyenne réalisé T/J</t>
        </is>
      </c>
      <c r="AZ1" s="351" t="inlineStr">
        <is>
          <t>taux de surestaries</t>
        </is>
      </c>
      <c r="BA1" s="61" t="inlineStr">
        <is>
          <t>cadence contractuelle</t>
        </is>
      </c>
      <c r="BB1" s="61" t="inlineStr">
        <is>
          <t>temps alloué</t>
        </is>
      </c>
      <c r="BC1" s="61" t="inlineStr">
        <is>
          <t>J en surestaries</t>
        </is>
      </c>
      <c r="BD1" s="351" t="inlineStr">
        <is>
          <t>Surestaries</t>
        </is>
      </c>
      <c r="BE1" s="309" t="inlineStr">
        <is>
          <t>DRAFT DEPART</t>
        </is>
      </c>
      <c r="BF1" s="310" t="n"/>
      <c r="BG1" s="311" t="n"/>
      <c r="BH1" s="55" t="inlineStr">
        <is>
          <t xml:space="preserve">Début d'Inspection </t>
        </is>
      </c>
      <c r="BI1" s="55" t="inlineStr">
        <is>
          <t xml:space="preserve">Fin d'inspection </t>
        </is>
      </c>
      <c r="BJ1" s="62" t="inlineStr">
        <is>
          <t xml:space="preserve">MOUVEMENTS </t>
        </is>
      </c>
      <c r="BK1" s="60" t="inlineStr">
        <is>
          <t>montant total des mouvements</t>
        </is>
      </c>
      <c r="BL1" s="60" t="inlineStr">
        <is>
          <t>Montant à payer par OCP</t>
        </is>
      </c>
      <c r="BM1" s="60" t="inlineStr">
        <is>
          <t>Montant à payer par armateur</t>
        </is>
      </c>
      <c r="BN1" s="55" t="inlineStr">
        <is>
          <t xml:space="preserve">Etat des calles </t>
        </is>
      </c>
      <c r="BO1" s="63" t="inlineStr">
        <is>
          <t>COMMENTAIRE DES CALLES</t>
        </is>
      </c>
      <c r="BP1" s="64" t="inlineStr">
        <is>
          <t>durée de préaparation</t>
        </is>
      </c>
      <c r="BQ1" s="55" t="inlineStr">
        <is>
          <t>FRESH WATER</t>
        </is>
      </c>
      <c r="BR1" s="55" t="inlineStr">
        <is>
          <t>quantité  MT</t>
        </is>
      </c>
      <c r="BS1" s="55" t="inlineStr">
        <is>
          <t>montant $</t>
        </is>
      </c>
      <c r="BT1" s="65" t="inlineStr">
        <is>
          <t>TempsPerdu</t>
        </is>
      </c>
      <c r="BU1" s="65" t="inlineStr">
        <is>
          <t>TGB</t>
        </is>
      </c>
      <c r="BV1" s="65" t="inlineStr">
        <is>
          <t>Temps sauvé</t>
        </is>
      </c>
      <c r="BW1" s="66" t="n"/>
    </row>
    <row r="2">
      <c r="A2" s="83" t="n">
        <v>1</v>
      </c>
      <c r="B2" s="328" t="inlineStr">
        <is>
          <t>FOXTROT</t>
        </is>
      </c>
      <c r="C2" s="93" t="n">
        <v>45662</v>
      </c>
      <c r="D2" s="329" t="n">
        <v>34619</v>
      </c>
      <c r="E2" s="329" t="n">
        <v>34619</v>
      </c>
      <c r="F2" s="329" t="n">
        <v>1</v>
      </c>
      <c r="G2" s="329">
        <f>E2-(ROUND(E2*F2%,3))</f>
        <v/>
      </c>
      <c r="H2" s="329" t="inlineStr">
        <is>
          <t>OCP</t>
        </is>
      </c>
      <c r="I2" s="92" t="inlineStr">
        <is>
          <t>K201</t>
        </is>
      </c>
      <c r="J2" s="354" t="inlineStr">
        <is>
          <t>FOB</t>
        </is>
      </c>
      <c r="K2" s="354" t="n">
        <v>115.5</v>
      </c>
      <c r="L2" s="354" t="n"/>
      <c r="M2" s="355" t="n"/>
      <c r="N2" s="354" t="n"/>
      <c r="O2" s="354" t="n"/>
      <c r="P2" s="354" t="inlineStr">
        <is>
          <t>TOROS TARIM SANAYII VE TICARET A.S</t>
        </is>
      </c>
      <c r="Q2" s="354" t="inlineStr">
        <is>
          <t>EUROPE</t>
        </is>
      </c>
      <c r="R2" s="356" t="inlineStr">
        <is>
          <t>TURQUIE</t>
        </is>
      </c>
      <c r="S2" s="356" t="inlineStr">
        <is>
          <t>INTERTEK</t>
        </is>
      </c>
      <c r="T2" s="14" t="n">
        <v>180</v>
      </c>
      <c r="U2" s="14">
        <f>IF(E2&lt;9999,"1",IF(E2&lt;19999,"2",IF(E2&lt;29999,"3",IF(E2&lt;39999,"4",IF(E2&lt;49999,"5",IF(E2&gt;50000,"6"))))))</f>
        <v/>
      </c>
      <c r="V2" s="344" t="inlineStr">
        <is>
          <t>1N</t>
        </is>
      </c>
      <c r="X2" s="69" t="n">
        <v>45659.86666666667</v>
      </c>
      <c r="Y2" s="26" t="n">
        <v>45660.375</v>
      </c>
      <c r="Z2" s="103" t="n">
        <v>45658</v>
      </c>
      <c r="AA2" s="103" t="n">
        <v>45661</v>
      </c>
      <c r="AB2" s="26" t="n">
        <v>45659.75</v>
      </c>
      <c r="AC2" s="26" t="n">
        <v>45659.75</v>
      </c>
      <c r="AD2" s="26" t="n">
        <v>45659.9125</v>
      </c>
      <c r="AE2" s="26" t="n">
        <v>45659.9375</v>
      </c>
      <c r="AF2" s="26" t="n">
        <v>45660.02083333334</v>
      </c>
      <c r="AG2" s="26" t="n">
        <v>45660.02083333334</v>
      </c>
      <c r="AH2" s="26" t="n">
        <v>45662.44791666666</v>
      </c>
      <c r="AI2" s="26" t="n">
        <v>45662.48958333334</v>
      </c>
      <c r="AJ2" s="26" t="n">
        <v>45662.52083333334</v>
      </c>
      <c r="AK2" s="71" t="n">
        <v>45662.60763888889</v>
      </c>
      <c r="AL2" s="76">
        <f>(AD2-AC2)*1440</f>
        <v/>
      </c>
      <c r="AM2" s="76">
        <f>(AD2-AB2)*1440</f>
        <v/>
      </c>
      <c r="AN2" s="76">
        <f>(AE2-AC2)*1440</f>
        <v/>
      </c>
      <c r="AO2" s="76">
        <f>(AF2-AE2)*1440</f>
        <v/>
      </c>
      <c r="AP2" s="76">
        <f>(AG2-AF2)*1440</f>
        <v/>
      </c>
      <c r="AQ2" s="76">
        <f>(AI2-AH2)*1440</f>
        <v/>
      </c>
      <c r="AR2" s="76">
        <f>(AJ2-AI2)*1440</f>
        <v/>
      </c>
      <c r="AS2" s="76">
        <f>(AK2-AJ2)*1440</f>
        <v/>
      </c>
      <c r="AT2" s="76">
        <f>AN2+AO2+AQ2+AR2+AS2</f>
        <v/>
      </c>
      <c r="AU2" s="197">
        <f>AD2-X2</f>
        <v/>
      </c>
      <c r="AV2" s="72" t="n"/>
      <c r="AW2" s="72" t="n"/>
      <c r="AX2" s="76" t="n"/>
      <c r="AY2" s="76" t="n"/>
      <c r="AZ2" s="76" t="n"/>
      <c r="BA2" s="76" t="n"/>
      <c r="BB2" s="76" t="n"/>
      <c r="BC2" s="76" t="n"/>
      <c r="BD2" s="76" t="n"/>
      <c r="BE2" s="76" t="n"/>
      <c r="BF2" s="76" t="n"/>
      <c r="BQ2" t="inlineStr">
        <is>
          <t>NUL</t>
        </is>
      </c>
    </row>
    <row r="3" ht="12.6" customHeight="1" s="70">
      <c r="A3" s="83" t="n">
        <v>2</v>
      </c>
      <c r="B3" s="328" t="inlineStr">
        <is>
          <t>FOUR TURANDOT</t>
        </is>
      </c>
      <c r="C3" s="93" t="n">
        <v>45718</v>
      </c>
      <c r="D3" s="329" t="n">
        <v>35031</v>
      </c>
      <c r="E3" s="329" t="n">
        <v>35031</v>
      </c>
      <c r="F3" s="329" t="n">
        <v>1</v>
      </c>
      <c r="G3" s="329">
        <f>E3-(ROUND(E3*F3%,3))</f>
        <v/>
      </c>
      <c r="H3" s="329" t="n"/>
      <c r="I3" s="92" t="inlineStr">
        <is>
          <t>K201</t>
        </is>
      </c>
      <c r="J3" s="354" t="inlineStr">
        <is>
          <t>FOB</t>
        </is>
      </c>
      <c r="K3" s="354" t="n"/>
      <c r="L3" s="146" t="n"/>
      <c r="M3" s="146" t="n"/>
      <c r="N3" s="146" t="n"/>
      <c r="O3" s="146" t="n"/>
      <c r="P3" s="146" t="n"/>
      <c r="Q3" s="354" t="inlineStr">
        <is>
          <t>EUROPE</t>
        </is>
      </c>
      <c r="R3" s="356" t="inlineStr">
        <is>
          <t>TURQUIE</t>
        </is>
      </c>
      <c r="S3" s="356" t="inlineStr">
        <is>
          <t>INSPECTORATE</t>
        </is>
      </c>
      <c r="T3" s="14" t="n">
        <v>180</v>
      </c>
      <c r="U3" s="14">
        <f>IF(E3&lt;9999,"1",IF(E3&lt;19999,"2",IF(E3&lt;29999,"3",IF(E3&lt;39999,"4",IF(E3&lt;49999,"5",IF(E3&gt;50000,"6"))))))</f>
        <v/>
      </c>
      <c r="V3" s="344" t="inlineStr">
        <is>
          <t>1N</t>
        </is>
      </c>
      <c r="X3" s="26" t="n">
        <v>45700.75416666667</v>
      </c>
      <c r="AB3" s="26" t="n">
        <v>45700.66666666666</v>
      </c>
      <c r="AD3" s="26" t="n">
        <v>45714.91666666666</v>
      </c>
      <c r="AL3" s="76">
        <f>(AD3-AC3)*1440</f>
        <v/>
      </c>
      <c r="AM3" s="76">
        <f>(AD3-AB3)*1440</f>
        <v/>
      </c>
      <c r="AN3" s="76">
        <f>(AE3-AC3)*1440</f>
        <v/>
      </c>
      <c r="AO3" s="76">
        <f>(AF3-AE3)*1440</f>
        <v/>
      </c>
      <c r="AP3" s="76">
        <f>(AG3-AF3)*1440</f>
        <v/>
      </c>
      <c r="AQ3" s="76">
        <f>(AI3-AH3)*1440</f>
        <v/>
      </c>
      <c r="AR3" s="76">
        <f>(AJ3-AI3)*1440</f>
        <v/>
      </c>
      <c r="AS3" s="76">
        <f>(AK3-AJ3)*1440</f>
        <v/>
      </c>
      <c r="AT3" s="76">
        <f>AN3+AO3+AQ3+AR3+AS3</f>
        <v/>
      </c>
      <c r="AU3" s="197">
        <f>AD3-X3</f>
        <v/>
      </c>
    </row>
    <row r="4">
      <c r="A4" s="83" t="n">
        <v>3</v>
      </c>
      <c r="B4" s="328" t="inlineStr">
        <is>
          <t>ECO TIDE</t>
        </is>
      </c>
      <c r="C4" s="93" t="n">
        <v>45746</v>
      </c>
      <c r="D4" s="329" t="n">
        <v>33026</v>
      </c>
      <c r="E4" s="329" t="n">
        <v>33000</v>
      </c>
      <c r="F4" s="329" t="n">
        <v>1</v>
      </c>
      <c r="G4" s="329">
        <f>E4-(ROUND(E4*F4%,3))</f>
        <v/>
      </c>
      <c r="I4" s="92" t="inlineStr">
        <is>
          <t>K201</t>
        </is>
      </c>
      <c r="J4" s="354" t="inlineStr">
        <is>
          <t>FOB</t>
        </is>
      </c>
      <c r="K4" s="354" t="n"/>
      <c r="L4" s="146" t="n"/>
      <c r="M4" s="146" t="n"/>
      <c r="N4" s="146" t="n"/>
      <c r="O4" s="146" t="n"/>
      <c r="P4" s="146" t="n"/>
      <c r="Q4" s="354" t="inlineStr">
        <is>
          <t>EUROPE</t>
        </is>
      </c>
      <c r="R4" s="356" t="inlineStr">
        <is>
          <t>TURQUIE</t>
        </is>
      </c>
      <c r="S4" s="356" t="inlineStr">
        <is>
          <t>INTERTEK</t>
        </is>
      </c>
      <c r="T4" s="14" t="n">
        <v>177</v>
      </c>
      <c r="U4" s="14">
        <f>IF(E4&lt;9999,"1",IF(E4&lt;19999,"2",IF(E4&lt;29999,"3",IF(E4&lt;39999,"4",IF(E4&lt;49999,"5",IF(E4&gt;50000,"6"))))))</f>
        <v/>
      </c>
      <c r="V4" s="344" t="inlineStr">
        <is>
          <t>1N</t>
        </is>
      </c>
      <c r="X4" s="26" t="n">
        <v>45717.04166666666</v>
      </c>
      <c r="Y4" s="26" t="n">
        <v>45717.375</v>
      </c>
      <c r="Z4" s="103" t="n">
        <v>45717</v>
      </c>
      <c r="AA4" s="103" t="n">
        <v>45720</v>
      </c>
      <c r="AB4" s="26" t="n">
        <v>45717.04166666666</v>
      </c>
      <c r="AC4" s="26" t="n">
        <v>45744.51041666666</v>
      </c>
      <c r="AD4" s="26" t="n">
        <v>45744.65</v>
      </c>
      <c r="AE4" s="26" t="n">
        <v>45744.65972222222</v>
      </c>
      <c r="AF4" s="26" t="n">
        <v>45744.71875</v>
      </c>
      <c r="AG4" s="26" t="n">
        <v>45744.75</v>
      </c>
      <c r="AH4" s="26" t="n">
        <v>45746.63888888889</v>
      </c>
      <c r="AI4" s="26" t="n">
        <v>45746.66666666666</v>
      </c>
      <c r="AJ4" s="26" t="n">
        <v>45746.6875</v>
      </c>
      <c r="AK4" s="26" t="n">
        <v>45746.85069444445</v>
      </c>
      <c r="AL4" s="76">
        <f>(AD4-AC4)*1440</f>
        <v/>
      </c>
      <c r="AM4" s="76">
        <f>(AD4-AB4)*1440</f>
        <v/>
      </c>
      <c r="AN4" s="76">
        <f>(AE4-AC4)*1440</f>
        <v/>
      </c>
      <c r="AO4" s="76">
        <f>(AF4-AE4)*1440</f>
        <v/>
      </c>
      <c r="AP4" s="76">
        <f>(AG4-AF4)*1440</f>
        <v/>
      </c>
      <c r="AQ4" s="76">
        <f>(AI4-AH4)*1440</f>
        <v/>
      </c>
      <c r="AR4" s="76">
        <f>(AJ4-AI4)*1440</f>
        <v/>
      </c>
      <c r="AS4" s="76">
        <f>(AK4-AJ4)*1440</f>
        <v/>
      </c>
      <c r="AT4" s="76">
        <f>AN4+AO4+AQ4+AR4+AS4</f>
        <v/>
      </c>
      <c r="AU4" s="197">
        <f>AD4-X4</f>
        <v/>
      </c>
      <c r="BQ4" t="inlineStr">
        <is>
          <t>NUL</t>
        </is>
      </c>
    </row>
    <row r="5">
      <c r="A5" s="83" t="n">
        <v>4</v>
      </c>
      <c r="B5" s="328" t="inlineStr">
        <is>
          <t>ANGY R</t>
        </is>
      </c>
      <c r="C5" s="93" t="n">
        <v>45802</v>
      </c>
      <c r="D5" s="329" t="n">
        <v>35364</v>
      </c>
      <c r="E5" s="329" t="n">
        <v>35364</v>
      </c>
      <c r="F5" s="329" t="n">
        <v>1</v>
      </c>
      <c r="G5" s="329">
        <f>E5-(ROUND(E5*F5%,3))</f>
        <v/>
      </c>
      <c r="I5" s="92" t="inlineStr">
        <is>
          <t>K202</t>
        </is>
      </c>
      <c r="J5" s="354" t="inlineStr">
        <is>
          <t>FOB</t>
        </is>
      </c>
      <c r="K5" s="354" t="n"/>
      <c r="L5" s="146" t="n"/>
      <c r="M5" s="146" t="n"/>
      <c r="N5" s="146" t="n"/>
      <c r="O5" s="146" t="n"/>
      <c r="P5" s="146" t="n"/>
      <c r="Q5" s="354" t="inlineStr">
        <is>
          <t>EUROPE</t>
        </is>
      </c>
      <c r="R5" s="356" t="inlineStr">
        <is>
          <t>TURQUIE</t>
        </is>
      </c>
      <c r="S5" s="357" t="inlineStr">
        <is>
          <t>INTERTEK</t>
        </is>
      </c>
      <c r="T5" s="14" t="n">
        <v>186</v>
      </c>
      <c r="U5" s="14">
        <f>IF(E5&lt;9999,"1",IF(E5&lt;19999,"2",IF(E5&lt;29999,"3",IF(E5&lt;39999,"4",IF(E5&lt;49999,"5",IF(E5&gt;50000,"6"))))))</f>
        <v/>
      </c>
      <c r="V5" s="358" t="inlineStr">
        <is>
          <t>1N</t>
        </is>
      </c>
      <c r="X5" s="26" t="n">
        <v>45799.70486111111</v>
      </c>
      <c r="Y5" s="26" t="n">
        <v>45799.70486111111</v>
      </c>
      <c r="Z5" s="103" t="n">
        <v>45794</v>
      </c>
      <c r="AA5" s="103" t="n">
        <v>45797</v>
      </c>
      <c r="AB5" s="26" t="n">
        <v>45799.54166666666</v>
      </c>
      <c r="AC5" s="26" t="n">
        <v>45799.68055555555</v>
      </c>
      <c r="AD5" s="26" t="n">
        <v>45799.74305555555</v>
      </c>
      <c r="AE5" s="26" t="n">
        <v>45799.76388888889</v>
      </c>
      <c r="AF5" s="26" t="n">
        <v>45799.82986111111</v>
      </c>
      <c r="AG5" s="26" t="n">
        <v>45799.95833333334</v>
      </c>
      <c r="AH5" s="26" t="n">
        <v>45802.34375</v>
      </c>
      <c r="AI5" s="26" t="n">
        <v>45802.40277777778</v>
      </c>
      <c r="AJ5" s="26" t="n">
        <v>45802.42361111111</v>
      </c>
      <c r="AK5" s="26" t="n">
        <v>45802.52291666667</v>
      </c>
      <c r="AL5" s="76">
        <f>(AD5-AC5)*1440</f>
        <v/>
      </c>
      <c r="AM5" s="76">
        <f>(AD5-AB5)*1440</f>
        <v/>
      </c>
      <c r="AN5" s="76">
        <f>(AE5-AC5)*1440</f>
        <v/>
      </c>
      <c r="AO5" s="76">
        <f>(AF5-AE5)*1440</f>
        <v/>
      </c>
      <c r="AP5" s="76">
        <f>(AG5-AF5)*1440</f>
        <v/>
      </c>
      <c r="AQ5" s="76">
        <f>(AI5-AH5)*1440</f>
        <v/>
      </c>
      <c r="AR5" s="76">
        <f>(AJ5-AI5)*1440</f>
        <v/>
      </c>
      <c r="AS5" s="76">
        <f>(AK5-AJ5)*1440</f>
        <v/>
      </c>
      <c r="AT5" s="76">
        <f>AN5+AO5+AQ5+AR5+AS5</f>
        <v/>
      </c>
      <c r="AU5" s="197">
        <f>AD5-X5</f>
        <v/>
      </c>
    </row>
    <row r="6">
      <c r="A6" s="83" t="n">
        <v>5</v>
      </c>
      <c r="B6" s="328" t="inlineStr">
        <is>
          <t>ACUITY</t>
        </is>
      </c>
      <c r="C6" s="93" t="n">
        <v>45813</v>
      </c>
      <c r="D6" s="329" t="n">
        <v>35345</v>
      </c>
      <c r="E6" s="329" t="n">
        <v>35345</v>
      </c>
      <c r="F6" s="329" t="n">
        <v>1</v>
      </c>
      <c r="G6" s="329">
        <f>E6-(ROUND(E6*F6%,3))</f>
        <v/>
      </c>
      <c r="I6" s="92" t="inlineStr">
        <is>
          <t>K202</t>
        </is>
      </c>
      <c r="J6" s="354" t="inlineStr">
        <is>
          <t>FOB</t>
        </is>
      </c>
      <c r="K6" s="354" t="n"/>
      <c r="L6" s="146" t="n"/>
      <c r="M6" s="146" t="n"/>
      <c r="N6" s="146" t="n"/>
      <c r="O6" s="146" t="n"/>
      <c r="P6" s="146" t="n"/>
      <c r="Q6" s="354" t="inlineStr">
        <is>
          <t>EUROPE</t>
        </is>
      </c>
      <c r="R6" s="356" t="inlineStr">
        <is>
          <t>TURQUIE</t>
        </is>
      </c>
      <c r="S6" s="357" t="inlineStr">
        <is>
          <t>INTERTEK</t>
        </is>
      </c>
      <c r="T6" s="14" t="n">
        <v>190</v>
      </c>
      <c r="U6" s="14">
        <f>IF(E6&lt;9999,"1",IF(E6&lt;19999,"2",IF(E6&lt;29999,"3",IF(E6&lt;39999,"4",IF(E6&lt;49999,"5",IF(E6&gt;50000,"6"))))))</f>
        <v/>
      </c>
      <c r="V6" s="358" t="inlineStr">
        <is>
          <t>1N</t>
        </is>
      </c>
      <c r="X6" s="26" t="n">
        <v>45809.17083333333</v>
      </c>
      <c r="Y6" s="26" t="n">
        <v>45810.375</v>
      </c>
      <c r="AB6" s="26" t="n">
        <v>45809.17083333333</v>
      </c>
      <c r="AD6" s="26" t="n">
        <v>45811.55902777778</v>
      </c>
      <c r="AE6" s="26" t="n">
        <v>45811.57291666666</v>
      </c>
      <c r="AG6" s="26" t="n">
        <v>45811.70138888889</v>
      </c>
      <c r="AH6" s="26" t="n">
        <v>45813.89583333334</v>
      </c>
      <c r="AI6" s="26" t="n">
        <v>45813.92708333334</v>
      </c>
      <c r="AU6" s="197">
        <f>AD6-X6</f>
        <v/>
      </c>
      <c r="BT6" s="198" t="n">
        <v>24168</v>
      </c>
    </row>
    <row r="7">
      <c r="A7" s="83" t="n">
        <v>6</v>
      </c>
      <c r="B7" s="328" t="inlineStr">
        <is>
          <t>ATILLA</t>
        </is>
      </c>
      <c r="C7" s="93" t="n">
        <v>45861</v>
      </c>
      <c r="D7" s="329" t="n">
        <v>35905</v>
      </c>
      <c r="E7" s="329" t="n">
        <v>35905</v>
      </c>
      <c r="F7" s="329" t="n">
        <v>1</v>
      </c>
      <c r="G7" s="329">
        <f>E7-(ROUND(E7*F7%,3))</f>
        <v/>
      </c>
      <c r="I7" s="92" t="inlineStr">
        <is>
          <t>K202</t>
        </is>
      </c>
      <c r="J7" s="354" t="inlineStr">
        <is>
          <t>FOB</t>
        </is>
      </c>
      <c r="Q7" s="354" t="inlineStr">
        <is>
          <t>EUROPE</t>
        </is>
      </c>
      <c r="R7" s="356" t="inlineStr">
        <is>
          <t>TURQUIE</t>
        </is>
      </c>
      <c r="S7" s="146" t="n"/>
      <c r="T7" s="14" t="n">
        <v>181</v>
      </c>
      <c r="U7" s="14">
        <f>IF(E7&lt;9999,"1",IF(E7&lt;19999,"2",IF(E7&lt;29999,"3",IF(E7&lt;39999,"4",IF(E7&lt;49999,"5",IF(E7&gt;50000,"6"))))))</f>
        <v/>
      </c>
      <c r="V7" s="358" t="inlineStr">
        <is>
          <t>1N</t>
        </is>
      </c>
      <c r="X7" s="26" t="n">
        <v>45855.6875</v>
      </c>
      <c r="Y7" s="26" t="n">
        <v>45855.6875</v>
      </c>
      <c r="AB7" s="26" t="n">
        <v>45855.6875</v>
      </c>
      <c r="AD7" s="26" t="n">
        <v>45859.10416666666</v>
      </c>
      <c r="AE7" s="26" t="n">
        <v>45859.125</v>
      </c>
      <c r="AU7" s="197">
        <f>AD7-X7</f>
        <v/>
      </c>
      <c r="BT7" s="198" t="n">
        <v>23204</v>
      </c>
    </row>
    <row r="8">
      <c r="A8" s="83" t="n">
        <v>7</v>
      </c>
      <c r="B8" s="328" t="inlineStr">
        <is>
          <t>CAPE GULL</t>
        </is>
      </c>
      <c r="C8" s="93" t="n">
        <v>45872</v>
      </c>
      <c r="D8" s="329" t="n">
        <v>33649</v>
      </c>
      <c r="E8" s="329" t="n">
        <v>33649</v>
      </c>
      <c r="F8" s="329" t="n">
        <v>1</v>
      </c>
      <c r="G8" s="329">
        <f>E8-(ROUND(E8*F8%,3))</f>
        <v/>
      </c>
      <c r="I8" s="92" t="inlineStr">
        <is>
          <t>K202</t>
        </is>
      </c>
      <c r="J8" s="354" t="inlineStr">
        <is>
          <t>FOB</t>
        </is>
      </c>
      <c r="Q8" s="354" t="inlineStr">
        <is>
          <t>EUROPE</t>
        </is>
      </c>
      <c r="R8" s="356" t="inlineStr">
        <is>
          <t>TURQUIE</t>
        </is>
      </c>
      <c r="S8" s="146" t="n"/>
      <c r="T8" s="14" t="n">
        <v>177</v>
      </c>
      <c r="U8" s="14">
        <f>IF(E8&lt;9999,"1",IF(E8&lt;19999,"2",IF(E8&lt;29999,"3",IF(E8&lt;39999,"4",IF(E8&lt;49999,"5",IF(E8&gt;50000,"6"))))))</f>
        <v/>
      </c>
      <c r="V8" s="358" t="inlineStr">
        <is>
          <t>1N</t>
        </is>
      </c>
      <c r="BT8" s="198" t="n">
        <v>21699</v>
      </c>
    </row>
    <row r="9">
      <c r="A9" s="83" t="n">
        <v>8</v>
      </c>
      <c r="B9" s="328" t="inlineStr">
        <is>
          <t>FOUR BUTTERFLY</t>
        </is>
      </c>
      <c r="C9" s="93" t="n">
        <v>45891</v>
      </c>
      <c r="D9" s="329" t="n">
        <v>35172</v>
      </c>
      <c r="E9" s="329" t="n">
        <v>35172</v>
      </c>
      <c r="F9" s="329" t="n">
        <v>1</v>
      </c>
      <c r="G9" s="329">
        <f>E9-(ROUND(E9*F9%,3))</f>
        <v/>
      </c>
      <c r="I9" s="92" t="inlineStr">
        <is>
          <t>K202</t>
        </is>
      </c>
      <c r="J9" s="354" t="inlineStr">
        <is>
          <t>FOB</t>
        </is>
      </c>
      <c r="Q9" s="354" t="inlineStr">
        <is>
          <t>EUROPE</t>
        </is>
      </c>
      <c r="R9" s="356" t="inlineStr">
        <is>
          <t>TURQUIE</t>
        </is>
      </c>
      <c r="S9" s="146" t="n"/>
      <c r="T9" s="14" t="n"/>
      <c r="U9" s="14">
        <f>IF(E9&lt;9999,"1",IF(E9&lt;19999,"2",IF(E9&lt;29999,"3",IF(E9&lt;39999,"4",IF(E9&lt;49999,"5",IF(E9&gt;50000,"6"))))))</f>
        <v/>
      </c>
      <c r="V9" s="358" t="inlineStr">
        <is>
          <t>1N</t>
        </is>
      </c>
      <c r="AK9" s="26" t="n">
        <v>45891.44097222222</v>
      </c>
    </row>
    <row r="10">
      <c r="A10" s="83" t="n">
        <v>9</v>
      </c>
      <c r="B10" s="328" t="inlineStr">
        <is>
          <t>ZBB SERENITY</t>
        </is>
      </c>
      <c r="C10" s="93" t="n">
        <v>45896</v>
      </c>
      <c r="D10" s="329" t="n">
        <v>35774</v>
      </c>
      <c r="E10" s="329" t="n">
        <v>35774</v>
      </c>
      <c r="F10" s="329" t="n">
        <v>1</v>
      </c>
      <c r="G10" s="329">
        <f>E10-(ROUND(E10*F10%,3))</f>
        <v/>
      </c>
      <c r="I10" s="92" t="inlineStr">
        <is>
          <t>K202</t>
        </is>
      </c>
      <c r="J10" s="354" t="inlineStr">
        <is>
          <t>FOB</t>
        </is>
      </c>
      <c r="Q10" s="354" t="inlineStr">
        <is>
          <t>EUROPE</t>
        </is>
      </c>
      <c r="R10" s="356" t="inlineStr">
        <is>
          <t>TURQUIE</t>
        </is>
      </c>
      <c r="S10" s="146" t="n"/>
      <c r="T10" s="14" t="n"/>
      <c r="U10" s="14">
        <f>IF(E10&lt;9999,"1",IF(E10&lt;19999,"2",IF(E10&lt;29999,"3",IF(E10&lt;39999,"4",IF(E10&lt;49999,"5",IF(E10&gt;50000,"6"))))))</f>
        <v/>
      </c>
      <c r="V10" s="358" t="inlineStr">
        <is>
          <t>1N</t>
        </is>
      </c>
    </row>
    <row r="11">
      <c r="A11" s="83" t="n"/>
      <c r="C11" s="93" t="n"/>
      <c r="D11" s="329" t="n"/>
      <c r="E11" s="329" t="n"/>
      <c r="T11" s="344" t="n"/>
    </row>
    <row r="12">
      <c r="A12" s="83" t="n"/>
      <c r="C12" s="93" t="n"/>
      <c r="D12" s="329" t="n"/>
      <c r="E12" s="329" t="n"/>
      <c r="T12" s="344" t="n"/>
    </row>
    <row r="13">
      <c r="A13" s="83" t="n"/>
      <c r="C13" s="93" t="n"/>
      <c r="D13" s="329" t="n"/>
      <c r="E13" s="329" t="n"/>
      <c r="T13" s="344" t="n"/>
    </row>
    <row r="14">
      <c r="A14" s="83" t="n"/>
      <c r="C14" s="93" t="n"/>
    </row>
    <row r="15">
      <c r="C15" s="93" t="n"/>
    </row>
  </sheetData>
  <mergeCells count="1">
    <mergeCell ref="BE1:BG1"/>
  </mergeCells>
  <conditionalFormatting sqref="BE1">
    <cfRule type="uniqueValues" priority="1" dxfId="0"/>
  </conditionalFormatting>
  <dataValidations count="4">
    <dataValidation sqref="F1" showDropDown="0" showInputMessage="1" showErrorMessage="1" allowBlank="1" type="list">
      <formula1>"JFC 1,JFC 2,JFC 3,JFC 4,JFC 5,OCP,OCP S.A,JFD,JFF,OIJ,JFQ,"</formula1>
    </dataValidation>
    <dataValidation sqref="J1" showDropDown="0" showInputMessage="1" showErrorMessage="1" allowBlank="0" type="list">
      <formula1>"FOB,CFR,DAT,DAP,CIF,EXW"</formula1>
    </dataValidation>
    <dataValidation sqref="H1" showDropDown="0" showInputMessage="1" showErrorMessage="1" allowBlank="1" type="list">
      <formula1>"JFC 1,JFC 2,JFC 3,JFC 4,JFC 5,OCP"</formula1>
    </dataValidation>
    <dataValidation sqref="Q1" showDropDown="0" showInputMessage="1" showErrorMessage="1" allowBlank="0" type="list">
      <formula1>"ASIE,AFRIQUE,EUROPE,AMERIQUE LATINE"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5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C17" sqref="AC17"/>
    </sheetView>
  </sheetViews>
  <sheetFormatPr baseColWidth="10" defaultRowHeight="14.4"/>
  <cols>
    <col width="4.77734375" customWidth="1" style="70" min="1" max="1"/>
    <col width="22.5546875" customWidth="1" style="70" min="2" max="2"/>
    <col hidden="1" style="70" min="9" max="12"/>
    <col hidden="1" width="17.77734375" customWidth="1" style="70" min="13" max="13"/>
    <col hidden="1" width="28.44140625" customWidth="1" style="70" min="14" max="14"/>
    <col width="15.21875" customWidth="1" style="70" min="15" max="15"/>
    <col width="29.21875" customWidth="1" style="70" min="16" max="16"/>
    <col hidden="1" style="70" min="19" max="19"/>
    <col width="14.21875" customWidth="1" style="70" min="21" max="21"/>
    <col width="13.77734375" customWidth="1" style="70" min="22" max="22"/>
    <col width="13.44140625" customWidth="1" style="70" min="25" max="25"/>
    <col width="14.21875" customWidth="1" style="70" min="26" max="26"/>
    <col width="13.44140625" customWidth="1" style="70" min="27" max="27"/>
    <col width="13" customWidth="1" style="70" min="28" max="28"/>
    <col width="14" customWidth="1" style="70" min="29" max="30"/>
    <col width="13.5546875" customWidth="1" style="70" min="31" max="31"/>
    <col width="14" customWidth="1" style="70" min="32" max="32"/>
    <col width="13.44140625" customWidth="1" style="70" min="33" max="33"/>
    <col width="14.44140625" customWidth="1" style="70" min="34" max="34"/>
    <col width="11.21875" bestFit="1" customWidth="1" style="234" min="39" max="39"/>
  </cols>
  <sheetData>
    <row r="1" ht="42" customFormat="1" customHeight="1" s="37">
      <c r="A1" s="27" t="inlineStr">
        <is>
          <t>N°</t>
        </is>
      </c>
      <c r="B1" s="27" t="inlineStr">
        <is>
          <t>Navires</t>
        </is>
      </c>
      <c r="C1" s="28" t="inlineStr">
        <is>
          <t>Date B/L</t>
        </is>
      </c>
      <c r="D1" s="29" t="inlineStr">
        <is>
          <t>Facturation</t>
        </is>
      </c>
      <c r="E1" s="29" t="inlineStr">
        <is>
          <t>TONNAGE
SOLUTION</t>
        </is>
      </c>
      <c r="F1" s="29" t="inlineStr">
        <is>
          <t>CONCENT
RATION</t>
        </is>
      </c>
      <c r="G1" s="29" t="inlineStr">
        <is>
          <t>TONNAGE
P2O5</t>
        </is>
      </c>
      <c r="H1" s="29" t="inlineStr">
        <is>
          <t>Incoterm</t>
        </is>
      </c>
      <c r="I1" s="30" t="inlineStr">
        <is>
          <t>P.U $</t>
        </is>
      </c>
      <c r="J1" s="359" t="inlineStr">
        <is>
          <t>VALEUR $</t>
        </is>
      </c>
      <c r="K1" s="29" t="inlineStr">
        <is>
          <t>COURS DH</t>
        </is>
      </c>
      <c r="L1" s="359" t="inlineStr">
        <is>
          <t>VALEUR DH</t>
        </is>
      </c>
      <c r="M1" s="29" t="inlineStr">
        <is>
          <t>DUM INITIAL</t>
        </is>
      </c>
      <c r="N1" s="29" t="inlineStr">
        <is>
          <t>CLIENT</t>
        </is>
      </c>
      <c r="O1" s="29" t="inlineStr">
        <is>
          <t xml:space="preserve">REGION </t>
        </is>
      </c>
      <c r="P1" s="29" t="inlineStr">
        <is>
          <t>DESTINATION</t>
        </is>
      </c>
      <c r="Q1" s="29" t="inlineStr">
        <is>
          <t xml:space="preserve">SURVEILLANT </t>
        </is>
      </c>
      <c r="R1" s="29" t="inlineStr">
        <is>
          <t>LOA</t>
        </is>
      </c>
      <c r="S1" s="29" t="inlineStr">
        <is>
          <t xml:space="preserve">Armateur </t>
        </is>
      </c>
      <c r="T1" s="29" t="inlineStr">
        <is>
          <t xml:space="preserve">Quai </t>
        </is>
      </c>
      <c r="U1" s="360" t="inlineStr">
        <is>
          <t>NOR RECU</t>
        </is>
      </c>
      <c r="V1" s="360" t="inlineStr">
        <is>
          <t>NOR ACCEPTED</t>
        </is>
      </c>
      <c r="W1" s="29" t="inlineStr">
        <is>
          <t>DEBUT 
PLANCHE</t>
        </is>
      </c>
      <c r="X1" s="29" t="inlineStr">
        <is>
          <t>FIN 
PLANCHE</t>
        </is>
      </c>
      <c r="Y1" s="29" t="inlineStr">
        <is>
          <t>ARRIVEE</t>
        </is>
      </c>
      <c r="Z1" s="29" t="inlineStr">
        <is>
          <t>QUAI LIBRE
DISPONIBLE</t>
        </is>
      </c>
      <c r="AA1" s="29" t="inlineStr">
        <is>
          <t>ACCOSTAGE</t>
        </is>
      </c>
      <c r="AB1" s="29" t="inlineStr">
        <is>
          <t>POSE 
PASSERELLE</t>
        </is>
      </c>
      <c r="AC1" s="29" t="inlineStr">
        <is>
          <t>ORDRE</t>
        </is>
      </c>
      <c r="AD1" s="29" t="inlineStr">
        <is>
          <t>DEBUT</t>
        </is>
      </c>
      <c r="AE1" s="27" t="inlineStr">
        <is>
          <t>FIN</t>
        </is>
      </c>
      <c r="AF1" s="32" t="inlineStr">
        <is>
          <t>Chiffre
communiqué</t>
        </is>
      </c>
      <c r="AG1" s="32" t="inlineStr">
        <is>
          <t>Documents 
à bord</t>
        </is>
      </c>
      <c r="AH1" s="27" t="inlineStr">
        <is>
          <t>Appareillage</t>
        </is>
      </c>
      <c r="AI1" s="33" t="inlineStr">
        <is>
          <t>ACCOSTAGE-QUAI LIBRE</t>
        </is>
      </c>
      <c r="AJ1" s="33" t="inlineStr">
        <is>
          <t>Accostage - arrivée</t>
        </is>
      </c>
      <c r="AK1" s="33" t="inlineStr">
        <is>
          <t>P. passerelle
- Quai libre disponible</t>
        </is>
      </c>
      <c r="AL1" s="33" t="inlineStr">
        <is>
          <t>Remise ordre-Pose passerelle</t>
        </is>
      </c>
      <c r="AM1" s="33" t="inlineStr">
        <is>
          <t>début - remise ordre</t>
        </is>
      </c>
      <c r="AN1" s="33" t="inlineStr">
        <is>
          <t>chiffre commu-fin</t>
        </is>
      </c>
      <c r="AO1" s="33" t="inlineStr">
        <is>
          <t>doc à bord -chiffre communiqué</t>
        </is>
      </c>
      <c r="AP1" s="33" t="inlineStr">
        <is>
          <t>appareillage-doc à bord</t>
        </is>
      </c>
      <c r="AQ1" s="33" t="inlineStr">
        <is>
          <t>Performance réalisée</t>
        </is>
      </c>
      <c r="AR1" s="34" t="inlineStr">
        <is>
          <t xml:space="preserve">Attente en Rade (jr)
accostage-NOR </t>
        </is>
      </c>
      <c r="AS1" s="34" t="inlineStr">
        <is>
          <t>Temps utilisé
fin-début</t>
        </is>
      </c>
      <c r="AT1" s="34" t="inlineStr">
        <is>
          <t>Séjour à Quai
app-accostage</t>
        </is>
      </c>
      <c r="AU1" s="34" t="inlineStr">
        <is>
          <t>Séjour Total
app-nor accepted</t>
        </is>
      </c>
      <c r="AV1" s="34" t="inlineStr">
        <is>
          <t>Cadence Moyenne réalisé T/J</t>
        </is>
      </c>
      <c r="AW1" s="361" t="inlineStr">
        <is>
          <t>taux de surestaries</t>
        </is>
      </c>
      <c r="AX1" s="34" t="inlineStr">
        <is>
          <t>cadence contractuelle</t>
        </is>
      </c>
      <c r="AY1" s="34" t="inlineStr">
        <is>
          <t>temps alloué</t>
        </is>
      </c>
      <c r="AZ1" s="34" t="inlineStr">
        <is>
          <t>J en surestaries</t>
        </is>
      </c>
      <c r="BA1" s="361" t="inlineStr">
        <is>
          <t>Surestaries</t>
        </is>
      </c>
      <c r="BB1" s="27" t="inlineStr">
        <is>
          <t xml:space="preserve">MOUVEMENTS </t>
        </is>
      </c>
      <c r="BC1" s="32" t="inlineStr">
        <is>
          <t>montant total des mouvements</t>
        </is>
      </c>
      <c r="BD1" s="32" t="inlineStr">
        <is>
          <t>Montant à payer par OCP</t>
        </is>
      </c>
      <c r="BE1" s="32" t="inlineStr">
        <is>
          <t>PREPARATION</t>
        </is>
      </c>
      <c r="BF1" s="27" t="inlineStr">
        <is>
          <t>FRESH WATER</t>
        </is>
      </c>
      <c r="BG1" s="27" t="inlineStr">
        <is>
          <t>quantité  MT</t>
        </is>
      </c>
      <c r="BH1" s="27" t="inlineStr">
        <is>
          <t>montant $</t>
        </is>
      </c>
      <c r="BI1" s="35" t="inlineStr">
        <is>
          <t>TempsPerdu</t>
        </is>
      </c>
      <c r="BJ1" s="35" t="inlineStr">
        <is>
          <t>TGB</t>
        </is>
      </c>
      <c r="BK1" s="35" t="inlineStr">
        <is>
          <t>Temps sauvé</t>
        </is>
      </c>
      <c r="BL1" s="36" t="n"/>
      <c r="BM1" s="36" t="n"/>
      <c r="BN1" s="36" t="n"/>
      <c r="BO1" s="36" t="n"/>
      <c r="BP1" s="36" t="n"/>
      <c r="BQ1" s="36" t="n"/>
      <c r="BR1" s="36" t="n"/>
      <c r="BS1" s="36" t="n"/>
      <c r="BT1" s="36" t="n"/>
      <c r="BU1" s="36" t="n"/>
      <c r="BV1" s="36" t="n"/>
      <c r="BW1" s="36" t="n"/>
      <c r="BX1" s="36" t="n"/>
      <c r="BY1" s="36" t="n"/>
    </row>
    <row r="2">
      <c r="A2" s="75" t="n">
        <v>1</v>
      </c>
      <c r="B2" s="80" t="inlineStr">
        <is>
          <t>NQ FREESIA</t>
        </is>
      </c>
      <c r="C2" s="73" t="n">
        <v>45660</v>
      </c>
      <c r="D2" s="75" t="inlineStr">
        <is>
          <t>EMAPHOS</t>
        </is>
      </c>
      <c r="E2" s="74" t="n">
        <v>9973</v>
      </c>
      <c r="F2" s="74" t="n">
        <v>61</v>
      </c>
      <c r="G2" s="74">
        <f>+ROUND(E2*F2%,3)</f>
        <v/>
      </c>
      <c r="H2" s="74" t="inlineStr">
        <is>
          <t>DAP</t>
        </is>
      </c>
      <c r="I2" s="74" t="n">
        <v>1654.128</v>
      </c>
      <c r="J2" s="362">
        <f>+ROUND(G2*I2,2)</f>
        <v/>
      </c>
      <c r="K2" s="75" t="n">
        <v>10.1139</v>
      </c>
      <c r="L2" s="362">
        <f>+ROUND(J2*K2,0)</f>
        <v/>
      </c>
      <c r="M2" s="363" t="inlineStr">
        <is>
          <t xml:space="preserve">2105 V DU 26/12/2024 </t>
        </is>
      </c>
      <c r="N2" s="363" t="inlineStr">
        <is>
          <t>EMAPHOS SA</t>
        </is>
      </c>
      <c r="O2" s="363" t="inlineStr">
        <is>
          <t>EUROPE</t>
        </is>
      </c>
      <c r="P2" s="363" t="inlineStr">
        <is>
          <t xml:space="preserve">BELGIUM / NETHERLAND </t>
        </is>
      </c>
      <c r="Q2" s="75" t="inlineStr">
        <is>
          <t>SAYBOLT</t>
        </is>
      </c>
      <c r="R2" s="195" t="n">
        <v>120</v>
      </c>
      <c r="S2" s="195" t="n"/>
      <c r="T2" s="195" t="n">
        <v>7</v>
      </c>
      <c r="U2" s="26" t="n">
        <v>45659.00069444445</v>
      </c>
      <c r="V2" s="26" t="n">
        <v>45659.00069444445</v>
      </c>
      <c r="W2" s="15" t="inlineStr">
        <is>
          <t>-</t>
        </is>
      </c>
      <c r="X2" s="15" t="inlineStr">
        <is>
          <t>-</t>
        </is>
      </c>
      <c r="Y2" s="26" t="n">
        <v>45658.95833333334</v>
      </c>
      <c r="Z2" s="26" t="n">
        <v>45659.48888888889</v>
      </c>
      <c r="AA2" s="26" t="n">
        <v>45659.53333333333</v>
      </c>
      <c r="AB2" s="26" t="n">
        <v>45659.55</v>
      </c>
      <c r="AC2" s="26" t="n">
        <v>45659.59375</v>
      </c>
      <c r="AD2" s="26" t="n">
        <v>45659.67013888889</v>
      </c>
      <c r="AE2" s="26" t="n">
        <v>45660.54513888889</v>
      </c>
      <c r="AF2" s="26" t="n">
        <v>45660.59027777778</v>
      </c>
      <c r="AG2" s="26" t="n">
        <v>45660.61111111111</v>
      </c>
      <c r="AH2" s="26" t="n">
        <v>45660.68055555555</v>
      </c>
      <c r="AI2" s="197">
        <f>(AA2-Z2)*1400</f>
        <v/>
      </c>
      <c r="AJ2" s="76">
        <f>(AA2-Y2)*1440</f>
        <v/>
      </c>
      <c r="AK2" s="99">
        <f>(AB2-Z2)*1440</f>
        <v/>
      </c>
      <c r="AL2" s="76">
        <f>(AC2-AB2)*1440</f>
        <v/>
      </c>
      <c r="AM2" s="99">
        <f>(AD2-AC2)*1440</f>
        <v/>
      </c>
      <c r="AN2" s="76">
        <f>(AF2-AE2)*1440</f>
        <v/>
      </c>
      <c r="AO2" s="76">
        <f>(AG2-AF2)*1440</f>
        <v/>
      </c>
      <c r="AP2" s="76">
        <f>(AH2-AG2)*1440</f>
        <v/>
      </c>
      <c r="AQ2" s="77">
        <f>AK2+AL2+AN2+AO2+AP2</f>
        <v/>
      </c>
      <c r="AR2" s="78">
        <f>(AA2-U2)</f>
        <v/>
      </c>
      <c r="AS2" s="197">
        <f>(AE2-AD2)</f>
        <v/>
      </c>
      <c r="AT2" s="197">
        <f>AH2-AA2</f>
        <v/>
      </c>
      <c r="AU2" s="197">
        <f>(AH2-V2)-BE2</f>
        <v/>
      </c>
      <c r="AV2" s="76">
        <f>E2/AS2</f>
        <v/>
      </c>
      <c r="AW2" s="364" t="n"/>
      <c r="AX2" s="76" t="n">
        <v>9600</v>
      </c>
      <c r="AY2" s="365">
        <f>(E2/AX2)+0.25</f>
        <v/>
      </c>
      <c r="BB2" s="76" t="inlineStr">
        <is>
          <t>NOR RECU LE 02/01- 0001</t>
        </is>
      </c>
      <c r="BC2" s="76" t="n"/>
      <c r="BE2" s="366">
        <f>AC2-AB2</f>
        <v/>
      </c>
      <c r="BF2" s="76" t="inlineStr">
        <is>
          <t>100 MT</t>
        </is>
      </c>
      <c r="BJ2" s="79" t="n">
        <v>8860</v>
      </c>
    </row>
    <row r="3">
      <c r="A3" s="75" t="n">
        <v>2</v>
      </c>
      <c r="B3" s="80" t="inlineStr">
        <is>
          <t>ALTAY</t>
        </is>
      </c>
      <c r="C3" s="73" t="n">
        <v>45690</v>
      </c>
      <c r="D3" s="75" t="inlineStr">
        <is>
          <t>EMAPHOS</t>
        </is>
      </c>
      <c r="E3" s="74" t="n">
        <v>4000</v>
      </c>
      <c r="F3" s="74" t="n">
        <v>61</v>
      </c>
      <c r="G3" s="74">
        <f>+ROUND(E3*F3%,3)</f>
        <v/>
      </c>
      <c r="H3" s="74" t="inlineStr">
        <is>
          <t>FOB</t>
        </is>
      </c>
      <c r="I3" s="74" t="n">
        <v>1674.23</v>
      </c>
      <c r="J3" s="362">
        <f>+ROUND(G3*I3,2)</f>
        <v/>
      </c>
      <c r="K3" s="75" t="n">
        <v>10.0377</v>
      </c>
      <c r="L3" s="362">
        <f>+ROUND(J3*K3,0)</f>
        <v/>
      </c>
      <c r="M3" s="363" t="inlineStr">
        <is>
          <t>119 L DU 26/01/2025</t>
        </is>
      </c>
      <c r="N3" s="363" t="inlineStr">
        <is>
          <t>PRAYON S.A</t>
        </is>
      </c>
      <c r="O3" s="363" t="inlineStr">
        <is>
          <t>EUROPE</t>
        </is>
      </c>
      <c r="P3" s="363" t="inlineStr">
        <is>
          <t>TURQUIE</t>
        </is>
      </c>
      <c r="Q3" s="75" t="inlineStr">
        <is>
          <t>SAYBOLT</t>
        </is>
      </c>
      <c r="R3" s="195" t="n">
        <v>120</v>
      </c>
      <c r="T3" s="195" t="n">
        <v>7</v>
      </c>
      <c r="U3" s="26" t="n">
        <v>45684.375</v>
      </c>
      <c r="V3" s="26" t="n">
        <v>45684.375</v>
      </c>
      <c r="W3" s="15" t="inlineStr">
        <is>
          <t>-</t>
        </is>
      </c>
      <c r="X3" s="15" t="inlineStr">
        <is>
          <t>-</t>
        </is>
      </c>
      <c r="Y3" s="26" t="n">
        <v>45684.375</v>
      </c>
      <c r="Z3" s="26" t="n">
        <v>45688.79861111111</v>
      </c>
      <c r="AA3" s="26" t="n">
        <v>45688.97916666666</v>
      </c>
      <c r="AB3" s="26" t="n">
        <v>45688.98958333334</v>
      </c>
      <c r="AC3" s="26" t="n">
        <v>45689.04166666666</v>
      </c>
      <c r="AD3" s="26" t="n">
        <v>45689.51736111111</v>
      </c>
      <c r="AE3" s="26" t="n">
        <v>45690.00347222222</v>
      </c>
      <c r="AF3" s="26" t="n">
        <v>45690.04305555556</v>
      </c>
      <c r="AG3" s="26" t="n">
        <v>45690.06944444445</v>
      </c>
      <c r="AH3" s="26" t="n">
        <v>45690.13055555556</v>
      </c>
      <c r="AI3" s="197">
        <f>(AA3-Z3)*1400</f>
        <v/>
      </c>
      <c r="AJ3" s="76">
        <f>(AA3-Y3)*1440</f>
        <v/>
      </c>
      <c r="AK3" s="99">
        <f>(AB3-Z3)*1440</f>
        <v/>
      </c>
      <c r="AL3" s="76">
        <f>(AC3-AB3)*1440</f>
        <v/>
      </c>
      <c r="AM3" s="99">
        <f>(AD3-AC3)*1440</f>
        <v/>
      </c>
      <c r="AN3" s="76">
        <f>(AF3-AE3)*1440</f>
        <v/>
      </c>
      <c r="AO3" s="76">
        <f>(AG3-AF3)*1440</f>
        <v/>
      </c>
      <c r="AP3" s="76">
        <f>(AH3-AG3)*1440</f>
        <v/>
      </c>
      <c r="AQ3" s="77">
        <f>AK3+AL3+AN3+AO3+AP3</f>
        <v/>
      </c>
      <c r="AR3" s="78">
        <f>(AA3-U3)</f>
        <v/>
      </c>
      <c r="AS3" s="197">
        <f>(AE3-AD3)</f>
        <v/>
      </c>
      <c r="AT3" s="197">
        <f>AH3-AA3</f>
        <v/>
      </c>
      <c r="AU3" s="197">
        <f>(AH3-V3)-BE3</f>
        <v/>
      </c>
      <c r="AV3" s="76">
        <f>E3/AS3</f>
        <v/>
      </c>
      <c r="AW3" s="364" t="n"/>
      <c r="AX3" s="76" t="n">
        <v>9600</v>
      </c>
      <c r="AY3" s="365">
        <f>(E3/AX3)+0.25</f>
        <v/>
      </c>
      <c r="BC3" s="367" t="n"/>
      <c r="BE3" s="366">
        <f>AC3-AB3</f>
        <v/>
      </c>
      <c r="BF3" s="76" t="n"/>
    </row>
    <row r="4">
      <c r="A4" s="75" t="n">
        <v>3</v>
      </c>
      <c r="B4" s="80" t="inlineStr">
        <is>
          <t>HICRI KAAN</t>
        </is>
      </c>
      <c r="C4" s="73" t="n">
        <v>45694</v>
      </c>
      <c r="D4" s="75" t="inlineStr">
        <is>
          <t>EMAPHOS</t>
        </is>
      </c>
      <c r="E4" s="74" t="n">
        <v>2500</v>
      </c>
      <c r="F4" s="74" t="n">
        <v>61</v>
      </c>
      <c r="G4" s="74">
        <f>+ROUND(E4*F4%,3)</f>
        <v/>
      </c>
      <c r="H4" s="74" t="inlineStr">
        <is>
          <t>CIF</t>
        </is>
      </c>
      <c r="I4" s="74" t="n">
        <v>1674.23</v>
      </c>
      <c r="J4" s="362">
        <f>+ROUND(G4*I4,2)</f>
        <v/>
      </c>
      <c r="K4" s="75" t="n">
        <v>10.0207</v>
      </c>
      <c r="L4" s="362">
        <f>+ROUND(J4*K4,0)</f>
        <v/>
      </c>
      <c r="M4" s="363" t="inlineStr">
        <is>
          <t>119 L DU 26/01/2025</t>
        </is>
      </c>
      <c r="N4" s="363" t="inlineStr">
        <is>
          <t>BRENNTAG Kimya Tic.Ltd.Sti</t>
        </is>
      </c>
      <c r="O4" s="363" t="inlineStr">
        <is>
          <t>EUROPE</t>
        </is>
      </c>
      <c r="P4" s="363" t="inlineStr">
        <is>
          <t>TURQUIE</t>
        </is>
      </c>
      <c r="Q4" s="75" t="inlineStr">
        <is>
          <t>SAYBOLT</t>
        </is>
      </c>
      <c r="R4" s="195" t="n">
        <v>120</v>
      </c>
      <c r="T4" s="195" t="n">
        <v>7</v>
      </c>
      <c r="U4" s="26" t="n">
        <v>45683.86666666667</v>
      </c>
      <c r="V4" s="26" t="n">
        <v>45683.86666666667</v>
      </c>
      <c r="W4" s="15" t="n">
        <v>45680</v>
      </c>
      <c r="X4" s="15" t="n">
        <v>45682</v>
      </c>
      <c r="Y4" s="26" t="n">
        <v>45683.83333333334</v>
      </c>
      <c r="Z4" s="26" t="n">
        <v>45693.68333333333</v>
      </c>
      <c r="AA4" s="26" t="n">
        <v>45693.72083333333</v>
      </c>
      <c r="AB4" s="26" t="n">
        <v>45693.74305555555</v>
      </c>
      <c r="AC4" s="26" t="n">
        <v>45693.77083333334</v>
      </c>
      <c r="AD4" s="26" t="n">
        <v>45693.85416666666</v>
      </c>
      <c r="AE4" s="26" t="n">
        <v>45694.4375</v>
      </c>
      <c r="AF4" s="26" t="n">
        <v>45694.48611111111</v>
      </c>
      <c r="AG4" s="26" t="n">
        <v>45694.50694444445</v>
      </c>
      <c r="AH4" s="26" t="n">
        <v>45694.56944444445</v>
      </c>
      <c r="AI4" s="197">
        <f>(AA4-Z4)*1400</f>
        <v/>
      </c>
      <c r="AJ4" s="76">
        <f>(AA4-Y4)*1440</f>
        <v/>
      </c>
      <c r="AK4" s="99">
        <f>(AB4-Z4)*1440</f>
        <v/>
      </c>
      <c r="AL4" s="76">
        <f>(AC4-AB4)*1440</f>
        <v/>
      </c>
      <c r="AM4" s="99">
        <f>(AD4-AC4)*1440</f>
        <v/>
      </c>
      <c r="AN4" s="76">
        <f>(AF4-AE4)*1440</f>
        <v/>
      </c>
      <c r="AO4" s="76">
        <f>(AG4-AF4)*1440</f>
        <v/>
      </c>
      <c r="AP4" s="76">
        <f>(AH4-AG4)*1440</f>
        <v/>
      </c>
      <c r="AQ4" s="77">
        <f>AK4+AL4+AN4+AO4+AP4</f>
        <v/>
      </c>
      <c r="AR4" s="78">
        <f>(AA4-U4)</f>
        <v/>
      </c>
      <c r="AS4" s="197">
        <f>(AE4-AD4)</f>
        <v/>
      </c>
      <c r="AT4" s="197">
        <f>AH4-AA4</f>
        <v/>
      </c>
      <c r="AU4" s="197">
        <f>(AH4-V4)-BE4</f>
        <v/>
      </c>
      <c r="AV4" s="76">
        <f>E4/AS4</f>
        <v/>
      </c>
      <c r="AW4" s="364" t="n"/>
      <c r="AX4" s="76" t="n">
        <v>9600</v>
      </c>
      <c r="AY4" s="365">
        <f>(E4/AX4)+0.25</f>
        <v/>
      </c>
      <c r="BE4" s="366">
        <f>AC4-AB4</f>
        <v/>
      </c>
      <c r="BF4" s="76" t="inlineStr">
        <is>
          <t>NUL</t>
        </is>
      </c>
    </row>
    <row r="5">
      <c r="A5" s="75" t="n">
        <v>4</v>
      </c>
      <c r="B5" s="80" t="inlineStr">
        <is>
          <t>NQ MORINA</t>
        </is>
      </c>
      <c r="C5" s="73" t="n">
        <v>45695</v>
      </c>
      <c r="D5" s="75" t="inlineStr">
        <is>
          <t>EMAPHOS</t>
        </is>
      </c>
      <c r="E5" s="74" t="n">
        <v>7770</v>
      </c>
      <c r="F5" s="74" t="n">
        <v>61</v>
      </c>
      <c r="G5" s="74">
        <f>+ROUND(E5*F5%,3)</f>
        <v/>
      </c>
      <c r="H5" s="74" t="inlineStr">
        <is>
          <t>DAP</t>
        </is>
      </c>
      <c r="I5" s="74" t="n">
        <v>1654.128</v>
      </c>
      <c r="J5" s="362">
        <f>+ROUND(G5*I5,2)</f>
        <v/>
      </c>
      <c r="K5" s="75" t="n">
        <v>10.0295</v>
      </c>
      <c r="L5" s="362">
        <f>+ROUND(J5*K5,0)</f>
        <v/>
      </c>
      <c r="M5" s="363" t="inlineStr">
        <is>
          <t>119 L DU 26/01/2025</t>
        </is>
      </c>
      <c r="N5" s="363" t="inlineStr">
        <is>
          <t>EMAPHOS S.A C/O ODFJELL TERMINALS</t>
        </is>
      </c>
      <c r="O5" s="363" t="inlineStr">
        <is>
          <t>EUROPE</t>
        </is>
      </c>
      <c r="P5" s="363" t="inlineStr">
        <is>
          <t>PAYS BAS</t>
        </is>
      </c>
      <c r="Q5" s="75" t="inlineStr">
        <is>
          <t>SAYBOLT</t>
        </is>
      </c>
      <c r="R5" s="195" t="n">
        <v>138</v>
      </c>
      <c r="T5" s="195" t="n">
        <v>7</v>
      </c>
      <c r="U5" s="26" t="n">
        <v>45689.00138888889</v>
      </c>
      <c r="V5" s="26" t="n">
        <v>45689.00138888889</v>
      </c>
      <c r="W5" s="15" t="n">
        <v>45689</v>
      </c>
      <c r="X5" s="15" t="n">
        <v>45691</v>
      </c>
      <c r="Y5" s="26" t="n">
        <v>45688.57291666666</v>
      </c>
      <c r="Z5" s="26" t="n">
        <v>45694.56944444445</v>
      </c>
      <c r="AA5" s="26" t="n">
        <v>45694.63194444445</v>
      </c>
      <c r="AB5" s="26" t="n">
        <v>45694.64930555555</v>
      </c>
      <c r="AC5" s="26" t="n">
        <v>45694.6875</v>
      </c>
      <c r="AD5" s="26" t="n">
        <v>45694.75</v>
      </c>
      <c r="AE5" s="26" t="n">
        <v>45695.61111111111</v>
      </c>
      <c r="AF5" s="26" t="n">
        <v>45695.66666666666</v>
      </c>
      <c r="AG5" s="26" t="n">
        <v>45695.6875</v>
      </c>
      <c r="AH5" s="26" t="n">
        <v>45695.74375</v>
      </c>
      <c r="AI5" s="197">
        <f>(AA5-Z5)*1400</f>
        <v/>
      </c>
      <c r="AJ5" s="76">
        <f>(AA5-Y5)*1440</f>
        <v/>
      </c>
      <c r="AK5" s="99">
        <f>(AB5-Z5)*1440</f>
        <v/>
      </c>
      <c r="AL5" s="76">
        <f>(AC5-AB5)*1440</f>
        <v/>
      </c>
      <c r="AM5" s="99">
        <f>(AD5-AC5)*1440</f>
        <v/>
      </c>
      <c r="AN5" s="76">
        <f>(AF5-AE5)*1440</f>
        <v/>
      </c>
      <c r="AO5" s="76">
        <f>(AG5-AF5)*1440</f>
        <v/>
      </c>
      <c r="AP5" s="76">
        <f>(AH5-AG5)*1440</f>
        <v/>
      </c>
      <c r="AQ5" s="77">
        <f>AK5+AL5+AN5+AO5+AP5</f>
        <v/>
      </c>
      <c r="AR5" s="78">
        <f>(AA5-U5)</f>
        <v/>
      </c>
      <c r="AS5" s="197">
        <f>(AE5-AD5)</f>
        <v/>
      </c>
      <c r="AT5" s="197">
        <f>AH5-AA5</f>
        <v/>
      </c>
      <c r="AU5" s="197">
        <f>(AH5-V5)-BE5</f>
        <v/>
      </c>
      <c r="AV5" s="76">
        <f>E5/AS5</f>
        <v/>
      </c>
      <c r="AW5" s="364" t="n"/>
      <c r="AX5" s="76" t="n">
        <v>9600</v>
      </c>
      <c r="AY5" s="365">
        <f>(E5/AX5)+0.25</f>
        <v/>
      </c>
      <c r="BE5" s="366">
        <f>AC5-AB5</f>
        <v/>
      </c>
      <c r="BF5" s="76" t="inlineStr">
        <is>
          <t>50 MT</t>
        </is>
      </c>
    </row>
    <row r="6">
      <c r="A6" s="75" t="n">
        <v>5</v>
      </c>
      <c r="B6" s="80" t="inlineStr">
        <is>
          <t>CHEMICAL HUNTER</t>
        </is>
      </c>
      <c r="C6" s="73" t="n">
        <v>45729</v>
      </c>
      <c r="D6" s="75" t="inlineStr">
        <is>
          <t>EMAPHOS</t>
        </is>
      </c>
      <c r="E6" s="74" t="n">
        <v>2094.211</v>
      </c>
      <c r="F6" s="74" t="n">
        <v>61</v>
      </c>
      <c r="G6" s="74">
        <f>+ROUND(E6*F6%,3)</f>
        <v/>
      </c>
      <c r="H6" s="74" t="inlineStr">
        <is>
          <t>FCA</t>
        </is>
      </c>
      <c r="I6" s="74" t="n">
        <v>1674.23</v>
      </c>
      <c r="J6" s="362">
        <f>+ROUND(G6*I6,2)</f>
        <v/>
      </c>
      <c r="K6" s="75" t="n">
        <v>9.688499999999999</v>
      </c>
      <c r="L6" s="362">
        <f>+ROUND(J6*K6,0)</f>
        <v/>
      </c>
      <c r="M6" s="363" t="inlineStr">
        <is>
          <t>254 H DU 26/02/2025</t>
        </is>
      </c>
      <c r="N6" s="363" t="inlineStr">
        <is>
          <t xml:space="preserve">HELM DE MEXICO SA </t>
        </is>
      </c>
      <c r="O6" s="363" t="inlineStr">
        <is>
          <t>AMERIQUE LATINE</t>
        </is>
      </c>
      <c r="P6" s="363" t="inlineStr">
        <is>
          <t>Mexique</t>
        </is>
      </c>
      <c r="Q6" s="75" t="inlineStr">
        <is>
          <t>SAYBOLT</t>
        </is>
      </c>
      <c r="R6" s="195" t="n">
        <v>134</v>
      </c>
      <c r="T6" s="195" t="n">
        <v>7</v>
      </c>
      <c r="U6" s="26" t="n">
        <v>45723.29166666666</v>
      </c>
      <c r="V6" s="26" t="n">
        <v>45723.29166666666</v>
      </c>
      <c r="W6" s="15" t="n">
        <v>45721</v>
      </c>
      <c r="X6" s="15" t="n">
        <v>45731</v>
      </c>
      <c r="Y6" s="26" t="n">
        <v>45723.2375</v>
      </c>
      <c r="Z6" s="26" t="n">
        <v>45728.45833333334</v>
      </c>
      <c r="AA6" s="26" t="n">
        <v>45728.5</v>
      </c>
      <c r="AB6" s="26" t="n">
        <v>45728.5</v>
      </c>
      <c r="AC6" s="26" t="n">
        <v>45728.55208333334</v>
      </c>
      <c r="AD6" s="26" t="n">
        <v>45728.65416666667</v>
      </c>
      <c r="AE6" s="26" t="n">
        <v>45729.04166666666</v>
      </c>
      <c r="AF6" s="26" t="n">
        <v>45729.12708333333</v>
      </c>
      <c r="AG6" s="26" t="n">
        <v>45729.15972222222</v>
      </c>
      <c r="AH6" s="26" t="n">
        <v>45729.26041666666</v>
      </c>
      <c r="AI6" s="197">
        <f>(AA6-Z6)*1400</f>
        <v/>
      </c>
      <c r="AJ6" s="76">
        <f>(AA6-Y6)*1440</f>
        <v/>
      </c>
      <c r="AK6" s="99">
        <f>(AB6-Z6)*1440</f>
        <v/>
      </c>
      <c r="AL6" s="76">
        <f>(AC6-AB6)*1440</f>
        <v/>
      </c>
      <c r="AM6" s="99">
        <f>(AD6-AC6)*1440</f>
        <v/>
      </c>
      <c r="AN6" s="76">
        <f>(AF6-AE6)*1440</f>
        <v/>
      </c>
      <c r="AO6" s="76">
        <f>(AG6-AF6)*1440</f>
        <v/>
      </c>
      <c r="AP6" s="76">
        <f>(AH6-AG6)*1440</f>
        <v/>
      </c>
      <c r="AQ6" s="77">
        <f>AK6+AL6+AN6+AO6+AP6</f>
        <v/>
      </c>
      <c r="AR6" s="78">
        <f>(AA6-U6)</f>
        <v/>
      </c>
      <c r="AS6" s="197">
        <f>(AE6-AD6)</f>
        <v/>
      </c>
      <c r="AT6" s="197">
        <f>AH6-AA6</f>
        <v/>
      </c>
      <c r="AU6" s="197">
        <f>(AH6-V6)-BE6</f>
        <v/>
      </c>
      <c r="AV6" s="76">
        <f>E6/AS6</f>
        <v/>
      </c>
      <c r="AW6" s="364" t="n"/>
      <c r="AX6" s="76" t="n">
        <v>9600</v>
      </c>
      <c r="AY6" s="365">
        <f>(E6/AX6)+0.25</f>
        <v/>
      </c>
      <c r="BE6" s="366">
        <f>AC6-AB6</f>
        <v/>
      </c>
      <c r="BF6" s="76" t="n"/>
    </row>
    <row r="7">
      <c r="A7" s="75" t="n">
        <v>6</v>
      </c>
      <c r="B7" s="80" t="inlineStr">
        <is>
          <t>NQ ZINNIA</t>
        </is>
      </c>
      <c r="C7" s="73" t="n">
        <v>45733</v>
      </c>
      <c r="D7" s="75" t="inlineStr">
        <is>
          <t>EMAPHOS</t>
        </is>
      </c>
      <c r="E7" s="74" t="n">
        <v>9144</v>
      </c>
      <c r="F7" s="74" t="n">
        <v>61</v>
      </c>
      <c r="G7" s="74">
        <f>+ROUND(E7*F7%,3)</f>
        <v/>
      </c>
      <c r="H7" s="74" t="inlineStr">
        <is>
          <t>DAP</t>
        </is>
      </c>
      <c r="M7" s="363" t="n"/>
      <c r="N7" s="363" t="n"/>
      <c r="O7" s="363" t="inlineStr">
        <is>
          <t>EUROPE</t>
        </is>
      </c>
      <c r="P7" s="363" t="inlineStr">
        <is>
          <t>BELGIUM // NETHERLANDS</t>
        </is>
      </c>
      <c r="Q7" s="75" t="inlineStr">
        <is>
          <t>SAYBOLT</t>
        </is>
      </c>
      <c r="R7" s="195" t="n">
        <v>126</v>
      </c>
      <c r="T7" s="195" t="n">
        <v>7</v>
      </c>
      <c r="U7" s="26" t="n">
        <v>45728.375</v>
      </c>
      <c r="V7" s="26" t="n">
        <v>45728.375</v>
      </c>
      <c r="W7" s="15" t="n">
        <v>45725</v>
      </c>
      <c r="X7" s="15" t="n">
        <v>45727</v>
      </c>
      <c r="Y7" s="26" t="n">
        <v>45728.375</v>
      </c>
      <c r="Z7" s="26" t="n">
        <v>45731.91319444445</v>
      </c>
      <c r="AA7" s="26" t="n">
        <v>45731.93333333333</v>
      </c>
      <c r="AB7" s="26" t="n">
        <v>45731.95833333334</v>
      </c>
      <c r="AC7" s="26" t="n">
        <v>45731.99652777778</v>
      </c>
      <c r="AD7" s="26" t="n">
        <v>45732.03333333333</v>
      </c>
      <c r="AE7" s="26" t="n">
        <v>45733.09166666667</v>
      </c>
      <c r="AF7" s="26" t="n">
        <v>45733.13333333333</v>
      </c>
      <c r="AG7" s="26" t="n">
        <v>45733.13541666666</v>
      </c>
      <c r="AH7" s="26" t="n">
        <v>45733.26875</v>
      </c>
      <c r="AI7" s="197">
        <f>(AA7-Z7)*1400</f>
        <v/>
      </c>
      <c r="AJ7" s="76">
        <f>(AA7-Y7)*1440</f>
        <v/>
      </c>
      <c r="AK7" s="99">
        <f>(AB7-Z7)*1440</f>
        <v/>
      </c>
      <c r="AL7" s="76">
        <f>(AC7-AB7)*1440</f>
        <v/>
      </c>
      <c r="AM7" s="136">
        <f>(AD7-AC7)*1440</f>
        <v/>
      </c>
      <c r="AN7" s="76">
        <f>(AF7-AE7)*1440</f>
        <v/>
      </c>
      <c r="AO7" s="76">
        <f>(AG7-AF7)*1440</f>
        <v/>
      </c>
      <c r="AP7" s="76">
        <f>(AH7-AG7)*1440</f>
        <v/>
      </c>
      <c r="AQ7" s="77">
        <f>AK7+AL7+AN7+AO7+AP7</f>
        <v/>
      </c>
      <c r="AR7" s="78">
        <f>(AA7-U7)</f>
        <v/>
      </c>
      <c r="AS7" s="197">
        <f>(AE7-AD7)</f>
        <v/>
      </c>
      <c r="AT7" s="197">
        <f>AH7-AA7</f>
        <v/>
      </c>
      <c r="AU7" s="197">
        <f>(AH7-V7)-BE7</f>
        <v/>
      </c>
      <c r="AV7" s="76">
        <f>E7/AS7</f>
        <v/>
      </c>
      <c r="AW7" s="364" t="n"/>
      <c r="AX7" s="76" t="n">
        <v>9600</v>
      </c>
      <c r="AY7" s="365">
        <f>(E7/AX7)+0.25</f>
        <v/>
      </c>
      <c r="BE7" s="366">
        <f>AC7-AB7</f>
        <v/>
      </c>
      <c r="BF7" s="76" t="inlineStr">
        <is>
          <t>NUL</t>
        </is>
      </c>
    </row>
    <row r="8">
      <c r="A8" s="75" t="n">
        <v>7</v>
      </c>
      <c r="B8" s="80" t="inlineStr">
        <is>
          <t>NQ LAELIA</t>
        </is>
      </c>
      <c r="C8" s="73" t="n">
        <v>45735</v>
      </c>
      <c r="D8" s="75" t="inlineStr">
        <is>
          <t>EMAPHOS</t>
        </is>
      </c>
      <c r="E8" s="74" t="n">
        <v>6509.98</v>
      </c>
      <c r="F8" s="74" t="n">
        <v>61</v>
      </c>
      <c r="G8" s="74">
        <f>+ROUND(E8*F8%,3)</f>
        <v/>
      </c>
      <c r="H8" s="74" t="inlineStr">
        <is>
          <t>DAP</t>
        </is>
      </c>
      <c r="I8" s="74" t="n"/>
      <c r="J8" s="362" t="n"/>
      <c r="K8" s="75" t="n"/>
      <c r="L8" s="362" t="n"/>
      <c r="M8" s="363" t="n"/>
      <c r="N8" s="363" t="n"/>
      <c r="O8" s="363" t="inlineStr">
        <is>
          <t>EUROPE</t>
        </is>
      </c>
      <c r="P8" s="363" t="inlineStr">
        <is>
          <t>Espagne</t>
        </is>
      </c>
      <c r="Q8" s="75" t="inlineStr">
        <is>
          <t>SAYBOLT</t>
        </is>
      </c>
      <c r="R8" s="195" t="n">
        <v>115</v>
      </c>
      <c r="T8" s="195" t="n">
        <v>7</v>
      </c>
      <c r="U8" s="26" t="n">
        <v>45731.54166666666</v>
      </c>
      <c r="V8" s="26" t="n">
        <v>45731.54166666666</v>
      </c>
      <c r="W8" s="148" t="n">
        <v>45727</v>
      </c>
      <c r="X8" s="148" t="n">
        <v>45731</v>
      </c>
      <c r="Y8" s="26" t="n">
        <v>45731.54166666666</v>
      </c>
      <c r="Z8" s="26" t="n">
        <v>45734.84375</v>
      </c>
      <c r="AA8" s="26" t="n">
        <v>45734.88194444445</v>
      </c>
      <c r="AB8" s="26" t="inlineStr">
        <is>
          <t>-</t>
        </is>
      </c>
      <c r="AC8" s="26" t="n">
        <v>45734.94791666666</v>
      </c>
      <c r="AD8" s="26" t="n">
        <v>45734.99583333333</v>
      </c>
      <c r="AE8" s="26" t="n">
        <v>45735.65277777778</v>
      </c>
      <c r="AF8" s="26" t="n">
        <v>45735.71527777778</v>
      </c>
      <c r="AG8" s="26" t="n">
        <v>45735.73055555556</v>
      </c>
      <c r="AH8" s="26" t="n">
        <v>45735.7625</v>
      </c>
      <c r="AI8" s="197">
        <f>(AA8-Z8)*1400</f>
        <v/>
      </c>
      <c r="AJ8" s="76">
        <f>(AA8-Y8)*1440</f>
        <v/>
      </c>
      <c r="AK8" s="99" t="n"/>
      <c r="AL8" s="76" t="n"/>
      <c r="AM8" s="99">
        <f>(AD8-AC8)*1440</f>
        <v/>
      </c>
      <c r="AN8" s="76">
        <f>(AF8-AE8)*1440</f>
        <v/>
      </c>
      <c r="AO8" s="76">
        <f>(AG8-AF8)*1440</f>
        <v/>
      </c>
      <c r="AP8" s="76">
        <f>(AH8-AG8)*1440</f>
        <v/>
      </c>
      <c r="AQ8" s="77" t="n"/>
      <c r="AR8" s="78">
        <f>(AA8-U8)</f>
        <v/>
      </c>
      <c r="AS8" s="197">
        <f>(AE8-AD8)</f>
        <v/>
      </c>
      <c r="AT8" s="197">
        <f>AH8-AA8</f>
        <v/>
      </c>
      <c r="AU8" s="197" t="n"/>
      <c r="AV8" s="76">
        <f>E8/AS8</f>
        <v/>
      </c>
      <c r="AW8" s="364" t="n"/>
      <c r="AX8" s="76" t="n">
        <v>9600</v>
      </c>
      <c r="AY8" s="365">
        <f>(E8/AX8)+0.25</f>
        <v/>
      </c>
      <c r="BE8" s="366">
        <f>AC8-AB8</f>
        <v/>
      </c>
      <c r="BF8" s="76" t="inlineStr">
        <is>
          <t>NUL</t>
        </is>
      </c>
    </row>
    <row r="9" customFormat="1" s="159">
      <c r="A9" s="157" t="n">
        <v>8</v>
      </c>
      <c r="B9" s="154" t="inlineStr">
        <is>
          <t>STOLT PONDO</t>
        </is>
      </c>
      <c r="C9" s="155" t="n">
        <v>45752</v>
      </c>
      <c r="D9" s="157" t="inlineStr">
        <is>
          <t>EMAPHOS</t>
        </is>
      </c>
      <c r="E9" s="156" t="n">
        <v>6379.209</v>
      </c>
      <c r="F9" s="156" t="n">
        <v>61</v>
      </c>
      <c r="G9" s="156">
        <f>+ROUND(E9*F9%,3)</f>
        <v/>
      </c>
      <c r="H9" s="156" t="inlineStr">
        <is>
          <t>DAP</t>
        </is>
      </c>
      <c r="I9" s="156" t="n"/>
      <c r="J9" s="368" t="n"/>
      <c r="K9" s="157" t="n"/>
      <c r="L9" s="368" t="n"/>
      <c r="M9" s="369" t="n"/>
      <c r="N9" s="369" t="n"/>
      <c r="O9" s="369" t="inlineStr">
        <is>
          <t>AMERIQUE</t>
        </is>
      </c>
      <c r="P9" s="369" t="inlineStr">
        <is>
          <t>USA</t>
        </is>
      </c>
      <c r="Q9" s="157" t="inlineStr">
        <is>
          <t>SAYBOLT</t>
        </is>
      </c>
      <c r="R9" s="158" t="n">
        <v>170</v>
      </c>
      <c r="T9" s="158" t="n">
        <v>7</v>
      </c>
      <c r="U9" s="191" t="n"/>
      <c r="V9" s="191" t="n"/>
      <c r="W9" s="155" t="n"/>
      <c r="X9" s="155" t="n"/>
      <c r="Y9" s="191" t="n"/>
      <c r="Z9" s="191" t="n"/>
      <c r="AA9" s="191" t="n"/>
      <c r="AB9" s="191" t="n"/>
      <c r="AC9" s="191" t="n"/>
      <c r="AD9" s="191" t="n"/>
      <c r="AE9" s="191" t="n"/>
      <c r="AF9" s="191" t="n"/>
      <c r="AG9" s="191" t="n"/>
      <c r="AH9" s="191" t="n"/>
      <c r="AI9" s="162">
        <f>(AA9-Z9)*1400</f>
        <v/>
      </c>
      <c r="AJ9" s="163">
        <f>(AA9-Y9)*1440</f>
        <v/>
      </c>
      <c r="AK9" s="164">
        <f>(AB9-Z9)*1440</f>
        <v/>
      </c>
      <c r="AL9" s="163">
        <f>(AC9-AB9)*1440</f>
        <v/>
      </c>
      <c r="AM9" s="164">
        <f>(AD9-AC9)*1440</f>
        <v/>
      </c>
      <c r="AN9" s="163">
        <f>(AF9-AE9)*1440</f>
        <v/>
      </c>
      <c r="AO9" s="163">
        <f>(AG9-AF9)*1440</f>
        <v/>
      </c>
      <c r="AP9" s="163">
        <f>(AH9-AG9)*1440</f>
        <v/>
      </c>
      <c r="AQ9" s="165">
        <f>AK9+AL9+AN9+AO9+AP9</f>
        <v/>
      </c>
      <c r="AR9" s="166">
        <f>(AA9-U9)</f>
        <v/>
      </c>
      <c r="AS9" s="162">
        <f>(AE9-AD9)</f>
        <v/>
      </c>
      <c r="AT9" s="162">
        <f>AH9-AA9</f>
        <v/>
      </c>
      <c r="AU9" s="162">
        <f>(AH9-V9)-BE9</f>
        <v/>
      </c>
      <c r="AV9" s="163">
        <f>E9/AS9</f>
        <v/>
      </c>
      <c r="AW9" s="370" t="n"/>
      <c r="AX9" s="163" t="n">
        <v>9600</v>
      </c>
      <c r="AY9" s="371">
        <f>(E9/AX9)+0.25</f>
        <v/>
      </c>
      <c r="BB9" s="187" t="inlineStr">
        <is>
          <t>CHANGE DU POSTE 7 VERS LA RADE LE 03/04/ RE ACC AU POSTE 7 LE 04/04 23:36</t>
        </is>
      </c>
      <c r="BE9" s="372">
        <f>AC9-AB9</f>
        <v/>
      </c>
    </row>
    <row r="10" customFormat="1" s="159">
      <c r="A10" s="157" t="n">
        <v>9</v>
      </c>
      <c r="B10" s="154" t="inlineStr">
        <is>
          <t>TATLISU</t>
        </is>
      </c>
      <c r="C10" s="155" t="n">
        <v>45757</v>
      </c>
      <c r="D10" s="157" t="inlineStr">
        <is>
          <t>EMAPHOS</t>
        </is>
      </c>
      <c r="E10" s="156" t="n">
        <v>6808.737</v>
      </c>
      <c r="F10" s="156" t="n">
        <v>61</v>
      </c>
      <c r="G10" s="156">
        <f>+ROUND(E10*F10%,3)</f>
        <v/>
      </c>
      <c r="H10" s="156" t="inlineStr">
        <is>
          <t>DAP</t>
        </is>
      </c>
      <c r="I10" s="156" t="n"/>
      <c r="J10" s="368" t="n"/>
      <c r="K10" s="157" t="n"/>
      <c r="L10" s="368" t="n"/>
      <c r="M10" s="369" t="n"/>
      <c r="N10" s="369" t="n"/>
      <c r="O10" s="369" t="n"/>
      <c r="P10" s="369" t="n"/>
      <c r="Q10" s="157" t="inlineStr">
        <is>
          <t>SAYBOLT</t>
        </is>
      </c>
      <c r="R10" s="158" t="n">
        <v>112</v>
      </c>
      <c r="T10" s="158" t="n">
        <v>7</v>
      </c>
      <c r="U10" s="191" t="n">
        <v>45753.375</v>
      </c>
      <c r="V10" s="191" t="n">
        <v>45753.375</v>
      </c>
      <c r="W10" s="155" t="n">
        <v>45752</v>
      </c>
      <c r="X10" s="155" t="n">
        <v>45754</v>
      </c>
      <c r="Y10" s="191" t="n">
        <v>45753.35416666666</v>
      </c>
      <c r="Z10" s="191" t="n">
        <v>45756.64722222222</v>
      </c>
      <c r="AA10" s="191" t="n">
        <v>45756.7625</v>
      </c>
      <c r="AB10" s="191" t="n">
        <v>45756.77083333334</v>
      </c>
      <c r="AC10" s="191" t="n">
        <v>45756.82291666666</v>
      </c>
      <c r="AD10" s="191" t="n"/>
      <c r="AE10" s="191" t="n">
        <v>45757.60416666666</v>
      </c>
      <c r="AF10" s="191" t="n">
        <v>45757.69444444445</v>
      </c>
      <c r="AG10" s="191" t="n">
        <v>45757.77083333334</v>
      </c>
      <c r="AH10" s="191" t="n">
        <v>45757.78541666667</v>
      </c>
      <c r="AI10" s="162">
        <f>(AA10-Z10)*1400</f>
        <v/>
      </c>
      <c r="AJ10" s="163">
        <f>(AA10-Y10)*1440</f>
        <v/>
      </c>
      <c r="AK10" s="164">
        <f>(AB10-Z10)*1440</f>
        <v/>
      </c>
      <c r="AL10" s="163">
        <f>(AC10-AB10)*1440</f>
        <v/>
      </c>
      <c r="AM10" s="164">
        <f>(AD10-AC10)*1440</f>
        <v/>
      </c>
      <c r="AN10" s="163">
        <f>(AF10-AE10)*1440</f>
        <v/>
      </c>
      <c r="AO10" s="163">
        <f>(AG10-AF10)*1440</f>
        <v/>
      </c>
      <c r="AP10" s="163">
        <f>(AH10-AG10)*1440</f>
        <v/>
      </c>
      <c r="AQ10" s="165">
        <f>AK10+AL10+AN10+AO10+AP10</f>
        <v/>
      </c>
      <c r="AR10" s="166">
        <f>(AA10-U10)</f>
        <v/>
      </c>
      <c r="AS10" s="162">
        <f>(AE10-AD10)</f>
        <v/>
      </c>
      <c r="AT10" s="162">
        <f>AH10-AA10</f>
        <v/>
      </c>
      <c r="AU10" s="162">
        <f>(AH10-V10)-BE10</f>
        <v/>
      </c>
      <c r="AV10" s="163">
        <f>E10/AS10</f>
        <v/>
      </c>
      <c r="AW10" s="370" t="n"/>
      <c r="AX10" s="163" t="n">
        <v>9600</v>
      </c>
      <c r="AY10" s="371">
        <f>(E10/AX10)+0.25</f>
        <v/>
      </c>
      <c r="BE10" s="372">
        <f>AC10-AB10</f>
        <v/>
      </c>
    </row>
    <row r="11" customFormat="1" s="159">
      <c r="A11" s="157" t="n">
        <v>10</v>
      </c>
      <c r="B11" s="154" t="inlineStr">
        <is>
          <t>KARLICA</t>
        </is>
      </c>
      <c r="C11" s="155" t="n">
        <v>45780</v>
      </c>
      <c r="D11" s="157" t="inlineStr">
        <is>
          <t>EMAPHOS</t>
        </is>
      </c>
      <c r="E11" s="156" t="n">
        <v>5249.944</v>
      </c>
      <c r="F11" s="156" t="n">
        <v>61</v>
      </c>
      <c r="G11" s="156">
        <f>+ROUND(E11*F11%,3)</f>
        <v/>
      </c>
      <c r="H11" s="156" t="n"/>
      <c r="I11" s="156" t="n"/>
      <c r="J11" s="368" t="n"/>
      <c r="K11" s="157" t="n"/>
      <c r="L11" s="368" t="n"/>
      <c r="M11" s="369" t="n"/>
      <c r="N11" s="369" t="n"/>
      <c r="O11" s="369" t="inlineStr">
        <is>
          <t>EUROPE</t>
        </is>
      </c>
      <c r="P11" s="369" t="inlineStr">
        <is>
          <t>NETHERLAND</t>
        </is>
      </c>
      <c r="Q11" s="157" t="inlineStr">
        <is>
          <t>SAYBOLT</t>
        </is>
      </c>
      <c r="R11" s="158" t="n">
        <v>136</v>
      </c>
      <c r="T11" s="158" t="n">
        <v>7</v>
      </c>
      <c r="U11" s="191" t="n">
        <v>45778.70833333334</v>
      </c>
      <c r="V11" s="191" t="n">
        <v>45778.70833333334</v>
      </c>
      <c r="W11" s="155" t="n">
        <v>45778</v>
      </c>
      <c r="X11" s="155" t="n">
        <v>45780</v>
      </c>
      <c r="Y11" s="191" t="n">
        <v>45778.35416666666</v>
      </c>
      <c r="Z11" s="191" t="n">
        <v>45778.70833333334</v>
      </c>
      <c r="AA11" s="191" t="n">
        <v>45778.78819444445</v>
      </c>
      <c r="AB11" s="191" t="n">
        <v>45778.81944444445</v>
      </c>
      <c r="AC11" s="191" t="n">
        <v>45778.85416666666</v>
      </c>
      <c r="AD11" s="191" t="n">
        <v>45778.98263888889</v>
      </c>
      <c r="AE11" s="191" t="n">
        <v>45780.28333333333</v>
      </c>
      <c r="AF11" s="191" t="n">
        <v>45780.35208333333</v>
      </c>
      <c r="AG11" s="191" t="n">
        <v>45780.375</v>
      </c>
      <c r="AH11" s="191" t="n">
        <v>45780.44652777778</v>
      </c>
      <c r="AI11" s="162">
        <f>(AA11-Z11)*1400</f>
        <v/>
      </c>
      <c r="AJ11" s="163">
        <f>(AA11-Y11)*1440</f>
        <v/>
      </c>
      <c r="AK11" s="164">
        <f>(AB11-Z11)*1440</f>
        <v/>
      </c>
      <c r="AL11" s="163">
        <f>(AC11-AB11)*1440</f>
        <v/>
      </c>
      <c r="AM11" s="164">
        <f>(AD11-AC11)*1440</f>
        <v/>
      </c>
      <c r="AN11" s="163">
        <f>(AF11-AE11)*1440</f>
        <v/>
      </c>
      <c r="AO11" s="163">
        <f>(AG11-AF11)*1440</f>
        <v/>
      </c>
      <c r="AP11" s="163">
        <f>(AH11-AG11)*1440</f>
        <v/>
      </c>
      <c r="AQ11" s="165">
        <f>AK11+AL11+AN11+AO11+AP11</f>
        <v/>
      </c>
      <c r="AR11" s="166">
        <f>(AA11-U11)</f>
        <v/>
      </c>
      <c r="AS11" s="162">
        <f>(AE11-AD11)</f>
        <v/>
      </c>
      <c r="AT11" s="162">
        <f>AH11-AA11</f>
        <v/>
      </c>
      <c r="AU11" s="162">
        <f>(AH11-V11)-BE11</f>
        <v/>
      </c>
      <c r="AV11" s="163">
        <f>E11/AS11</f>
        <v/>
      </c>
      <c r="AW11" s="370" t="n"/>
      <c r="AX11" s="163" t="n">
        <v>9600</v>
      </c>
      <c r="AY11" s="371">
        <f>(E11/AX11)+0.25</f>
        <v/>
      </c>
      <c r="BE11" s="372">
        <f>AC11-AB11</f>
        <v/>
      </c>
    </row>
    <row r="12" customFormat="1" s="159">
      <c r="A12" s="157" t="n"/>
      <c r="B12" s="154" t="inlineStr">
        <is>
          <t>KARLICA</t>
        </is>
      </c>
      <c r="C12" s="155" t="n">
        <v>45780</v>
      </c>
      <c r="D12" s="157" t="inlineStr">
        <is>
          <t>EMAPHOS</t>
        </is>
      </c>
      <c r="E12" s="156" t="n">
        <v>4724.983</v>
      </c>
      <c r="F12" s="156" t="n">
        <v>61</v>
      </c>
      <c r="G12" s="156">
        <f>+ROUND(E12*F12%,3)</f>
        <v/>
      </c>
      <c r="H12" s="156" t="n"/>
      <c r="I12" s="156" t="n"/>
      <c r="J12" s="368" t="n"/>
      <c r="K12" s="157" t="n"/>
      <c r="L12" s="368" t="n"/>
      <c r="M12" s="369" t="n"/>
      <c r="N12" s="369" t="n"/>
      <c r="O12" s="369" t="inlineStr">
        <is>
          <t>EUROPE</t>
        </is>
      </c>
      <c r="P12" s="369" t="inlineStr">
        <is>
          <t>BELGIUM</t>
        </is>
      </c>
      <c r="Q12" s="157" t="inlineStr">
        <is>
          <t>SAYBOLT</t>
        </is>
      </c>
      <c r="R12" s="158" t="n">
        <v>136</v>
      </c>
      <c r="T12" s="158" t="n">
        <v>7</v>
      </c>
      <c r="U12" s="192" t="n"/>
      <c r="V12" s="192" t="n"/>
      <c r="W12" s="193" t="n"/>
      <c r="X12" s="193" t="n"/>
      <c r="Y12" s="192" t="n"/>
      <c r="Z12" s="192" t="n"/>
      <c r="AA12" s="192" t="n"/>
      <c r="AB12" s="192" t="n"/>
      <c r="AC12" s="192" t="n"/>
      <c r="AD12" s="192" t="n"/>
      <c r="AE12" s="192" t="n"/>
      <c r="AF12" s="192" t="n"/>
      <c r="AG12" s="192" t="n"/>
      <c r="AH12" s="192" t="n"/>
      <c r="AI12" s="162" t="n"/>
      <c r="AJ12" s="163" t="n"/>
      <c r="AK12" s="164" t="n"/>
      <c r="AL12" s="163" t="n"/>
      <c r="AM12" s="164" t="n"/>
      <c r="AN12" s="163" t="n"/>
      <c r="AO12" s="163" t="n"/>
      <c r="AP12" s="163" t="n"/>
      <c r="AQ12" s="165" t="n"/>
      <c r="AR12" s="165" t="n"/>
      <c r="AS12" s="165" t="n"/>
      <c r="AT12" s="165" t="n"/>
      <c r="AU12" s="165" t="n"/>
      <c r="AV12" s="165" t="n"/>
      <c r="AW12" s="165" t="n"/>
      <c r="AX12" s="165" t="n"/>
      <c r="AY12" s="165" t="n"/>
      <c r="BE12" s="372">
        <f>AC12-AB12</f>
        <v/>
      </c>
    </row>
    <row r="13" customFormat="1" s="159">
      <c r="A13" s="157" t="n">
        <v>11</v>
      </c>
      <c r="B13" s="154" t="inlineStr">
        <is>
          <t>FERICEK</t>
        </is>
      </c>
      <c r="C13" s="155" t="n">
        <v>45789</v>
      </c>
      <c r="D13" s="157" t="inlineStr">
        <is>
          <t>EMAPHOS</t>
        </is>
      </c>
      <c r="E13" s="156" t="n">
        <v>2500</v>
      </c>
      <c r="F13" s="156" t="n">
        <v>61</v>
      </c>
      <c r="G13" s="156">
        <f>+ROUND(E13*F13%,3)</f>
        <v/>
      </c>
      <c r="H13" s="156" t="n"/>
      <c r="I13" s="156" t="n"/>
      <c r="J13" s="368" t="n"/>
      <c r="K13" s="157" t="n"/>
      <c r="L13" s="368" t="n"/>
      <c r="M13" s="369" t="n"/>
      <c r="N13" s="369" t="n"/>
      <c r="O13" s="369" t="inlineStr">
        <is>
          <t>EUROPE</t>
        </is>
      </c>
      <c r="P13" s="369" t="inlineStr">
        <is>
          <t>TURQUIE</t>
        </is>
      </c>
      <c r="Q13" s="157" t="inlineStr">
        <is>
          <t>SAYBOLT</t>
        </is>
      </c>
      <c r="R13" s="158" t="n">
        <v>126</v>
      </c>
      <c r="T13" s="158" t="n">
        <v>7</v>
      </c>
      <c r="U13" s="160" t="n">
        <v>45785.42361111111</v>
      </c>
      <c r="V13" s="160" t="n">
        <v>45785.42361111111</v>
      </c>
      <c r="W13" s="161" t="n">
        <v>45752</v>
      </c>
      <c r="X13" s="161" t="n">
        <v>45754</v>
      </c>
      <c r="Y13" s="160" t="n">
        <v>45784.8125</v>
      </c>
      <c r="Z13" s="160" t="n">
        <v>45788.34375</v>
      </c>
      <c r="AA13" s="160" t="n">
        <v>45788.40277777778</v>
      </c>
      <c r="AB13" s="160" t="n">
        <v>45788.41666666666</v>
      </c>
      <c r="AC13" s="160" t="n">
        <v>45788.45833333334</v>
      </c>
      <c r="AD13" s="160" t="n">
        <v>45788.51388888889</v>
      </c>
      <c r="AE13" s="160" t="n">
        <v>45789.05208333334</v>
      </c>
      <c r="AF13" s="160" t="n">
        <v>45789.10416666666</v>
      </c>
      <c r="AG13" s="160" t="n">
        <v>45789.13194444445</v>
      </c>
      <c r="AH13" s="160" t="n">
        <v>45789.1875</v>
      </c>
      <c r="AI13" s="162">
        <f>(AA13-Z13)*1400</f>
        <v/>
      </c>
      <c r="AJ13" s="163">
        <f>(AA13-Y13)*1440</f>
        <v/>
      </c>
      <c r="AK13" s="164">
        <f>(AB13-Z13)*1440</f>
        <v/>
      </c>
      <c r="AL13" s="163">
        <f>(AC13-AB13)*1440</f>
        <v/>
      </c>
      <c r="AM13" s="164">
        <f>(AD13-AC13)*1440</f>
        <v/>
      </c>
      <c r="AN13" s="163">
        <f>(AF13-AE13)*1440</f>
        <v/>
      </c>
      <c r="AO13" s="163">
        <f>(AG13-AF13)*1440</f>
        <v/>
      </c>
      <c r="AP13" s="163">
        <f>(AH13-AG13)*1440</f>
        <v/>
      </c>
      <c r="AQ13" s="165">
        <f>AK13+AL13+AN13+AO13+AP13</f>
        <v/>
      </c>
      <c r="AR13" s="166">
        <f>(AA13-U13)</f>
        <v/>
      </c>
      <c r="AS13" s="162">
        <f>(AE13-AD13)</f>
        <v/>
      </c>
      <c r="AT13" s="162">
        <f>AH13-AA13</f>
        <v/>
      </c>
      <c r="AU13" s="162">
        <f>(AH13-V13)-BE13</f>
        <v/>
      </c>
      <c r="AV13" s="163">
        <f>E13/AS13</f>
        <v/>
      </c>
      <c r="AW13" s="370" t="n"/>
      <c r="AX13" s="163" t="n">
        <v>9600</v>
      </c>
      <c r="AY13" s="371">
        <f>(E13/AX13)+0.25</f>
        <v/>
      </c>
      <c r="BE13" s="372">
        <f>AC13-AB13</f>
        <v/>
      </c>
    </row>
    <row r="14" customFormat="1" s="159">
      <c r="A14" s="157" t="n">
        <v>12</v>
      </c>
      <c r="B14" s="154" t="inlineStr">
        <is>
          <t>NQ ZINNIA</t>
        </is>
      </c>
      <c r="C14" s="155" t="n">
        <v>45809</v>
      </c>
      <c r="D14" s="157" t="inlineStr">
        <is>
          <t>EMAPHOS</t>
        </is>
      </c>
      <c r="E14" s="156" t="n">
        <v>7129.023</v>
      </c>
      <c r="F14" s="156" t="n">
        <v>61</v>
      </c>
      <c r="G14" s="156">
        <f>+ROUND(E14*F14%,3)</f>
        <v/>
      </c>
      <c r="H14" s="156" t="n"/>
      <c r="I14" s="156" t="n"/>
      <c r="J14" s="368" t="n"/>
      <c r="K14" s="157" t="n"/>
      <c r="L14" s="368" t="n"/>
      <c r="M14" s="369" t="n"/>
      <c r="N14" s="369" t="n"/>
      <c r="O14" s="369" t="inlineStr">
        <is>
          <t>EUROPE</t>
        </is>
      </c>
      <c r="P14" s="369" t="inlineStr">
        <is>
          <t>PAYS BAS</t>
        </is>
      </c>
      <c r="Q14" s="157" t="inlineStr">
        <is>
          <t>SAYBOLT</t>
        </is>
      </c>
      <c r="R14" s="158" t="n">
        <v>126</v>
      </c>
      <c r="T14" s="158" t="n">
        <v>7</v>
      </c>
      <c r="U14" s="160" t="n">
        <v>45808.45833333334</v>
      </c>
      <c r="V14" s="160" t="n">
        <v>45808.45833333334</v>
      </c>
      <c r="W14" s="161" t="n">
        <v>45809</v>
      </c>
      <c r="X14" s="161" t="n">
        <v>45811</v>
      </c>
      <c r="Y14" s="160" t="n">
        <v>45808.45833333334</v>
      </c>
      <c r="Z14" s="160" t="n">
        <v>45808.62847222222</v>
      </c>
      <c r="AA14" s="160" t="n">
        <v>45808.66666666666</v>
      </c>
      <c r="AB14" s="160" t="n">
        <v>45808.6875</v>
      </c>
      <c r="AC14" s="160" t="n">
        <v>45808.72222222222</v>
      </c>
      <c r="AD14" s="160" t="n">
        <v>45808.78055555555</v>
      </c>
      <c r="AE14" s="160" t="n">
        <v>45809.56944444445</v>
      </c>
      <c r="AF14" s="160" t="n">
        <v>45809.65277777778</v>
      </c>
      <c r="AG14" s="160" t="n">
        <v>45809.66666666666</v>
      </c>
      <c r="AH14" s="160" t="n">
        <v>45809.74027777778</v>
      </c>
      <c r="AI14" s="162">
        <f>(AA14-Z14)*1400</f>
        <v/>
      </c>
      <c r="AJ14" s="163">
        <f>(AA14-Y14)*1440</f>
        <v/>
      </c>
      <c r="AK14" s="164">
        <f>(AB14-Z14)*1440</f>
        <v/>
      </c>
      <c r="AL14" s="163">
        <f>(AC14-AB14)*1440</f>
        <v/>
      </c>
      <c r="AM14" s="164">
        <f>(AD14-AC14)*1440</f>
        <v/>
      </c>
      <c r="AN14" s="163">
        <f>(AF14-AE14)*1440</f>
        <v/>
      </c>
      <c r="AO14" s="163">
        <f>(AG14-AF14)*1440</f>
        <v/>
      </c>
      <c r="AP14" s="163">
        <f>(AH14-AG14)*1440</f>
        <v/>
      </c>
      <c r="AQ14" s="165">
        <f>AK14+AL14+AN14+AO14+AP14</f>
        <v/>
      </c>
      <c r="AR14" s="166">
        <f>(AA14-U14)</f>
        <v/>
      </c>
      <c r="AS14" s="162">
        <f>(AE14-AD14)</f>
        <v/>
      </c>
      <c r="AT14" s="162">
        <f>AH14-AA14</f>
        <v/>
      </c>
      <c r="AU14" s="162">
        <f>(AH14-V14)-BE14</f>
        <v/>
      </c>
      <c r="AV14" s="163">
        <f>E14/AS14</f>
        <v/>
      </c>
      <c r="AW14" s="370" t="n"/>
      <c r="AX14" s="163" t="n">
        <v>9600</v>
      </c>
      <c r="AY14" s="371">
        <f>(E14/AX14)+0.25</f>
        <v/>
      </c>
      <c r="BE14" s="372">
        <f>AC14-AB14</f>
        <v/>
      </c>
    </row>
    <row r="15" customFormat="1" s="159">
      <c r="A15" s="157" t="n">
        <v>13</v>
      </c>
      <c r="B15" s="154" t="inlineStr">
        <is>
          <t>FAIRCHEM VALOR</t>
        </is>
      </c>
      <c r="C15" s="155" t="n">
        <v>45824</v>
      </c>
      <c r="D15" s="157" t="inlineStr">
        <is>
          <t>EMAPHOS</t>
        </is>
      </c>
      <c r="E15" s="156" t="n">
        <v>2037.762</v>
      </c>
      <c r="F15" s="156" t="n">
        <v>61</v>
      </c>
      <c r="G15" s="156">
        <f>+ROUND(E15*F15%,3)</f>
        <v/>
      </c>
      <c r="H15" s="156" t="n"/>
      <c r="I15" s="156" t="n"/>
      <c r="J15" s="368" t="n"/>
      <c r="K15" s="157" t="n"/>
      <c r="L15" s="368" t="n"/>
      <c r="M15" s="369" t="n"/>
      <c r="N15" s="369" t="n"/>
      <c r="O15" s="369" t="inlineStr">
        <is>
          <t>AMERIQUE LATINE</t>
        </is>
      </c>
      <c r="P15" s="369" t="inlineStr">
        <is>
          <t>Mexique</t>
        </is>
      </c>
      <c r="Q15" s="157" t="inlineStr">
        <is>
          <t>SAYBOLT</t>
        </is>
      </c>
      <c r="R15" s="158" t="n">
        <v>120</v>
      </c>
      <c r="T15" s="194" t="inlineStr">
        <is>
          <t>6//7</t>
        </is>
      </c>
      <c r="U15" s="160" t="n"/>
      <c r="V15" s="160" t="n"/>
      <c r="W15" s="161" t="n"/>
      <c r="X15" s="161" t="n"/>
      <c r="Y15" s="160" t="n"/>
      <c r="Z15" s="160" t="n"/>
      <c r="AA15" s="160" t="n"/>
      <c r="AB15" s="160" t="n"/>
      <c r="AC15" s="160" t="n"/>
      <c r="AD15" s="160" t="n"/>
      <c r="AE15" s="160" t="n"/>
      <c r="AF15" s="160" t="n"/>
      <c r="AG15" s="160" t="n"/>
      <c r="AH15" s="160" t="n"/>
      <c r="AI15" s="162" t="n"/>
      <c r="AJ15" s="163" t="n"/>
      <c r="AK15" s="164" t="n"/>
      <c r="AL15" s="163" t="n"/>
      <c r="AM15" s="164" t="n"/>
      <c r="AN15" s="163" t="n"/>
      <c r="AO15" s="163" t="n"/>
      <c r="AP15" s="163" t="n"/>
      <c r="AQ15" s="165" t="n"/>
      <c r="AR15" s="166" t="n"/>
      <c r="AS15" s="162" t="n"/>
      <c r="AT15" s="162" t="n"/>
      <c r="AU15" s="162" t="n"/>
      <c r="AV15" s="163" t="n"/>
      <c r="AW15" s="370" t="n"/>
      <c r="AX15" s="163" t="n"/>
      <c r="AY15" s="371" t="n"/>
      <c r="BB15" s="187" t="inlineStr">
        <is>
          <t>CHANGE DU POSTE 6 VERS POSTE 7 LE 15/06- 1220</t>
        </is>
      </c>
      <c r="BE15" s="372" t="n"/>
    </row>
    <row r="16" customFormat="1" s="159">
      <c r="A16" s="157" t="n">
        <v>14</v>
      </c>
      <c r="B16" s="154" t="inlineStr">
        <is>
          <t>ALTAY</t>
        </is>
      </c>
      <c r="C16" s="155" t="n">
        <v>45832</v>
      </c>
      <c r="D16" s="157" t="inlineStr">
        <is>
          <t>EMAPHOS</t>
        </is>
      </c>
      <c r="E16" s="156" t="n">
        <v>7199</v>
      </c>
      <c r="F16" s="156" t="n">
        <v>61</v>
      </c>
      <c r="G16" s="156">
        <f>+ROUND(E16*F16%,3)</f>
        <v/>
      </c>
      <c r="H16" s="156" t="n"/>
      <c r="I16" s="156" t="n"/>
      <c r="J16" s="368" t="n"/>
      <c r="K16" s="157" t="n"/>
      <c r="L16" s="368" t="n"/>
      <c r="M16" s="369" t="n"/>
      <c r="N16" s="369" t="n"/>
      <c r="O16" s="369" t="inlineStr">
        <is>
          <t>EUROPE</t>
        </is>
      </c>
      <c r="P16" s="369" t="inlineStr">
        <is>
          <t>TURQUIE</t>
        </is>
      </c>
      <c r="Q16" s="157" t="inlineStr">
        <is>
          <t>SAYBOLT</t>
        </is>
      </c>
      <c r="R16" s="158" t="n"/>
      <c r="T16" s="158" t="n">
        <v>7</v>
      </c>
      <c r="U16" s="160" t="n"/>
      <c r="V16" s="160" t="n"/>
      <c r="W16" s="161" t="n"/>
      <c r="X16" s="161" t="n"/>
      <c r="Y16" s="160" t="n"/>
      <c r="Z16" s="160" t="n"/>
      <c r="AA16" s="160" t="n"/>
      <c r="AB16" s="160" t="n"/>
      <c r="AC16" s="160" t="n"/>
      <c r="AD16" s="160" t="n"/>
      <c r="AE16" s="160" t="n"/>
      <c r="AF16" s="160" t="n"/>
      <c r="AG16" s="160" t="n"/>
      <c r="AH16" s="160" t="n"/>
      <c r="AI16" s="162" t="n"/>
      <c r="AJ16" s="163" t="n"/>
      <c r="AK16" s="164" t="n"/>
      <c r="AL16" s="163" t="n"/>
      <c r="AM16" s="164" t="n"/>
      <c r="AN16" s="163" t="n"/>
      <c r="AO16" s="163" t="n"/>
      <c r="AP16" s="163" t="n"/>
      <c r="AQ16" s="165" t="n"/>
      <c r="AR16" s="166" t="n"/>
      <c r="AS16" s="162" t="n"/>
      <c r="AT16" s="162" t="n"/>
      <c r="AU16" s="162" t="n"/>
      <c r="AV16" s="163" t="n"/>
      <c r="AW16" s="370" t="n"/>
      <c r="AX16" s="163" t="n"/>
      <c r="AY16" s="371" t="n"/>
      <c r="BE16" s="372" t="n"/>
    </row>
    <row r="17">
      <c r="A17" s="75" t="n">
        <v>15</v>
      </c>
      <c r="B17" s="80" t="inlineStr">
        <is>
          <t>KARLICA</t>
        </is>
      </c>
      <c r="C17" s="73" t="n">
        <v>45838</v>
      </c>
      <c r="D17" s="75" t="inlineStr">
        <is>
          <t>EMAPHOS</t>
        </is>
      </c>
      <c r="E17" s="74" t="n">
        <v>9974.565000000001</v>
      </c>
      <c r="F17" s="74" t="n">
        <v>61</v>
      </c>
      <c r="G17" s="74">
        <f>+ROUND(E17*F17%,3)</f>
        <v/>
      </c>
      <c r="H17" s="74" t="n"/>
      <c r="I17" s="74" t="n"/>
      <c r="J17" s="362" t="n"/>
      <c r="K17" s="75" t="n"/>
      <c r="L17" s="362" t="n"/>
      <c r="M17" s="363" t="n"/>
      <c r="N17" s="363" t="n"/>
      <c r="O17" s="363" t="n"/>
      <c r="P17" s="363" t="n"/>
      <c r="Q17" s="75" t="inlineStr">
        <is>
          <t>SAYBOLT</t>
        </is>
      </c>
      <c r="R17" s="195" t="n"/>
      <c r="T17" s="195" t="n">
        <v>7</v>
      </c>
      <c r="U17" s="26" t="n">
        <v>45835.33333333334</v>
      </c>
      <c r="V17" s="26" t="n">
        <v>45835.33333333334</v>
      </c>
      <c r="W17" s="15" t="n">
        <v>45835</v>
      </c>
      <c r="X17" s="15" t="n">
        <v>45837</v>
      </c>
      <c r="Y17" s="26" t="n">
        <v>45835.3125</v>
      </c>
      <c r="Z17" s="26" t="n">
        <v>45837.48680555556</v>
      </c>
      <c r="AA17" s="26" t="n">
        <v>45837.54861111111</v>
      </c>
      <c r="AB17" s="26" t="n"/>
      <c r="AC17" s="26" t="n">
        <v>45837.59722222222</v>
      </c>
      <c r="AD17" s="26" t="n"/>
      <c r="AE17" s="26" t="n">
        <v>45838.91666666666</v>
      </c>
      <c r="AF17" s="26" t="n">
        <v>45838.98611111111</v>
      </c>
      <c r="AG17" s="26" t="n">
        <v>45839.04166666666</v>
      </c>
      <c r="AH17" s="26" t="n">
        <v>45839.07638888889</v>
      </c>
      <c r="AI17" s="197" t="n"/>
      <c r="AJ17" s="76" t="n"/>
      <c r="AK17" s="99" t="n"/>
      <c r="AL17" s="76" t="n"/>
      <c r="AM17" s="99" t="n"/>
      <c r="AN17" s="76" t="n"/>
      <c r="AO17" s="76" t="n"/>
      <c r="AP17" s="76" t="n"/>
      <c r="AQ17" s="77" t="n"/>
      <c r="AR17" s="78" t="n"/>
      <c r="AS17" s="197" t="n"/>
      <c r="AT17" s="197" t="n"/>
      <c r="AU17" s="197" t="n"/>
      <c r="AV17" s="76" t="n"/>
      <c r="AW17" s="364" t="n"/>
      <c r="AX17" s="76" t="n"/>
      <c r="AY17" s="365" t="n"/>
      <c r="BE17" s="366" t="n"/>
    </row>
    <row r="18">
      <c r="A18" s="75" t="n">
        <v>16</v>
      </c>
      <c r="B18" s="80" t="inlineStr">
        <is>
          <t>BANDIRMA</t>
        </is>
      </c>
      <c r="C18" s="73" t="n">
        <v>45846</v>
      </c>
      <c r="D18" s="75" t="inlineStr">
        <is>
          <t>EMAPHOS</t>
        </is>
      </c>
      <c r="E18" s="74" t="n">
        <v>6300</v>
      </c>
      <c r="F18" s="74" t="n">
        <v>61</v>
      </c>
      <c r="G18" s="74">
        <f>+ROUND(E18*F18%,3)</f>
        <v/>
      </c>
      <c r="H18" s="74" t="n"/>
      <c r="I18" s="74" t="n"/>
      <c r="J18" s="362" t="n"/>
      <c r="K18" s="75" t="n"/>
      <c r="L18" s="362" t="n"/>
      <c r="M18" s="363" t="n"/>
      <c r="N18" s="363" t="n"/>
      <c r="O18" s="363" t="inlineStr">
        <is>
          <t>EUROPE</t>
        </is>
      </c>
      <c r="P18" s="363" t="inlineStr">
        <is>
          <t>Espagne</t>
        </is>
      </c>
      <c r="Q18" s="75" t="inlineStr">
        <is>
          <t>SAYBOLT</t>
        </is>
      </c>
      <c r="R18" s="195" t="n"/>
      <c r="T18" s="195" t="n"/>
      <c r="U18" s="26" t="n"/>
      <c r="V18" s="26" t="n"/>
      <c r="W18" s="15" t="n"/>
      <c r="X18" s="15" t="n"/>
      <c r="Y18" s="26" t="n"/>
      <c r="Z18" s="26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I18" s="197" t="n"/>
      <c r="AJ18" s="76" t="n"/>
      <c r="AK18" s="99" t="n"/>
      <c r="AL18" s="76" t="n"/>
      <c r="AM18" s="99" t="n"/>
      <c r="AN18" s="76" t="n"/>
      <c r="AO18" s="76" t="n"/>
      <c r="AP18" s="76" t="n"/>
      <c r="AQ18" s="77" t="n"/>
      <c r="AR18" s="78" t="n"/>
      <c r="AS18" s="197" t="n"/>
      <c r="AT18" s="197" t="n"/>
      <c r="AU18" s="197" t="n"/>
      <c r="AV18" s="76" t="n"/>
      <c r="AW18" s="364" t="n"/>
      <c r="AX18" s="76" t="n"/>
      <c r="AY18" s="365" t="n"/>
      <c r="BE18" s="366" t="n"/>
    </row>
    <row r="19">
      <c r="A19" s="75" t="n">
        <v>17</v>
      </c>
      <c r="B19" s="80" t="inlineStr">
        <is>
          <t>T VEGA</t>
        </is>
      </c>
      <c r="C19" s="73" t="n">
        <v>45866</v>
      </c>
      <c r="D19" s="75" t="inlineStr">
        <is>
          <t>EMAPHOS</t>
        </is>
      </c>
      <c r="E19" s="200" t="n">
        <v>1940</v>
      </c>
      <c r="F19" s="74" t="n">
        <v>61</v>
      </c>
      <c r="G19" s="74">
        <f>+ROUND(E19*F19%,3)</f>
        <v/>
      </c>
      <c r="H19" s="74" t="n"/>
      <c r="I19" s="74" t="n"/>
      <c r="J19" s="362" t="n"/>
      <c r="K19" s="75" t="n"/>
      <c r="L19" s="362" t="n"/>
      <c r="M19" s="363" t="n"/>
      <c r="N19" s="363" t="n"/>
      <c r="O19" s="363" t="inlineStr">
        <is>
          <t>EUROPE</t>
        </is>
      </c>
      <c r="P19" s="363" t="inlineStr">
        <is>
          <t>TURQUIE</t>
        </is>
      </c>
      <c r="Q19" s="75" t="inlineStr">
        <is>
          <t>SAYBOLT</t>
        </is>
      </c>
      <c r="R19" s="195" t="n"/>
      <c r="T19" s="195" t="n">
        <v>7</v>
      </c>
      <c r="U19" s="26" t="n"/>
      <c r="V19" s="26" t="n"/>
      <c r="W19" s="15" t="n"/>
      <c r="X19" s="15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72" t="n">
        <v>45866.60208333333</v>
      </c>
      <c r="AI19" s="197" t="n"/>
      <c r="AJ19" s="76" t="n"/>
      <c r="AK19" s="99" t="n"/>
      <c r="AL19" s="76" t="n"/>
      <c r="AM19" s="99" t="n"/>
      <c r="AN19" s="76" t="n"/>
      <c r="AO19" s="76" t="n"/>
      <c r="AP19" s="76" t="n"/>
      <c r="AQ19" s="77" t="n"/>
      <c r="AR19" s="78" t="n"/>
      <c r="AS19" s="197" t="n"/>
      <c r="AT19" s="197" t="n"/>
      <c r="AU19" s="197" t="n"/>
      <c r="AV19" s="76" t="n"/>
      <c r="AW19" s="364" t="n"/>
      <c r="AX19" s="76" t="n"/>
      <c r="AY19" s="365" t="n"/>
      <c r="BE19" s="366" t="n"/>
    </row>
    <row r="20">
      <c r="A20" s="75" t="n">
        <v>19</v>
      </c>
      <c r="B20" s="80" t="inlineStr">
        <is>
          <t>NQ ZINNIA</t>
        </is>
      </c>
      <c r="C20" s="73" t="n">
        <v>45882</v>
      </c>
      <c r="D20" s="75" t="inlineStr">
        <is>
          <t>EMAPHOS</t>
        </is>
      </c>
      <c r="E20" s="74" t="n">
        <v>7349.562</v>
      </c>
      <c r="F20" s="74" t="n">
        <v>61</v>
      </c>
      <c r="G20" s="74">
        <f>+ROUND(E20*F20%,3)</f>
        <v/>
      </c>
      <c r="H20" s="74" t="n"/>
      <c r="I20" s="74" t="n"/>
      <c r="J20" s="362" t="n"/>
      <c r="K20" s="75" t="n"/>
      <c r="L20" s="362" t="n"/>
      <c r="M20" s="363" t="n"/>
      <c r="N20" s="363" t="n"/>
      <c r="O20" s="363" t="inlineStr">
        <is>
          <t>EUROPE</t>
        </is>
      </c>
      <c r="P20" s="363" t="inlineStr">
        <is>
          <t>PAYS BAS</t>
        </is>
      </c>
      <c r="Q20" s="75" t="inlineStr">
        <is>
          <t>SAYBOLT</t>
        </is>
      </c>
      <c r="R20" s="195" t="n"/>
      <c r="T20" s="195" t="n">
        <v>7</v>
      </c>
      <c r="U20" s="26" t="n"/>
      <c r="V20" s="26" t="n"/>
      <c r="W20" s="15" t="n"/>
      <c r="X20" s="15" t="n"/>
      <c r="Y20" s="26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197" t="n"/>
      <c r="AJ20" s="76" t="n"/>
      <c r="AK20" s="99" t="n"/>
      <c r="AL20" s="76" t="n"/>
      <c r="AM20" s="99" t="n"/>
      <c r="AN20" s="76" t="n"/>
      <c r="AO20" s="76" t="n"/>
      <c r="AP20" s="76" t="n"/>
      <c r="AQ20" s="77" t="n"/>
      <c r="AR20" s="78" t="n"/>
      <c r="AS20" s="197" t="n"/>
      <c r="AT20" s="197" t="n"/>
      <c r="AU20" s="197" t="n"/>
      <c r="AV20" s="76" t="n"/>
      <c r="AW20" s="364" t="n"/>
      <c r="AX20" s="76" t="n"/>
      <c r="AY20" s="365" t="n"/>
      <c r="BE20" s="366" t="n"/>
    </row>
    <row r="21">
      <c r="A21" s="75" t="n">
        <v>20</v>
      </c>
      <c r="B21" s="80" t="inlineStr">
        <is>
          <t>NQ VICTORIA</t>
        </is>
      </c>
      <c r="C21" s="73" t="inlineStr">
        <is>
          <t>2025-09-14 00:00</t>
        </is>
      </c>
      <c r="D21" s="75" t="inlineStr">
        <is>
          <t>EMAPHOS</t>
        </is>
      </c>
      <c r="E21" s="74" t="n">
        <v>7769.918</v>
      </c>
      <c r="F21" s="74" t="n">
        <v>61</v>
      </c>
      <c r="G21" s="74" t="n">
        <v>4739.65</v>
      </c>
      <c r="H21" s="74" t="n"/>
      <c r="I21" s="74" t="n"/>
      <c r="J21" s="362" t="n"/>
      <c r="K21" s="75" t="n"/>
      <c r="L21" s="362" t="n"/>
      <c r="M21" s="363" t="n"/>
      <c r="N21" s="363" t="n"/>
      <c r="O21" s="363" t="inlineStr">
        <is>
          <t>EUROPE</t>
        </is>
      </c>
      <c r="P21" s="363" t="inlineStr">
        <is>
          <t>NETHERLAND</t>
        </is>
      </c>
      <c r="Q21" s="75" t="inlineStr">
        <is>
          <t>SAYBOLT</t>
        </is>
      </c>
      <c r="R21" s="195" t="n"/>
      <c r="T21" s="195" t="n">
        <v>7</v>
      </c>
      <c r="U21" s="26" t="n"/>
      <c r="V21" s="26" t="n"/>
      <c r="W21" s="15" t="n"/>
      <c r="X21" s="15" t="n"/>
      <c r="Y21" s="26" t="n"/>
      <c r="Z21" s="26" t="n"/>
      <c r="AA21" s="26" t="n"/>
      <c r="AB21" s="26" t="n"/>
      <c r="AC21" s="26" t="n"/>
      <c r="AD21" s="26" t="n"/>
      <c r="AE21" s="26" t="n"/>
      <c r="AF21" s="26" t="n"/>
      <c r="AG21" s="26" t="n"/>
      <c r="AH21" s="26" t="n"/>
      <c r="AI21" s="197" t="n"/>
      <c r="AJ21" s="76" t="n"/>
      <c r="AK21" s="99" t="n"/>
      <c r="AL21" s="76" t="n"/>
      <c r="AM21" s="99" t="n"/>
      <c r="AN21" s="76" t="n"/>
      <c r="AO21" s="76" t="n"/>
      <c r="AP21" s="76" t="n"/>
      <c r="AQ21" s="77" t="n"/>
      <c r="AR21" s="78" t="n"/>
      <c r="AS21" s="197" t="n"/>
      <c r="AT21" s="197" t="n"/>
      <c r="AU21" s="197" t="n"/>
      <c r="AV21" s="76" t="n"/>
      <c r="AW21" s="364" t="n"/>
      <c r="AX21" s="76" t="n"/>
      <c r="AY21" s="365" t="n"/>
      <c r="BE21" s="366" t="n"/>
    </row>
    <row r="22">
      <c r="A22" s="75" t="n"/>
      <c r="B22" s="80" t="n"/>
      <c r="C22" s="73" t="n"/>
      <c r="D22" s="75" t="n"/>
      <c r="E22" s="74" t="n"/>
      <c r="F22" s="74" t="n"/>
      <c r="G22" s="74" t="n"/>
      <c r="H22" s="74" t="n"/>
      <c r="I22" s="74" t="n"/>
      <c r="J22" s="362" t="n"/>
      <c r="K22" s="75" t="n"/>
      <c r="L22" s="362" t="n"/>
      <c r="M22" s="363" t="n"/>
      <c r="N22" s="363" t="n"/>
      <c r="O22" s="363" t="n"/>
      <c r="P22" s="363" t="n"/>
      <c r="Q22" s="75" t="n"/>
      <c r="R22" s="195" t="n"/>
      <c r="T22" s="195" t="n"/>
      <c r="U22" s="26" t="n"/>
      <c r="V22" s="26" t="n"/>
      <c r="W22" s="15" t="n"/>
      <c r="X22" s="15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197" t="n"/>
      <c r="AJ22" s="76" t="n"/>
      <c r="AK22" s="99" t="n"/>
      <c r="AL22" s="76" t="n"/>
      <c r="AM22" s="99" t="n"/>
      <c r="AN22" s="76" t="n"/>
      <c r="AO22" s="76" t="n"/>
      <c r="AP22" s="76" t="n"/>
      <c r="AQ22" s="77" t="n"/>
      <c r="AR22" s="78" t="n"/>
      <c r="AS22" s="197" t="n"/>
      <c r="AT22" s="197" t="n"/>
      <c r="AU22" s="197" t="n"/>
      <c r="AV22" s="76" t="n"/>
      <c r="AW22" s="364" t="n"/>
      <c r="AX22" s="76" t="n"/>
      <c r="AY22" s="365" t="n"/>
      <c r="BE22" s="366" t="n"/>
    </row>
    <row r="23">
      <c r="A23" s="75" t="n"/>
      <c r="B23" s="80" t="n"/>
      <c r="C23" s="73" t="n"/>
      <c r="D23" s="75" t="n"/>
      <c r="E23" s="74" t="n"/>
      <c r="F23" s="74" t="n"/>
      <c r="G23" s="74" t="n"/>
      <c r="H23" s="74" t="n"/>
      <c r="I23" s="74" t="n"/>
      <c r="J23" s="362" t="n"/>
      <c r="K23" s="75" t="n"/>
      <c r="L23" s="362" t="n"/>
      <c r="M23" s="363" t="n"/>
      <c r="N23" s="363" t="n"/>
      <c r="O23" s="363" t="n"/>
      <c r="P23" s="363" t="n"/>
      <c r="Q23" s="75" t="n"/>
      <c r="R23" s="195" t="n"/>
      <c r="T23" s="195" t="n"/>
      <c r="U23" s="26" t="n"/>
      <c r="V23" s="26" t="n"/>
      <c r="W23" s="15" t="n"/>
      <c r="X23" s="15" t="n"/>
      <c r="Y23" s="26" t="n"/>
      <c r="Z23" s="26" t="n"/>
      <c r="AA23" s="26" t="n"/>
      <c r="AB23" s="26" t="n"/>
      <c r="AC23" s="26" t="n"/>
      <c r="AD23" s="26" t="n"/>
      <c r="AE23" s="26" t="n"/>
      <c r="AF23" s="26" t="n"/>
      <c r="AG23" s="26" t="n"/>
      <c r="AH23" s="26" t="n"/>
      <c r="AI23" s="197" t="n"/>
      <c r="AJ23" s="76" t="n"/>
      <c r="AK23" s="99" t="n"/>
      <c r="AL23" s="76" t="n"/>
      <c r="AM23" s="99" t="n"/>
      <c r="AN23" s="76" t="n"/>
      <c r="AO23" s="76" t="n"/>
      <c r="AP23" s="76" t="n"/>
      <c r="AQ23" s="77" t="n"/>
      <c r="AR23" s="78" t="n"/>
      <c r="AS23" s="197" t="n"/>
      <c r="AT23" s="197" t="n"/>
      <c r="AU23" s="197" t="n"/>
      <c r="AV23" s="76" t="n"/>
      <c r="AW23" s="364" t="n"/>
      <c r="AX23" s="76" t="n"/>
      <c r="AY23" s="365" t="n"/>
      <c r="BE23" s="366" t="n"/>
    </row>
    <row r="24">
      <c r="A24" s="75" t="n"/>
      <c r="B24" s="80" t="n"/>
      <c r="C24" s="73" t="n"/>
      <c r="D24" s="75" t="n"/>
      <c r="E24" s="74" t="n"/>
      <c r="F24" s="74" t="n"/>
      <c r="G24" s="74" t="n"/>
      <c r="H24" s="74" t="n"/>
      <c r="I24" s="74" t="n"/>
      <c r="J24" s="362" t="n"/>
      <c r="K24" s="75" t="n"/>
      <c r="L24" s="362" t="n"/>
      <c r="M24" s="363" t="n"/>
      <c r="N24" s="363" t="n"/>
      <c r="O24" s="363" t="n"/>
      <c r="P24" s="363" t="n"/>
      <c r="Q24" s="75" t="n"/>
      <c r="R24" s="195" t="n"/>
      <c r="T24" s="195" t="n"/>
      <c r="U24" s="26" t="n"/>
      <c r="V24" s="26" t="n"/>
      <c r="W24" s="15" t="n"/>
      <c r="X24" s="15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197" t="n"/>
      <c r="AJ24" s="76" t="n"/>
      <c r="AK24" s="99" t="n"/>
      <c r="AL24" s="76" t="n"/>
      <c r="AM24" s="99" t="n"/>
      <c r="AN24" s="76" t="n"/>
      <c r="AO24" s="76" t="n"/>
      <c r="AP24" s="76" t="n"/>
      <c r="AQ24" s="77" t="n"/>
      <c r="AR24" s="78" t="n"/>
      <c r="AS24" s="197" t="n"/>
      <c r="AT24" s="197" t="n"/>
      <c r="AU24" s="197" t="n"/>
      <c r="AV24" s="76" t="n"/>
      <c r="AW24" s="364" t="n"/>
      <c r="AX24" s="76" t="n"/>
      <c r="AY24" s="365" t="n"/>
      <c r="BE24" s="366" t="n"/>
    </row>
    <row r="25">
      <c r="A25" s="75" t="n"/>
      <c r="B25" s="80" t="n"/>
      <c r="C25" s="73" t="n"/>
      <c r="D25" s="75" t="n"/>
      <c r="E25" s="74" t="n"/>
      <c r="F25" s="74" t="n"/>
      <c r="G25" s="74" t="n"/>
      <c r="H25" s="74" t="n"/>
      <c r="I25" s="74" t="n"/>
      <c r="J25" s="362" t="n"/>
      <c r="K25" s="75" t="n"/>
      <c r="L25" s="362" t="n"/>
      <c r="M25" s="363" t="n"/>
      <c r="N25" s="363" t="n"/>
      <c r="O25" s="363" t="n"/>
      <c r="P25" s="363" t="n"/>
      <c r="Q25" s="75" t="n"/>
      <c r="R25" s="195" t="n"/>
      <c r="T25" s="195" t="n"/>
      <c r="U25" s="26" t="n"/>
      <c r="V25" s="26" t="n"/>
      <c r="W25" s="15" t="n"/>
      <c r="X25" s="15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197" t="n"/>
      <c r="AJ25" s="76" t="n"/>
      <c r="AK25" s="99" t="n"/>
      <c r="AL25" s="76" t="n"/>
      <c r="AM25" s="99" t="n"/>
      <c r="AN25" s="76" t="n"/>
      <c r="AO25" s="76" t="n"/>
      <c r="AP25" s="76" t="n"/>
      <c r="AQ25" s="77" t="n"/>
      <c r="AR25" s="78" t="n"/>
      <c r="AS25" s="197" t="n"/>
      <c r="AT25" s="197" t="n"/>
      <c r="AU25" s="197" t="n"/>
      <c r="AV25" s="76" t="n"/>
      <c r="AW25" s="364" t="n"/>
      <c r="AX25" s="76" t="n"/>
      <c r="AY25" s="365" t="n"/>
      <c r="BE25" s="366" t="n"/>
    </row>
    <row r="26">
      <c r="A26" s="75" t="n"/>
      <c r="B26" s="80" t="n"/>
      <c r="C26" s="73" t="n"/>
      <c r="D26" s="75" t="n"/>
      <c r="E26" s="74" t="n"/>
      <c r="F26" s="74" t="n"/>
      <c r="G26" s="74" t="n"/>
      <c r="H26" s="74" t="n"/>
      <c r="I26" s="74" t="n"/>
      <c r="J26" s="362" t="n"/>
      <c r="K26" s="75" t="n"/>
      <c r="L26" s="362" t="n"/>
      <c r="M26" s="363" t="n"/>
      <c r="N26" s="363" t="n"/>
      <c r="O26" s="363" t="n"/>
      <c r="P26" s="363" t="n"/>
      <c r="Q26" s="75" t="n"/>
      <c r="R26" s="195" t="n"/>
      <c r="T26" s="195" t="n"/>
      <c r="U26" s="26" t="n"/>
      <c r="V26" s="26" t="n"/>
      <c r="W26" s="15" t="n"/>
      <c r="X26" s="15" t="n"/>
      <c r="Y26" s="26" t="n"/>
      <c r="Z26" s="26" t="n"/>
      <c r="AA26" s="26" t="n"/>
      <c r="AB26" s="26" t="n"/>
      <c r="AC26" s="26" t="n"/>
      <c r="AD26" s="26" t="n"/>
      <c r="AE26" s="26" t="n"/>
      <c r="AF26" s="26" t="n"/>
      <c r="AG26" s="26" t="n"/>
      <c r="AH26" s="26" t="n"/>
      <c r="AI26" s="197" t="n"/>
      <c r="AJ26" s="76" t="n"/>
      <c r="AK26" s="99" t="n"/>
      <c r="AL26" s="76" t="n"/>
      <c r="AM26" s="99" t="n"/>
      <c r="AN26" s="76" t="n"/>
      <c r="AO26" s="76" t="n"/>
      <c r="AP26" s="76" t="n"/>
      <c r="AQ26" s="77" t="n"/>
      <c r="AR26" s="78" t="n"/>
      <c r="AS26" s="197" t="n"/>
      <c r="AT26" s="197" t="n"/>
      <c r="AU26" s="197" t="n"/>
      <c r="AV26" s="76" t="n"/>
      <c r="AW26" s="364" t="n"/>
      <c r="AX26" s="76" t="n"/>
      <c r="AY26" s="365" t="n"/>
      <c r="BE26" s="366" t="n"/>
    </row>
    <row r="27">
      <c r="A27" s="75" t="n"/>
      <c r="B27" s="80" t="n"/>
      <c r="C27" s="73" t="n"/>
      <c r="D27" s="75" t="n"/>
      <c r="E27" s="74" t="n"/>
      <c r="F27" s="74" t="n"/>
      <c r="G27" s="74" t="n"/>
      <c r="H27" s="74" t="n"/>
      <c r="I27" s="74" t="n"/>
      <c r="J27" s="362" t="n"/>
      <c r="K27" s="75" t="n"/>
      <c r="L27" s="362" t="n"/>
      <c r="M27" s="363" t="n"/>
      <c r="N27" s="363" t="n"/>
      <c r="O27" s="363" t="n"/>
      <c r="P27" s="363" t="n"/>
      <c r="Q27" s="75" t="n"/>
      <c r="R27" s="195" t="n"/>
      <c r="T27" s="195" t="n"/>
      <c r="U27" s="26" t="n"/>
      <c r="V27" s="26" t="n"/>
      <c r="W27" s="15" t="n"/>
      <c r="X27" s="15" t="n"/>
      <c r="Y27" s="26" t="n"/>
      <c r="Z27" s="26" t="n"/>
      <c r="AA27" s="26" t="n"/>
      <c r="AB27" s="26" t="n"/>
      <c r="AC27" s="26" t="n"/>
      <c r="AD27" s="26" t="n"/>
      <c r="AE27" s="26" t="n"/>
      <c r="AF27" s="26" t="n"/>
      <c r="AG27" s="26" t="n"/>
      <c r="AH27" s="26" t="n"/>
      <c r="AI27" s="197" t="n"/>
      <c r="AJ27" s="76" t="n"/>
      <c r="AK27" s="99" t="n"/>
      <c r="AL27" s="76" t="n"/>
      <c r="AM27" s="99" t="n"/>
      <c r="AN27" s="76" t="n"/>
      <c r="AO27" s="76" t="n"/>
      <c r="AP27" s="76" t="n"/>
      <c r="AQ27" s="77" t="n"/>
      <c r="AR27" s="78" t="n"/>
      <c r="AS27" s="197" t="n"/>
      <c r="AT27" s="197" t="n"/>
      <c r="AU27" s="197" t="n"/>
      <c r="AV27" s="76" t="n"/>
      <c r="AW27" s="364" t="n"/>
      <c r="AX27" s="76" t="n"/>
      <c r="AY27" s="365" t="n"/>
      <c r="BE27" s="366" t="n"/>
    </row>
    <row r="28">
      <c r="A28" s="75" t="n"/>
      <c r="B28" s="80" t="n"/>
      <c r="C28" s="73" t="n"/>
      <c r="D28" s="75" t="n"/>
      <c r="E28" s="74" t="n"/>
      <c r="F28" s="74" t="n"/>
      <c r="G28" s="74" t="n"/>
      <c r="H28" s="74" t="n"/>
      <c r="I28" s="74" t="n"/>
      <c r="J28" s="362" t="n"/>
      <c r="K28" s="75" t="n"/>
      <c r="L28" s="362" t="n"/>
      <c r="M28" s="363" t="n"/>
      <c r="N28" s="363" t="n"/>
      <c r="O28" s="363" t="n"/>
      <c r="P28" s="363" t="n"/>
      <c r="Q28" s="75" t="n"/>
      <c r="R28" s="195" t="n"/>
      <c r="T28" s="195" t="n"/>
      <c r="U28" s="26" t="n"/>
      <c r="V28" s="26" t="n"/>
      <c r="W28" s="15" t="n"/>
      <c r="X28" s="15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197" t="n"/>
      <c r="AJ28" s="76" t="n"/>
      <c r="AK28" s="99" t="n"/>
      <c r="AL28" s="76" t="n"/>
      <c r="AM28" s="99" t="n"/>
      <c r="AN28" s="76" t="n"/>
      <c r="AO28" s="76" t="n"/>
      <c r="AP28" s="76" t="n"/>
      <c r="AQ28" s="77" t="n"/>
      <c r="AR28" s="78" t="n"/>
      <c r="AS28" s="197" t="n"/>
      <c r="AT28" s="197" t="n"/>
      <c r="AU28" s="197" t="n"/>
      <c r="AV28" s="76" t="n"/>
      <c r="AW28" s="364" t="n"/>
      <c r="AX28" s="76" t="n"/>
      <c r="AY28" s="365" t="n"/>
      <c r="BE28" s="366" t="n"/>
    </row>
    <row r="29">
      <c r="A29" s="75" t="n"/>
      <c r="B29" s="80" t="n"/>
      <c r="C29" s="73" t="n"/>
      <c r="D29" s="75" t="n"/>
      <c r="E29" s="74" t="n"/>
      <c r="F29" s="74" t="n"/>
      <c r="G29" s="74" t="n"/>
      <c r="H29" s="74" t="n"/>
      <c r="I29" s="74" t="n"/>
      <c r="J29" s="362" t="n"/>
      <c r="K29" s="75" t="n"/>
      <c r="L29" s="362" t="n"/>
      <c r="M29" s="363" t="n"/>
      <c r="N29" s="363" t="n"/>
      <c r="O29" s="363" t="n"/>
      <c r="P29" s="363" t="n"/>
      <c r="Q29" s="75" t="n"/>
      <c r="R29" s="195" t="n"/>
      <c r="T29" s="195" t="n"/>
      <c r="U29" s="26" t="n"/>
      <c r="V29" s="26" t="n"/>
      <c r="W29" s="15" t="n"/>
      <c r="X29" s="15" t="n"/>
      <c r="Y29" s="26" t="n"/>
      <c r="Z29" s="26" t="n"/>
      <c r="AA29" s="26" t="n"/>
      <c r="AB29" s="26" t="n"/>
      <c r="AC29" s="26" t="n"/>
      <c r="AD29" s="26" t="n"/>
      <c r="AE29" s="26" t="n"/>
      <c r="AF29" s="26" t="n"/>
      <c r="AG29" s="26" t="n"/>
      <c r="AH29" s="26" t="n"/>
      <c r="AI29" s="197" t="n"/>
      <c r="AJ29" s="76" t="n"/>
      <c r="AK29" s="99" t="n"/>
      <c r="AL29" s="76" t="n"/>
      <c r="AM29" s="99" t="n"/>
      <c r="AN29" s="76" t="n"/>
      <c r="AO29" s="76" t="n"/>
      <c r="AP29" s="76" t="n"/>
      <c r="AQ29" s="77" t="n"/>
      <c r="AR29" s="78" t="n"/>
      <c r="AS29" s="197" t="n"/>
      <c r="AT29" s="197" t="n"/>
      <c r="AU29" s="197" t="n"/>
      <c r="AV29" s="76" t="n"/>
      <c r="AW29" s="364" t="n"/>
      <c r="AX29" s="76" t="n"/>
      <c r="AY29" s="365" t="n"/>
      <c r="BE29" s="366" t="n"/>
    </row>
    <row r="30">
      <c r="A30" s="75" t="n"/>
      <c r="B30" s="80" t="n"/>
      <c r="C30" s="73" t="n"/>
      <c r="D30" s="75" t="n"/>
      <c r="E30" s="74" t="n"/>
      <c r="F30" s="74" t="n"/>
      <c r="G30" s="74" t="n"/>
      <c r="H30" s="74" t="n"/>
      <c r="I30" s="74" t="n"/>
      <c r="J30" s="362" t="n"/>
      <c r="K30" s="75" t="n"/>
      <c r="L30" s="362" t="n"/>
      <c r="M30" s="363" t="n"/>
      <c r="N30" s="363" t="n"/>
      <c r="O30" s="363" t="n"/>
      <c r="P30" s="363" t="n"/>
      <c r="Q30" s="75" t="n"/>
      <c r="R30" s="195" t="n"/>
      <c r="T30" s="195" t="n"/>
      <c r="U30" s="26" t="n"/>
      <c r="V30" s="26" t="n"/>
      <c r="W30" s="15" t="n"/>
      <c r="X30" s="15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197" t="n"/>
      <c r="AJ30" s="76" t="n"/>
      <c r="AK30" s="99" t="n"/>
      <c r="AL30" s="76" t="n"/>
      <c r="AM30" s="99" t="n"/>
      <c r="AN30" s="76" t="n"/>
      <c r="AO30" s="76" t="n"/>
      <c r="AP30" s="76" t="n"/>
      <c r="AQ30" s="77" t="n"/>
      <c r="AR30" s="78" t="n"/>
      <c r="AS30" s="197" t="n"/>
      <c r="AT30" s="197" t="n"/>
      <c r="AU30" s="197" t="n"/>
      <c r="AV30" s="76" t="n"/>
      <c r="AW30" s="364" t="n"/>
      <c r="AX30" s="76" t="n"/>
      <c r="AY30" s="365" t="n"/>
      <c r="BE30" s="366" t="n"/>
    </row>
    <row r="31">
      <c r="A31" s="75" t="n"/>
      <c r="B31" s="80" t="n"/>
      <c r="C31" s="73" t="n"/>
      <c r="D31" s="75" t="n"/>
      <c r="E31" s="74" t="n"/>
      <c r="F31" s="74" t="n"/>
      <c r="G31" s="74" t="n"/>
      <c r="H31" s="74" t="n"/>
      <c r="I31" s="74" t="n"/>
      <c r="J31" s="362" t="n"/>
      <c r="K31" s="75" t="n"/>
      <c r="L31" s="362" t="n"/>
      <c r="M31" s="363" t="n"/>
      <c r="N31" s="363" t="n"/>
      <c r="O31" s="363" t="n"/>
      <c r="P31" s="363" t="n"/>
      <c r="Q31" s="75" t="n"/>
      <c r="R31" s="195" t="n"/>
      <c r="T31" s="195" t="n"/>
      <c r="U31" s="26" t="n"/>
      <c r="V31" s="26" t="n"/>
      <c r="W31" s="15" t="n"/>
      <c r="X31" s="15" t="n"/>
      <c r="Y31" s="26" t="n"/>
      <c r="Z31" s="26" t="n"/>
      <c r="AA31" s="26" t="n"/>
      <c r="AB31" s="26" t="n"/>
      <c r="AC31" s="26" t="n"/>
      <c r="AD31" s="26" t="n"/>
      <c r="AE31" s="26" t="n"/>
      <c r="AF31" s="26" t="n"/>
      <c r="AG31" s="26" t="n"/>
      <c r="AH31" s="26" t="n"/>
      <c r="AI31" s="197" t="n"/>
      <c r="AJ31" s="76" t="n"/>
      <c r="AK31" s="99" t="n"/>
      <c r="AL31" s="76" t="n"/>
      <c r="AM31" s="99" t="n"/>
      <c r="AN31" s="76" t="n"/>
      <c r="AO31" s="76" t="n"/>
      <c r="AP31" s="76" t="n"/>
      <c r="AQ31" s="77" t="n"/>
      <c r="AR31" s="78" t="n"/>
      <c r="AS31" s="197" t="n"/>
      <c r="AT31" s="197" t="n"/>
      <c r="AU31" s="197" t="n"/>
      <c r="AV31" s="76" t="n"/>
      <c r="AW31" s="364" t="n"/>
      <c r="AX31" s="76" t="n"/>
      <c r="AY31" s="365" t="n"/>
      <c r="BE31" s="366" t="n"/>
    </row>
    <row r="32">
      <c r="A32" s="75" t="n"/>
      <c r="B32" s="80" t="n"/>
      <c r="C32" s="73" t="n"/>
      <c r="D32" s="75" t="n"/>
      <c r="E32" s="74" t="n"/>
      <c r="F32" s="74" t="n"/>
      <c r="G32" s="74" t="n"/>
      <c r="H32" s="74" t="n"/>
      <c r="I32" s="74" t="n"/>
      <c r="J32" s="362" t="n"/>
      <c r="K32" s="75" t="n"/>
      <c r="L32" s="362" t="n"/>
      <c r="M32" s="363" t="n"/>
      <c r="N32" s="363" t="n"/>
      <c r="O32" s="363" t="n"/>
      <c r="P32" s="363" t="n"/>
      <c r="Q32" s="75" t="n"/>
      <c r="R32" s="195" t="n"/>
      <c r="T32" s="195" t="n"/>
      <c r="U32" s="26" t="n"/>
      <c r="V32" s="26" t="n"/>
      <c r="W32" s="15" t="n"/>
      <c r="X32" s="15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197" t="n"/>
      <c r="AJ32" s="76" t="n"/>
      <c r="AK32" s="99" t="n"/>
      <c r="AL32" s="76" t="n"/>
      <c r="AM32" s="99" t="n"/>
      <c r="AN32" s="76" t="n"/>
      <c r="AO32" s="76" t="n"/>
      <c r="AP32" s="76" t="n"/>
      <c r="AQ32" s="77" t="n"/>
      <c r="AR32" s="78" t="n"/>
      <c r="AS32" s="197" t="n"/>
      <c r="AT32" s="197" t="n"/>
      <c r="AU32" s="197" t="n"/>
      <c r="AV32" s="76" t="n"/>
      <c r="AW32" s="364" t="n"/>
      <c r="AX32" s="76" t="n"/>
      <c r="AY32" s="365" t="n"/>
      <c r="BE32" s="366" t="n"/>
    </row>
    <row r="33">
      <c r="A33" s="75" t="n"/>
      <c r="B33" s="80" t="n"/>
      <c r="C33" s="73" t="n"/>
      <c r="D33" s="75" t="n"/>
      <c r="E33" s="74" t="n"/>
      <c r="F33" s="74" t="n"/>
      <c r="G33" s="74" t="n"/>
      <c r="H33" s="74" t="n"/>
      <c r="I33" s="74" t="n"/>
      <c r="J33" s="362" t="n"/>
      <c r="K33" s="75" t="n"/>
      <c r="L33" s="362" t="n"/>
      <c r="M33" s="363" t="n"/>
      <c r="N33" s="363" t="n"/>
      <c r="O33" s="363" t="n"/>
      <c r="P33" s="363" t="n"/>
      <c r="Q33" s="75" t="n"/>
      <c r="R33" s="195" t="n"/>
      <c r="T33" s="195" t="n"/>
      <c r="U33" s="26" t="n"/>
      <c r="V33" s="26" t="n"/>
      <c r="W33" s="15" t="n"/>
      <c r="X33" s="15" t="n"/>
      <c r="Y33" s="26" t="n"/>
      <c r="Z33" s="26" t="n"/>
      <c r="AA33" s="26" t="n"/>
      <c r="AB33" s="26" t="n"/>
      <c r="AC33" s="26" t="n"/>
      <c r="AD33" s="26" t="n"/>
      <c r="AE33" s="26" t="n"/>
      <c r="AF33" s="26" t="n"/>
      <c r="AG33" s="26" t="n"/>
      <c r="AH33" s="26" t="n"/>
      <c r="AI33" s="197" t="n"/>
      <c r="AJ33" s="76" t="n"/>
      <c r="AK33" s="99" t="n"/>
      <c r="AL33" s="76" t="n"/>
      <c r="AM33" s="99" t="n"/>
      <c r="AN33" s="76" t="n"/>
      <c r="AO33" s="76" t="n"/>
      <c r="AP33" s="76" t="n"/>
      <c r="AQ33" s="77" t="n"/>
      <c r="AR33" s="78" t="n"/>
      <c r="AS33" s="197" t="n"/>
      <c r="AT33" s="197" t="n"/>
      <c r="AU33" s="197" t="n"/>
      <c r="AV33" s="76" t="n"/>
      <c r="AW33" s="364" t="n"/>
      <c r="AX33" s="76" t="n"/>
      <c r="AY33" s="365" t="n"/>
      <c r="BE33" s="366" t="n"/>
    </row>
    <row r="34">
      <c r="A34" s="75" t="n"/>
      <c r="B34" s="80" t="n"/>
      <c r="C34" s="73" t="n"/>
      <c r="D34" s="75" t="n"/>
      <c r="E34" s="74" t="n"/>
      <c r="F34" s="74" t="n"/>
      <c r="G34" s="74" t="n"/>
      <c r="H34" s="74" t="n"/>
      <c r="I34" s="74" t="n"/>
      <c r="J34" s="362" t="n"/>
      <c r="K34" s="75" t="n"/>
      <c r="L34" s="362" t="n"/>
      <c r="M34" s="363" t="n"/>
      <c r="N34" s="363" t="n"/>
      <c r="O34" s="363" t="n"/>
      <c r="P34" s="363" t="n"/>
      <c r="Q34" s="75" t="n"/>
      <c r="R34" s="195" t="n"/>
      <c r="T34" s="195" t="n"/>
      <c r="U34" s="26" t="n"/>
      <c r="V34" s="26" t="n"/>
      <c r="W34" s="15" t="n"/>
      <c r="X34" s="15" t="n"/>
      <c r="Y34" s="26" t="n"/>
      <c r="Z34" s="26" t="n"/>
      <c r="AA34" s="26" t="n"/>
      <c r="AB34" s="26" t="n"/>
      <c r="AC34" s="26" t="n"/>
      <c r="AD34" s="26" t="n"/>
      <c r="AE34" s="26" t="n"/>
      <c r="AF34" s="26" t="n"/>
      <c r="AG34" s="26" t="n"/>
      <c r="AH34" s="26" t="n"/>
      <c r="AI34" s="197" t="n"/>
      <c r="AJ34" s="76" t="n"/>
      <c r="AK34" s="99" t="n"/>
      <c r="AL34" s="76" t="n"/>
      <c r="AM34" s="99" t="n"/>
      <c r="AN34" s="76" t="n"/>
      <c r="AO34" s="76" t="n"/>
      <c r="AP34" s="76" t="n"/>
      <c r="AQ34" s="77" t="n"/>
      <c r="AR34" s="78" t="n"/>
      <c r="AS34" s="197" t="n"/>
      <c r="AT34" s="197" t="n"/>
      <c r="AU34" s="197" t="n"/>
      <c r="AV34" s="76" t="n"/>
      <c r="AW34" s="364" t="n"/>
      <c r="AX34" s="76" t="n"/>
      <c r="AY34" s="365" t="n"/>
      <c r="BE34" s="366" t="n"/>
    </row>
    <row r="35">
      <c r="A35" s="75" t="n"/>
      <c r="B35" s="80" t="n"/>
      <c r="C35" s="73" t="n"/>
      <c r="D35" s="75" t="n"/>
      <c r="E35" s="74" t="n"/>
      <c r="F35" s="74" t="n"/>
      <c r="G35" s="74" t="n"/>
      <c r="H35" s="74" t="n"/>
      <c r="I35" s="74" t="n"/>
      <c r="J35" s="362" t="n"/>
      <c r="K35" s="75" t="n"/>
      <c r="L35" s="362" t="n"/>
      <c r="M35" s="363" t="n"/>
      <c r="N35" s="363" t="n"/>
      <c r="O35" s="363" t="n"/>
      <c r="P35" s="363" t="n"/>
      <c r="Q35" s="75" t="n"/>
      <c r="R35" s="195" t="n"/>
      <c r="T35" s="195" t="n"/>
      <c r="U35" s="26" t="n"/>
      <c r="V35" s="26" t="n"/>
      <c r="W35" s="15" t="n"/>
      <c r="X35" s="15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197" t="n"/>
      <c r="AJ35" s="76" t="n"/>
      <c r="AK35" s="99" t="n"/>
      <c r="AL35" s="76" t="n"/>
      <c r="AM35" s="99" t="n"/>
      <c r="AN35" s="76" t="n"/>
      <c r="AO35" s="76" t="n"/>
      <c r="AP35" s="76" t="n"/>
      <c r="AQ35" s="77" t="n"/>
      <c r="AR35" s="78" t="n"/>
      <c r="AS35" s="197" t="n"/>
      <c r="AT35" s="197" t="n"/>
      <c r="AU35" s="197" t="n"/>
      <c r="AV35" s="76" t="n"/>
      <c r="AW35" s="364" t="n"/>
      <c r="AX35" s="76" t="n"/>
      <c r="AY35" s="365" t="n"/>
      <c r="BE35" s="366" t="n"/>
    </row>
    <row r="36">
      <c r="A36" s="75" t="n"/>
      <c r="B36" s="80" t="n"/>
      <c r="C36" s="73" t="n"/>
      <c r="D36" s="75" t="n"/>
      <c r="E36" s="74" t="n"/>
      <c r="F36" s="74" t="n"/>
      <c r="G36" s="74" t="n"/>
      <c r="H36" s="74" t="n"/>
      <c r="I36" s="74" t="n"/>
      <c r="J36" s="362" t="n"/>
      <c r="K36" s="75" t="n"/>
      <c r="L36" s="362" t="n"/>
      <c r="M36" s="363" t="n"/>
      <c r="N36" s="363" t="n"/>
      <c r="O36" s="363" t="n"/>
      <c r="P36" s="363" t="n"/>
      <c r="Q36" s="75" t="n"/>
      <c r="R36" s="195" t="n"/>
      <c r="T36" s="195" t="n"/>
      <c r="U36" s="26" t="n"/>
      <c r="V36" s="26" t="n"/>
      <c r="W36" s="15" t="n"/>
      <c r="X36" s="15" t="n"/>
      <c r="Y36" s="26" t="n"/>
      <c r="Z36" s="26" t="n"/>
      <c r="AA36" s="26" t="n"/>
      <c r="AB36" s="26" t="n"/>
      <c r="AC36" s="26" t="n"/>
      <c r="AD36" s="26" t="n"/>
      <c r="AE36" s="26" t="n"/>
      <c r="AF36" s="26" t="n"/>
      <c r="AG36" s="26" t="n"/>
      <c r="AH36" s="26" t="n"/>
      <c r="AI36" s="197" t="n"/>
      <c r="AJ36" s="76" t="n"/>
      <c r="AK36" s="99" t="n"/>
      <c r="AL36" s="76" t="n"/>
      <c r="AM36" s="99" t="n"/>
      <c r="AN36" s="76" t="n"/>
      <c r="AO36" s="76" t="n"/>
      <c r="AP36" s="76" t="n"/>
      <c r="AQ36" s="77" t="n"/>
      <c r="AR36" s="78" t="n"/>
      <c r="AS36" s="197" t="n"/>
      <c r="AT36" s="197" t="n"/>
      <c r="AU36" s="197" t="n"/>
      <c r="AV36" s="76" t="n"/>
      <c r="AW36" s="364" t="n"/>
      <c r="AX36" s="76" t="n"/>
      <c r="AY36" s="365" t="n"/>
      <c r="BE36" s="366" t="n"/>
    </row>
    <row r="37">
      <c r="A37" s="75" t="n"/>
      <c r="B37" s="80" t="n"/>
      <c r="C37" s="73" t="n"/>
      <c r="D37" s="75" t="n"/>
      <c r="E37" s="74" t="n"/>
      <c r="F37" s="74" t="n"/>
      <c r="G37" s="74" t="n"/>
      <c r="H37" s="74" t="n"/>
      <c r="I37" s="74" t="n"/>
      <c r="J37" s="362" t="n"/>
      <c r="K37" s="75" t="n"/>
      <c r="L37" s="362" t="n"/>
      <c r="M37" s="363" t="n"/>
      <c r="N37" s="363" t="n"/>
      <c r="O37" s="363" t="n"/>
      <c r="P37" s="363" t="n"/>
      <c r="Q37" s="75" t="n"/>
      <c r="R37" s="195" t="n"/>
      <c r="T37" s="195" t="n"/>
      <c r="U37" s="26" t="n"/>
      <c r="V37" s="26" t="n"/>
      <c r="W37" s="15" t="n"/>
      <c r="X37" s="15" t="n"/>
      <c r="Y37" s="26" t="n"/>
      <c r="Z37" s="26" t="n"/>
      <c r="AA37" s="26" t="n"/>
      <c r="AB37" s="26" t="n"/>
      <c r="AC37" s="26" t="n"/>
      <c r="AD37" s="26" t="n"/>
      <c r="AE37" s="26" t="n"/>
      <c r="AF37" s="26" t="n"/>
      <c r="AG37" s="26" t="n"/>
      <c r="AH37" s="26" t="n"/>
      <c r="AI37" s="197" t="n"/>
      <c r="AJ37" s="76" t="n"/>
      <c r="AK37" s="99" t="n"/>
      <c r="AL37" s="76" t="n"/>
      <c r="AM37" s="99" t="n"/>
      <c r="AN37" s="76" t="n"/>
      <c r="AO37" s="76" t="n"/>
      <c r="AP37" s="76" t="n"/>
      <c r="AQ37" s="77" t="n"/>
      <c r="AR37" s="78" t="n"/>
      <c r="AS37" s="197" t="n"/>
      <c r="AT37" s="197" t="n"/>
      <c r="AU37" s="197" t="n"/>
      <c r="AV37" s="76" t="n"/>
      <c r="AW37" s="364" t="n"/>
      <c r="AX37" s="76" t="n"/>
      <c r="AY37" s="365" t="n"/>
      <c r="BE37" s="366" t="n"/>
    </row>
    <row r="38">
      <c r="A38" s="75" t="n"/>
      <c r="B38" s="80" t="n"/>
      <c r="C38" s="73" t="n"/>
      <c r="D38" s="75" t="n"/>
      <c r="E38" s="74" t="n"/>
      <c r="F38" s="74" t="n"/>
      <c r="G38" s="74" t="n"/>
      <c r="H38" s="74" t="n"/>
      <c r="I38" s="74" t="n"/>
      <c r="J38" s="362" t="n"/>
      <c r="K38" s="75" t="n"/>
      <c r="L38" s="362" t="n"/>
      <c r="M38" s="363" t="n"/>
      <c r="N38" s="363" t="n"/>
      <c r="O38" s="363" t="n"/>
      <c r="P38" s="363" t="n"/>
      <c r="Q38" s="75" t="n"/>
      <c r="R38" s="195" t="n"/>
      <c r="T38" s="195" t="n"/>
      <c r="U38" s="26" t="n"/>
      <c r="V38" s="26" t="n"/>
      <c r="W38" s="15" t="n"/>
      <c r="X38" s="15" t="n"/>
      <c r="Y38" s="26" t="n"/>
      <c r="Z38" s="26" t="n"/>
      <c r="AA38" s="26" t="n"/>
      <c r="AB38" s="26" t="n"/>
      <c r="AC38" s="26" t="n"/>
      <c r="AD38" s="26" t="n"/>
      <c r="AE38" s="26" t="n"/>
      <c r="AF38" s="26" t="n"/>
      <c r="AG38" s="26" t="n"/>
      <c r="AH38" s="26" t="n"/>
      <c r="AI38" s="197" t="n"/>
      <c r="AJ38" s="76" t="n"/>
      <c r="AK38" s="99" t="n"/>
      <c r="AL38" s="76" t="n"/>
      <c r="AM38" s="99" t="n"/>
      <c r="AN38" s="76" t="n"/>
      <c r="AO38" s="76" t="n"/>
      <c r="AP38" s="76" t="n"/>
      <c r="AQ38" s="77" t="n"/>
      <c r="AR38" s="78" t="n"/>
      <c r="AS38" s="197" t="n"/>
      <c r="AT38" s="197" t="n"/>
      <c r="AU38" s="197" t="n"/>
      <c r="AV38" s="76" t="n"/>
      <c r="AW38" s="364" t="n"/>
      <c r="AX38" s="76" t="n"/>
      <c r="AY38" s="365" t="n"/>
      <c r="BE38" s="366" t="n"/>
    </row>
    <row r="39">
      <c r="A39" s="75" t="n"/>
      <c r="B39" s="80" t="n"/>
      <c r="C39" s="73" t="n"/>
      <c r="D39" s="75" t="n"/>
      <c r="E39" s="74" t="n"/>
      <c r="F39" s="74" t="n"/>
      <c r="G39" s="74" t="n"/>
      <c r="H39" s="74" t="n"/>
      <c r="I39" s="74" t="n"/>
      <c r="J39" s="362" t="n"/>
      <c r="K39" s="75" t="n"/>
      <c r="L39" s="362" t="n"/>
      <c r="M39" s="363" t="n"/>
      <c r="N39" s="363" t="n"/>
      <c r="O39" s="363" t="n"/>
      <c r="P39" s="363" t="n"/>
      <c r="Q39" s="75" t="n"/>
      <c r="R39" s="195" t="n"/>
      <c r="T39" s="195" t="n"/>
      <c r="U39" s="26" t="n"/>
      <c r="V39" s="26" t="n"/>
      <c r="W39" s="15" t="n"/>
      <c r="X39" s="15" t="n"/>
      <c r="Y39" s="26" t="n"/>
      <c r="Z39" s="26" t="n"/>
      <c r="AA39" s="26" t="n"/>
      <c r="AB39" s="26" t="n"/>
      <c r="AC39" s="26" t="n"/>
      <c r="AD39" s="26" t="n"/>
      <c r="AE39" s="26" t="n"/>
      <c r="AF39" s="26" t="n"/>
      <c r="AG39" s="26" t="n"/>
      <c r="AH39" s="26" t="n"/>
      <c r="AI39" s="197" t="n"/>
      <c r="AJ39" s="76" t="n"/>
      <c r="AK39" s="99" t="n"/>
      <c r="AL39" s="76" t="n"/>
      <c r="AM39" s="99" t="n"/>
      <c r="AN39" s="76" t="n"/>
      <c r="AO39" s="76" t="n"/>
      <c r="AP39" s="76" t="n"/>
      <c r="AQ39" s="77" t="n"/>
      <c r="AR39" s="78" t="n"/>
      <c r="AS39" s="197" t="n"/>
      <c r="AT39" s="197" t="n"/>
      <c r="AU39" s="197" t="n"/>
      <c r="AV39" s="76" t="n"/>
      <c r="AW39" s="364" t="n"/>
      <c r="AX39" s="76" t="n"/>
      <c r="AY39" s="365" t="n"/>
      <c r="BE39" s="366" t="n"/>
    </row>
    <row r="40">
      <c r="A40" s="75" t="n"/>
      <c r="B40" s="80" t="n"/>
      <c r="C40" s="73" t="n"/>
      <c r="D40" s="75" t="n"/>
      <c r="E40" s="74" t="n"/>
      <c r="F40" s="74" t="n"/>
      <c r="G40" s="74" t="n"/>
      <c r="H40" s="74" t="n"/>
      <c r="I40" s="74" t="n"/>
      <c r="J40" s="362" t="n"/>
      <c r="K40" s="75" t="n"/>
      <c r="L40" s="362" t="n"/>
      <c r="M40" s="363" t="n"/>
      <c r="N40" s="363" t="n"/>
      <c r="O40" s="363" t="n"/>
      <c r="P40" s="363" t="n"/>
      <c r="Q40" s="75" t="n"/>
      <c r="R40" s="195" t="n"/>
      <c r="T40" s="195" t="n"/>
      <c r="U40" s="26" t="n"/>
      <c r="V40" s="26" t="n"/>
      <c r="W40" s="15" t="n"/>
      <c r="X40" s="15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197" t="n"/>
      <c r="AJ40" s="76" t="n"/>
      <c r="AK40" s="99" t="n"/>
      <c r="AL40" s="76" t="n"/>
      <c r="AM40" s="99" t="n"/>
      <c r="AN40" s="76" t="n"/>
      <c r="AO40" s="76" t="n"/>
      <c r="AP40" s="76" t="n"/>
      <c r="AQ40" s="77" t="n"/>
      <c r="AR40" s="78" t="n"/>
      <c r="AS40" s="197" t="n"/>
      <c r="AT40" s="197" t="n"/>
      <c r="AU40" s="197" t="n"/>
      <c r="AV40" s="76" t="n"/>
      <c r="AW40" s="364" t="n"/>
      <c r="AX40" s="76" t="n"/>
      <c r="AY40" s="365" t="n"/>
      <c r="BE40" s="366" t="n"/>
    </row>
    <row r="41">
      <c r="A41" s="75" t="n"/>
      <c r="B41" s="80" t="n"/>
      <c r="C41" s="73" t="n"/>
      <c r="D41" s="75" t="n"/>
      <c r="E41" s="74" t="n"/>
      <c r="F41" s="74" t="n"/>
      <c r="G41" s="74" t="n"/>
      <c r="H41" s="74" t="n"/>
      <c r="I41" s="74" t="n"/>
      <c r="J41" s="362" t="n"/>
      <c r="K41" s="75" t="n"/>
      <c r="L41" s="362" t="n"/>
      <c r="M41" s="363" t="n"/>
      <c r="N41" s="363" t="n"/>
      <c r="O41" s="363" t="n"/>
      <c r="P41" s="363" t="n"/>
      <c r="Q41" s="75" t="n"/>
      <c r="R41" s="195" t="n"/>
      <c r="T41" s="195" t="n"/>
      <c r="U41" s="26" t="n"/>
      <c r="V41" s="26" t="n"/>
      <c r="W41" s="15" t="n"/>
      <c r="X41" s="15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197" t="n"/>
      <c r="AJ41" s="76" t="n"/>
      <c r="AK41" s="99" t="n"/>
      <c r="AL41" s="76" t="n"/>
      <c r="AM41" s="99" t="n"/>
      <c r="AN41" s="76" t="n"/>
      <c r="AO41" s="76" t="n"/>
      <c r="AP41" s="76" t="n"/>
      <c r="AQ41" s="77" t="n"/>
      <c r="AR41" s="78" t="n"/>
      <c r="AS41" s="197" t="n"/>
      <c r="AT41" s="197" t="n"/>
      <c r="AU41" s="197" t="n"/>
      <c r="AV41" s="76" t="n"/>
      <c r="AW41" s="364" t="n"/>
      <c r="AX41" s="76" t="n"/>
      <c r="AY41" s="365" t="n"/>
      <c r="BE41" s="366" t="n"/>
    </row>
    <row r="42">
      <c r="A42" s="75" t="n"/>
      <c r="B42" s="80" t="n"/>
      <c r="C42" s="73" t="n"/>
      <c r="D42" s="75" t="n"/>
      <c r="E42" s="74" t="n"/>
      <c r="F42" s="74" t="n"/>
      <c r="G42" s="74" t="n"/>
      <c r="H42" s="74" t="n"/>
      <c r="I42" s="74" t="n"/>
      <c r="J42" s="362" t="n"/>
      <c r="K42" s="75" t="n"/>
      <c r="L42" s="362" t="n"/>
      <c r="M42" s="363" t="n"/>
      <c r="N42" s="363" t="n"/>
      <c r="O42" s="363" t="n"/>
      <c r="P42" s="363" t="n"/>
      <c r="Q42" s="75" t="n"/>
      <c r="R42" s="195" t="n"/>
      <c r="T42" s="195" t="n"/>
      <c r="U42" s="26" t="n"/>
      <c r="V42" s="26" t="n"/>
      <c r="W42" s="15" t="n"/>
      <c r="X42" s="15" t="n"/>
      <c r="Y42" s="26" t="n"/>
      <c r="Z42" s="26" t="n"/>
      <c r="AA42" s="26" t="n"/>
      <c r="AB42" s="26" t="n"/>
      <c r="AC42" s="26" t="n"/>
      <c r="AD42" s="26" t="n"/>
      <c r="AE42" s="26" t="n"/>
      <c r="AF42" s="26" t="n"/>
      <c r="AG42" s="26" t="n"/>
      <c r="AH42" s="26" t="n"/>
      <c r="AI42" s="197" t="n"/>
      <c r="AJ42" s="76" t="n"/>
      <c r="AK42" s="99" t="n"/>
      <c r="AL42" s="76" t="n"/>
      <c r="AM42" s="99" t="n"/>
      <c r="AN42" s="76" t="n"/>
      <c r="AO42" s="76" t="n"/>
      <c r="AP42" s="76" t="n"/>
      <c r="AQ42" s="77" t="n"/>
      <c r="AR42" s="78" t="n"/>
      <c r="AS42" s="197" t="n"/>
      <c r="AT42" s="197" t="n"/>
      <c r="AU42" s="197" t="n"/>
      <c r="AV42" s="76" t="n"/>
      <c r="AW42" s="364" t="n"/>
      <c r="AX42" s="76" t="n"/>
      <c r="AY42" s="365" t="n"/>
      <c r="BE42" s="366" t="n"/>
    </row>
    <row r="43">
      <c r="A43" s="75" t="n"/>
      <c r="B43" s="80" t="n"/>
      <c r="C43" s="73" t="n"/>
      <c r="D43" s="75" t="n"/>
      <c r="E43" s="74" t="n"/>
      <c r="F43" s="74" t="n"/>
      <c r="G43" s="74" t="n"/>
      <c r="H43" s="74" t="n"/>
      <c r="I43" s="74" t="n"/>
      <c r="J43" s="362" t="n"/>
      <c r="K43" s="75" t="n"/>
      <c r="L43" s="362" t="n"/>
      <c r="M43" s="363" t="n"/>
      <c r="N43" s="363" t="n"/>
      <c r="O43" s="363" t="n"/>
      <c r="P43" s="363" t="n"/>
      <c r="Q43" s="75" t="n"/>
      <c r="R43" s="195" t="n"/>
      <c r="T43" s="195" t="n"/>
      <c r="U43" s="26" t="n"/>
      <c r="V43" s="26" t="n"/>
      <c r="W43" s="15" t="n"/>
      <c r="X43" s="15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197" t="n"/>
      <c r="AJ43" s="76" t="n"/>
      <c r="AK43" s="99" t="n"/>
      <c r="AL43" s="76" t="n"/>
      <c r="AM43" s="99" t="n"/>
      <c r="AN43" s="76" t="n"/>
      <c r="AO43" s="76" t="n"/>
      <c r="AP43" s="76" t="n"/>
      <c r="AQ43" s="77" t="n"/>
      <c r="AR43" s="78" t="n"/>
      <c r="AS43" s="197" t="n"/>
      <c r="AT43" s="197" t="n"/>
      <c r="AU43" s="197" t="n"/>
      <c r="AV43" s="76" t="n"/>
      <c r="AW43" s="364" t="n"/>
      <c r="AX43" s="76" t="n"/>
      <c r="AY43" s="365" t="n"/>
      <c r="BE43" s="366" t="n"/>
    </row>
    <row r="44">
      <c r="A44" s="75" t="n"/>
      <c r="B44" s="80" t="n"/>
      <c r="C44" s="73" t="n"/>
      <c r="D44" s="75" t="n"/>
      <c r="E44" s="74" t="n"/>
      <c r="F44" s="74" t="n"/>
      <c r="G44" s="74" t="n"/>
      <c r="H44" s="74" t="n"/>
      <c r="I44" s="74" t="n"/>
      <c r="J44" s="362" t="n"/>
      <c r="K44" s="75" t="n"/>
      <c r="L44" s="362" t="n"/>
      <c r="M44" s="363" t="n"/>
      <c r="N44" s="363" t="n"/>
      <c r="O44" s="363" t="n"/>
      <c r="P44" s="363" t="n"/>
      <c r="Q44" s="75" t="n"/>
      <c r="R44" s="195" t="n"/>
      <c r="T44" s="195" t="n"/>
      <c r="U44" s="26" t="n"/>
      <c r="V44" s="26" t="n"/>
      <c r="W44" s="15" t="n"/>
      <c r="X44" s="15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197" t="n"/>
      <c r="AJ44" s="76" t="n"/>
      <c r="AK44" s="99" t="n"/>
      <c r="AL44" s="76" t="n"/>
      <c r="AM44" s="99" t="n"/>
      <c r="AN44" s="76" t="n"/>
      <c r="AO44" s="76" t="n"/>
      <c r="AP44" s="76" t="n"/>
      <c r="AQ44" s="77" t="n"/>
      <c r="AR44" s="78" t="n"/>
      <c r="AS44" s="197" t="n"/>
      <c r="AT44" s="197" t="n"/>
      <c r="AU44" s="197" t="n"/>
      <c r="AV44" s="76" t="n"/>
      <c r="AW44" s="364" t="n"/>
      <c r="AX44" s="76" t="n"/>
      <c r="AY44" s="365" t="n"/>
      <c r="BE44" s="366" t="n"/>
    </row>
    <row r="45">
      <c r="A45" s="75" t="n"/>
      <c r="B45" s="80" t="n"/>
      <c r="C45" s="73" t="n"/>
      <c r="D45" s="75" t="n"/>
      <c r="E45" s="74" t="n"/>
      <c r="F45" s="74" t="n"/>
      <c r="G45" s="74" t="n"/>
      <c r="H45" s="74" t="n"/>
      <c r="I45" s="74" t="n"/>
      <c r="J45" s="362" t="n"/>
      <c r="K45" s="75" t="n"/>
      <c r="L45" s="362" t="n"/>
      <c r="M45" s="363" t="n"/>
      <c r="N45" s="363" t="n"/>
      <c r="O45" s="363" t="n"/>
      <c r="P45" s="363" t="n"/>
      <c r="Q45" s="75" t="n"/>
      <c r="R45" s="195" t="n"/>
      <c r="T45" s="195" t="n"/>
      <c r="U45" s="26" t="n"/>
      <c r="V45" s="26" t="n"/>
      <c r="W45" s="15" t="n"/>
      <c r="X45" s="15" t="n"/>
      <c r="Y45" s="26" t="n"/>
      <c r="Z45" s="26" t="n"/>
      <c r="AA45" s="26" t="n"/>
      <c r="AB45" s="26" t="n"/>
      <c r="AC45" s="26" t="n"/>
      <c r="AD45" s="26" t="n"/>
      <c r="AE45" s="26" t="n"/>
      <c r="AF45" s="26" t="n"/>
      <c r="AG45" s="26" t="n"/>
      <c r="AH45" s="26" t="n"/>
      <c r="AI45" s="197" t="n"/>
      <c r="AJ45" s="76" t="n"/>
      <c r="AK45" s="99" t="n"/>
      <c r="AL45" s="76" t="n"/>
      <c r="AM45" s="99" t="n"/>
      <c r="AN45" s="76" t="n"/>
      <c r="AO45" s="76" t="n"/>
      <c r="AP45" s="76" t="n"/>
      <c r="AQ45" s="77" t="n"/>
      <c r="AR45" s="78" t="n"/>
      <c r="AS45" s="197" t="n"/>
      <c r="AT45" s="197" t="n"/>
      <c r="AU45" s="197" t="n"/>
      <c r="AV45" s="76" t="n"/>
      <c r="AW45" s="364" t="n"/>
      <c r="AX45" s="76" t="n"/>
      <c r="AY45" s="365" t="n"/>
      <c r="BE45" s="366" t="n"/>
    </row>
    <row r="46">
      <c r="A46" s="75" t="n"/>
      <c r="B46" s="80" t="n"/>
      <c r="C46" s="73" t="n"/>
      <c r="D46" s="75" t="n"/>
      <c r="E46" s="74" t="n"/>
      <c r="F46" s="74" t="n"/>
      <c r="G46" s="74" t="n"/>
      <c r="H46" s="74" t="n"/>
      <c r="I46" s="74" t="n"/>
      <c r="J46" s="362" t="n"/>
      <c r="K46" s="75" t="n"/>
      <c r="L46" s="362" t="n"/>
      <c r="M46" s="363" t="n"/>
      <c r="N46" s="363" t="n"/>
      <c r="O46" s="363" t="n"/>
      <c r="P46" s="363" t="n"/>
      <c r="Q46" s="75" t="n"/>
      <c r="R46" s="195" t="n"/>
      <c r="T46" s="195" t="n"/>
      <c r="U46" s="26" t="n"/>
      <c r="V46" s="26" t="n"/>
      <c r="W46" s="15" t="n"/>
      <c r="X46" s="15" t="n"/>
      <c r="Y46" s="26" t="n"/>
      <c r="Z46" s="26" t="n"/>
      <c r="AA46" s="26" t="n"/>
      <c r="AB46" s="26" t="n"/>
      <c r="AC46" s="26" t="n"/>
      <c r="AD46" s="26" t="n"/>
      <c r="AE46" s="26" t="n"/>
      <c r="AF46" s="26" t="n"/>
      <c r="AG46" s="26" t="n"/>
      <c r="AH46" s="26" t="n"/>
      <c r="AI46" s="197" t="n"/>
      <c r="AJ46" s="76" t="n"/>
      <c r="AK46" s="99" t="n"/>
      <c r="AL46" s="76" t="n"/>
      <c r="AM46" s="99" t="n"/>
      <c r="AN46" s="76" t="n"/>
      <c r="AO46" s="76" t="n"/>
      <c r="AP46" s="76" t="n"/>
      <c r="AQ46" s="77" t="n"/>
      <c r="AR46" s="78" t="n"/>
      <c r="AS46" s="197" t="n"/>
      <c r="AT46" s="197" t="n"/>
      <c r="AU46" s="197" t="n"/>
      <c r="AV46" s="76" t="n"/>
      <c r="AW46" s="364" t="n"/>
      <c r="AX46" s="76" t="n"/>
      <c r="AY46" s="365" t="n"/>
      <c r="BE46" s="366" t="n"/>
    </row>
    <row r="47">
      <c r="A47" s="75" t="n"/>
      <c r="B47" s="80" t="n"/>
      <c r="C47" s="73" t="n"/>
      <c r="D47" s="75" t="n"/>
      <c r="E47" s="74" t="n"/>
      <c r="F47" s="74" t="n"/>
      <c r="G47" s="74" t="n"/>
      <c r="H47" s="74" t="n"/>
      <c r="I47" s="74" t="n"/>
      <c r="J47" s="362" t="n"/>
      <c r="K47" s="75" t="n"/>
      <c r="L47" s="362" t="n"/>
      <c r="M47" s="363" t="n"/>
      <c r="N47" s="363" t="n"/>
      <c r="O47" s="363" t="n"/>
      <c r="P47" s="363" t="n"/>
      <c r="Q47" s="75" t="n"/>
      <c r="R47" s="195" t="n"/>
      <c r="T47" s="195" t="n"/>
      <c r="U47" s="26" t="n"/>
      <c r="V47" s="26" t="n"/>
      <c r="W47" s="15" t="n"/>
      <c r="X47" s="15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I47" s="197" t="n"/>
      <c r="AJ47" s="76" t="n"/>
      <c r="AK47" s="99" t="n"/>
      <c r="AL47" s="76" t="n"/>
      <c r="AM47" s="99" t="n"/>
      <c r="AN47" s="76" t="n"/>
      <c r="AO47" s="76" t="n"/>
      <c r="AP47" s="76" t="n"/>
      <c r="AQ47" s="77" t="n"/>
      <c r="AR47" s="78" t="n"/>
      <c r="AS47" s="197" t="n"/>
      <c r="AT47" s="197" t="n"/>
      <c r="AU47" s="197" t="n"/>
      <c r="AV47" s="76" t="n"/>
      <c r="AW47" s="364" t="n"/>
      <c r="AX47" s="76" t="n"/>
      <c r="AY47" s="365" t="n"/>
      <c r="BE47" s="366" t="n"/>
    </row>
    <row r="48">
      <c r="A48" s="75" t="n"/>
      <c r="B48" s="80" t="n"/>
      <c r="C48" s="73" t="n"/>
      <c r="D48" s="75" t="n"/>
      <c r="E48" s="74" t="n"/>
      <c r="F48" s="74" t="n"/>
      <c r="G48" s="74" t="n"/>
      <c r="H48" s="74" t="n"/>
      <c r="I48" s="74" t="n"/>
      <c r="J48" s="362" t="n"/>
      <c r="K48" s="75" t="n"/>
      <c r="L48" s="362" t="n"/>
      <c r="M48" s="363" t="n"/>
      <c r="N48" s="363" t="n"/>
      <c r="O48" s="363" t="n"/>
      <c r="P48" s="363" t="n"/>
      <c r="Q48" s="75" t="n"/>
      <c r="R48" s="195" t="n"/>
      <c r="T48" s="195" t="n"/>
      <c r="U48" s="26" t="n"/>
      <c r="V48" s="26" t="n"/>
      <c r="W48" s="15" t="n"/>
      <c r="X48" s="15" t="n"/>
      <c r="Y48" s="26" t="n"/>
      <c r="Z48" s="26" t="n"/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197" t="n"/>
      <c r="AJ48" s="76" t="n"/>
      <c r="AK48" s="99" t="n"/>
      <c r="AL48" s="76" t="n"/>
      <c r="AM48" s="99" t="n"/>
      <c r="AN48" s="76" t="n"/>
      <c r="AO48" s="76" t="n"/>
      <c r="AP48" s="76" t="n"/>
      <c r="AQ48" s="77" t="n"/>
      <c r="AR48" s="78" t="n"/>
      <c r="AS48" s="197" t="n"/>
      <c r="AT48" s="197" t="n"/>
      <c r="AU48" s="197" t="n"/>
      <c r="AV48" s="76" t="n"/>
      <c r="AW48" s="364" t="n"/>
      <c r="AX48" s="76" t="n"/>
      <c r="AY48" s="365" t="n"/>
      <c r="BE48" s="366" t="n"/>
    </row>
    <row r="49">
      <c r="A49" s="75" t="n"/>
      <c r="B49" s="80" t="n"/>
      <c r="C49" s="73" t="n"/>
      <c r="D49" s="75" t="n"/>
      <c r="E49" s="74" t="n"/>
      <c r="F49" s="74" t="n"/>
      <c r="G49" s="74" t="n"/>
      <c r="H49" s="74" t="n"/>
      <c r="I49" s="74" t="n"/>
      <c r="J49" s="362" t="n"/>
      <c r="K49" s="75" t="n"/>
      <c r="L49" s="362" t="n"/>
      <c r="M49" s="363" t="n"/>
      <c r="N49" s="363" t="n"/>
      <c r="O49" s="363" t="n"/>
      <c r="P49" s="363" t="n"/>
      <c r="Q49" s="75" t="n"/>
      <c r="R49" s="195" t="n"/>
      <c r="T49" s="195" t="n"/>
      <c r="U49" s="26" t="n"/>
      <c r="V49" s="26" t="n"/>
      <c r="W49" s="15" t="n"/>
      <c r="X49" s="15" t="n"/>
      <c r="Y49" s="26" t="n"/>
      <c r="Z49" s="26" t="n"/>
      <c r="AA49" s="26" t="n"/>
      <c r="AB49" s="26" t="n"/>
      <c r="AC49" s="26" t="n"/>
      <c r="AD49" s="26" t="n"/>
      <c r="AE49" s="26" t="n"/>
      <c r="AF49" s="26" t="n"/>
      <c r="AG49" s="26" t="n"/>
      <c r="AH49" s="26" t="n"/>
      <c r="AI49" s="197" t="n"/>
      <c r="AJ49" s="76" t="n"/>
      <c r="AK49" s="99" t="n"/>
      <c r="AL49" s="76" t="n"/>
      <c r="AM49" s="99" t="n"/>
      <c r="AN49" s="76" t="n"/>
      <c r="AO49" s="76" t="n"/>
      <c r="AP49" s="76" t="n"/>
      <c r="AQ49" s="77" t="n"/>
      <c r="AR49" s="78" t="n"/>
      <c r="AS49" s="197" t="n"/>
      <c r="AT49" s="197" t="n"/>
      <c r="AU49" s="197" t="n"/>
      <c r="AV49" s="76" t="n"/>
      <c r="AW49" s="364" t="n"/>
      <c r="AX49" s="76" t="n"/>
      <c r="AY49" s="365" t="n"/>
      <c r="BE49" s="366" t="n"/>
    </row>
    <row r="50">
      <c r="A50" s="75" t="n"/>
      <c r="B50" s="80" t="n"/>
      <c r="C50" s="73" t="n"/>
      <c r="D50" s="75" t="n"/>
      <c r="E50" s="74" t="n"/>
      <c r="F50" s="74" t="n"/>
      <c r="G50" s="74" t="n"/>
      <c r="H50" s="74" t="n"/>
      <c r="I50" s="74" t="n"/>
      <c r="J50" s="362" t="n"/>
      <c r="K50" s="75" t="n"/>
      <c r="L50" s="362" t="n"/>
      <c r="M50" s="363" t="n"/>
      <c r="N50" s="363" t="n"/>
      <c r="O50" s="363" t="n"/>
      <c r="P50" s="363" t="n"/>
      <c r="Q50" s="75" t="n"/>
      <c r="R50" s="195" t="n"/>
      <c r="T50" s="195" t="n"/>
      <c r="U50" s="26" t="n"/>
      <c r="V50" s="26" t="n"/>
      <c r="W50" s="15" t="n"/>
      <c r="X50" s="15" t="n"/>
      <c r="Y50" s="26" t="n"/>
      <c r="Z50" s="26" t="n"/>
      <c r="AA50" s="26" t="n"/>
      <c r="AB50" s="26" t="n"/>
      <c r="AC50" s="26" t="n"/>
      <c r="AD50" s="26" t="n"/>
      <c r="AE50" s="26" t="n"/>
      <c r="AF50" s="26" t="n"/>
      <c r="AG50" s="26" t="n"/>
      <c r="AH50" s="26" t="n"/>
      <c r="AI50" s="197" t="n"/>
      <c r="AJ50" s="76" t="n"/>
      <c r="AK50" s="99" t="n"/>
      <c r="AL50" s="76" t="n"/>
      <c r="AM50" s="99" t="n"/>
      <c r="AN50" s="76" t="n"/>
      <c r="AO50" s="76" t="n"/>
      <c r="AP50" s="76" t="n"/>
      <c r="AQ50" s="77" t="n"/>
      <c r="AR50" s="78" t="n"/>
      <c r="AS50" s="197" t="n"/>
      <c r="AT50" s="197" t="n"/>
      <c r="AU50" s="197" t="n"/>
      <c r="AV50" s="76" t="n"/>
      <c r="AW50" s="364" t="n"/>
      <c r="AX50" s="76" t="n"/>
      <c r="AY50" s="365" t="n"/>
      <c r="BE50" s="366" t="n"/>
    </row>
    <row r="51">
      <c r="A51" s="75" t="n"/>
      <c r="B51" s="80" t="n"/>
      <c r="C51" s="73" t="n"/>
      <c r="D51" s="75" t="n"/>
      <c r="E51" s="74" t="n"/>
      <c r="F51" s="74" t="n"/>
      <c r="G51" s="74" t="n"/>
      <c r="H51" s="74" t="n"/>
      <c r="I51" s="74" t="n"/>
      <c r="J51" s="362" t="n"/>
      <c r="K51" s="75" t="n"/>
      <c r="L51" s="362" t="n"/>
      <c r="M51" s="363" t="n"/>
      <c r="N51" s="363" t="n"/>
      <c r="O51" s="363" t="n"/>
      <c r="P51" s="363" t="n"/>
      <c r="Q51" s="75" t="n"/>
      <c r="R51" s="195" t="n"/>
      <c r="T51" s="195" t="n"/>
      <c r="U51" s="26" t="n"/>
      <c r="V51" s="26" t="n"/>
      <c r="W51" s="15" t="n"/>
      <c r="X51" s="15" t="n"/>
      <c r="Y51" s="26" t="n"/>
      <c r="Z51" s="26" t="n"/>
      <c r="AA51" s="26" t="n"/>
      <c r="AB51" s="26" t="n"/>
      <c r="AC51" s="26" t="n"/>
      <c r="AD51" s="26" t="n"/>
      <c r="AE51" s="26" t="n"/>
      <c r="AF51" s="26" t="n"/>
      <c r="AG51" s="26" t="n"/>
      <c r="AH51" s="26" t="n"/>
      <c r="AI51" s="197" t="n"/>
      <c r="AJ51" s="76" t="n"/>
      <c r="AK51" s="99" t="n"/>
      <c r="AL51" s="76" t="n"/>
      <c r="AM51" s="99" t="n"/>
      <c r="AN51" s="76" t="n"/>
      <c r="AO51" s="76" t="n"/>
      <c r="AP51" s="76" t="n"/>
      <c r="AQ51" s="77" t="n"/>
      <c r="AR51" s="78" t="n"/>
      <c r="AS51" s="197" t="n"/>
      <c r="AT51" s="197" t="n"/>
      <c r="AU51" s="197" t="n"/>
      <c r="AV51" s="76" t="n"/>
      <c r="AW51" s="364" t="n"/>
      <c r="AX51" s="76" t="n"/>
      <c r="AY51" s="365" t="n"/>
      <c r="BE51" s="366" t="n"/>
    </row>
    <row r="52">
      <c r="A52" s="75" t="n"/>
      <c r="B52" s="80" t="n"/>
      <c r="C52" s="73" t="n"/>
      <c r="D52" s="75" t="n"/>
      <c r="E52" s="74" t="n"/>
      <c r="F52" s="74" t="n"/>
      <c r="G52" s="74" t="n"/>
      <c r="H52" s="74" t="n"/>
      <c r="I52" s="74" t="n"/>
      <c r="J52" s="362" t="n"/>
      <c r="K52" s="75" t="n"/>
      <c r="L52" s="362" t="n"/>
      <c r="M52" s="363" t="n"/>
      <c r="N52" s="363" t="n"/>
      <c r="O52" s="363" t="n"/>
      <c r="P52" s="363" t="n"/>
      <c r="Q52" s="75" t="n"/>
      <c r="R52" s="195" t="n"/>
      <c r="T52" s="195" t="n"/>
      <c r="U52" s="26" t="n"/>
      <c r="V52" s="26" t="n"/>
      <c r="W52" s="15" t="n"/>
      <c r="X52" s="15" t="n"/>
      <c r="Y52" s="26" t="n"/>
      <c r="Z52" s="26" t="n"/>
      <c r="AA52" s="26" t="n"/>
      <c r="AB52" s="26" t="n"/>
      <c r="AC52" s="26" t="n"/>
      <c r="AD52" s="26" t="n"/>
      <c r="AE52" s="26" t="n"/>
      <c r="AF52" s="26" t="n"/>
      <c r="AG52" s="26" t="n"/>
      <c r="AH52" s="26" t="n"/>
      <c r="AI52" s="197" t="n"/>
      <c r="AJ52" s="76" t="n"/>
      <c r="AK52" s="99" t="n"/>
      <c r="AL52" s="76" t="n"/>
      <c r="AM52" s="99" t="n"/>
      <c r="AN52" s="76" t="n"/>
      <c r="AO52" s="76" t="n"/>
      <c r="AP52" s="76" t="n"/>
      <c r="AQ52" s="77" t="n"/>
      <c r="AR52" s="78" t="n"/>
      <c r="AS52" s="197" t="n"/>
      <c r="AT52" s="197" t="n"/>
      <c r="AU52" s="197" t="n"/>
      <c r="AV52" s="76" t="n"/>
      <c r="AW52" s="364" t="n"/>
      <c r="AX52" s="76" t="n"/>
      <c r="AY52" s="365" t="n"/>
      <c r="BE52" s="366" t="n"/>
    </row>
    <row r="53">
      <c r="A53" s="75" t="n"/>
      <c r="B53" s="80" t="n"/>
      <c r="C53" s="73" t="n"/>
      <c r="D53" s="75" t="n"/>
      <c r="E53" s="74" t="n"/>
      <c r="F53" s="74" t="n"/>
      <c r="G53" s="74" t="n"/>
      <c r="H53" s="74" t="n"/>
      <c r="I53" s="74" t="n"/>
      <c r="J53" s="362" t="n"/>
      <c r="K53" s="75" t="n"/>
      <c r="L53" s="362" t="n"/>
      <c r="M53" s="363" t="n"/>
      <c r="N53" s="363" t="n"/>
      <c r="O53" s="363" t="n"/>
      <c r="P53" s="363" t="n"/>
      <c r="Q53" s="75" t="n"/>
      <c r="R53" s="195" t="n"/>
      <c r="T53" s="195" t="n"/>
      <c r="U53" s="26" t="n"/>
      <c r="V53" s="26" t="n"/>
      <c r="W53" s="15" t="n"/>
      <c r="X53" s="15" t="n"/>
      <c r="Y53" s="26" t="n"/>
      <c r="Z53" s="26" t="n"/>
      <c r="AA53" s="26" t="n"/>
      <c r="AB53" s="26" t="n"/>
      <c r="AC53" s="26" t="n"/>
      <c r="AD53" s="26" t="n"/>
      <c r="AE53" s="26" t="n"/>
      <c r="AF53" s="26" t="n"/>
      <c r="AG53" s="26" t="n"/>
      <c r="AH53" s="26" t="n"/>
      <c r="AI53" s="197" t="n"/>
      <c r="AJ53" s="76" t="n"/>
      <c r="AK53" s="99" t="n"/>
      <c r="AL53" s="76" t="n"/>
      <c r="AM53" s="99" t="n"/>
      <c r="AN53" s="76" t="n"/>
      <c r="AO53" s="76" t="n"/>
      <c r="AP53" s="76" t="n"/>
      <c r="AQ53" s="77" t="n"/>
      <c r="AR53" s="78" t="n"/>
      <c r="AS53" s="197" t="n"/>
      <c r="AT53" s="197" t="n"/>
      <c r="AU53" s="197" t="n"/>
      <c r="AV53" s="76" t="n"/>
      <c r="AW53" s="364" t="n"/>
      <c r="AX53" s="76" t="n"/>
      <c r="AY53" s="365" t="n"/>
      <c r="BE53" s="366" t="n"/>
    </row>
    <row r="54">
      <c r="A54" s="75" t="n"/>
      <c r="B54" s="80" t="n"/>
      <c r="C54" s="73" t="n"/>
      <c r="D54" s="75" t="n"/>
      <c r="E54" s="74" t="n"/>
      <c r="F54" s="74" t="n"/>
      <c r="G54" s="74" t="n"/>
      <c r="H54" s="74" t="n"/>
      <c r="I54" s="74" t="n"/>
      <c r="J54" s="362" t="n"/>
      <c r="K54" s="75" t="n"/>
      <c r="L54" s="362" t="n"/>
      <c r="M54" s="363" t="n"/>
      <c r="N54" s="363" t="n"/>
      <c r="O54" s="363" t="n"/>
      <c r="P54" s="363" t="n"/>
      <c r="Q54" s="75" t="n"/>
      <c r="R54" s="195" t="n"/>
      <c r="T54" s="195" t="n"/>
      <c r="U54" s="26" t="n"/>
      <c r="V54" s="26" t="n"/>
      <c r="W54" s="15" t="n"/>
      <c r="X54" s="15" t="n"/>
      <c r="Y54" s="26" t="n"/>
      <c r="Z54" s="26" t="n"/>
      <c r="AA54" s="26" t="n"/>
      <c r="AB54" s="26" t="n"/>
      <c r="AC54" s="26" t="n"/>
      <c r="AD54" s="26" t="n"/>
      <c r="AE54" s="26" t="n"/>
      <c r="AF54" s="26" t="n"/>
      <c r="AG54" s="26" t="n"/>
      <c r="AH54" s="26" t="n"/>
      <c r="AI54" s="197" t="n"/>
      <c r="AJ54" s="76" t="n"/>
      <c r="AK54" s="99" t="n"/>
      <c r="AL54" s="76" t="n"/>
      <c r="AM54" s="99" t="n"/>
      <c r="AN54" s="76" t="n"/>
      <c r="AO54" s="76" t="n"/>
      <c r="AP54" s="76" t="n"/>
      <c r="AQ54" s="77" t="n"/>
      <c r="AR54" s="78" t="n"/>
      <c r="AS54" s="197" t="n"/>
      <c r="AT54" s="197" t="n"/>
      <c r="AU54" s="197" t="n"/>
      <c r="AV54" s="76" t="n"/>
      <c r="AW54" s="364" t="n"/>
      <c r="AX54" s="76" t="n"/>
      <c r="AY54" s="365" t="n"/>
      <c r="BE54" s="366" t="n"/>
    </row>
    <row r="55">
      <c r="A55" s="75" t="n"/>
      <c r="B55" s="80" t="n"/>
      <c r="C55" s="73" t="n"/>
      <c r="D55" s="75" t="n"/>
      <c r="E55" s="74" t="n"/>
      <c r="F55" s="74" t="n"/>
      <c r="G55" s="74" t="n"/>
      <c r="H55" s="74" t="n"/>
      <c r="I55" s="74" t="n"/>
      <c r="J55" s="362" t="n"/>
      <c r="K55" s="75" t="n"/>
      <c r="L55" s="362" t="n"/>
      <c r="M55" s="363" t="n"/>
      <c r="N55" s="363" t="n"/>
      <c r="O55" s="363" t="n"/>
      <c r="P55" s="363" t="n"/>
      <c r="Q55" s="75" t="n"/>
      <c r="R55" s="195" t="n"/>
      <c r="T55" s="195" t="n"/>
      <c r="U55" s="26" t="n"/>
      <c r="V55" s="26" t="n"/>
      <c r="W55" s="15" t="n"/>
      <c r="X55" s="15" t="n"/>
      <c r="Y55" s="26" t="n"/>
      <c r="Z55" s="26" t="n"/>
      <c r="AA55" s="26" t="n"/>
      <c r="AB55" s="26" t="n"/>
      <c r="AC55" s="26" t="n"/>
      <c r="AD55" s="26" t="n"/>
      <c r="AE55" s="26" t="n"/>
      <c r="AF55" s="26" t="n"/>
      <c r="AG55" s="26" t="n"/>
      <c r="AH55" s="26" t="n"/>
      <c r="AI55" s="197" t="n"/>
      <c r="AJ55" s="76" t="n"/>
      <c r="AK55" s="99" t="n"/>
      <c r="AL55" s="76" t="n"/>
      <c r="AM55" s="99" t="n"/>
      <c r="AN55" s="76" t="n"/>
      <c r="AO55" s="76" t="n"/>
      <c r="AP55" s="76" t="n"/>
      <c r="AQ55" s="77" t="n"/>
      <c r="AR55" s="78" t="n"/>
      <c r="AS55" s="197" t="n"/>
      <c r="AT55" s="197" t="n"/>
      <c r="AU55" s="197" t="n"/>
      <c r="AV55" s="76" t="n"/>
      <c r="AW55" s="364" t="n"/>
      <c r="AX55" s="76" t="n"/>
      <c r="AY55" s="365" t="n"/>
      <c r="BE55" s="366" t="n"/>
    </row>
    <row r="56">
      <c r="A56" s="75" t="n"/>
      <c r="B56" s="80" t="n"/>
      <c r="C56" s="73" t="n"/>
      <c r="D56" s="75" t="n"/>
      <c r="E56" s="74" t="n"/>
      <c r="F56" s="74" t="n"/>
      <c r="G56" s="74" t="n"/>
      <c r="H56" s="74" t="n"/>
      <c r="I56" s="74" t="n"/>
      <c r="J56" s="362" t="n"/>
      <c r="K56" s="75" t="n"/>
      <c r="L56" s="362" t="n"/>
      <c r="M56" s="363" t="n"/>
      <c r="N56" s="363" t="n"/>
      <c r="O56" s="363" t="n"/>
      <c r="P56" s="363" t="n"/>
      <c r="Q56" s="75" t="n"/>
      <c r="R56" s="195" t="n"/>
      <c r="T56" s="195" t="n"/>
      <c r="U56" s="26" t="n"/>
      <c r="V56" s="26" t="n"/>
      <c r="W56" s="15" t="n"/>
      <c r="X56" s="15" t="n"/>
      <c r="Y56" s="26" t="n"/>
      <c r="Z56" s="26" t="n"/>
      <c r="AA56" s="26" t="n"/>
      <c r="AB56" s="26" t="n"/>
      <c r="AC56" s="26" t="n"/>
      <c r="AD56" s="26" t="n"/>
      <c r="AE56" s="26" t="n"/>
      <c r="AF56" s="26" t="n"/>
      <c r="AG56" s="26" t="n"/>
      <c r="AH56" s="26" t="n"/>
      <c r="AI56" s="197" t="n"/>
      <c r="AJ56" s="76" t="n"/>
      <c r="AK56" s="99" t="n"/>
      <c r="AL56" s="76" t="n"/>
      <c r="AM56" s="99" t="n"/>
      <c r="AN56" s="76" t="n"/>
      <c r="AO56" s="76" t="n"/>
      <c r="AP56" s="76" t="n"/>
      <c r="AQ56" s="77" t="n"/>
      <c r="AR56" s="78" t="n"/>
      <c r="AS56" s="197" t="n"/>
      <c r="AT56" s="197" t="n"/>
      <c r="AU56" s="197" t="n"/>
      <c r="AV56" s="76" t="n"/>
      <c r="AW56" s="364" t="n"/>
      <c r="AX56" s="76" t="n"/>
      <c r="AY56" s="365" t="n"/>
      <c r="BE56" s="366" t="n"/>
    </row>
    <row r="57">
      <c r="A57" s="75" t="n"/>
      <c r="B57" s="80" t="n"/>
      <c r="C57" s="15" t="n"/>
      <c r="D57" s="75" t="n"/>
      <c r="E57" s="74" t="n"/>
      <c r="F57" s="74" t="n"/>
      <c r="G57" s="74" t="n"/>
      <c r="H57" s="74" t="n"/>
      <c r="M57" s="363" t="n"/>
      <c r="N57" s="363" t="n"/>
      <c r="O57" s="363" t="n"/>
      <c r="P57" s="363" t="n"/>
    </row>
    <row r="58">
      <c r="A58" s="75" t="n"/>
      <c r="B58" s="80" t="n"/>
      <c r="C58" s="15" t="n"/>
      <c r="D58" s="75" t="n"/>
      <c r="E58" s="74" t="n"/>
      <c r="F58" s="74" t="n"/>
      <c r="G58" s="74" t="n"/>
      <c r="H58" s="74" t="n"/>
      <c r="M58" s="363" t="n"/>
      <c r="N58" s="363" t="n"/>
      <c r="O58" s="363" t="n"/>
      <c r="P58" s="363" t="n"/>
    </row>
  </sheetData>
  <dataValidations count="3">
    <dataValidation sqref="O1" showDropDown="0" showInputMessage="1" showErrorMessage="1" allowBlank="0" type="list">
      <formula1>"ASIE,AFRIQUE,EUROPE,AMERIQUE LATINE"</formula1>
    </dataValidation>
    <dataValidation sqref="D1" showDropDown="0" showInputMessage="1" showErrorMessage="1" allowBlank="1" type="list">
      <formula1>"JFC 1,JFC 2,JFC 3,JFC 4,JFC 5,OCP"</formula1>
    </dataValidation>
    <dataValidation sqref="H1" showDropDown="0" showInputMessage="1" showErrorMessage="1" allowBlank="0" type="list">
      <formula1>"FOB,CFR,DAT,DAP,CIF,EXW"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63"/>
  <sheetViews>
    <sheetView zoomScale="106" workbookViewId="0">
      <pane xSplit="2" ySplit="1" topLeftCell="P43" activePane="bottomRight" state="frozen"/>
      <selection pane="topRight" activeCell="C1" sqref="C1"/>
      <selection pane="bottomLeft" activeCell="A8" sqref="A8"/>
      <selection pane="bottomRight" activeCell="U63" sqref="U63"/>
    </sheetView>
  </sheetViews>
  <sheetFormatPr baseColWidth="10" defaultRowHeight="14.4"/>
  <cols>
    <col width="4.77734375" customWidth="1" style="70" min="1" max="1"/>
    <col width="22.21875" customWidth="1" style="70" min="2" max="2"/>
    <col hidden="1" style="70" min="10" max="13"/>
    <col hidden="1" width="21.21875" customWidth="1" style="70" min="14" max="14"/>
    <col hidden="1" width="65.77734375" customWidth="1" style="234" min="15" max="15"/>
    <col width="12.44140625" customWidth="1" style="70" min="21" max="21"/>
    <col width="13.21875" customWidth="1" style="70" min="22" max="22"/>
    <col width="12.5546875" customWidth="1" style="70" min="23" max="23"/>
    <col width="13.21875" customWidth="1" style="70" min="24" max="24"/>
    <col width="12.77734375" customWidth="1" style="70" min="25" max="25"/>
    <col width="12.21875" customWidth="1" style="70" min="26" max="26"/>
    <col width="15.21875" customWidth="1" style="70" min="27" max="27"/>
    <col width="12.77734375" customWidth="1" style="70" min="28" max="28"/>
    <col width="12.21875" customWidth="1" style="70" min="29" max="29"/>
    <col width="13.44140625" customWidth="1" style="70" min="30" max="30"/>
    <col width="12.44140625" customWidth="1" style="70" min="31" max="32"/>
  </cols>
  <sheetData>
    <row r="1" ht="42" customFormat="1" customHeight="1" s="13">
      <c r="A1" s="1" t="inlineStr">
        <is>
          <t>N°</t>
        </is>
      </c>
      <c r="B1" s="1" t="inlineStr">
        <is>
          <t>Navires</t>
        </is>
      </c>
      <c r="C1" s="39" t="inlineStr">
        <is>
          <t>Date B/L</t>
        </is>
      </c>
      <c r="D1" s="2" t="inlineStr">
        <is>
          <t>Tonnage
B/L</t>
        </is>
      </c>
      <c r="E1" s="2" t="inlineStr">
        <is>
          <t>Tonnage total   b/l</t>
        </is>
      </c>
      <c r="F1" s="2" t="inlineStr">
        <is>
          <t>CONCENT
RATION</t>
        </is>
      </c>
      <c r="G1" s="2" t="inlineStr">
        <is>
          <t>TONNAGE
P2O5</t>
        </is>
      </c>
      <c r="H1" s="2" t="inlineStr">
        <is>
          <t>Facturation</t>
        </is>
      </c>
      <c r="I1" s="2" t="inlineStr">
        <is>
          <t>Incoterm</t>
        </is>
      </c>
      <c r="J1" s="3" t="inlineStr">
        <is>
          <t>P.U $</t>
        </is>
      </c>
      <c r="K1" s="312" t="inlineStr">
        <is>
          <t>VALEUR $</t>
        </is>
      </c>
      <c r="L1" s="2" t="inlineStr">
        <is>
          <t>COURS DH</t>
        </is>
      </c>
      <c r="M1" s="312" t="inlineStr">
        <is>
          <t>VALEUR DH</t>
        </is>
      </c>
      <c r="N1" s="2" t="inlineStr">
        <is>
          <t>DUM INITIAL</t>
        </is>
      </c>
      <c r="O1" s="2" t="inlineStr">
        <is>
          <t>CLIENT</t>
        </is>
      </c>
      <c r="P1" s="2" t="inlineStr">
        <is>
          <t xml:space="preserve">REGION </t>
        </is>
      </c>
      <c r="Q1" s="2" t="inlineStr">
        <is>
          <t>DESTINATION</t>
        </is>
      </c>
      <c r="R1" s="2" t="inlineStr">
        <is>
          <t xml:space="preserve">Quai </t>
        </is>
      </c>
      <c r="S1" s="2" t="inlineStr">
        <is>
          <t>DEBUT 
PLANCHE</t>
        </is>
      </c>
      <c r="T1" s="2" t="inlineStr">
        <is>
          <t>FIN 
PLANCHE</t>
        </is>
      </c>
      <c r="U1" s="2" t="inlineStr">
        <is>
          <t>ARRIVEE</t>
        </is>
      </c>
      <c r="V1" s="2" t="inlineStr">
        <is>
          <t>NOR RECU</t>
        </is>
      </c>
      <c r="W1" s="2" t="inlineStr">
        <is>
          <t>NOR ACCEPTED</t>
        </is>
      </c>
      <c r="X1" s="2" t="inlineStr">
        <is>
          <t>QUAI LIBRE
DISPONIBLE</t>
        </is>
      </c>
      <c r="Y1" s="2" t="inlineStr">
        <is>
          <t>ACCOSTAGE</t>
        </is>
      </c>
      <c r="Z1" s="2" t="inlineStr">
        <is>
          <t>POSE 
PASSERELLE</t>
        </is>
      </c>
      <c r="AA1" s="2" t="inlineStr">
        <is>
          <t>ORDRE</t>
        </is>
      </c>
      <c r="AB1" s="2" t="inlineStr">
        <is>
          <t>DEBUT</t>
        </is>
      </c>
      <c r="AC1" s="1" t="inlineStr">
        <is>
          <t>FIN</t>
        </is>
      </c>
      <c r="AD1" s="6" t="inlineStr">
        <is>
          <t>Chiffre
communiqué</t>
        </is>
      </c>
      <c r="AE1" s="6" t="inlineStr">
        <is>
          <t>Documents 
à bord</t>
        </is>
      </c>
      <c r="AF1" s="1" t="inlineStr">
        <is>
          <t>Appareillage</t>
        </is>
      </c>
      <c r="AG1" s="7" t="inlineStr">
        <is>
          <t>ACCOSTAGE-QUAI LIBRE</t>
        </is>
      </c>
      <c r="AH1" s="7" t="inlineStr">
        <is>
          <t>Accostage - arrivée</t>
        </is>
      </c>
      <c r="AI1" s="7" t="inlineStr">
        <is>
          <t>P. passerelle
- Quai libre disponible</t>
        </is>
      </c>
      <c r="AJ1" s="7" t="inlineStr">
        <is>
          <t>Remise ordre-Pose passerelle</t>
        </is>
      </c>
      <c r="AK1" s="7" t="inlineStr">
        <is>
          <t>début - remise ordre</t>
        </is>
      </c>
      <c r="AL1" s="7" t="inlineStr">
        <is>
          <t>chiffre commu-fin</t>
        </is>
      </c>
      <c r="AM1" s="7" t="inlineStr">
        <is>
          <t>doc à bord -chiffre communiqué</t>
        </is>
      </c>
      <c r="AN1" s="7" t="inlineStr">
        <is>
          <t>appareillage-doc à bord</t>
        </is>
      </c>
      <c r="AO1" s="7" t="inlineStr">
        <is>
          <t>Performance réalisée</t>
        </is>
      </c>
      <c r="AP1" s="8" t="inlineStr">
        <is>
          <t xml:space="preserve">Attente en Rade (jr)
accostage-NOR </t>
        </is>
      </c>
      <c r="AQ1" s="8" t="inlineStr">
        <is>
          <t>Temps utilisé
fin-début</t>
        </is>
      </c>
      <c r="AR1" s="8" t="inlineStr">
        <is>
          <t>Séjour à Quai
app-accostage</t>
        </is>
      </c>
      <c r="AS1" s="8" t="inlineStr">
        <is>
          <t>Séjour Total
app-nor accepted</t>
        </is>
      </c>
      <c r="AT1" s="8" t="inlineStr">
        <is>
          <t>Cadence Moyenne réalisé T/J</t>
        </is>
      </c>
      <c r="AU1" s="373" t="inlineStr">
        <is>
          <t>taux de surestaries</t>
        </is>
      </c>
      <c r="AV1" s="8" t="inlineStr">
        <is>
          <t>cadence contractuelle</t>
        </is>
      </c>
      <c r="AW1" s="373" t="inlineStr">
        <is>
          <t>temps alloué</t>
        </is>
      </c>
      <c r="AX1" s="8" t="inlineStr">
        <is>
          <t>J en surestaries</t>
        </is>
      </c>
      <c r="AY1" s="373" t="inlineStr">
        <is>
          <t>Surestaries</t>
        </is>
      </c>
      <c r="AZ1" s="1" t="inlineStr">
        <is>
          <t xml:space="preserve">MOUVEMENTS </t>
        </is>
      </c>
      <c r="BA1" s="6" t="inlineStr">
        <is>
          <t>montant total des mouvements</t>
        </is>
      </c>
      <c r="BB1" s="6" t="inlineStr">
        <is>
          <t>Montant à payer par OCP</t>
        </is>
      </c>
      <c r="BC1" s="6" t="inlineStr">
        <is>
          <t>PREPARATION</t>
        </is>
      </c>
      <c r="BD1" s="40" t="inlineStr">
        <is>
          <t>durée de préaparation</t>
        </is>
      </c>
      <c r="BE1" s="1" t="inlineStr">
        <is>
          <t>FRESH WATER</t>
        </is>
      </c>
      <c r="BF1" s="1" t="inlineStr">
        <is>
          <t>quantité  MT</t>
        </is>
      </c>
      <c r="BG1" s="41" t="inlineStr">
        <is>
          <t>montant $</t>
        </is>
      </c>
      <c r="BH1" s="42" t="inlineStr">
        <is>
          <t>loa</t>
        </is>
      </c>
      <c r="BI1" s="42" t="inlineStr">
        <is>
          <t>TGB</t>
        </is>
      </c>
      <c r="BJ1" s="42" t="n"/>
      <c r="BK1" s="43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</row>
    <row r="2">
      <c r="A2" s="48" t="n">
        <v>1</v>
      </c>
      <c r="B2" s="44" t="inlineStr">
        <is>
          <t>TAKAO GALAXY</t>
        </is>
      </c>
      <c r="C2" s="15" t="n">
        <v>45658</v>
      </c>
      <c r="D2" s="47" t="n">
        <v>8810.040999999999</v>
      </c>
      <c r="E2" s="47" t="n">
        <v>8810.040999999999</v>
      </c>
      <c r="F2" s="47" t="n">
        <v>53</v>
      </c>
      <c r="G2" s="374">
        <f>+ROUND(D2*F2%,3)</f>
        <v/>
      </c>
      <c r="H2" s="375" t="inlineStr">
        <is>
          <t>OCP</t>
        </is>
      </c>
      <c r="I2" s="376" t="inlineStr">
        <is>
          <t>FOB</t>
        </is>
      </c>
      <c r="J2" s="377" t="n">
        <v>1100</v>
      </c>
      <c r="K2" s="374">
        <f>G2*J2</f>
        <v/>
      </c>
      <c r="L2" s="378" t="n">
        <v>10.1114</v>
      </c>
      <c r="M2" s="374">
        <f>K2*L2</f>
        <v/>
      </c>
      <c r="N2" s="91" t="inlineStr">
        <is>
          <t xml:space="preserve">2104 U DU 26/12/2024 </t>
        </is>
      </c>
      <c r="O2" s="52" t="inlineStr">
        <is>
          <t>INNOPHOS INC</t>
        </is>
      </c>
      <c r="P2" s="90" t="inlineStr">
        <is>
          <t>AMERIQUE</t>
        </is>
      </c>
      <c r="Q2" s="51" t="inlineStr">
        <is>
          <t>USA</t>
        </is>
      </c>
      <c r="R2" s="47" t="n">
        <v>6</v>
      </c>
      <c r="S2" s="49" t="n">
        <v>45651</v>
      </c>
      <c r="T2" s="49" t="n">
        <v>45656</v>
      </c>
      <c r="U2" s="46" t="n">
        <v>45657.67916666667</v>
      </c>
      <c r="V2" s="46" t="n">
        <v>45657.72916666666</v>
      </c>
      <c r="W2" s="46" t="n">
        <v>45657.72916666666</v>
      </c>
      <c r="X2" s="46" t="n">
        <v>45657.79930555556</v>
      </c>
      <c r="Y2" s="46" t="n">
        <v>45657.83333333334</v>
      </c>
      <c r="Z2" s="46" t="n">
        <v>45657.84166666667</v>
      </c>
      <c r="AA2" s="46" t="n">
        <v>45657.875</v>
      </c>
      <c r="AB2" s="46" t="n">
        <v>45657.99583333333</v>
      </c>
      <c r="AC2" s="46" t="n">
        <v>45658.56666666667</v>
      </c>
      <c r="AD2" s="46" t="n">
        <v>45658.60902777778</v>
      </c>
      <c r="AE2" s="46" t="n">
        <v>45658.65069444444</v>
      </c>
      <c r="AF2" s="46" t="n">
        <v>45658.70138888889</v>
      </c>
      <c r="AG2" s="18">
        <f>(Y2-X2)*1440</f>
        <v/>
      </c>
      <c r="AH2" s="18">
        <f>(Y2-U2)*1440</f>
        <v/>
      </c>
      <c r="AI2" s="18">
        <f>(Z2-X2)*1440</f>
        <v/>
      </c>
      <c r="AJ2" s="18">
        <f>(AA2-Z2)*1440</f>
        <v/>
      </c>
      <c r="AK2" s="18">
        <f>(AB2-AA2)*1440</f>
        <v/>
      </c>
      <c r="AL2" s="18">
        <f>(AD2-AC2)*1440</f>
        <v/>
      </c>
      <c r="AM2" s="18">
        <f>(AE2-AD2)*1440</f>
        <v/>
      </c>
      <c r="AN2" s="18">
        <f>(AF2-AE2)*1440</f>
        <v/>
      </c>
      <c r="AO2" s="18">
        <f>AI2+AJ2+AL2+AM2+AN2</f>
        <v/>
      </c>
      <c r="AP2" s="18">
        <f>(Y2-U2)</f>
        <v/>
      </c>
      <c r="AQ2" s="18">
        <f>(AC2-AB2)</f>
        <v/>
      </c>
      <c r="AR2" s="18">
        <f>AF2-Y2</f>
        <v/>
      </c>
      <c r="AS2" s="18">
        <f>(AF2-W2)</f>
        <v/>
      </c>
      <c r="AT2" s="20">
        <f>E2/AQ2</f>
        <v/>
      </c>
      <c r="AV2" s="38" t="n">
        <v>9600</v>
      </c>
      <c r="AW2" s="379">
        <f>(E2/AV2)+0.25</f>
        <v/>
      </c>
      <c r="AZ2" s="195" t="inlineStr">
        <is>
          <t>NUL</t>
        </is>
      </c>
      <c r="BA2" s="195" t="n"/>
      <c r="BE2" s="38" t="inlineStr">
        <is>
          <t>TBC</t>
        </is>
      </c>
    </row>
    <row r="3">
      <c r="A3" s="48" t="n">
        <v>2</v>
      </c>
      <c r="B3" s="44" t="inlineStr">
        <is>
          <t>CHEMROAD HOPE</t>
        </is>
      </c>
      <c r="C3" s="15" t="n">
        <v>45663</v>
      </c>
      <c r="D3" s="47" t="n">
        <v>31486.677</v>
      </c>
      <c r="E3" s="47" t="n">
        <v>31486.677</v>
      </c>
      <c r="F3" s="47" t="n">
        <v>53</v>
      </c>
      <c r="G3" s="374">
        <f>+ROUND(D3*F3%,3)</f>
        <v/>
      </c>
      <c r="H3" s="375" t="inlineStr">
        <is>
          <t xml:space="preserve">IMACID </t>
        </is>
      </c>
      <c r="I3" s="375" t="inlineStr">
        <is>
          <t>CFR</t>
        </is>
      </c>
      <c r="J3" s="377" t="n">
        <v>1060</v>
      </c>
      <c r="K3" s="374">
        <f>G3*J3</f>
        <v/>
      </c>
      <c r="L3" s="378" t="n">
        <v>10.0989</v>
      </c>
      <c r="M3" s="374">
        <f>K3*L3</f>
        <v/>
      </c>
      <c r="N3" s="91" t="inlineStr">
        <is>
          <t>2106 W DU 26/12/2024</t>
        </is>
      </c>
      <c r="O3" s="52" t="inlineStr">
        <is>
          <t xml:space="preserve">PARADEEP PHOSPHATES LIMITED /Indorama India Private Limited </t>
        </is>
      </c>
      <c r="P3" s="47" t="inlineStr">
        <is>
          <t xml:space="preserve">ASIE </t>
        </is>
      </c>
      <c r="Q3" s="49" t="inlineStr">
        <is>
          <t>INDE</t>
        </is>
      </c>
      <c r="R3" s="47" t="n">
        <v>6</v>
      </c>
      <c r="S3" s="49" t="n">
        <v>45659</v>
      </c>
      <c r="T3" s="49" t="n">
        <v>45663</v>
      </c>
      <c r="U3" s="46" t="n">
        <v>45652.29166666666</v>
      </c>
      <c r="V3" s="46" t="n">
        <v>45652.33333333334</v>
      </c>
      <c r="W3" s="46" t="n">
        <v>45652.33333333334</v>
      </c>
      <c r="X3" s="46" t="n">
        <v>45658.85902777778</v>
      </c>
      <c r="Y3" s="46" t="n">
        <v>45658.92916666667</v>
      </c>
      <c r="Z3" s="46" t="n">
        <v>45658.95833333334</v>
      </c>
      <c r="AA3" s="46" t="n">
        <v>45659.00069444445</v>
      </c>
      <c r="AB3" s="46" t="n">
        <v>45659.07083333333</v>
      </c>
      <c r="AC3" s="46" t="n">
        <v>45663.63333333333</v>
      </c>
      <c r="AD3" s="46" t="n">
        <v>45663.70625</v>
      </c>
      <c r="AE3" s="46" t="n">
        <v>45663.74791666667</v>
      </c>
      <c r="AF3" s="46" t="n">
        <v>45663.81944444445</v>
      </c>
      <c r="AG3" s="18">
        <f>(Y3-X3)*1440</f>
        <v/>
      </c>
      <c r="AH3" s="18">
        <f>(Y3-U3)*1440</f>
        <v/>
      </c>
      <c r="AI3" s="18">
        <f>(Z3-X3)*1440</f>
        <v/>
      </c>
      <c r="AJ3" s="18">
        <f>(AA3-Z3)*1440</f>
        <v/>
      </c>
      <c r="AK3" s="18">
        <f>(AB3-AA3)*1440</f>
        <v/>
      </c>
      <c r="AL3" s="18">
        <f>(AD3-AC3)*1440</f>
        <v/>
      </c>
      <c r="AM3" s="18">
        <f>(AE3-AD3)*1440</f>
        <v/>
      </c>
      <c r="AN3" s="18">
        <f>(AF3-AE3)*1440</f>
        <v/>
      </c>
      <c r="AO3" s="18">
        <f>AI3+AJ3+AL3+AM3+AN3</f>
        <v/>
      </c>
      <c r="AP3" s="18">
        <f>(Y3-U3)</f>
        <v/>
      </c>
      <c r="AQ3" s="18">
        <f>(AC3-AB3)</f>
        <v/>
      </c>
      <c r="AR3" s="18">
        <f>AF3-Y3</f>
        <v/>
      </c>
      <c r="AS3" s="18">
        <f>(AF3-W3)</f>
        <v/>
      </c>
      <c r="AT3" s="20">
        <f>E3/AQ3</f>
        <v/>
      </c>
      <c r="AV3" s="38" t="n">
        <v>9600</v>
      </c>
      <c r="AW3" s="379">
        <f>(E3/AV3)+0.25</f>
        <v/>
      </c>
      <c r="AZ3" s="195" t="inlineStr">
        <is>
          <t>NUL</t>
        </is>
      </c>
      <c r="BA3" s="195" t="n"/>
      <c r="BE3" s="38" t="inlineStr">
        <is>
          <t>NUL</t>
        </is>
      </c>
    </row>
    <row r="4">
      <c r="A4" s="84" t="n">
        <v>3</v>
      </c>
      <c r="B4" s="44" t="inlineStr">
        <is>
          <t>AMAGI GALAXY</t>
        </is>
      </c>
      <c r="C4" s="15" t="n">
        <v>45675</v>
      </c>
      <c r="D4" s="47" t="n">
        <v>7345.339</v>
      </c>
      <c r="E4" s="47">
        <f>D4+D5</f>
        <v/>
      </c>
      <c r="F4" s="47" t="n">
        <v>53</v>
      </c>
      <c r="G4" s="374">
        <f>+ROUND(D4*F4%,3)</f>
        <v/>
      </c>
      <c r="H4" s="375" t="inlineStr">
        <is>
          <t>PMP</t>
        </is>
      </c>
      <c r="I4" s="375" t="inlineStr">
        <is>
          <t>CFR</t>
        </is>
      </c>
      <c r="J4" s="377" t="n">
        <v>1039.97</v>
      </c>
      <c r="K4" s="374">
        <f>G4*J4</f>
        <v/>
      </c>
      <c r="L4" s="378" t="n">
        <v>10.0505</v>
      </c>
      <c r="M4" s="374">
        <f>K4*L4</f>
        <v/>
      </c>
      <c r="N4" s="91" t="inlineStr">
        <is>
          <t>2107 X DU 26/12/2024</t>
        </is>
      </c>
      <c r="O4" s="52" t="inlineStr">
        <is>
          <t>FAUJI FERTILIZER COMPANY LIMITED</t>
        </is>
      </c>
      <c r="P4" s="47" t="inlineStr">
        <is>
          <t xml:space="preserve">ASIE </t>
        </is>
      </c>
      <c r="Q4" s="49" t="inlineStr">
        <is>
          <t>PAKISTAN</t>
        </is>
      </c>
      <c r="R4" s="47" t="n">
        <v>6</v>
      </c>
      <c r="S4" s="49" t="n">
        <v>45671</v>
      </c>
      <c r="T4" s="49" t="n">
        <v>45674</v>
      </c>
      <c r="U4" s="46" t="n">
        <v>45672.35416666666</v>
      </c>
      <c r="V4" s="46" t="n">
        <v>45672.4125</v>
      </c>
      <c r="W4" s="46" t="n">
        <v>45672.4125</v>
      </c>
      <c r="X4" s="46" t="n">
        <v>45672.71319444444</v>
      </c>
      <c r="Y4" s="46" t="n">
        <v>45672.76666666667</v>
      </c>
      <c r="Z4" s="46" t="n">
        <v>45672.78125</v>
      </c>
      <c r="AA4" s="46" t="n">
        <v>45672.81944444445</v>
      </c>
      <c r="AB4" s="46" t="n">
        <v>45672.85763888889</v>
      </c>
      <c r="AC4" s="46" t="n">
        <v>45675.65277777778</v>
      </c>
      <c r="AD4" s="46" t="n">
        <v>45675.70138888889</v>
      </c>
      <c r="AF4" s="46" t="n">
        <v>45675.80902777778</v>
      </c>
      <c r="AG4" s="18">
        <f>(Y4-X4)*1440</f>
        <v/>
      </c>
      <c r="AH4" s="18">
        <f>(Y4-U4)*1440</f>
        <v/>
      </c>
      <c r="AI4" s="18">
        <f>(Z4-X4)*1440</f>
        <v/>
      </c>
      <c r="AJ4" s="18">
        <f>(AA4-Z4)*1440</f>
        <v/>
      </c>
      <c r="AK4" s="18">
        <f>(AB4-AA4)*1440</f>
        <v/>
      </c>
      <c r="AL4" s="18">
        <f>(AD4-AC4)*1440</f>
        <v/>
      </c>
      <c r="AM4" s="18">
        <f>(AE4-AD4)*1440</f>
        <v/>
      </c>
      <c r="AN4" s="18">
        <f>(AF4-AE4)*1440</f>
        <v/>
      </c>
      <c r="AO4" s="18">
        <f>AI4+AJ4+AL4+AM4+AN4</f>
        <v/>
      </c>
      <c r="AP4" s="18">
        <f>(Y4-U4)</f>
        <v/>
      </c>
      <c r="AQ4" s="18">
        <f>(AC4-AB4)</f>
        <v/>
      </c>
      <c r="AR4" s="18">
        <f>AF4-Y4</f>
        <v/>
      </c>
      <c r="AS4" s="18">
        <f>(AF4-W4)</f>
        <v/>
      </c>
      <c r="AT4" s="20">
        <f>E4/AQ4</f>
        <v/>
      </c>
      <c r="AV4" s="38" t="n">
        <v>9600</v>
      </c>
      <c r="AW4" s="379">
        <f>(E4/AV4)+0.25</f>
        <v/>
      </c>
      <c r="AZ4" s="195" t="n"/>
      <c r="BA4" s="195" t="n"/>
      <c r="BE4" s="38" t="n"/>
    </row>
    <row r="5">
      <c r="A5" s="84" t="n">
        <v>0</v>
      </c>
      <c r="B5" s="44" t="inlineStr">
        <is>
          <t>AMAGI GALAXY</t>
        </is>
      </c>
      <c r="C5" s="15" t="n">
        <v>45675</v>
      </c>
      <c r="D5" s="47" t="n">
        <v>13645.261</v>
      </c>
      <c r="E5" s="380" t="n"/>
      <c r="F5" s="47" t="n">
        <v>53</v>
      </c>
      <c r="G5" s="374">
        <f>+ROUND(D5*F5%,3)</f>
        <v/>
      </c>
      <c r="H5" s="375" t="inlineStr">
        <is>
          <t xml:space="preserve">IMACID </t>
        </is>
      </c>
      <c r="I5" s="375" t="inlineStr">
        <is>
          <t>CFR</t>
        </is>
      </c>
      <c r="J5" s="377" t="n">
        <v>1060</v>
      </c>
      <c r="K5" s="374">
        <f>G5*J5</f>
        <v/>
      </c>
      <c r="L5" s="378" t="n">
        <v>10.0505</v>
      </c>
      <c r="M5" s="374">
        <f>K5*L5</f>
        <v/>
      </c>
      <c r="N5" s="91" t="inlineStr">
        <is>
          <t>2106 W DU 26/12/2024</t>
        </is>
      </c>
      <c r="O5" s="52" t="inlineStr">
        <is>
          <t>PARADEEP PHOSPHATES LIMITED</t>
        </is>
      </c>
      <c r="P5" s="47" t="inlineStr">
        <is>
          <t xml:space="preserve">ASIE </t>
        </is>
      </c>
      <c r="Q5" s="49" t="inlineStr">
        <is>
          <t>INDE</t>
        </is>
      </c>
      <c r="R5" s="380" t="n"/>
      <c r="S5" s="380" t="n"/>
      <c r="T5" s="380" t="n"/>
      <c r="U5" s="380" t="n"/>
      <c r="V5" s="380" t="n"/>
      <c r="W5" s="380" t="n"/>
      <c r="X5" s="380" t="n"/>
      <c r="Y5" s="380" t="n"/>
      <c r="Z5" s="380" t="n"/>
      <c r="AA5" s="380" t="n"/>
      <c r="AB5" s="380" t="n"/>
      <c r="AC5" s="380" t="n"/>
      <c r="AD5" s="380" t="n"/>
      <c r="AE5" s="380" t="n"/>
      <c r="AF5" s="380" t="n"/>
      <c r="AG5" s="380" t="n"/>
      <c r="AH5" s="380" t="n"/>
      <c r="AI5" s="380" t="n"/>
      <c r="AJ5" s="380" t="n"/>
      <c r="AK5" s="380" t="n"/>
      <c r="AL5" s="380" t="n"/>
      <c r="AM5" s="380" t="n"/>
      <c r="AN5" s="380" t="n"/>
      <c r="AO5" s="380" t="n"/>
      <c r="AP5" s="380" t="n"/>
      <c r="AQ5" s="380" t="n"/>
      <c r="AR5" s="380" t="n"/>
      <c r="AS5" s="380" t="n"/>
      <c r="AT5" s="380" t="n"/>
      <c r="AU5" s="380" t="n"/>
      <c r="AV5" s="380" t="n"/>
      <c r="AW5" s="380" t="n"/>
      <c r="AZ5" s="195" t="n"/>
      <c r="BA5" s="195" t="n"/>
      <c r="BE5" s="38" t="n"/>
    </row>
    <row r="6" ht="14.55" customHeight="1" s="70">
      <c r="A6" s="84" t="n">
        <v>4</v>
      </c>
      <c r="B6" s="44" t="inlineStr">
        <is>
          <t>BRISTOL TRADER</t>
        </is>
      </c>
      <c r="C6" s="15" t="n">
        <v>45691</v>
      </c>
      <c r="D6" s="47" t="n">
        <v>14699.402</v>
      </c>
      <c r="E6" s="47">
        <f>D6+D7</f>
        <v/>
      </c>
      <c r="F6" s="47" t="n">
        <v>53</v>
      </c>
      <c r="G6" s="374">
        <f>+ROUND(D6*F6%,3)</f>
        <v/>
      </c>
      <c r="H6" s="375" t="inlineStr">
        <is>
          <t xml:space="preserve">IMACID </t>
        </is>
      </c>
      <c r="I6" s="375" t="inlineStr">
        <is>
          <t>CFR</t>
        </is>
      </c>
      <c r="J6" s="377" t="n">
        <v>1060</v>
      </c>
      <c r="K6" s="374">
        <f>G6*J6</f>
        <v/>
      </c>
      <c r="L6" s="378" t="n">
        <v>10.0377</v>
      </c>
      <c r="M6" s="374">
        <f>K6*L6</f>
        <v/>
      </c>
      <c r="N6" s="91" t="inlineStr">
        <is>
          <t>120 M DU 26/01/2025</t>
        </is>
      </c>
      <c r="O6" s="52" t="inlineStr">
        <is>
          <t xml:space="preserve">PARADEEP PHOSPHATES LIMITED </t>
        </is>
      </c>
      <c r="P6" s="47" t="inlineStr">
        <is>
          <t xml:space="preserve">ASIE </t>
        </is>
      </c>
      <c r="Q6" s="49" t="inlineStr">
        <is>
          <t>INDE</t>
        </is>
      </c>
      <c r="R6" s="47" t="n">
        <v>6</v>
      </c>
      <c r="S6" s="49" t="n">
        <v>45679</v>
      </c>
      <c r="T6" s="49" t="n">
        <v>45682</v>
      </c>
      <c r="U6" s="46" t="n">
        <v>45683.41666666666</v>
      </c>
      <c r="V6" s="46" t="n">
        <v>45683.35416666666</v>
      </c>
      <c r="W6" s="46" t="n">
        <v>45683.35416666666</v>
      </c>
      <c r="X6" s="46" t="n">
        <v>45689.58333333334</v>
      </c>
      <c r="Y6" s="46" t="n">
        <v>45689.69166666667</v>
      </c>
      <c r="Z6" s="46" t="n">
        <v>45689.71180555555</v>
      </c>
      <c r="AA6" s="46" t="n">
        <v>45689.74305555555</v>
      </c>
      <c r="AB6" s="46" t="n">
        <v>45689.81597222222</v>
      </c>
      <c r="AC6" s="46" t="n">
        <v>45691.6875</v>
      </c>
      <c r="AD6" s="46" t="n">
        <v>45691.73611111111</v>
      </c>
      <c r="AE6" s="46" t="n">
        <v>45691.75694444445</v>
      </c>
      <c r="AF6" s="46" t="n">
        <v>45691.82291666666</v>
      </c>
      <c r="AG6" s="18">
        <f>(Y6-X6)*1440</f>
        <v/>
      </c>
      <c r="AH6" s="18">
        <f>(Y6-U6)*1440</f>
        <v/>
      </c>
      <c r="AI6" s="18">
        <f>(Z6-X6)*1440</f>
        <v/>
      </c>
      <c r="AJ6" s="18">
        <f>(AA6-Z6)*1440</f>
        <v/>
      </c>
      <c r="AK6" s="18">
        <f>(AB6-AA6)*1440</f>
        <v/>
      </c>
      <c r="AL6" s="18">
        <f>(AD6-AC6)*1440</f>
        <v/>
      </c>
      <c r="AM6" s="18">
        <f>(AE6-AD6)*1440</f>
        <v/>
      </c>
      <c r="AN6" s="18">
        <f>(AF6-AE6)*1440</f>
        <v/>
      </c>
      <c r="AO6" s="18">
        <f>AI6+AJ6+AL6+AM6+AN6</f>
        <v/>
      </c>
      <c r="AP6" s="18">
        <f>(Y6-U6)</f>
        <v/>
      </c>
      <c r="AQ6" s="18">
        <f>(AC6-AB6)</f>
        <v/>
      </c>
      <c r="AR6" s="18">
        <f>AF6-Y6</f>
        <v/>
      </c>
      <c r="AS6" s="18">
        <f>(AF6-W6)</f>
        <v/>
      </c>
      <c r="AT6" s="20">
        <f>E6/AQ6</f>
        <v/>
      </c>
      <c r="AV6" s="38" t="n">
        <v>9600</v>
      </c>
      <c r="AW6" s="379">
        <f>(E6/AV6)+0.25</f>
        <v/>
      </c>
      <c r="AZ6" s="195" t="n"/>
      <c r="BA6" s="195" t="n"/>
      <c r="BE6" s="38" t="inlineStr">
        <is>
          <t>NUL</t>
        </is>
      </c>
    </row>
    <row r="7" ht="14.55" customHeight="1" s="70">
      <c r="A7" s="84" t="n">
        <v>0</v>
      </c>
      <c r="B7" s="44" t="inlineStr">
        <is>
          <t>BRISTOL TRADER</t>
        </is>
      </c>
      <c r="C7" s="15" t="n">
        <v>45691</v>
      </c>
      <c r="D7" s="47" t="n">
        <v>16799.494</v>
      </c>
      <c r="E7" s="380" t="n"/>
      <c r="F7" s="47" t="n">
        <v>53</v>
      </c>
      <c r="G7" s="374">
        <f>+ROUND(D7*F7%,3)</f>
        <v/>
      </c>
      <c r="H7" s="375" t="inlineStr">
        <is>
          <t>PMP</t>
        </is>
      </c>
      <c r="I7" s="375" t="inlineStr">
        <is>
          <t>CFR</t>
        </is>
      </c>
      <c r="J7" s="377" t="n">
        <v>1072.49</v>
      </c>
      <c r="K7" s="374">
        <f>G7*J7</f>
        <v/>
      </c>
      <c r="L7" s="378" t="n">
        <v>10.0377</v>
      </c>
      <c r="M7" s="374">
        <f>K7*L7</f>
        <v/>
      </c>
      <c r="N7" s="91" t="inlineStr">
        <is>
          <t>121 N DU 26/01/2025</t>
        </is>
      </c>
      <c r="O7" s="52" t="inlineStr">
        <is>
          <t xml:space="preserve">FAUJI FERTILIZER COMPANY LIMITED  /Fatima Fertilizer Company Ltd </t>
        </is>
      </c>
      <c r="P7" s="47" t="inlineStr">
        <is>
          <t xml:space="preserve">ASIE </t>
        </is>
      </c>
      <c r="Q7" s="49" t="inlineStr">
        <is>
          <t>PAKISTAN</t>
        </is>
      </c>
      <c r="R7" s="380" t="n"/>
      <c r="S7" s="380" t="n"/>
      <c r="T7" s="380" t="n"/>
      <c r="U7" s="380" t="n"/>
      <c r="V7" s="380" t="n"/>
      <c r="W7" s="380" t="n"/>
      <c r="X7" s="380" t="n"/>
      <c r="Y7" s="380" t="n"/>
      <c r="Z7" s="380" t="n"/>
      <c r="AA7" s="380" t="n"/>
      <c r="AB7" s="380" t="n"/>
      <c r="AC7" s="380" t="n"/>
      <c r="AD7" s="380" t="n"/>
      <c r="AE7" s="380" t="n"/>
      <c r="AF7" s="380" t="n"/>
      <c r="AG7" s="380" t="n"/>
      <c r="AH7" s="380" t="n"/>
      <c r="AI7" s="380" t="n"/>
      <c r="AJ7" s="380" t="n"/>
      <c r="AK7" s="380" t="n"/>
      <c r="AL7" s="380" t="n"/>
      <c r="AM7" s="380" t="n"/>
      <c r="AN7" s="380" t="n"/>
      <c r="AO7" s="380" t="n"/>
      <c r="AP7" s="380" t="n"/>
      <c r="AQ7" s="380" t="n"/>
      <c r="AR7" s="380" t="n"/>
      <c r="AS7" s="380" t="n"/>
      <c r="AT7" s="380" t="n"/>
      <c r="AU7" s="380" t="n"/>
      <c r="AV7" s="380" t="n"/>
      <c r="AW7" s="380" t="n"/>
      <c r="AZ7" s="195" t="n"/>
      <c r="BA7" s="195" t="n"/>
      <c r="BE7" s="38" t="inlineStr">
        <is>
          <t>NUL</t>
        </is>
      </c>
    </row>
    <row r="8">
      <c r="A8" s="84" t="n">
        <v>5</v>
      </c>
      <c r="B8" s="44" t="inlineStr">
        <is>
          <t>HODAKA GALAXY</t>
        </is>
      </c>
      <c r="C8" s="15" t="n">
        <v>45697</v>
      </c>
      <c r="D8" s="47" t="n">
        <v>20954.783</v>
      </c>
      <c r="E8" s="47" t="n">
        <v>20954.783</v>
      </c>
      <c r="F8" s="47" t="n">
        <v>53</v>
      </c>
      <c r="G8" s="374">
        <f>+ROUND(D8*F8%,3)</f>
        <v/>
      </c>
      <c r="H8" s="375" t="inlineStr">
        <is>
          <t>PMP</t>
        </is>
      </c>
      <c r="I8" s="375" t="inlineStr">
        <is>
          <t>CFR</t>
        </is>
      </c>
      <c r="J8" s="377" t="n">
        <v>1039.97</v>
      </c>
      <c r="K8" s="374">
        <f>G8*J8</f>
        <v/>
      </c>
      <c r="L8" s="378" t="n">
        <v>10.0091</v>
      </c>
      <c r="M8" s="374">
        <f>K8*L8</f>
        <v/>
      </c>
      <c r="N8" s="91" t="inlineStr">
        <is>
          <t>121 N DU 26/01/2025</t>
        </is>
      </c>
      <c r="O8" s="52" t="inlineStr">
        <is>
          <t>FAUJI FERTILIZER COMPANY LIMITED</t>
        </is>
      </c>
      <c r="P8" s="47" t="inlineStr">
        <is>
          <t xml:space="preserve">ASIE </t>
        </is>
      </c>
      <c r="Q8" s="49" t="inlineStr">
        <is>
          <t>PAKISTAN</t>
        </is>
      </c>
      <c r="R8" s="47" t="n">
        <v>7</v>
      </c>
      <c r="S8" s="49" t="n">
        <v>45685</v>
      </c>
      <c r="T8" s="49" t="n">
        <v>45687</v>
      </c>
      <c r="U8" s="46" t="n">
        <v>45687.625</v>
      </c>
      <c r="V8" s="46" t="n">
        <v>45687.625</v>
      </c>
      <c r="W8" s="46" t="n">
        <v>45687.625</v>
      </c>
      <c r="X8" s="46" t="n">
        <v>45695.74375</v>
      </c>
      <c r="Y8" s="46" t="n">
        <v>45695.80416666667</v>
      </c>
      <c r="Z8" s="46" t="n">
        <v>45695.81944444445</v>
      </c>
      <c r="AA8" s="46" t="n">
        <v>45695.85416666666</v>
      </c>
      <c r="AB8" s="46" t="n">
        <v>45695.89236111111</v>
      </c>
      <c r="AC8" s="46" t="n">
        <v>45697.61111111111</v>
      </c>
      <c r="AD8" s="46" t="n">
        <v>45697.67638888889</v>
      </c>
      <c r="AE8" s="46" t="n">
        <v>45697.69444444445</v>
      </c>
      <c r="AF8" s="46" t="n">
        <v>45697.76041666666</v>
      </c>
      <c r="AG8" s="18">
        <f>(Y8-X8)*1440</f>
        <v/>
      </c>
      <c r="AH8" s="18">
        <f>(Y8-U8)*1440</f>
        <v/>
      </c>
      <c r="AI8" s="18">
        <f>(Z8-X8)*1440</f>
        <v/>
      </c>
      <c r="AJ8" s="18">
        <f>(AA8-Z8)*1440</f>
        <v/>
      </c>
      <c r="AK8" s="18">
        <f>(AB8-AA8)*1440</f>
        <v/>
      </c>
      <c r="AL8" s="18">
        <f>(AD8-AC8)*1440</f>
        <v/>
      </c>
      <c r="AM8" s="18">
        <f>(AE8-AD8)*1440</f>
        <v/>
      </c>
      <c r="AN8" s="18">
        <f>(AF8-AE8)*1440</f>
        <v/>
      </c>
      <c r="AO8" s="18">
        <f>AI8+AJ8+AL8+AM8+AN8</f>
        <v/>
      </c>
      <c r="AP8" s="18">
        <f>(Y8-U8)</f>
        <v/>
      </c>
      <c r="AQ8" s="18">
        <f>(AC8-AB8)</f>
        <v/>
      </c>
      <c r="AR8" s="18">
        <f>AF8-Y8</f>
        <v/>
      </c>
      <c r="AS8" s="18">
        <f>(AF8-W8)</f>
        <v/>
      </c>
      <c r="AT8" s="20">
        <f>E8/AQ8</f>
        <v/>
      </c>
      <c r="AV8" s="38" t="n">
        <v>9600</v>
      </c>
      <c r="AW8" s="379">
        <f>(E8/AV8)+0.25</f>
        <v/>
      </c>
      <c r="AZ8" s="195" t="n"/>
      <c r="BA8" s="195" t="n"/>
      <c r="BE8" s="38" t="inlineStr">
        <is>
          <t>NUL</t>
        </is>
      </c>
    </row>
    <row r="9">
      <c r="A9" s="84" t="n">
        <v>6</v>
      </c>
      <c r="B9" s="44" t="inlineStr">
        <is>
          <t>KOMODO PARK</t>
        </is>
      </c>
      <c r="C9" s="15" t="n">
        <v>45702</v>
      </c>
      <c r="D9" s="47" t="n">
        <v>19102.306</v>
      </c>
      <c r="E9" s="47" t="n">
        <v>19102.306</v>
      </c>
      <c r="F9" s="47" t="n">
        <v>53</v>
      </c>
      <c r="G9" s="374">
        <f>+ROUND(D9*F9%,3)</f>
        <v/>
      </c>
      <c r="H9" s="375" t="inlineStr">
        <is>
          <t>PMP</t>
        </is>
      </c>
      <c r="I9" s="375" t="inlineStr">
        <is>
          <t>CFR</t>
        </is>
      </c>
      <c r="J9" s="381" t="n">
        <v>1070.04</v>
      </c>
      <c r="K9" s="382">
        <f>G9*J9</f>
        <v/>
      </c>
      <c r="L9" s="378" t="n">
        <v>9.9901</v>
      </c>
      <c r="M9" s="374">
        <f>K9*L9</f>
        <v/>
      </c>
      <c r="N9" s="91" t="inlineStr">
        <is>
          <t>121 N DU 26/01/2025</t>
        </is>
      </c>
      <c r="O9" s="52" t="inlineStr">
        <is>
          <t>FAUJI FERTILIZER COMPANY LIMITED /Fatima Fertilizer Company Ltd</t>
        </is>
      </c>
      <c r="P9" s="47" t="inlineStr">
        <is>
          <t xml:space="preserve">ASIE </t>
        </is>
      </c>
      <c r="Q9" s="49" t="inlineStr">
        <is>
          <t>PAKISTAN</t>
        </is>
      </c>
      <c r="R9" s="47" t="n">
        <v>7</v>
      </c>
      <c r="S9" s="49" t="n">
        <v>45694</v>
      </c>
      <c r="T9" s="49" t="n">
        <v>45697</v>
      </c>
      <c r="U9" s="46" t="n">
        <v>45691.5</v>
      </c>
      <c r="V9" s="46" t="n">
        <v>45694.00069444445</v>
      </c>
      <c r="W9" s="46" t="n">
        <v>45694.00069444445</v>
      </c>
      <c r="X9" s="46" t="n">
        <v>45701.30625</v>
      </c>
      <c r="Y9" s="46" t="n">
        <v>45701.375</v>
      </c>
      <c r="Z9" s="46" t="n">
        <v>45701.39236111111</v>
      </c>
      <c r="AA9" s="46" t="n">
        <v>45701.43402777778</v>
      </c>
      <c r="AB9" s="46" t="n">
        <v>45701.475</v>
      </c>
      <c r="AC9" s="46" t="n">
        <v>45702.77083333334</v>
      </c>
      <c r="AD9" s="46" t="n">
        <v>45702.81388888889</v>
      </c>
      <c r="AE9" s="46" t="n">
        <v>45702.85069444445</v>
      </c>
      <c r="AF9" s="46" t="n">
        <v>45702.9375</v>
      </c>
      <c r="AG9" s="18">
        <f>(Y9-X9)*1440</f>
        <v/>
      </c>
      <c r="AH9" s="18">
        <f>(Y9-U9)*1440</f>
        <v/>
      </c>
      <c r="AI9" s="18">
        <f>(Z9-X9)*1440</f>
        <v/>
      </c>
      <c r="AJ9" s="18">
        <f>(AA9-Z9)*1440</f>
        <v/>
      </c>
      <c r="AK9" s="18">
        <f>(AB9-AA9)*1440</f>
        <v/>
      </c>
      <c r="AL9" s="18">
        <f>(AD9-AC9)*1440</f>
        <v/>
      </c>
      <c r="AM9" s="18">
        <f>(AE9-AD9)*1440</f>
        <v/>
      </c>
      <c r="AN9" s="18">
        <f>(AF9-AE9)*1440</f>
        <v/>
      </c>
      <c r="AO9" s="18">
        <f>AI9+AJ9+AL9+AM9+AN9</f>
        <v/>
      </c>
      <c r="AP9" s="18">
        <f>(Y9-U9)</f>
        <v/>
      </c>
      <c r="AQ9" s="18">
        <f>(AC9-AB9)</f>
        <v/>
      </c>
      <c r="AR9" s="18">
        <f>AF9-Y9</f>
        <v/>
      </c>
      <c r="AS9" s="18">
        <f>(AF9-W9)</f>
        <v/>
      </c>
      <c r="AT9" s="20">
        <f>E9/AQ9</f>
        <v/>
      </c>
      <c r="AV9" s="38" t="n">
        <v>9600</v>
      </c>
      <c r="AW9" s="379">
        <f>(E9/AV9)+0.25</f>
        <v/>
      </c>
      <c r="AZ9" s="195" t="n"/>
      <c r="BE9" s="38" t="inlineStr">
        <is>
          <t>NUL</t>
        </is>
      </c>
    </row>
    <row r="10">
      <c r="A10" s="84" t="n">
        <v>7</v>
      </c>
      <c r="B10" s="44" t="inlineStr">
        <is>
          <t>STANLEY PARK</t>
        </is>
      </c>
      <c r="C10" s="15" t="n">
        <v>45709</v>
      </c>
      <c r="D10" s="47" t="n">
        <v>19011.148</v>
      </c>
      <c r="E10" s="47" t="n">
        <v>19011.148</v>
      </c>
      <c r="F10" s="47" t="n">
        <v>53</v>
      </c>
      <c r="G10" s="374">
        <f>+ROUND(D10*F10%,3)</f>
        <v/>
      </c>
      <c r="H10" s="375" t="inlineStr">
        <is>
          <t xml:space="preserve">IMACID </t>
        </is>
      </c>
      <c r="I10" s="375" t="inlineStr">
        <is>
          <t>CFR</t>
        </is>
      </c>
      <c r="J10" s="377" t="n">
        <v>1055</v>
      </c>
      <c r="K10" s="382">
        <f>G10*J10</f>
        <v/>
      </c>
      <c r="L10" s="378" t="n">
        <v>9.950699999999999</v>
      </c>
      <c r="M10" s="374">
        <f>K10*L10</f>
        <v/>
      </c>
      <c r="N10" s="91" t="inlineStr">
        <is>
          <t>120 M DU 26/01/2025</t>
        </is>
      </c>
      <c r="O10" s="52" t="inlineStr">
        <is>
          <t xml:space="preserve">PARADEEP PHOSPHATES LIMITED/ Indorama India Private Limited </t>
        </is>
      </c>
      <c r="P10" s="47" t="inlineStr">
        <is>
          <t xml:space="preserve">ASIE </t>
        </is>
      </c>
      <c r="Q10" s="49" t="inlineStr">
        <is>
          <t>INDE</t>
        </is>
      </c>
      <c r="R10" s="47" t="n">
        <v>7</v>
      </c>
      <c r="S10" s="49" t="n">
        <v>45697</v>
      </c>
      <c r="T10" s="49" t="n">
        <v>45700</v>
      </c>
      <c r="U10" s="46" t="n">
        <v>45706.02083333334</v>
      </c>
      <c r="V10" s="46" t="n">
        <v>45706.10416666666</v>
      </c>
      <c r="W10" s="46" t="n">
        <v>45706.10416666666</v>
      </c>
      <c r="X10" s="46" t="n">
        <v>45708.42986111111</v>
      </c>
      <c r="Y10" s="46" t="n">
        <v>45708.53333333333</v>
      </c>
      <c r="Z10" s="46" t="n">
        <v>45708.54583333333</v>
      </c>
      <c r="AA10" s="46" t="n">
        <v>45708.57638888889</v>
      </c>
      <c r="AB10" s="46" t="n">
        <v>45708.64583333334</v>
      </c>
      <c r="AC10" s="46" t="n">
        <v>45709.95416666667</v>
      </c>
      <c r="AD10" s="46" t="n">
        <v>45709.99166666667</v>
      </c>
      <c r="AE10" s="46" t="n">
        <v>45709.99166666667</v>
      </c>
      <c r="AF10" s="46" t="n">
        <v>45710.04513888889</v>
      </c>
      <c r="AG10" s="18">
        <f>(Y10-X10)*1440</f>
        <v/>
      </c>
      <c r="AH10" s="18">
        <f>(Y10-U10)*1440</f>
        <v/>
      </c>
      <c r="AI10" s="18">
        <f>(Z10-X10)*1440</f>
        <v/>
      </c>
      <c r="AJ10" s="18">
        <f>(AA10-Z10)*1440</f>
        <v/>
      </c>
      <c r="AK10" s="18">
        <f>(AB10-AA10)*1440</f>
        <v/>
      </c>
      <c r="AL10" s="18">
        <f>(AD10-AC10)*1440</f>
        <v/>
      </c>
      <c r="AM10" s="18">
        <f>(AE10-AD10)*1440</f>
        <v/>
      </c>
      <c r="AN10" s="18">
        <f>(AF10-AE10)*1440</f>
        <v/>
      </c>
      <c r="AO10" s="18">
        <f>AI10+AJ10+AL10+AM10+AN10</f>
        <v/>
      </c>
      <c r="AP10" s="18">
        <f>(Y10-U10)</f>
        <v/>
      </c>
      <c r="AQ10" s="18">
        <f>(AC10-AB10)</f>
        <v/>
      </c>
      <c r="AR10" s="18">
        <f>AF10-Y10</f>
        <v/>
      </c>
      <c r="AS10" s="18">
        <f>(AF10-W10)</f>
        <v/>
      </c>
      <c r="AT10" s="20">
        <f>E10/AQ10</f>
        <v/>
      </c>
      <c r="AV10" s="38" t="n">
        <v>9600</v>
      </c>
      <c r="AW10" s="379">
        <f>(E10/AV10)+0.25</f>
        <v/>
      </c>
      <c r="AZ10" s="195" t="n"/>
      <c r="BE10" s="38" t="n"/>
    </row>
    <row r="11">
      <c r="A11" s="84" t="n">
        <v>8</v>
      </c>
      <c r="B11" s="44" t="inlineStr">
        <is>
          <t>FURANO GALAXY</t>
        </is>
      </c>
      <c r="C11" s="15" t="n">
        <v>45715</v>
      </c>
      <c r="D11" s="47" t="n">
        <v>24179.887</v>
      </c>
      <c r="E11" s="47" t="n">
        <v>24179.887</v>
      </c>
      <c r="F11" s="47" t="n">
        <v>53</v>
      </c>
      <c r="G11" s="374">
        <f>+ROUND(D11*F11%,3)</f>
        <v/>
      </c>
      <c r="H11" s="375" t="inlineStr">
        <is>
          <t>PMP</t>
        </is>
      </c>
      <c r="I11" s="375" t="inlineStr">
        <is>
          <t>CFR</t>
        </is>
      </c>
      <c r="J11" s="381" t="n">
        <v>1035.08</v>
      </c>
      <c r="K11" s="382">
        <f>G11*J11</f>
        <v/>
      </c>
      <c r="L11" s="378" t="n">
        <v>9.9238</v>
      </c>
      <c r="M11" s="374">
        <f>K11*L11</f>
        <v/>
      </c>
      <c r="N11" s="91" t="inlineStr">
        <is>
          <t>256 K DU 26/02/2024</t>
        </is>
      </c>
      <c r="O11" s="52" t="inlineStr">
        <is>
          <t>FAUJI FERTILIZER COMPANY LIMITED</t>
        </is>
      </c>
      <c r="P11" s="47" t="inlineStr">
        <is>
          <t xml:space="preserve">ASIE </t>
        </is>
      </c>
      <c r="Q11" s="49" t="inlineStr">
        <is>
          <t>PAKISTAN</t>
        </is>
      </c>
      <c r="R11" s="47" t="n">
        <v>7</v>
      </c>
      <c r="S11" s="49" t="n">
        <v>45705</v>
      </c>
      <c r="T11" s="49" t="n">
        <v>45708</v>
      </c>
      <c r="U11" s="46" t="n">
        <v>45706.625</v>
      </c>
      <c r="V11" s="46" t="n">
        <v>45706.66666666666</v>
      </c>
      <c r="W11" s="46" t="n">
        <v>45706.66666666666</v>
      </c>
      <c r="X11" s="46" t="n">
        <v>45713.72291666667</v>
      </c>
      <c r="Y11" s="46" t="n">
        <v>45713.77083333334</v>
      </c>
      <c r="Z11" s="46" t="n">
        <v>45713.78819444445</v>
      </c>
      <c r="AA11" s="46" t="n">
        <v>45713.82638888889</v>
      </c>
      <c r="AB11" s="46" t="n">
        <v>45713.85763888889</v>
      </c>
      <c r="AC11" s="46" t="n">
        <v>45715.80555555555</v>
      </c>
      <c r="AD11" s="46" t="n">
        <v>45715.84722222222</v>
      </c>
      <c r="AE11" s="46" t="n">
        <v>45715.875</v>
      </c>
      <c r="AF11" s="46" t="n">
        <v>45715.95138888889</v>
      </c>
      <c r="AG11" s="18">
        <f>(Y11-X11)*1440</f>
        <v/>
      </c>
      <c r="AH11" s="18">
        <f>(Y11-U11)*1440</f>
        <v/>
      </c>
      <c r="AI11" s="18">
        <f>(Z11-X11)*1440</f>
        <v/>
      </c>
      <c r="AJ11" s="18">
        <f>(AA11-Z11)*1440</f>
        <v/>
      </c>
      <c r="AK11" s="18">
        <f>(AB11-AA11)*1440</f>
        <v/>
      </c>
      <c r="AL11" s="18">
        <f>(AD11-AC11)*1440</f>
        <v/>
      </c>
      <c r="AM11" s="18">
        <f>(AE11-AD11)*1440</f>
        <v/>
      </c>
      <c r="AN11" s="18">
        <f>(AF11-AE11)*1440</f>
        <v/>
      </c>
      <c r="AO11" s="18">
        <f>AI11+AJ11+AL11+AM11+AN11</f>
        <v/>
      </c>
      <c r="AP11" s="18">
        <f>(Y11-U11)</f>
        <v/>
      </c>
      <c r="AQ11" s="18">
        <f>(AC11-AB11)</f>
        <v/>
      </c>
      <c r="AR11" s="18">
        <f>AF11-Y11</f>
        <v/>
      </c>
      <c r="AS11" s="18">
        <f>(AF11-W11)</f>
        <v/>
      </c>
      <c r="AT11" s="20">
        <f>E11/AQ11</f>
        <v/>
      </c>
      <c r="AV11" s="38" t="n">
        <v>9600</v>
      </c>
      <c r="AW11" s="379">
        <f>(E11/AV11)+0.25</f>
        <v/>
      </c>
      <c r="AZ11" s="195" t="n"/>
      <c r="BE11" s="38" t="inlineStr">
        <is>
          <t>NUL</t>
        </is>
      </c>
    </row>
    <row r="12">
      <c r="A12" s="84" t="n">
        <v>9</v>
      </c>
      <c r="B12" s="44" t="inlineStr">
        <is>
          <t>CHEMROAD JOURNEY</t>
        </is>
      </c>
      <c r="C12" s="15" t="n">
        <v>45718</v>
      </c>
      <c r="D12" s="47" t="n">
        <v>31500</v>
      </c>
      <c r="E12" s="47" t="n">
        <v>31500</v>
      </c>
      <c r="F12" s="47" t="n">
        <v>53</v>
      </c>
      <c r="G12" s="374">
        <f>+ROUND(D12*F12%,3)</f>
        <v/>
      </c>
      <c r="H12" s="375" t="inlineStr">
        <is>
          <t xml:space="preserve">IMACID </t>
        </is>
      </c>
      <c r="I12" s="375" t="inlineStr">
        <is>
          <t>CFR</t>
        </is>
      </c>
      <c r="J12" s="381" t="n">
        <v>1055</v>
      </c>
      <c r="K12" s="382">
        <f>G12*J12</f>
        <v/>
      </c>
      <c r="L12" s="378" t="n">
        <v>9.963800000000001</v>
      </c>
      <c r="M12" s="374">
        <f>K12*L12</f>
        <v/>
      </c>
      <c r="N12" s="91" t="inlineStr">
        <is>
          <t>255 J DU 26/02/2025</t>
        </is>
      </c>
      <c r="O12" s="52" t="inlineStr">
        <is>
          <t>PARADEEP PHOSPHATES LIMITED/ Indorama India Private Limited /MANGALORE CHEMICALS AND FERTILIZERS LIMITED</t>
        </is>
      </c>
      <c r="P12" s="47" t="inlineStr">
        <is>
          <t xml:space="preserve">ASIE </t>
        </is>
      </c>
      <c r="Q12" s="49" t="inlineStr">
        <is>
          <t>INDE</t>
        </is>
      </c>
      <c r="R12" s="47" t="n">
        <v>7</v>
      </c>
      <c r="S12" s="49" t="n">
        <v>45706</v>
      </c>
      <c r="T12" s="49" t="n">
        <v>45711</v>
      </c>
      <c r="U12" s="46" t="n">
        <v>45712.3125</v>
      </c>
      <c r="V12" s="46" t="n">
        <v>45712.66319444445</v>
      </c>
      <c r="W12" s="46" t="n">
        <v>45712.66319444445</v>
      </c>
      <c r="X12" s="46" t="n">
        <v>45715.96388888889</v>
      </c>
      <c r="Y12" s="46" t="n">
        <v>45716.01041666666</v>
      </c>
      <c r="Z12" s="46" t="n">
        <v>45716.03125</v>
      </c>
      <c r="AA12" s="46" t="n">
        <v>45716.06944444445</v>
      </c>
      <c r="AB12" s="46" t="n">
        <v>45716.17916666667</v>
      </c>
      <c r="AC12" s="46" t="n">
        <v>45718.28472222222</v>
      </c>
      <c r="AD12" s="46" t="n">
        <v>45718.36319444444</v>
      </c>
      <c r="AE12" s="46" t="n">
        <v>45718.39236111111</v>
      </c>
      <c r="AF12" s="46" t="n">
        <v>45718.58333333334</v>
      </c>
      <c r="AG12" s="18">
        <f>(Y12-X12)*1440</f>
        <v/>
      </c>
      <c r="AH12" s="18">
        <f>(Y12-U12)*1440</f>
        <v/>
      </c>
      <c r="AI12" s="18">
        <f>(Z12-X12)*1440</f>
        <v/>
      </c>
      <c r="AJ12" s="18">
        <f>(AA12-Z12)*1440</f>
        <v/>
      </c>
      <c r="AK12" s="18">
        <f>(AB12-AA12)*1440</f>
        <v/>
      </c>
      <c r="AL12" s="18">
        <f>(AD12-AC12)*1440</f>
        <v/>
      </c>
      <c r="AM12" s="18">
        <f>(AE12-AD12)*1440</f>
        <v/>
      </c>
      <c r="AN12" s="18">
        <f>(AF12-AE12)*1440</f>
        <v/>
      </c>
      <c r="AO12" s="18">
        <f>AI12+AJ12+AL12+AM12+AN12</f>
        <v/>
      </c>
      <c r="AP12" s="18">
        <f>(Y12-U12)</f>
        <v/>
      </c>
      <c r="AQ12" s="18">
        <f>(AC12-AB12)</f>
        <v/>
      </c>
      <c r="AR12" s="18">
        <f>AF12-Y12</f>
        <v/>
      </c>
      <c r="AS12" s="18">
        <f>(AF12-W12)</f>
        <v/>
      </c>
      <c r="AT12" s="20">
        <f>E12/AQ12</f>
        <v/>
      </c>
      <c r="AV12" s="38" t="n">
        <v>9600</v>
      </c>
      <c r="AW12" s="379">
        <f>(E12/AV12)+0.25</f>
        <v/>
      </c>
      <c r="AZ12" s="195" t="n"/>
      <c r="BE12" s="38" t="n"/>
    </row>
    <row r="13">
      <c r="A13" s="84" t="n">
        <v>10</v>
      </c>
      <c r="B13" s="44" t="inlineStr">
        <is>
          <t>EVA HONGKONG</t>
        </is>
      </c>
      <c r="C13" s="15" t="n">
        <v>45722</v>
      </c>
      <c r="D13" s="47" t="n">
        <v>18902.851</v>
      </c>
      <c r="E13" s="47" t="n">
        <v>18902.851</v>
      </c>
      <c r="F13" s="47" t="n">
        <v>53</v>
      </c>
      <c r="G13" s="374">
        <f>+ROUND(D13*F13%,3)</f>
        <v/>
      </c>
      <c r="H13" s="375" t="inlineStr">
        <is>
          <t>PMP</t>
        </is>
      </c>
      <c r="I13" s="375" t="inlineStr">
        <is>
          <t>CFR</t>
        </is>
      </c>
      <c r="J13" s="381" t="n">
        <v>1070.04</v>
      </c>
      <c r="K13" s="382">
        <f>G13*J13</f>
        <v/>
      </c>
      <c r="L13" s="378" t="n">
        <v>9.813800000000001</v>
      </c>
      <c r="M13" s="374">
        <f>K13*L13</f>
        <v/>
      </c>
      <c r="N13" s="91" t="inlineStr">
        <is>
          <t>256 K DU 26/02/2025</t>
        </is>
      </c>
      <c r="O13" s="52" t="inlineStr">
        <is>
          <t xml:space="preserve">FAUJI FERTILIZER COMPANY LIMITED / FAUJI FERTILIZER COMPANY LIMITED </t>
        </is>
      </c>
      <c r="P13" s="47" t="inlineStr">
        <is>
          <t xml:space="preserve">ASIE </t>
        </is>
      </c>
      <c r="Q13" s="49" t="inlineStr">
        <is>
          <t>PAKISTAN</t>
        </is>
      </c>
      <c r="R13" s="47" t="n">
        <v>7</v>
      </c>
      <c r="U13" s="46" t="n">
        <v>45711.60416666666</v>
      </c>
      <c r="V13" s="46" t="n">
        <v>45712.00069444445</v>
      </c>
      <c r="W13" s="46" t="n">
        <v>45712.00069444445</v>
      </c>
      <c r="X13" s="46" t="n">
        <v>45720.44513888889</v>
      </c>
      <c r="Y13" s="46" t="n">
        <v>45720.55416666667</v>
      </c>
      <c r="Z13" s="46" t="n">
        <v>45720.56944444445</v>
      </c>
      <c r="AA13" s="46" t="n">
        <v>45720.59027777778</v>
      </c>
      <c r="AB13" s="46" t="n">
        <v>45721.43333333333</v>
      </c>
      <c r="AC13" s="46" t="n">
        <v>45722.7125</v>
      </c>
      <c r="AD13" s="46" t="n">
        <v>45722.77083333334</v>
      </c>
      <c r="AE13" s="46" t="n">
        <v>45722.79166666666</v>
      </c>
      <c r="AF13" s="46" t="n">
        <v>45722.85763888889</v>
      </c>
      <c r="AG13" s="18">
        <f>(Y13-X13)*1440</f>
        <v/>
      </c>
      <c r="AH13" s="18">
        <f>(Y13-U13)*1440</f>
        <v/>
      </c>
      <c r="AI13" s="18">
        <f>(Z13-X13)*1440</f>
        <v/>
      </c>
      <c r="AJ13" s="18">
        <f>(AA13-Z13)*1440</f>
        <v/>
      </c>
      <c r="AK13" s="18">
        <f>(AB13-AA13)*1440</f>
        <v/>
      </c>
      <c r="AL13" s="18">
        <f>(AD13-AC13)*1440</f>
        <v/>
      </c>
      <c r="AM13" s="18">
        <f>(AE13-AD13)*1440</f>
        <v/>
      </c>
      <c r="AN13" s="18">
        <f>(AF13-AE13)*1440</f>
        <v/>
      </c>
      <c r="AO13" s="18">
        <f>AI13+AJ13+AL13+AM13+AN13</f>
        <v/>
      </c>
      <c r="AP13" s="18">
        <f>(Y13-U13)</f>
        <v/>
      </c>
      <c r="AQ13" s="18">
        <f>(AC13-AB13)</f>
        <v/>
      </c>
      <c r="AR13" s="18">
        <f>AF13-Y13</f>
        <v/>
      </c>
      <c r="AS13" s="18">
        <f>(AF13-W13)</f>
        <v/>
      </c>
      <c r="AT13" s="20">
        <f>E13/AQ13</f>
        <v/>
      </c>
      <c r="AV13" s="38" t="n">
        <v>9600</v>
      </c>
      <c r="AW13" s="379">
        <f>(E13/AV13)+0.25</f>
        <v/>
      </c>
      <c r="AZ13" s="195" t="n"/>
      <c r="BE13" s="38" t="inlineStr">
        <is>
          <t>NUL</t>
        </is>
      </c>
    </row>
    <row r="14" ht="14.55" customHeight="1" s="70">
      <c r="A14" s="84" t="n">
        <v>11</v>
      </c>
      <c r="B14" s="44" t="inlineStr">
        <is>
          <t xml:space="preserve">JIPRO NEFTIS </t>
        </is>
      </c>
      <c r="C14" s="15" t="n">
        <v>45737</v>
      </c>
      <c r="D14" s="47" t="n">
        <v>20999.839</v>
      </c>
      <c r="E14" s="47">
        <f>D14+D15</f>
        <v/>
      </c>
      <c r="F14" s="47" t="n">
        <v>53</v>
      </c>
      <c r="G14" s="374">
        <f>+ROUND(D14*F14%,3)</f>
        <v/>
      </c>
      <c r="H14" s="375" t="inlineStr">
        <is>
          <t>PMP</t>
        </is>
      </c>
      <c r="I14" s="375" t="inlineStr">
        <is>
          <t>CFR</t>
        </is>
      </c>
      <c r="K14" s="382">
        <f>G14*J14</f>
        <v/>
      </c>
      <c r="M14" s="374">
        <f>K14*L14</f>
        <v/>
      </c>
      <c r="N14" s="91" t="n"/>
      <c r="O14" s="52" t="n"/>
      <c r="P14" s="47" t="inlineStr">
        <is>
          <t xml:space="preserve">ASIE </t>
        </is>
      </c>
      <c r="Q14" s="49" t="inlineStr">
        <is>
          <t>PAKISTAN</t>
        </is>
      </c>
      <c r="R14" s="47" t="n">
        <v>7.6</v>
      </c>
      <c r="S14" s="49" t="n">
        <v>45724</v>
      </c>
      <c r="T14" s="49" t="n">
        <v>45727</v>
      </c>
      <c r="U14" s="46" t="n">
        <v>45727.79513888889</v>
      </c>
      <c r="V14" s="46" t="n">
        <v>45727.88888888889</v>
      </c>
      <c r="W14" s="46" t="n">
        <v>45727.88888888889</v>
      </c>
      <c r="X14" s="46" t="n">
        <v>45731.35486111111</v>
      </c>
      <c r="Y14" s="46" t="n">
        <v>45731.45138888889</v>
      </c>
      <c r="Z14" s="46" t="n">
        <v>45731.46527777778</v>
      </c>
      <c r="AA14" s="46" t="n">
        <v>45731.49305555555</v>
      </c>
      <c r="AB14" s="46" t="n">
        <v>45731.54166666666</v>
      </c>
      <c r="AC14" s="46" t="n">
        <v>45737.625</v>
      </c>
      <c r="AD14" s="46" t="n">
        <v>45737.69444444445</v>
      </c>
      <c r="AE14" s="46" t="n">
        <v>45737.70138888889</v>
      </c>
      <c r="AF14" s="46" t="n">
        <v>45737.76041666666</v>
      </c>
      <c r="AG14" s="18">
        <f>(Y14-X14)*1440</f>
        <v/>
      </c>
      <c r="AH14" s="18">
        <f>(Y14-U14)*1440</f>
        <v/>
      </c>
      <c r="AI14" s="18">
        <f>(Z14-X14)*1440</f>
        <v/>
      </c>
      <c r="AJ14" s="18">
        <f>(AA14-Z14)*1440</f>
        <v/>
      </c>
      <c r="AK14" s="18">
        <f>(AB14-AA14)*1440</f>
        <v/>
      </c>
      <c r="AL14" s="18">
        <f>(AD14-AC14)*1440</f>
        <v/>
      </c>
      <c r="AM14" s="18">
        <f>(AE14-AD14)*1440</f>
        <v/>
      </c>
      <c r="AN14" s="18">
        <f>(AF14-AE14)*1440</f>
        <v/>
      </c>
      <c r="AO14" s="18">
        <f>AI14+AJ14+AL14+AM14+AN14</f>
        <v/>
      </c>
      <c r="AP14" s="18">
        <f>(Y14-U14)</f>
        <v/>
      </c>
      <c r="AQ14" s="18">
        <f>(AC14-AB14)</f>
        <v/>
      </c>
      <c r="AR14" s="18">
        <f>AF14-Y14</f>
        <v/>
      </c>
      <c r="AS14" s="18">
        <f>(AF14-W14)</f>
        <v/>
      </c>
      <c r="AT14" s="20">
        <f>E14/AQ14</f>
        <v/>
      </c>
      <c r="AV14" s="38" t="n">
        <v>9600</v>
      </c>
      <c r="AW14" s="379">
        <f>(E14/AV14)+0.25</f>
        <v/>
      </c>
      <c r="AZ14" s="195" t="inlineStr">
        <is>
          <t>CHANGE DU POSTE 7 VERS LA RADE LE 15/03- 2125 // 
RE-ACC AU POSTE 6 LE 19/03- 0535</t>
        </is>
      </c>
      <c r="BE14" s="38" t="inlineStr">
        <is>
          <t>NUL</t>
        </is>
      </c>
    </row>
    <row r="15" ht="14.55" customHeight="1" s="70">
      <c r="B15" s="44" t="inlineStr">
        <is>
          <t xml:space="preserve">JIPRO NEFTIS </t>
        </is>
      </c>
      <c r="C15" s="15" t="n">
        <v>45737</v>
      </c>
      <c r="D15" s="47" t="n">
        <v>10494.511</v>
      </c>
      <c r="E15" s="380" t="n"/>
      <c r="F15" s="47" t="n">
        <v>53</v>
      </c>
      <c r="G15" s="374">
        <f>+ROUND(D15*F15%,3)</f>
        <v/>
      </c>
      <c r="H15" s="375" t="inlineStr">
        <is>
          <t xml:space="preserve">IMACID </t>
        </is>
      </c>
      <c r="I15" s="375" t="inlineStr">
        <is>
          <t>CFR</t>
        </is>
      </c>
      <c r="K15" s="382">
        <f>G15*J15</f>
        <v/>
      </c>
      <c r="L15" s="378" t="n"/>
      <c r="M15" s="374">
        <f>K15*L15</f>
        <v/>
      </c>
      <c r="O15" s="52" t="n"/>
      <c r="P15" s="47" t="inlineStr">
        <is>
          <t xml:space="preserve">ASIE </t>
        </is>
      </c>
      <c r="Q15" s="49" t="inlineStr">
        <is>
          <t>INDE</t>
        </is>
      </c>
      <c r="R15" s="380" t="n"/>
      <c r="S15" s="383" t="n"/>
      <c r="T15" s="383" t="n"/>
      <c r="U15" s="383" t="n"/>
      <c r="V15" s="383" t="n"/>
      <c r="W15" s="383" t="n"/>
      <c r="X15" s="383" t="n"/>
      <c r="Y15" s="383" t="n"/>
      <c r="Z15" s="383" t="n"/>
      <c r="AA15" s="383" t="n"/>
      <c r="AB15" s="383" t="n"/>
      <c r="AC15" s="383" t="n"/>
      <c r="AD15" s="383" t="n"/>
      <c r="AE15" s="383" t="n"/>
      <c r="AF15" s="383" t="n"/>
      <c r="AG15" s="383" t="n"/>
      <c r="AH15" s="383" t="n"/>
      <c r="AI15" s="383" t="n"/>
      <c r="AJ15" s="383" t="n"/>
      <c r="AK15" s="383" t="n"/>
      <c r="AL15" s="383" t="n"/>
      <c r="AM15" s="383" t="n"/>
      <c r="AN15" s="383" t="n"/>
      <c r="AO15" s="383" t="n"/>
      <c r="AP15" s="383" t="n"/>
      <c r="AQ15" s="383" t="n"/>
      <c r="AR15" s="383" t="n"/>
      <c r="AS15" s="383" t="n"/>
      <c r="AT15" s="383" t="n"/>
      <c r="AU15" s="383" t="n"/>
      <c r="AV15" s="383" t="n"/>
      <c r="AW15" s="383" t="n"/>
      <c r="AZ15" s="195" t="inlineStr">
        <is>
          <t>CHANGE DU POSTE 7 VERS LA RADE LE 15/03- 2125 // 
RE-ACC AU POSTE 6 LE 19/03- 0535</t>
        </is>
      </c>
      <c r="BE15" s="38" t="n"/>
    </row>
    <row r="16">
      <c r="A16" s="101" t="n">
        <v>12</v>
      </c>
      <c r="B16" s="44" t="inlineStr">
        <is>
          <t xml:space="preserve">TIVOLI PARK </t>
        </is>
      </c>
      <c r="C16" s="15" t="n">
        <v>45739</v>
      </c>
      <c r="D16" s="47" t="n">
        <v>19293.716</v>
      </c>
      <c r="E16" s="47" t="n">
        <v>19293.716</v>
      </c>
      <c r="F16" s="90" t="n">
        <v>53</v>
      </c>
      <c r="G16" s="374">
        <f>+ROUND(D16*F16%,3)</f>
        <v/>
      </c>
      <c r="H16" s="375" t="inlineStr">
        <is>
          <t xml:space="preserve">IMACID </t>
        </is>
      </c>
      <c r="I16" s="375" t="inlineStr">
        <is>
          <t>CFR</t>
        </is>
      </c>
      <c r="J16" s="381" t="n"/>
      <c r="K16" s="382">
        <f>G16*J16</f>
        <v/>
      </c>
      <c r="L16" s="378" t="n"/>
      <c r="M16" s="374">
        <f>K16*L16</f>
        <v/>
      </c>
      <c r="N16" s="91" t="n"/>
      <c r="O16" s="52" t="n"/>
      <c r="P16" s="47" t="inlineStr">
        <is>
          <t xml:space="preserve">ASIE </t>
        </is>
      </c>
      <c r="Q16" s="49" t="inlineStr">
        <is>
          <t>INDE</t>
        </is>
      </c>
      <c r="R16" s="104" t="n">
        <v>6</v>
      </c>
      <c r="S16" s="73" t="n">
        <v>45730</v>
      </c>
      <c r="T16" s="73" t="n">
        <v>45734</v>
      </c>
      <c r="U16" s="72" t="n">
        <v>45735.59583333333</v>
      </c>
      <c r="V16" s="72" t="n">
        <v>45735.59583333333</v>
      </c>
      <c r="W16" s="72" t="n">
        <v>45735.59583333333</v>
      </c>
      <c r="X16" s="72" t="n">
        <v>45737.86388888889</v>
      </c>
      <c r="Y16" s="72" t="n">
        <v>45737.97916666666</v>
      </c>
      <c r="Z16" s="72" t="n">
        <v>45738.00694444445</v>
      </c>
      <c r="AA16" s="72" t="n">
        <v>45738.03472222222</v>
      </c>
      <c r="AB16" s="72" t="n">
        <v>45738.08680555555</v>
      </c>
      <c r="AC16" s="72" t="n">
        <v>45739.54166666666</v>
      </c>
      <c r="AD16" s="72" t="n">
        <v>45739.61111111111</v>
      </c>
      <c r="AE16" s="72" t="n">
        <v>45739.63888888889</v>
      </c>
      <c r="AF16" s="72" t="n">
        <v>45739.70138888889</v>
      </c>
      <c r="AG16" s="197">
        <f>(Y16-X16)*1440</f>
        <v/>
      </c>
      <c r="AH16" s="197">
        <f>(Y16-U16)*1440</f>
        <v/>
      </c>
      <c r="AI16" s="197">
        <f>(Z16-X16)*1440</f>
        <v/>
      </c>
      <c r="AJ16" s="197">
        <f>(AA16-Z16)*1440</f>
        <v/>
      </c>
      <c r="AK16" s="197">
        <f>(AB16-AA16)*1440</f>
        <v/>
      </c>
      <c r="AL16" s="197">
        <f>(AD16-AC16)*1440</f>
        <v/>
      </c>
      <c r="AM16" s="197">
        <f>(AE16-AD16)*1440</f>
        <v/>
      </c>
      <c r="AN16" s="197">
        <f>(AF16-AE16)*1440</f>
        <v/>
      </c>
      <c r="AO16" s="197">
        <f>AI16+AJ16+AL16+AM16+AN16</f>
        <v/>
      </c>
      <c r="AP16" s="197">
        <f>(Y16-U16)</f>
        <v/>
      </c>
      <c r="AQ16" s="197">
        <f>(AC16-AB16)</f>
        <v/>
      </c>
      <c r="AR16" s="197">
        <f>AF16-Y16</f>
        <v/>
      </c>
      <c r="AS16" s="197">
        <f>(AF16-W16)</f>
        <v/>
      </c>
      <c r="AT16" s="76">
        <f>E16/AQ16</f>
        <v/>
      </c>
      <c r="AV16" s="76" t="n">
        <v>9600</v>
      </c>
      <c r="AW16" s="384">
        <f>(E16/AV16)+0.25</f>
        <v/>
      </c>
      <c r="AZ16" s="195" t="n"/>
      <c r="BE16" s="38" t="inlineStr">
        <is>
          <t>NUL</t>
        </is>
      </c>
    </row>
    <row r="17">
      <c r="A17" s="101" t="n">
        <v>13</v>
      </c>
      <c r="B17" s="44" t="inlineStr">
        <is>
          <t xml:space="preserve">NAEBA GALAXY </t>
        </is>
      </c>
      <c r="C17" s="15" t="n">
        <v>45743</v>
      </c>
      <c r="D17" s="47" t="n">
        <v>24660.687</v>
      </c>
      <c r="E17" s="47" t="n">
        <v>24660.687</v>
      </c>
      <c r="F17" s="90" t="n">
        <v>53</v>
      </c>
      <c r="G17" s="374">
        <f>+ROUND(D17*F17%,3)</f>
        <v/>
      </c>
      <c r="H17" s="375" t="inlineStr">
        <is>
          <t>PMP</t>
        </is>
      </c>
      <c r="I17" s="375" t="inlineStr">
        <is>
          <t>CFR</t>
        </is>
      </c>
      <c r="J17" s="381" t="n">
        <v>1035.08</v>
      </c>
      <c r="K17" s="382">
        <f>G17*J17</f>
        <v/>
      </c>
      <c r="L17" s="378" t="n">
        <v>9.603899999999999</v>
      </c>
      <c r="M17" s="374">
        <f>K17*L17</f>
        <v/>
      </c>
      <c r="N17" s="91" t="inlineStr">
        <is>
          <t>381 W DU 26/03/2025</t>
        </is>
      </c>
      <c r="O17" s="52" t="inlineStr">
        <is>
          <t>FAUJI FERTILIZER COMPANY LIMITED</t>
        </is>
      </c>
      <c r="P17" s="47" t="inlineStr">
        <is>
          <t xml:space="preserve">ASIE </t>
        </is>
      </c>
      <c r="Q17" s="49" t="inlineStr">
        <is>
          <t>PAKISTAN</t>
        </is>
      </c>
      <c r="R17" s="104" t="n">
        <v>6</v>
      </c>
      <c r="S17" s="73" t="n">
        <v>45734</v>
      </c>
      <c r="T17" s="73" t="n">
        <v>45737</v>
      </c>
      <c r="U17" s="72" t="n">
        <v>45731.79166666666</v>
      </c>
      <c r="V17" s="72" t="n">
        <v>45731.8375</v>
      </c>
      <c r="W17" s="72" t="n">
        <v>45731.8375</v>
      </c>
      <c r="X17" s="72" t="n">
        <v>45740.41666666666</v>
      </c>
      <c r="Y17" s="72" t="n">
        <v>45740.49583333333</v>
      </c>
      <c r="Z17" s="72" t="n">
        <v>45740.52083333334</v>
      </c>
      <c r="AA17" s="72" t="n">
        <v>45740.55555555555</v>
      </c>
      <c r="AB17" s="72" t="n">
        <v>45740.87152777778</v>
      </c>
      <c r="AC17" s="72" t="n">
        <v>45743.13194444445</v>
      </c>
      <c r="AD17" s="72" t="n">
        <v>45743.17361111111</v>
      </c>
      <c r="AE17" s="72" t="n">
        <v>45743.20138888889</v>
      </c>
      <c r="AF17" s="72" t="n">
        <v>45743.28125</v>
      </c>
      <c r="AG17" s="197">
        <f>(Y17-X17)*1440</f>
        <v/>
      </c>
      <c r="AH17" s="197">
        <f>(Y17-U17)*1440</f>
        <v/>
      </c>
      <c r="AI17" s="197">
        <f>(Z17-X17)*1440</f>
        <v/>
      </c>
      <c r="AJ17" s="197">
        <f>(AA17-Z17)*1440</f>
        <v/>
      </c>
      <c r="AK17" s="197">
        <f>(AB17-AA17)*1440</f>
        <v/>
      </c>
      <c r="AL17" s="197">
        <f>(AD17-AC17)*1440</f>
        <v/>
      </c>
      <c r="AM17" s="197">
        <f>(AE17-AD17)*1440</f>
        <v/>
      </c>
      <c r="AN17" s="197">
        <f>(AF17-AE17)*1440</f>
        <v/>
      </c>
      <c r="AO17" s="197">
        <f>AI17+AJ17+AL17+AM17+AN17</f>
        <v/>
      </c>
      <c r="AP17" s="197">
        <f>(Y17-U17)</f>
        <v/>
      </c>
      <c r="AQ17" s="197">
        <f>(AC17-AB17)</f>
        <v/>
      </c>
      <c r="AR17" s="197">
        <f>AF17-Y17</f>
        <v/>
      </c>
      <c r="AS17" s="197">
        <f>(AF17-W17)</f>
        <v/>
      </c>
      <c r="AT17" s="76">
        <f>E17/AQ17</f>
        <v/>
      </c>
      <c r="AV17" s="76" t="n">
        <v>9600</v>
      </c>
      <c r="AW17" s="384">
        <f>(E17/AV17)+0.25</f>
        <v/>
      </c>
      <c r="AZ17" s="195" t="n"/>
      <c r="BE17" s="38" t="inlineStr">
        <is>
          <t>NUL</t>
        </is>
      </c>
    </row>
    <row r="18">
      <c r="A18" s="101" t="n">
        <v>14</v>
      </c>
      <c r="B18" s="44" t="inlineStr">
        <is>
          <t>BIRDIE TRADER</t>
        </is>
      </c>
      <c r="C18" s="15" t="n">
        <v>45745</v>
      </c>
      <c r="D18" s="47" t="n">
        <v>19047.585</v>
      </c>
      <c r="E18" s="47" t="n">
        <v>19047.585</v>
      </c>
      <c r="F18" s="90" t="n">
        <v>53</v>
      </c>
      <c r="G18" s="374">
        <f>+ROUND(D18*F18%,3)</f>
        <v/>
      </c>
      <c r="H18" s="375" t="inlineStr">
        <is>
          <t xml:space="preserve">IMACID </t>
        </is>
      </c>
      <c r="I18" s="375" t="inlineStr">
        <is>
          <t>CFR</t>
        </is>
      </c>
      <c r="J18" s="381" t="n"/>
      <c r="N18" s="91" t="n"/>
      <c r="O18" s="52" t="n"/>
      <c r="P18" s="47" t="inlineStr">
        <is>
          <t xml:space="preserve">ASIE </t>
        </is>
      </c>
      <c r="Q18" s="49" t="inlineStr">
        <is>
          <t>INDE</t>
        </is>
      </c>
      <c r="R18" s="104" t="n">
        <v>5</v>
      </c>
      <c r="S18" s="73" t="n">
        <v>45738</v>
      </c>
      <c r="T18" s="73" t="n">
        <v>45741</v>
      </c>
      <c r="U18" s="72" t="n">
        <v>45735.1375</v>
      </c>
      <c r="V18" s="72" t="n">
        <v>45738.00069444445</v>
      </c>
      <c r="W18" s="72" t="n">
        <v>45738.00069444445</v>
      </c>
      <c r="X18" s="72" t="n">
        <v>45743.82222222222</v>
      </c>
      <c r="Y18" s="72" t="n">
        <v>45743.9125</v>
      </c>
      <c r="Z18" s="72" t="n">
        <v>45743.93055555555</v>
      </c>
      <c r="AA18" s="72" t="n">
        <v>45743.95833333334</v>
      </c>
      <c r="AB18" s="72" t="n">
        <v>45744.05416666667</v>
      </c>
      <c r="AC18" s="72" t="n">
        <v>45745.6</v>
      </c>
      <c r="AD18" s="72" t="n">
        <v>45745.65625</v>
      </c>
      <c r="AE18" s="72" t="n">
        <v>45745.65972222222</v>
      </c>
      <c r="AF18" s="72" t="n">
        <v>45745.71527777778</v>
      </c>
      <c r="AG18" s="197">
        <f>(Y18-X18)*1440</f>
        <v/>
      </c>
      <c r="AH18" s="197">
        <f>(Y18-U18)*1440</f>
        <v/>
      </c>
      <c r="AI18" s="197">
        <f>(Z18-X18)*1440</f>
        <v/>
      </c>
      <c r="AJ18" s="197">
        <f>(AA18-Z18)*1440</f>
        <v/>
      </c>
      <c r="AK18" s="197">
        <f>(AB18-AA18)*1440</f>
        <v/>
      </c>
      <c r="AL18" s="197">
        <f>(AD18-AC18)*1440</f>
        <v/>
      </c>
      <c r="AM18" s="197">
        <f>(AE18-AD18)*1440</f>
        <v/>
      </c>
      <c r="AN18" s="197">
        <f>(AF18-AE18)*1440</f>
        <v/>
      </c>
      <c r="AO18" s="197">
        <f>AI18+AJ18+AL18+AM18+AN18</f>
        <v/>
      </c>
      <c r="AP18" s="197">
        <f>(Y18-U18)</f>
        <v/>
      </c>
      <c r="AQ18" s="197">
        <f>(AC18-AB18)</f>
        <v/>
      </c>
      <c r="AR18" s="197">
        <f>AF18-Y18</f>
        <v/>
      </c>
      <c r="AS18" s="197">
        <f>(AF18-W18)</f>
        <v/>
      </c>
      <c r="AT18" s="76">
        <f>E18/AQ18</f>
        <v/>
      </c>
      <c r="AV18" s="76" t="n">
        <v>9600</v>
      </c>
      <c r="AW18" s="384">
        <f>(E18/AV18)+0.25</f>
        <v/>
      </c>
      <c r="BE18" s="38" t="n"/>
    </row>
    <row r="19">
      <c r="A19" s="101" t="n">
        <v>15</v>
      </c>
      <c r="B19" s="44" t="inlineStr">
        <is>
          <t>GINGA OCELOT</t>
        </is>
      </c>
      <c r="C19" s="15" t="n">
        <v>45754</v>
      </c>
      <c r="D19" s="47" t="n">
        <v>24500.062</v>
      </c>
      <c r="E19" s="47" t="n">
        <v>24500.062</v>
      </c>
      <c r="F19" s="90" t="n">
        <v>53</v>
      </c>
      <c r="G19" s="374">
        <f>+ROUND(D19*F19%,3)</f>
        <v/>
      </c>
      <c r="H19" s="375" t="inlineStr">
        <is>
          <t>PMP</t>
        </is>
      </c>
      <c r="I19" s="375" t="inlineStr">
        <is>
          <t>CFR</t>
        </is>
      </c>
      <c r="J19" s="381" t="n"/>
      <c r="N19" s="91" t="n"/>
      <c r="O19" s="52" t="n"/>
      <c r="P19" s="47" t="inlineStr">
        <is>
          <t xml:space="preserve">ASIE </t>
        </is>
      </c>
      <c r="Q19" s="49" t="inlineStr">
        <is>
          <t>PAKISTAN</t>
        </is>
      </c>
      <c r="R19" s="104" t="n">
        <v>6</v>
      </c>
      <c r="S19" s="73" t="n">
        <v>45744</v>
      </c>
      <c r="T19" s="73" t="n">
        <v>45747</v>
      </c>
      <c r="U19" s="72" t="n">
        <v>45750.7375</v>
      </c>
      <c r="V19" s="72" t="n">
        <v>45750.7375</v>
      </c>
      <c r="W19" s="72" t="n">
        <v>45750.7375</v>
      </c>
      <c r="X19" s="72" t="n">
        <v>45752.51736111111</v>
      </c>
      <c r="Y19" s="72" t="n">
        <v>45752.6125</v>
      </c>
      <c r="Z19" s="72" t="n">
        <v>45752.62777777778</v>
      </c>
      <c r="AA19" s="72" t="n">
        <v>45752.67013888889</v>
      </c>
      <c r="AB19" s="72" t="n">
        <v>45752.98263888889</v>
      </c>
      <c r="AC19" s="72" t="n">
        <v>45754.8125</v>
      </c>
      <c r="AD19" s="72" t="n">
        <v>45754.86805555555</v>
      </c>
      <c r="AE19" s="72" t="n">
        <v>45754.90277777778</v>
      </c>
      <c r="AF19" s="72" t="n">
        <v>45754.98611111111</v>
      </c>
      <c r="AG19" s="197">
        <f>(Y19-X19)*1440</f>
        <v/>
      </c>
      <c r="AH19" s="197">
        <f>(Y19-U19)*1440</f>
        <v/>
      </c>
      <c r="AI19" s="197">
        <f>(Z19-X19)*1440</f>
        <v/>
      </c>
      <c r="AJ19" s="197">
        <f>(AA19-Z19)*1440</f>
        <v/>
      </c>
      <c r="AK19" s="197">
        <f>(AB19-AA19)*1440</f>
        <v/>
      </c>
      <c r="AL19" s="197">
        <f>(AD19-AC19)*1440</f>
        <v/>
      </c>
      <c r="AM19" s="197">
        <f>(AE19-AD19)*1440</f>
        <v/>
      </c>
      <c r="AN19" s="197">
        <f>(AF19-AE19)*1440</f>
        <v/>
      </c>
      <c r="AO19" s="197">
        <f>AI19+AJ19+AL19+AM19+AN19</f>
        <v/>
      </c>
      <c r="AP19" s="197">
        <f>(Y19-U19)</f>
        <v/>
      </c>
      <c r="AQ19" s="197">
        <f>(AC19-AB19)</f>
        <v/>
      </c>
      <c r="AR19" s="197">
        <f>AF19-Y19</f>
        <v/>
      </c>
      <c r="AS19" s="197">
        <f>(AF19-W19)</f>
        <v/>
      </c>
      <c r="AT19" s="76">
        <f>E19/AQ19</f>
        <v/>
      </c>
      <c r="AV19" s="76" t="n">
        <v>9600</v>
      </c>
      <c r="AW19" s="384">
        <f>(E19/AV19)+0.25</f>
        <v/>
      </c>
      <c r="BE19" s="38" t="inlineStr">
        <is>
          <t>NUL</t>
        </is>
      </c>
    </row>
    <row r="20" ht="15" customHeight="1" s="70">
      <c r="A20" s="101" t="n">
        <v>16</v>
      </c>
      <c r="B20" s="44" t="inlineStr">
        <is>
          <t>WINTER SUN</t>
        </is>
      </c>
      <c r="C20" s="15" t="n">
        <v>45756</v>
      </c>
      <c r="D20" s="47" t="n">
        <v>8499.728999999999</v>
      </c>
      <c r="E20" s="47" t="n">
        <v>8499.728999999999</v>
      </c>
      <c r="F20" s="90" t="n">
        <v>53</v>
      </c>
      <c r="G20" s="374">
        <f>+ROUND(D20*F20%,3)</f>
        <v/>
      </c>
      <c r="H20" s="375" t="inlineStr">
        <is>
          <t xml:space="preserve">IMACID </t>
        </is>
      </c>
      <c r="I20" s="375" t="inlineStr">
        <is>
          <t>CFR</t>
        </is>
      </c>
      <c r="J20" s="381" t="n"/>
      <c r="N20" s="91" t="n"/>
      <c r="P20" s="104" t="inlineStr">
        <is>
          <t>EUROPE</t>
        </is>
      </c>
      <c r="Q20" s="73" t="inlineStr">
        <is>
          <t>TURQUIE</t>
        </is>
      </c>
      <c r="R20" s="81" t="n">
        <v>6</v>
      </c>
      <c r="S20" s="73" t="n">
        <v>45752</v>
      </c>
      <c r="T20" s="73" t="n">
        <v>45754</v>
      </c>
      <c r="U20" s="72" t="n">
        <v>45752.38541666666</v>
      </c>
      <c r="V20" s="72" t="n">
        <v>45752.42361111111</v>
      </c>
      <c r="W20" s="72" t="n">
        <v>45752.42361111111</v>
      </c>
      <c r="X20" s="72" t="n">
        <v>45755.02777777778</v>
      </c>
      <c r="Y20" s="72" t="n">
        <v>45755.06666666667</v>
      </c>
      <c r="Z20" s="72" t="n">
        <v>45755.07291666666</v>
      </c>
      <c r="AA20" s="72" t="n">
        <v>45755.11111111111</v>
      </c>
      <c r="AB20" s="72" t="n">
        <v>45755.53125</v>
      </c>
      <c r="AC20" s="72" t="n">
        <v>45756.26388888889</v>
      </c>
      <c r="AD20" s="72" t="n">
        <v>45756.31944444445</v>
      </c>
      <c r="AE20" s="72" t="n">
        <v>45756.35416666666</v>
      </c>
      <c r="AF20" s="72" t="n">
        <v>45756.47708333333</v>
      </c>
      <c r="AG20" s="197">
        <f>(Y20-X20)*1440</f>
        <v/>
      </c>
      <c r="AH20" s="197">
        <f>(Y20-U20)*1440</f>
        <v/>
      </c>
      <c r="AI20" s="197">
        <f>(Z20-X20)*1440</f>
        <v/>
      </c>
      <c r="AJ20" s="197">
        <f>(AA20-Z20)*1440</f>
        <v/>
      </c>
      <c r="AK20" s="197">
        <f>(AB20-AA20)*1440</f>
        <v/>
      </c>
      <c r="AL20" s="197">
        <f>(AD20-AC20)*1440</f>
        <v/>
      </c>
      <c r="AM20" s="197">
        <f>(AE20-AD20)*1440</f>
        <v/>
      </c>
      <c r="AN20" s="197">
        <f>(AF20-AE20)*1440</f>
        <v/>
      </c>
      <c r="AO20" s="197">
        <f>AI20+AJ20+AL20+AM20+AN20</f>
        <v/>
      </c>
      <c r="AP20" s="197">
        <f>(Y20-U20)</f>
        <v/>
      </c>
      <c r="AQ20" s="197">
        <f>(AC20-AB20)</f>
        <v/>
      </c>
      <c r="AR20" s="197">
        <f>AF20-Y20</f>
        <v/>
      </c>
      <c r="AS20" s="197">
        <f>(AF20-W20)</f>
        <v/>
      </c>
      <c r="AT20" s="76">
        <f>E20/AQ20</f>
        <v/>
      </c>
      <c r="AV20" s="76" t="n">
        <v>9600</v>
      </c>
      <c r="AW20" s="384">
        <f>(E20/AV20)+0.25</f>
        <v/>
      </c>
      <c r="BE20" s="38" t="n"/>
    </row>
    <row r="21" ht="14.55" customHeight="1" s="70">
      <c r="A21" s="101" t="n">
        <v>17</v>
      </c>
      <c r="B21" s="44" t="inlineStr">
        <is>
          <t>CHEMROAD ZENITH</t>
        </is>
      </c>
      <c r="C21" s="15" t="n">
        <v>45760</v>
      </c>
      <c r="D21" s="47" t="n">
        <v>10498.907</v>
      </c>
      <c r="E21" s="47">
        <f>D21+D22</f>
        <v/>
      </c>
      <c r="F21" s="90" t="n">
        <v>53</v>
      </c>
      <c r="G21" s="374">
        <f>+ROUND(D21*F21%,3)</f>
        <v/>
      </c>
      <c r="H21" s="375" t="inlineStr">
        <is>
          <t>PMP</t>
        </is>
      </c>
      <c r="I21" s="375" t="inlineStr">
        <is>
          <t>CFR</t>
        </is>
      </c>
      <c r="N21" s="91" t="n"/>
      <c r="P21" s="47" t="inlineStr">
        <is>
          <t xml:space="preserve">ASIE </t>
        </is>
      </c>
      <c r="Q21" s="73" t="inlineStr">
        <is>
          <t>PAKISTAN</t>
        </is>
      </c>
      <c r="R21" s="81" t="n">
        <v>7</v>
      </c>
      <c r="S21" s="73" t="n">
        <v>45754</v>
      </c>
      <c r="T21" s="73" t="n">
        <v>45757</v>
      </c>
      <c r="U21" s="72" t="n">
        <v>45753.27430555555</v>
      </c>
      <c r="V21" s="72" t="n">
        <v>45754.00069444445</v>
      </c>
      <c r="W21" s="72" t="n">
        <v>45754.00069444445</v>
      </c>
      <c r="X21" s="72" t="n">
        <v>45757.78541666667</v>
      </c>
      <c r="Y21" s="72" t="n">
        <v>45757.87152777778</v>
      </c>
      <c r="Z21" s="72" t="n">
        <v>45757.88541666666</v>
      </c>
      <c r="AA21" s="72" t="n">
        <v>45757.91666666666</v>
      </c>
      <c r="AB21" s="72" t="n">
        <v>45757.97083333333</v>
      </c>
      <c r="AC21" s="72" t="n">
        <v>45760.70486111111</v>
      </c>
      <c r="AD21" s="72" t="n">
        <v>45760.76527777778</v>
      </c>
      <c r="AE21" s="72" t="n">
        <v>45760.79166666666</v>
      </c>
      <c r="AF21" s="72" t="n">
        <v>45760.85416666666</v>
      </c>
      <c r="AG21" s="197">
        <f>(Y21-X21)*1440</f>
        <v/>
      </c>
      <c r="AH21" s="197">
        <f>(Y21-U21)*1440</f>
        <v/>
      </c>
      <c r="AI21" s="197">
        <f>(Z21-X21)*1440</f>
        <v/>
      </c>
      <c r="AJ21" s="197">
        <f>(AA21-Z21)*1440</f>
        <v/>
      </c>
      <c r="AK21" s="197">
        <f>(AB21-AA21)*1440</f>
        <v/>
      </c>
      <c r="AL21" s="197">
        <f>(AD21-AC21)*1440</f>
        <v/>
      </c>
      <c r="AM21" s="197">
        <f>(AE21-AD21)*1440</f>
        <v/>
      </c>
      <c r="AN21" s="197">
        <f>(AF21-AE21)*1440</f>
        <v/>
      </c>
      <c r="AO21" s="197">
        <f>AI21+AJ21+AL21+AM21+AN21</f>
        <v/>
      </c>
      <c r="AP21" s="197">
        <f>(Y21-U21)</f>
        <v/>
      </c>
      <c r="AQ21" s="197">
        <f>(AC21-AB21)</f>
        <v/>
      </c>
      <c r="AR21" s="197">
        <f>AF21-Y21</f>
        <v/>
      </c>
      <c r="AS21" s="197">
        <f>(AF21-W21)</f>
        <v/>
      </c>
      <c r="AT21" s="76">
        <f>E21/AQ21</f>
        <v/>
      </c>
      <c r="AV21" s="76" t="n">
        <v>9600</v>
      </c>
      <c r="AW21" s="384">
        <f>(E21/AV21)+0.25</f>
        <v/>
      </c>
      <c r="BE21" s="38" t="inlineStr">
        <is>
          <t>NUL</t>
        </is>
      </c>
    </row>
    <row r="22" ht="15" customHeight="1" s="70">
      <c r="B22" s="44" t="inlineStr">
        <is>
          <t>CHEMROAD ZENITH</t>
        </is>
      </c>
      <c r="C22" s="15" t="n">
        <v>45760</v>
      </c>
      <c r="D22" s="47" t="n">
        <v>20982.431</v>
      </c>
      <c r="E22" s="380" t="n"/>
      <c r="F22" s="90" t="n">
        <v>53</v>
      </c>
      <c r="G22" s="374">
        <f>+ROUND(D22*F22%,3)</f>
        <v/>
      </c>
      <c r="H22" s="375" t="inlineStr">
        <is>
          <t xml:space="preserve">IMACID </t>
        </is>
      </c>
      <c r="I22" s="375" t="inlineStr">
        <is>
          <t>CFR</t>
        </is>
      </c>
      <c r="N22" s="91" t="n"/>
      <c r="P22" s="47" t="inlineStr">
        <is>
          <t xml:space="preserve">ASIE </t>
        </is>
      </c>
      <c r="Q22" s="73" t="inlineStr">
        <is>
          <t>INDE</t>
        </is>
      </c>
      <c r="R22" s="380" t="n"/>
      <c r="S22" s="385" t="n"/>
      <c r="T22" s="385" t="n"/>
      <c r="U22" s="385" t="n"/>
      <c r="V22" s="385" t="n"/>
      <c r="W22" s="385" t="n"/>
      <c r="X22" s="385" t="n"/>
      <c r="Y22" s="385" t="n"/>
      <c r="Z22" s="385" t="n"/>
      <c r="AA22" s="385" t="n"/>
      <c r="AB22" s="385" t="n"/>
      <c r="AC22" s="385" t="n"/>
      <c r="AD22" s="385" t="n"/>
      <c r="AE22" s="385" t="n"/>
      <c r="AF22" s="385" t="n"/>
      <c r="AG22" s="385" t="n"/>
      <c r="AH22" s="385" t="n"/>
      <c r="AI22" s="385" t="n"/>
      <c r="AJ22" s="385" t="n"/>
      <c r="AK22" s="385" t="n"/>
      <c r="AL22" s="385" t="n"/>
      <c r="AM22" s="385" t="n"/>
      <c r="AN22" s="385" t="n"/>
      <c r="AO22" s="385" t="n"/>
      <c r="AP22" s="385" t="n"/>
      <c r="AQ22" s="385" t="n"/>
      <c r="AR22" s="385" t="n"/>
      <c r="AS22" s="385" t="n"/>
      <c r="AT22" s="385" t="n"/>
      <c r="AU22" s="385" t="n"/>
      <c r="AV22" s="385" t="n"/>
      <c r="AW22" s="385" t="n"/>
      <c r="BE22" s="38" t="inlineStr">
        <is>
          <t>NUL</t>
        </is>
      </c>
    </row>
    <row r="23">
      <c r="A23" s="101" t="n">
        <v>18</v>
      </c>
      <c r="B23" s="44" t="inlineStr">
        <is>
          <t>EVA TOKYO</t>
        </is>
      </c>
      <c r="C23" s="15" t="n">
        <v>45763</v>
      </c>
      <c r="D23" s="47" t="n">
        <v>19321.627</v>
      </c>
      <c r="E23" s="47" t="n">
        <v>19321.627</v>
      </c>
      <c r="F23" s="90" t="n">
        <v>53</v>
      </c>
      <c r="G23" s="374">
        <f>+ROUND(D23*F23%,3)</f>
        <v/>
      </c>
      <c r="H23" s="375" t="inlineStr">
        <is>
          <t>PMP</t>
        </is>
      </c>
      <c r="P23" s="47" t="inlineStr">
        <is>
          <t xml:space="preserve">ASIE </t>
        </is>
      </c>
      <c r="Q23" s="73" t="inlineStr">
        <is>
          <t>PAKISTAN</t>
        </is>
      </c>
      <c r="R23" s="81" t="n">
        <v>7</v>
      </c>
      <c r="S23" s="73" t="n">
        <v>45760</v>
      </c>
      <c r="T23" s="73" t="n">
        <v>45763</v>
      </c>
      <c r="U23" s="72" t="n">
        <v>45759.8125</v>
      </c>
      <c r="V23" s="72" t="n">
        <v>45760.00069444445</v>
      </c>
      <c r="W23" s="72" t="n">
        <v>45760.00069444445</v>
      </c>
      <c r="X23" s="72" t="n">
        <v>45760.85416666666</v>
      </c>
      <c r="Y23" s="72" t="n">
        <v>45760.90416666667</v>
      </c>
      <c r="Z23" s="72" t="n">
        <v>45760.9125</v>
      </c>
      <c r="AA23" s="72" t="n">
        <v>45760.95138888889</v>
      </c>
      <c r="AB23" s="72" t="n">
        <v>45761.00833333333</v>
      </c>
      <c r="AC23" s="72" t="n">
        <v>45763.875</v>
      </c>
      <c r="AD23" s="72" t="n">
        <v>45763.92013888889</v>
      </c>
      <c r="AE23" s="72" t="n">
        <v>45763.95833333334</v>
      </c>
      <c r="AF23" s="72" t="n">
        <v>45763.9875</v>
      </c>
      <c r="AG23" s="197">
        <f>(Y23-X23)*1440</f>
        <v/>
      </c>
      <c r="AH23" s="197">
        <f>(Y23-U23)*1440</f>
        <v/>
      </c>
      <c r="AI23" s="197">
        <f>(Z23-X23)*1440</f>
        <v/>
      </c>
      <c r="AJ23" s="197">
        <f>(AA23-Z23)*1440</f>
        <v/>
      </c>
      <c r="AK23" s="197">
        <f>(AB23-AA23)*1440</f>
        <v/>
      </c>
      <c r="AL23" s="197">
        <f>(AD23-AC23)*1440</f>
        <v/>
      </c>
      <c r="AM23" s="197">
        <f>(AE23-AD23)*1440</f>
        <v/>
      </c>
      <c r="AN23" s="197">
        <f>(AF23-AE23)*1440</f>
        <v/>
      </c>
      <c r="AO23" s="197">
        <f>AI23+AJ23+AL23+AM23+AN23</f>
        <v/>
      </c>
      <c r="AP23" s="197">
        <f>(Y23-U23)</f>
        <v/>
      </c>
      <c r="AQ23" s="197">
        <f>(AC23-AB23)</f>
        <v/>
      </c>
      <c r="AR23" s="197">
        <f>AF23-Y23</f>
        <v/>
      </c>
      <c r="AS23" s="197">
        <f>(AF23-W23)</f>
        <v/>
      </c>
      <c r="AT23" s="76">
        <f>E23/AQ23</f>
        <v/>
      </c>
      <c r="AV23" s="38" t="n">
        <v>9600</v>
      </c>
      <c r="AW23" s="379">
        <f>(E23/AV23)+0.25</f>
        <v/>
      </c>
      <c r="BE23" s="38" t="n">
        <v>130</v>
      </c>
    </row>
    <row r="24" ht="14.55" customHeight="1" s="70">
      <c r="A24" s="101" t="n">
        <v>19</v>
      </c>
      <c r="B24" s="44" t="inlineStr">
        <is>
          <t>CHEMROAD JUPITER</t>
        </is>
      </c>
      <c r="C24" s="15" t="n">
        <v>45771</v>
      </c>
      <c r="D24" s="47" t="n">
        <v>13124.905</v>
      </c>
      <c r="E24" s="47">
        <f>D24+D25</f>
        <v/>
      </c>
      <c r="F24" s="90" t="n">
        <v>53</v>
      </c>
      <c r="G24" s="374">
        <f>+ROUND(D24*F24%,3)</f>
        <v/>
      </c>
      <c r="H24" s="375" t="inlineStr">
        <is>
          <t xml:space="preserve">IMACID </t>
        </is>
      </c>
      <c r="P24" s="47" t="inlineStr">
        <is>
          <t xml:space="preserve">ASIE </t>
        </is>
      </c>
      <c r="Q24" s="73" t="inlineStr">
        <is>
          <t>INDE</t>
        </is>
      </c>
      <c r="R24" s="81" t="n">
        <v>7</v>
      </c>
      <c r="U24" s="72" t="n">
        <v>45767.20833333334</v>
      </c>
      <c r="V24" s="72" t="n">
        <v>45767.24166666667</v>
      </c>
      <c r="W24" s="72" t="n">
        <v>45767.24166666667</v>
      </c>
      <c r="X24" s="72" t="n">
        <v>45767.20833333334</v>
      </c>
      <c r="Y24" s="72" t="n">
        <v>45767.3125</v>
      </c>
      <c r="Z24" s="72" t="n">
        <v>45767.35069444445</v>
      </c>
      <c r="AA24" s="72" t="n">
        <v>45767.39583333334</v>
      </c>
      <c r="AB24" s="72" t="n">
        <v>45767.45416666667</v>
      </c>
      <c r="AC24" s="72" t="n">
        <v>45771.80416666667</v>
      </c>
      <c r="AD24" s="72" t="n">
        <v>45771.85416666666</v>
      </c>
      <c r="AE24" s="72" t="n">
        <v>45771.875</v>
      </c>
      <c r="AF24" s="72" t="n">
        <v>45771.93402777778</v>
      </c>
      <c r="AG24" s="197">
        <f>(Y24-X24)*1440</f>
        <v/>
      </c>
      <c r="AH24" s="197">
        <f>(Y24-U24)*1440</f>
        <v/>
      </c>
      <c r="AI24" s="197">
        <f>(Z24-X24)*1440</f>
        <v/>
      </c>
      <c r="AJ24" s="197">
        <f>(AA24-Z24)*1440</f>
        <v/>
      </c>
      <c r="AK24" s="197">
        <f>(AB24-AA24)*1440</f>
        <v/>
      </c>
      <c r="AL24" s="197">
        <f>(AD24-AC24)*1440</f>
        <v/>
      </c>
      <c r="AM24" s="197">
        <f>(AE24-AD24)*1440</f>
        <v/>
      </c>
      <c r="AN24" s="197">
        <f>(AF24-AE24)*1440</f>
        <v/>
      </c>
      <c r="AO24" s="197">
        <f>AI24+AJ24+AL24+AM24+AN24</f>
        <v/>
      </c>
      <c r="AP24" s="197">
        <f>(Y24-U24)</f>
        <v/>
      </c>
      <c r="AQ24" s="197">
        <f>(AC24-AB24)</f>
        <v/>
      </c>
      <c r="AR24" s="197">
        <f>AF24-Y24</f>
        <v/>
      </c>
      <c r="AS24" s="197">
        <f>(AF24-W24)</f>
        <v/>
      </c>
      <c r="AT24" s="76">
        <f>E24/AQ24</f>
        <v/>
      </c>
      <c r="AV24" s="38" t="n">
        <v>9600</v>
      </c>
      <c r="AW24" s="379">
        <f>(E24/AV24)+0.25</f>
        <v/>
      </c>
      <c r="AZ24" s="195" t="inlineStr">
        <is>
          <t>NUL</t>
        </is>
      </c>
    </row>
    <row r="25" ht="15" customHeight="1" s="70">
      <c r="B25" s="44" t="inlineStr">
        <is>
          <t>CHEMROAD JUPITER</t>
        </is>
      </c>
      <c r="C25" s="15" t="n">
        <v>45771</v>
      </c>
      <c r="D25" s="47" t="n">
        <v>18374.9</v>
      </c>
      <c r="E25" s="380" t="n"/>
      <c r="F25" s="90" t="n">
        <v>53</v>
      </c>
      <c r="G25" s="374">
        <f>+ROUND(D25*F25%,3)</f>
        <v/>
      </c>
      <c r="H25" s="375" t="inlineStr">
        <is>
          <t>PMP</t>
        </is>
      </c>
      <c r="I25" s="375" t="n"/>
      <c r="P25" s="47" t="inlineStr">
        <is>
          <t xml:space="preserve">ASIE </t>
        </is>
      </c>
      <c r="Q25" s="73" t="inlineStr">
        <is>
          <t>PAKISTAN</t>
        </is>
      </c>
      <c r="R25" s="380" t="n"/>
      <c r="S25" s="380" t="n"/>
      <c r="T25" s="380" t="n"/>
      <c r="U25" s="380" t="n"/>
      <c r="V25" s="380" t="n"/>
      <c r="W25" s="380" t="n"/>
      <c r="X25" s="380" t="n"/>
      <c r="Y25" s="380" t="n"/>
      <c r="Z25" s="380" t="n"/>
      <c r="AA25" s="380" t="n"/>
      <c r="AB25" s="380" t="n"/>
      <c r="AC25" s="380" t="n"/>
      <c r="AD25" s="380" t="n"/>
      <c r="AE25" s="380" t="n"/>
      <c r="AF25" s="380" t="n"/>
      <c r="AG25" s="380" t="n"/>
      <c r="AH25" s="380" t="n"/>
      <c r="AI25" s="380" t="n"/>
      <c r="AJ25" s="380" t="n"/>
      <c r="AK25" s="380" t="n"/>
      <c r="AL25" s="380" t="n"/>
      <c r="AM25" s="380" t="n"/>
      <c r="AN25" s="380" t="n"/>
      <c r="AO25" s="380" t="n"/>
      <c r="AP25" s="380" t="n"/>
      <c r="AQ25" s="380" t="n"/>
      <c r="AR25" s="380" t="n"/>
      <c r="AS25" s="380" t="n"/>
      <c r="AT25" s="380" t="n"/>
      <c r="AU25" s="380" t="n"/>
      <c r="AV25" s="380" t="n"/>
      <c r="AW25" s="380" t="n"/>
      <c r="AZ25" s="195" t="inlineStr">
        <is>
          <t>NUL</t>
        </is>
      </c>
    </row>
    <row r="26">
      <c r="A26" s="101" t="n">
        <v>20</v>
      </c>
      <c r="B26" s="44" t="inlineStr">
        <is>
          <t>RICHMOND PARK</t>
        </is>
      </c>
      <c r="C26" s="15" t="n">
        <v>45772</v>
      </c>
      <c r="D26" s="47" t="n">
        <v>19945.772</v>
      </c>
      <c r="E26" s="47" t="n">
        <v>19945.772</v>
      </c>
      <c r="F26" s="90" t="n">
        <v>53</v>
      </c>
      <c r="G26" s="374">
        <f>+ROUND(D26*F26%,3)</f>
        <v/>
      </c>
      <c r="H26" s="375" t="inlineStr">
        <is>
          <t xml:space="preserve">IMACID </t>
        </is>
      </c>
      <c r="I26" s="375" t="n"/>
      <c r="P26" s="47" t="inlineStr">
        <is>
          <t xml:space="preserve">ASIE </t>
        </is>
      </c>
      <c r="Q26" s="73" t="inlineStr">
        <is>
          <t>INDE</t>
        </is>
      </c>
      <c r="R26" s="81" t="n">
        <v>7</v>
      </c>
      <c r="S26" s="73" t="n">
        <v>45771</v>
      </c>
      <c r="T26" s="73" t="n">
        <v>45775</v>
      </c>
      <c r="U26" s="72" t="n">
        <v>45772.27083333334</v>
      </c>
      <c r="V26" s="72" t="n">
        <v>45772.27083333334</v>
      </c>
      <c r="W26" s="72" t="n">
        <v>45772.27083333334</v>
      </c>
      <c r="X26" s="72" t="n">
        <v>45772.28472222222</v>
      </c>
      <c r="Y26" s="72" t="n">
        <v>45772.36805555555</v>
      </c>
      <c r="Z26" s="72" t="n">
        <v>45772.39930555555</v>
      </c>
      <c r="AA26" s="72" t="n">
        <v>45772.43402777778</v>
      </c>
      <c r="AB26" s="72" t="n">
        <v>45772.5125</v>
      </c>
      <c r="AC26" s="72" t="n">
        <v>45774.5</v>
      </c>
      <c r="AD26" s="72" t="n">
        <v>45774.55277777778</v>
      </c>
      <c r="AE26" s="72" t="n">
        <v>45774.58333333334</v>
      </c>
      <c r="AF26" s="72" t="n">
        <v>45774.68888888889</v>
      </c>
      <c r="AG26" s="197">
        <f>(Y26-X26)*1440</f>
        <v/>
      </c>
      <c r="AH26" s="197">
        <f>(Y26-U26)*1440</f>
        <v/>
      </c>
      <c r="AI26" s="197">
        <f>(Z26-X26)*1440</f>
        <v/>
      </c>
      <c r="AJ26" s="197">
        <f>(AA26-Z26)*1440</f>
        <v/>
      </c>
      <c r="AK26" s="197">
        <f>(AB26-AA26)*1440</f>
        <v/>
      </c>
      <c r="AL26" s="197">
        <f>(AD26-AC26)*1440</f>
        <v/>
      </c>
      <c r="AM26" s="197">
        <f>(AE26-AD26)*1440</f>
        <v/>
      </c>
      <c r="AN26" s="197">
        <f>(AF26-AE26)*1440</f>
        <v/>
      </c>
      <c r="AO26" s="197">
        <f>AI26+AJ26+AL26+AM26+AN26</f>
        <v/>
      </c>
      <c r="AP26" s="197">
        <f>(Y26-U26)</f>
        <v/>
      </c>
      <c r="AQ26" s="197">
        <f>(AC26-AB26)</f>
        <v/>
      </c>
      <c r="AR26" s="197">
        <f>AF26-Y26</f>
        <v/>
      </c>
      <c r="AS26" s="197">
        <f>(AF26-W26)</f>
        <v/>
      </c>
      <c r="AT26" s="76">
        <f>E26/AQ26</f>
        <v/>
      </c>
      <c r="AV26" s="38" t="n">
        <v>9600</v>
      </c>
      <c r="AW26" s="379">
        <f>(E26/AV26)+0.25</f>
        <v/>
      </c>
    </row>
    <row r="27">
      <c r="A27" s="101" t="n">
        <v>21</v>
      </c>
      <c r="B27" s="44" t="inlineStr">
        <is>
          <t>NORDIC MASA</t>
        </is>
      </c>
      <c r="C27" s="73" t="n">
        <v>45781</v>
      </c>
      <c r="D27" s="47" t="n">
        <v>19120.571</v>
      </c>
      <c r="E27" s="47" t="n">
        <v>19120.571</v>
      </c>
      <c r="F27" s="90" t="n">
        <v>53</v>
      </c>
      <c r="G27" s="374">
        <f>+ROUND(D27*F27%,3)</f>
        <v/>
      </c>
      <c r="H27" s="375" t="inlineStr">
        <is>
          <t>PMP</t>
        </is>
      </c>
      <c r="I27" s="375" t="inlineStr">
        <is>
          <t>CFR</t>
        </is>
      </c>
      <c r="P27" s="47" t="inlineStr">
        <is>
          <t xml:space="preserve">ASIE </t>
        </is>
      </c>
      <c r="Q27" s="73" t="inlineStr">
        <is>
          <t>INDE</t>
        </is>
      </c>
      <c r="R27" s="81" t="n">
        <v>6</v>
      </c>
      <c r="S27" s="73" t="n">
        <v>45774</v>
      </c>
      <c r="T27" s="73" t="n">
        <v>45777</v>
      </c>
      <c r="U27" s="72" t="n">
        <v>45777.66666666666</v>
      </c>
      <c r="V27" s="72" t="n">
        <v>45777.75833333333</v>
      </c>
      <c r="W27" s="72" t="n">
        <v>45777.75833333333</v>
      </c>
      <c r="X27" s="72" t="n">
        <v>45778.99305555555</v>
      </c>
      <c r="Y27" s="72" t="n">
        <v>45779.07083333333</v>
      </c>
      <c r="Z27" s="72" t="n">
        <v>45779.09166666667</v>
      </c>
      <c r="AA27" s="72" t="n">
        <v>45779.125</v>
      </c>
      <c r="AB27" s="72" t="n">
        <v>45779.33680555555</v>
      </c>
      <c r="AC27" s="72" t="n">
        <v>45781.46666666667</v>
      </c>
      <c r="AD27" s="72" t="n">
        <v>45781.53888888889</v>
      </c>
      <c r="AE27" s="72" t="n">
        <v>45781.55208333334</v>
      </c>
      <c r="AF27" s="72" t="n">
        <v>45781.64583333334</v>
      </c>
      <c r="AG27" s="197">
        <f>(Y27-X27)*1440</f>
        <v/>
      </c>
      <c r="AH27" s="197">
        <f>(Y27-U27)*1440</f>
        <v/>
      </c>
      <c r="AI27" s="197">
        <f>(Z27-X27)*1440</f>
        <v/>
      </c>
      <c r="AJ27" s="197">
        <f>(AA27-Z27)*1440</f>
        <v/>
      </c>
      <c r="AK27" s="197">
        <f>(AB27-AA27)*1440</f>
        <v/>
      </c>
      <c r="AL27" s="197">
        <f>(AD27-AC27)*1440</f>
        <v/>
      </c>
      <c r="AM27" s="197">
        <f>(AE27-AD27)*1440</f>
        <v/>
      </c>
      <c r="AN27" s="197">
        <f>(AF27-AE27)*1440</f>
        <v/>
      </c>
      <c r="AO27" s="197">
        <f>AI27+AJ27+AL27+AM27+AN27</f>
        <v/>
      </c>
      <c r="AP27" s="197">
        <f>(Y27-U27)</f>
        <v/>
      </c>
      <c r="AQ27" s="197">
        <f>(AC27-AB27)</f>
        <v/>
      </c>
      <c r="AR27" s="197">
        <f>AF27-Y27</f>
        <v/>
      </c>
      <c r="AS27" s="197">
        <f>(AF27-W27)</f>
        <v/>
      </c>
      <c r="AT27" s="76">
        <f>E27/AQ27</f>
        <v/>
      </c>
      <c r="AV27" s="38" t="n">
        <v>9600</v>
      </c>
      <c r="AW27" s="379">
        <f>(E27/AV27)+0.25</f>
        <v/>
      </c>
    </row>
    <row r="28">
      <c r="A28" s="101" t="n">
        <v>22</v>
      </c>
      <c r="B28" s="44" t="inlineStr">
        <is>
          <t>CHEM MIA</t>
        </is>
      </c>
      <c r="C28" s="73" t="n">
        <v>45782</v>
      </c>
      <c r="D28" s="47" t="n">
        <v>8800.638999999999</v>
      </c>
      <c r="E28" s="47" t="n">
        <v>8800.638999999999</v>
      </c>
      <c r="F28" s="90" t="n">
        <v>53</v>
      </c>
      <c r="G28" s="374">
        <f>+ROUND(D28*F28%,3)</f>
        <v/>
      </c>
      <c r="H28" s="375" t="inlineStr">
        <is>
          <t xml:space="preserve">IMACID </t>
        </is>
      </c>
      <c r="I28" s="375" t="inlineStr">
        <is>
          <t>FOB</t>
        </is>
      </c>
      <c r="P28" s="47" t="inlineStr">
        <is>
          <t>AMERIQUE</t>
        </is>
      </c>
      <c r="Q28" s="73" t="inlineStr">
        <is>
          <t>États-Unis</t>
        </is>
      </c>
      <c r="R28" s="81" t="n">
        <v>6</v>
      </c>
      <c r="S28" s="73" t="n">
        <v>45773</v>
      </c>
      <c r="T28" s="73" t="n">
        <v>45783</v>
      </c>
      <c r="U28" s="72" t="n">
        <v>45779.5625</v>
      </c>
      <c r="V28" s="72" t="n">
        <v>45779.5625</v>
      </c>
      <c r="W28" s="72" t="n">
        <v>45779.5625</v>
      </c>
      <c r="X28" s="72" t="n">
        <v>45782.07222222222</v>
      </c>
      <c r="Y28" s="72" t="n">
        <v>45782.15833333333</v>
      </c>
      <c r="Z28" s="72" t="n">
        <v>45782.18055555555</v>
      </c>
      <c r="AA28" s="72" t="n">
        <v>45782.20138888889</v>
      </c>
      <c r="AB28" s="72" t="n">
        <v>45782.23611111111</v>
      </c>
      <c r="AC28" s="72" t="n">
        <v>45782.875</v>
      </c>
      <c r="AD28" s="72" t="n">
        <v>45782.88888888889</v>
      </c>
      <c r="AE28" s="72" t="n">
        <v>45782.94791666666</v>
      </c>
      <c r="AF28" s="72" t="n">
        <v>45782.99305555555</v>
      </c>
      <c r="AG28" s="197">
        <f>(Y28-X28)*1440</f>
        <v/>
      </c>
      <c r="AH28" s="197">
        <f>(Y28-U28)*1440</f>
        <v/>
      </c>
      <c r="AI28" s="197">
        <f>(Z28-X28)*1440</f>
        <v/>
      </c>
      <c r="AJ28" s="197">
        <f>(AA28-Z28)*1440</f>
        <v/>
      </c>
      <c r="AK28" s="197">
        <f>(AB28-AA28)*1440</f>
        <v/>
      </c>
      <c r="AL28" s="197">
        <f>(AD28-AC28)*1440</f>
        <v/>
      </c>
      <c r="AM28" s="197">
        <f>(AE28-AD28)*1440</f>
        <v/>
      </c>
      <c r="AN28" s="197">
        <f>(AF28-AE28)*1440</f>
        <v/>
      </c>
      <c r="AO28" s="197">
        <f>AI28+AJ28+AL28+AM28+AN28</f>
        <v/>
      </c>
      <c r="AP28" s="197">
        <f>(Y28-U28)</f>
        <v/>
      </c>
      <c r="AQ28" s="197">
        <f>(AC28-AB28)</f>
        <v/>
      </c>
      <c r="AR28" s="197">
        <f>AF28-Y28</f>
        <v/>
      </c>
      <c r="AS28" s="197">
        <f>(AF28-W28)</f>
        <v/>
      </c>
      <c r="AT28" s="76">
        <f>E28/AQ28</f>
        <v/>
      </c>
      <c r="AV28" s="38" t="n">
        <v>9600</v>
      </c>
      <c r="AW28" s="379" t="n"/>
      <c r="AZ28" s="195" t="inlineStr">
        <is>
          <t>ACCOSTAGE RETARDE EN RAISON D’UN PROBLEME AU NIVEAU DE LA LEVEE DE L’ANCRE DU NAVIRE</t>
        </is>
      </c>
    </row>
    <row r="29">
      <c r="A29" s="101" t="n">
        <v>23</v>
      </c>
      <c r="B29" s="44" t="inlineStr">
        <is>
          <t>DAMSGAARD</t>
        </is>
      </c>
      <c r="C29" s="73" t="n">
        <v>45789</v>
      </c>
      <c r="D29" s="47" t="n">
        <v>19075.288</v>
      </c>
      <c r="E29" s="47" t="n">
        <v>19075.288</v>
      </c>
      <c r="F29" s="90" t="n">
        <v>53</v>
      </c>
      <c r="G29" s="374">
        <f>+ROUND(D29*F29%,3)</f>
        <v/>
      </c>
      <c r="H29" s="375" t="inlineStr">
        <is>
          <t>PMP</t>
        </is>
      </c>
      <c r="I29" s="375" t="n"/>
      <c r="P29" s="47" t="inlineStr">
        <is>
          <t xml:space="preserve">ASIE </t>
        </is>
      </c>
      <c r="Q29" s="73" t="inlineStr">
        <is>
          <t>PAKISTAN</t>
        </is>
      </c>
      <c r="R29" s="81" t="n">
        <v>5</v>
      </c>
      <c r="S29" s="73" t="n"/>
      <c r="T29" s="73" t="n"/>
      <c r="U29" s="72" t="n"/>
      <c r="V29" s="72" t="n"/>
      <c r="W29" s="72" t="n"/>
      <c r="X29" s="72" t="n"/>
      <c r="Y29" s="72" t="n"/>
      <c r="Z29" s="72" t="n"/>
      <c r="AA29" s="72" t="n">
        <v>45787.65972222222</v>
      </c>
      <c r="AB29" s="72" t="n"/>
      <c r="AC29" s="72" t="n"/>
      <c r="AD29" s="72" t="n"/>
      <c r="AE29" s="72" t="n"/>
      <c r="AF29" s="72" t="n"/>
      <c r="AG29" s="197">
        <f>(Y29-X29)*1440</f>
        <v/>
      </c>
      <c r="AH29" s="197">
        <f>(Y29-U29)*1440</f>
        <v/>
      </c>
      <c r="AI29" s="197">
        <f>(Z29-X29)*1440</f>
        <v/>
      </c>
      <c r="AJ29" s="197">
        <f>(AA29-Z29)*1440</f>
        <v/>
      </c>
      <c r="AK29" s="197">
        <f>(AB29-AA29)*1440</f>
        <v/>
      </c>
      <c r="AL29" s="197">
        <f>(AD29-AC29)*1440</f>
        <v/>
      </c>
      <c r="AM29" s="197">
        <f>(AE29-AD29)*1440</f>
        <v/>
      </c>
      <c r="AN29" s="197">
        <f>(AF29-AE29)*1440</f>
        <v/>
      </c>
      <c r="AO29" s="197">
        <f>AI29+AJ29+AL29+AM29+AN29</f>
        <v/>
      </c>
      <c r="AP29" s="197">
        <f>(Y29-U29)</f>
        <v/>
      </c>
      <c r="AQ29" s="197">
        <f>(AC29-AB29)</f>
        <v/>
      </c>
      <c r="AR29" s="197">
        <f>AF29-Y29</f>
        <v/>
      </c>
      <c r="AS29" s="197">
        <f>(AF29-W29)</f>
        <v/>
      </c>
      <c r="AT29" s="76">
        <f>E29/AQ29</f>
        <v/>
      </c>
      <c r="AV29" s="38" t="n">
        <v>9600</v>
      </c>
      <c r="AW29" s="379" t="n"/>
      <c r="AZ29" s="195" t="n"/>
    </row>
    <row r="30">
      <c r="A30" s="101" t="n">
        <v>24</v>
      </c>
      <c r="B30" s="44" t="inlineStr">
        <is>
          <t>CHEMROAD POLARIS</t>
        </is>
      </c>
      <c r="C30" s="73" t="n">
        <v>45792</v>
      </c>
      <c r="D30" s="47" t="n">
        <v>20994.2</v>
      </c>
      <c r="E30" s="47" t="n">
        <v>20994.2</v>
      </c>
      <c r="F30" s="90" t="n">
        <v>53</v>
      </c>
      <c r="G30" s="374">
        <f>+ROUND(D30*F30%,3)</f>
        <v/>
      </c>
      <c r="H30" s="375" t="inlineStr">
        <is>
          <t xml:space="preserve">IMACID </t>
        </is>
      </c>
      <c r="I30" s="375" t="n"/>
      <c r="P30" s="47" t="inlineStr">
        <is>
          <t xml:space="preserve">ASIE </t>
        </is>
      </c>
      <c r="Q30" s="73" t="inlineStr">
        <is>
          <t>INDE</t>
        </is>
      </c>
      <c r="R30" s="81" t="n">
        <v>6</v>
      </c>
      <c r="S30" s="73" t="n"/>
      <c r="T30" s="73" t="n"/>
      <c r="U30" s="72" t="n"/>
      <c r="V30" s="72" t="n"/>
      <c r="W30" s="72" t="n"/>
      <c r="X30" s="72" t="n"/>
      <c r="Y30" s="72" t="n"/>
      <c r="Z30" s="72" t="n"/>
      <c r="AA30" s="72" t="n"/>
      <c r="AB30" s="72" t="n"/>
      <c r="AC30" s="72" t="n">
        <v>45792.60833333333</v>
      </c>
      <c r="AD30" s="72" t="n">
        <v>45792.66666666666</v>
      </c>
      <c r="AE30" s="72" t="n">
        <v>45792.68472222222</v>
      </c>
      <c r="AF30" s="72" t="n">
        <v>45792.74166666667</v>
      </c>
      <c r="AG30" s="197">
        <f>(Y30-X30)*1440</f>
        <v/>
      </c>
      <c r="AH30" s="197">
        <f>(Y30-U30)*1440</f>
        <v/>
      </c>
      <c r="AI30" s="197">
        <f>(Z30-X30)*1440</f>
        <v/>
      </c>
      <c r="AJ30" s="197">
        <f>(AA30-Z30)*1440</f>
        <v/>
      </c>
      <c r="AK30" s="197">
        <f>(AB30-AA30)*1440</f>
        <v/>
      </c>
      <c r="AL30" s="197">
        <f>(AD30-AC30)*1440</f>
        <v/>
      </c>
      <c r="AM30" s="197">
        <f>(AE30-AD30)*1440</f>
        <v/>
      </c>
      <c r="AN30" s="197">
        <f>(AF30-AE30)*1440</f>
        <v/>
      </c>
      <c r="AO30" s="197">
        <f>AI30+AJ30+AL30+AM30+AN30</f>
        <v/>
      </c>
      <c r="AP30" s="197">
        <f>(Y30-U30)</f>
        <v/>
      </c>
      <c r="AQ30" s="197">
        <f>(AC30-AB30)</f>
        <v/>
      </c>
      <c r="AR30" s="197">
        <f>AF30-Y30</f>
        <v/>
      </c>
      <c r="AS30" s="197">
        <f>(AF30-W30)</f>
        <v/>
      </c>
      <c r="AT30" s="76">
        <f>E30/AQ30</f>
        <v/>
      </c>
      <c r="AV30" s="38" t="n">
        <v>9600</v>
      </c>
      <c r="AW30" s="379" t="n"/>
      <c r="AZ30" s="195" t="n"/>
    </row>
    <row r="31">
      <c r="A31" s="101" t="n">
        <v>25</v>
      </c>
      <c r="B31" s="44" t="inlineStr">
        <is>
          <t>BLADE GALAXY</t>
        </is>
      </c>
      <c r="C31" s="73" t="n">
        <v>45793</v>
      </c>
      <c r="D31" s="47" t="n">
        <v>9239.773999999999</v>
      </c>
      <c r="E31" s="47" t="n">
        <v>9239.773999999999</v>
      </c>
      <c r="F31" s="90" t="n">
        <v>53</v>
      </c>
      <c r="G31" s="374">
        <f>+ROUND(D31*F31%,3)</f>
        <v/>
      </c>
      <c r="H31" s="375" t="inlineStr">
        <is>
          <t xml:space="preserve">IMACID </t>
        </is>
      </c>
      <c r="I31" s="375" t="n"/>
      <c r="P31" s="47" t="inlineStr">
        <is>
          <t>AMERIQUE</t>
        </is>
      </c>
      <c r="Q31" s="73" t="inlineStr">
        <is>
          <t>USA</t>
        </is>
      </c>
      <c r="R31" s="81" t="n">
        <v>6</v>
      </c>
      <c r="S31" s="73" t="n"/>
      <c r="T31" s="73" t="n"/>
      <c r="U31" s="72" t="n"/>
      <c r="V31" s="72" t="n"/>
      <c r="W31" s="72" t="n"/>
      <c r="X31" s="72" t="n"/>
      <c r="Y31" s="72" t="n"/>
      <c r="Z31" s="72" t="n"/>
      <c r="AA31" s="72" t="n"/>
      <c r="AB31" s="72" t="n"/>
      <c r="AC31" s="72" t="n"/>
      <c r="AD31" s="72" t="n"/>
      <c r="AE31" s="72" t="n"/>
      <c r="AF31" s="72" t="n"/>
      <c r="AG31" s="197">
        <f>(Y31-X31)*1440</f>
        <v/>
      </c>
      <c r="AH31" s="197">
        <f>(Y31-U31)*1440</f>
        <v/>
      </c>
      <c r="AI31" s="197">
        <f>(Z31-X31)*1440</f>
        <v/>
      </c>
      <c r="AJ31" s="197">
        <f>(AA31-Z31)*1440</f>
        <v/>
      </c>
      <c r="AK31" s="197">
        <f>(AB31-AA31)*1440</f>
        <v/>
      </c>
      <c r="AL31" s="197">
        <f>(AD31-AC31)*1440</f>
        <v/>
      </c>
      <c r="AM31" s="197">
        <f>(AE31-AD31)*1440</f>
        <v/>
      </c>
      <c r="AN31" s="197">
        <f>(AF31-AE31)*1440</f>
        <v/>
      </c>
      <c r="AO31" s="197">
        <f>AI31+AJ31+AL31+AM31+AN31</f>
        <v/>
      </c>
      <c r="AP31" s="197">
        <f>(Y31-U31)</f>
        <v/>
      </c>
      <c r="AQ31" s="197">
        <f>(AC31-AB31)</f>
        <v/>
      </c>
      <c r="AR31" s="197">
        <f>AF31-Y31</f>
        <v/>
      </c>
      <c r="AS31" s="197">
        <f>(AF31-W31)</f>
        <v/>
      </c>
      <c r="AT31" s="76">
        <f>E31/AQ31</f>
        <v/>
      </c>
      <c r="AV31" s="38" t="n">
        <v>9600</v>
      </c>
      <c r="AW31" s="379" t="n"/>
      <c r="AZ31" s="195" t="n"/>
    </row>
    <row r="32">
      <c r="A32" s="101" t="n">
        <v>26</v>
      </c>
      <c r="B32" s="44" t="inlineStr">
        <is>
          <t>OGINO PARK</t>
        </is>
      </c>
      <c r="C32" s="73" t="n">
        <v>45796</v>
      </c>
      <c r="D32" s="47" t="n">
        <v>19085.773</v>
      </c>
      <c r="E32" s="47" t="n">
        <v>19085.773</v>
      </c>
      <c r="F32" s="90" t="n">
        <v>53</v>
      </c>
      <c r="G32" s="374">
        <f>+ROUND(D32*F32%,3)</f>
        <v/>
      </c>
      <c r="H32" s="375" t="inlineStr">
        <is>
          <t>PMP</t>
        </is>
      </c>
      <c r="I32" s="375" t="n"/>
      <c r="P32" s="47" t="inlineStr">
        <is>
          <t xml:space="preserve">ASIE </t>
        </is>
      </c>
      <c r="Q32" s="73" t="inlineStr">
        <is>
          <t>PAKISTAN</t>
        </is>
      </c>
      <c r="R32" s="81" t="n">
        <v>7</v>
      </c>
      <c r="S32" s="73" t="n"/>
      <c r="T32" s="73" t="n"/>
      <c r="U32" s="72" t="n"/>
      <c r="V32" s="72" t="n"/>
      <c r="W32" s="72" t="n"/>
      <c r="X32" s="72" t="n"/>
      <c r="Y32" s="72" t="n"/>
      <c r="Z32" s="72" t="n"/>
      <c r="AA32" s="72" t="n"/>
      <c r="AB32" s="72" t="n"/>
      <c r="AC32" s="72" t="n"/>
      <c r="AD32" s="72" t="n"/>
      <c r="AE32" s="72" t="n"/>
      <c r="AF32" s="72" t="n"/>
      <c r="AG32" s="197">
        <f>(Y32-X32)*1440</f>
        <v/>
      </c>
      <c r="AH32" s="197">
        <f>(Y32-U32)*1440</f>
        <v/>
      </c>
      <c r="AI32" s="197">
        <f>(Z32-X32)*1440</f>
        <v/>
      </c>
      <c r="AJ32" s="197">
        <f>(AA32-Z32)*1440</f>
        <v/>
      </c>
      <c r="AK32" s="197">
        <f>(AB32-AA32)*1440</f>
        <v/>
      </c>
      <c r="AL32" s="197">
        <f>(AD32-AC32)*1440</f>
        <v/>
      </c>
      <c r="AM32" s="197">
        <f>(AE32-AD32)*1440</f>
        <v/>
      </c>
      <c r="AN32" s="197">
        <f>(AF32-AE32)*1440</f>
        <v/>
      </c>
      <c r="AO32" s="197">
        <f>AI32+AJ32+AL32+AM32+AN32</f>
        <v/>
      </c>
      <c r="AP32" s="197">
        <f>(Y32-U32)</f>
        <v/>
      </c>
      <c r="AQ32" s="197">
        <f>(AC32-AB32)</f>
        <v/>
      </c>
      <c r="AR32" s="197">
        <f>AF32-Y32</f>
        <v/>
      </c>
      <c r="AS32" s="197">
        <f>(AF32-W32)</f>
        <v/>
      </c>
      <c r="AT32" s="76">
        <f>E32/AQ32</f>
        <v/>
      </c>
      <c r="AV32" s="38" t="n">
        <v>9600</v>
      </c>
      <c r="AW32" s="379" t="n"/>
      <c r="AZ32" s="195" t="n"/>
    </row>
    <row r="33">
      <c r="A33" s="101" t="n">
        <v>27</v>
      </c>
      <c r="B33" s="44" t="inlineStr">
        <is>
          <t xml:space="preserve">GINGA LIGER </t>
        </is>
      </c>
      <c r="C33" s="73" t="n">
        <v>45806</v>
      </c>
      <c r="D33" s="47" t="n">
        <v>23099.571</v>
      </c>
      <c r="E33" s="47" t="n">
        <v>23099.571</v>
      </c>
      <c r="F33" s="90" t="n">
        <v>53</v>
      </c>
      <c r="G33" s="374">
        <f>+ROUND(D33*F33%,3)</f>
        <v/>
      </c>
      <c r="H33" s="375" t="n"/>
      <c r="P33" s="47" t="n"/>
      <c r="Q33" s="73" t="n"/>
      <c r="R33" s="81" t="n">
        <v>6</v>
      </c>
      <c r="S33" s="73" t="n"/>
      <c r="T33" s="73" t="n"/>
      <c r="U33" s="72" t="n"/>
      <c r="V33" s="72" t="n"/>
      <c r="W33" s="72" t="n"/>
      <c r="X33" s="72" t="n"/>
      <c r="Y33" s="72" t="n"/>
      <c r="Z33" s="72" t="n"/>
      <c r="AA33" s="72" t="n"/>
      <c r="AB33" s="72" t="n"/>
      <c r="AC33" s="72" t="n"/>
      <c r="AD33" s="72" t="n"/>
      <c r="AE33" s="72" t="n"/>
      <c r="AF33" s="72" t="n"/>
      <c r="AG33" s="197">
        <f>(Y33-X33)*1440</f>
        <v/>
      </c>
      <c r="AH33" s="197">
        <f>(Y33-U33)*1440</f>
        <v/>
      </c>
      <c r="AI33" s="197">
        <f>(Z33-X33)*1440</f>
        <v/>
      </c>
      <c r="AJ33" s="197">
        <f>(AA33-Z33)*1440</f>
        <v/>
      </c>
      <c r="AK33" s="197">
        <f>(AB33-AA33)*1440</f>
        <v/>
      </c>
      <c r="AL33" s="197">
        <f>(AD33-AC33)*1440</f>
        <v/>
      </c>
      <c r="AM33" s="197">
        <f>(AE33-AD33)*1440</f>
        <v/>
      </c>
      <c r="AN33" s="197">
        <f>(AF33-AE33)*1440</f>
        <v/>
      </c>
      <c r="AO33" s="197">
        <f>AI33+AJ33+AL33+AM33+AN33</f>
        <v/>
      </c>
      <c r="AP33" s="197">
        <f>(Y33-U33)</f>
        <v/>
      </c>
      <c r="AQ33" s="197">
        <f>(AC33-AB33)</f>
        <v/>
      </c>
      <c r="AR33" s="197">
        <f>AF33-Y33</f>
        <v/>
      </c>
      <c r="AS33" s="197">
        <f>(AF33-W33)</f>
        <v/>
      </c>
      <c r="AT33" s="76">
        <f>E33/AQ33</f>
        <v/>
      </c>
      <c r="AV33" s="38" t="n">
        <v>9600</v>
      </c>
      <c r="AW33" s="379" t="n"/>
      <c r="AZ33" s="195" t="n"/>
    </row>
    <row r="34" ht="14.55" customHeight="1" s="70">
      <c r="A34" s="101" t="n">
        <v>28</v>
      </c>
      <c r="B34" s="44" t="inlineStr">
        <is>
          <t>CHEMROAD ROSE</t>
        </is>
      </c>
      <c r="C34" s="73" t="n">
        <v>45808</v>
      </c>
      <c r="D34" s="47" t="n">
        <v>2991.999</v>
      </c>
      <c r="E34" s="47">
        <f>D34+D35</f>
        <v/>
      </c>
      <c r="F34" s="90" t="n">
        <v>53</v>
      </c>
      <c r="G34" s="374">
        <f>+ROUND(D34*F34%,3)</f>
        <v/>
      </c>
      <c r="H34" s="375" t="inlineStr">
        <is>
          <t>PMP</t>
        </is>
      </c>
      <c r="P34" s="47" t="inlineStr">
        <is>
          <t xml:space="preserve">ASIE </t>
        </is>
      </c>
      <c r="Q34" s="73" t="inlineStr">
        <is>
          <t>PAKISTAN</t>
        </is>
      </c>
      <c r="R34" s="81" t="n">
        <v>7</v>
      </c>
      <c r="S34" s="73" t="n"/>
      <c r="T34" s="73" t="n"/>
      <c r="U34" s="72" t="n"/>
      <c r="V34" s="72" t="n"/>
      <c r="W34" s="72" t="n"/>
      <c r="X34" s="72" t="n"/>
      <c r="Y34" s="72" t="n"/>
      <c r="Z34" s="72" t="n"/>
      <c r="AA34" s="72" t="n"/>
      <c r="AB34" s="72" t="n"/>
      <c r="AC34" s="72" t="n"/>
      <c r="AD34" s="72" t="n"/>
      <c r="AE34" s="72" t="n"/>
      <c r="AF34" s="72" t="n">
        <v>45808.62847222222</v>
      </c>
      <c r="AG34" s="197">
        <f>(Y34-X34)*1440</f>
        <v/>
      </c>
      <c r="AH34" s="197">
        <f>(Y34-U34)*1440</f>
        <v/>
      </c>
      <c r="AI34" s="197">
        <f>(Z34-X34)*1440</f>
        <v/>
      </c>
      <c r="AJ34" s="197">
        <f>(AA34-Z34)*1440</f>
        <v/>
      </c>
      <c r="AK34" s="197">
        <f>(AB34-AA34)*1440</f>
        <v/>
      </c>
      <c r="AL34" s="197">
        <f>(AD34-AC34)*1440</f>
        <v/>
      </c>
      <c r="AM34" s="197">
        <f>(AE34-AD34)*1440</f>
        <v/>
      </c>
      <c r="AN34" s="197">
        <f>(AF34-AE34)*1440</f>
        <v/>
      </c>
      <c r="AO34" s="197">
        <f>AI34+AJ34+AL34+AM34+AN34</f>
        <v/>
      </c>
      <c r="AP34" s="197">
        <f>(Y34-U34)</f>
        <v/>
      </c>
      <c r="AQ34" s="197">
        <f>(AC34-AB34)</f>
        <v/>
      </c>
      <c r="AR34" s="197">
        <f>AF34-Y34</f>
        <v/>
      </c>
      <c r="AS34" s="197">
        <f>(AF34-W34)</f>
        <v/>
      </c>
      <c r="AT34" s="76">
        <f>E34/AQ34</f>
        <v/>
      </c>
      <c r="AV34" s="38" t="n">
        <v>9600</v>
      </c>
      <c r="AW34" s="379" t="n"/>
      <c r="AZ34" s="195" t="inlineStr">
        <is>
          <t>NUL</t>
        </is>
      </c>
    </row>
    <row r="35" ht="15" customHeight="1" s="70">
      <c r="A35" s="101" t="n"/>
      <c r="B35" s="44" t="inlineStr">
        <is>
          <t>CHEMROAD ROSE</t>
        </is>
      </c>
      <c r="C35" s="73" t="n">
        <v>45808</v>
      </c>
      <c r="D35" s="47" t="n">
        <v>25690.809</v>
      </c>
      <c r="E35" s="380" t="n"/>
      <c r="F35" s="90" t="n">
        <v>53</v>
      </c>
      <c r="G35" s="374">
        <f>+ROUND(D35*F35%,3)</f>
        <v/>
      </c>
      <c r="H35" s="375" t="inlineStr">
        <is>
          <t>PMP</t>
        </is>
      </c>
      <c r="P35" s="47" t="inlineStr">
        <is>
          <t xml:space="preserve">ASIE </t>
        </is>
      </c>
      <c r="Q35" s="73" t="inlineStr">
        <is>
          <t>PAKISTAN</t>
        </is>
      </c>
      <c r="R35" s="380" t="n"/>
      <c r="S35" s="380" t="n"/>
      <c r="T35" s="380" t="n"/>
      <c r="U35" s="380" t="n"/>
      <c r="V35" s="380" t="n"/>
      <c r="W35" s="380" t="n"/>
      <c r="X35" s="380" t="n"/>
      <c r="Y35" s="380" t="n"/>
      <c r="Z35" s="380" t="n"/>
      <c r="AA35" s="380" t="n"/>
      <c r="AB35" s="380" t="n"/>
      <c r="AC35" s="380" t="n"/>
      <c r="AD35" s="380" t="n"/>
      <c r="AE35" s="380" t="n"/>
      <c r="AF35" s="380" t="n"/>
      <c r="AG35" s="380" t="n"/>
      <c r="AH35" s="380" t="n"/>
      <c r="AI35" s="380" t="n"/>
      <c r="AJ35" s="380" t="n"/>
      <c r="AK35" s="380" t="n"/>
      <c r="AL35" s="380" t="n"/>
      <c r="AM35" s="380" t="n"/>
      <c r="AN35" s="380" t="n"/>
      <c r="AO35" s="380" t="n"/>
      <c r="AP35" s="380" t="n"/>
      <c r="AQ35" s="380" t="n"/>
      <c r="AR35" s="380" t="n"/>
      <c r="AS35" s="380" t="n"/>
      <c r="AT35" s="380" t="n"/>
      <c r="AU35" s="380" t="n"/>
      <c r="AV35" s="380" t="n"/>
      <c r="AW35" s="380" t="n"/>
      <c r="AZ35" s="195" t="inlineStr">
        <is>
          <t>NUL</t>
        </is>
      </c>
    </row>
    <row r="36" customFormat="1" s="159">
      <c r="A36" s="167" t="n">
        <v>29</v>
      </c>
      <c r="B36" s="168" t="inlineStr">
        <is>
          <t xml:space="preserve">TAKAO GALAXY </t>
        </is>
      </c>
      <c r="C36" s="155" t="n">
        <v>45811</v>
      </c>
      <c r="D36" s="169" t="n">
        <v>23099.213</v>
      </c>
      <c r="E36" s="169" t="n">
        <v>23099.213</v>
      </c>
      <c r="F36" s="170" t="n">
        <v>53</v>
      </c>
      <c r="G36" s="386">
        <f>+ROUND(D36*F36%,3)</f>
        <v/>
      </c>
      <c r="H36" s="387" t="n"/>
      <c r="O36" s="172" t="n"/>
      <c r="P36" s="169" t="inlineStr">
        <is>
          <t xml:space="preserve">ASIE </t>
        </is>
      </c>
      <c r="Q36" s="155" t="inlineStr">
        <is>
          <t>INDE</t>
        </is>
      </c>
      <c r="R36" s="173" t="n">
        <v>5</v>
      </c>
      <c r="S36" s="155" t="n"/>
      <c r="T36" s="155" t="n"/>
      <c r="U36" s="174" t="n"/>
      <c r="V36" s="174" t="n"/>
      <c r="W36" s="174" t="n"/>
      <c r="X36" s="174" t="n"/>
      <c r="Y36" s="174" t="n"/>
      <c r="Z36" s="174" t="n"/>
      <c r="AA36" s="174" t="n"/>
      <c r="AB36" s="174" t="n"/>
      <c r="AC36" s="174" t="n"/>
      <c r="AD36" s="174" t="n"/>
      <c r="AE36" s="174" t="n"/>
      <c r="AF36" s="174" t="n"/>
      <c r="AG36" s="162" t="n"/>
      <c r="AH36" s="162" t="n"/>
      <c r="AI36" s="162" t="n"/>
      <c r="AJ36" s="162" t="n"/>
      <c r="AK36" s="162" t="n"/>
      <c r="AL36" s="162" t="n"/>
      <c r="AM36" s="162" t="n"/>
      <c r="AN36" s="162" t="n"/>
      <c r="AO36" s="162" t="n"/>
      <c r="AP36" s="162" t="n"/>
      <c r="AQ36" s="162" t="n"/>
      <c r="AR36" s="162" t="n"/>
      <c r="AS36" s="162" t="n"/>
      <c r="AT36" s="163" t="n"/>
      <c r="AV36" s="175" t="n">
        <v>9600</v>
      </c>
      <c r="AW36" s="388" t="n"/>
      <c r="AZ36" s="158" t="n"/>
    </row>
    <row r="37" customFormat="1" s="182">
      <c r="A37" s="176" t="n">
        <v>30</v>
      </c>
      <c r="B37" s="177" t="inlineStr">
        <is>
          <t>EVA HANSA</t>
        </is>
      </c>
      <c r="C37" s="178" t="n">
        <v>45816</v>
      </c>
      <c r="D37" s="179" t="n">
        <v>19192.377</v>
      </c>
      <c r="E37" s="179" t="n">
        <v>19192.377</v>
      </c>
      <c r="F37" s="180" t="n">
        <v>53</v>
      </c>
      <c r="G37" s="389">
        <f>+ROUND(D37*F37%,3)</f>
        <v/>
      </c>
      <c r="H37" s="390" t="inlineStr">
        <is>
          <t>PMP</t>
        </is>
      </c>
      <c r="O37" s="183" t="n"/>
      <c r="P37" s="179" t="inlineStr">
        <is>
          <t xml:space="preserve">ASIE </t>
        </is>
      </c>
      <c r="Q37" s="178" t="inlineStr">
        <is>
          <t>PAKISTAN</t>
        </is>
      </c>
      <c r="R37" s="184" t="n">
        <v>7</v>
      </c>
      <c r="S37" s="178" t="n"/>
      <c r="T37" s="178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  <c r="AC37" s="185" t="n"/>
      <c r="AD37" s="185" t="n"/>
      <c r="AE37" s="185" t="n"/>
      <c r="AF37" s="185" t="n"/>
      <c r="AG37" s="186" t="n"/>
      <c r="AH37" s="186" t="n"/>
      <c r="AI37" s="186" t="n"/>
      <c r="AJ37" s="186" t="n"/>
      <c r="AK37" s="186" t="n"/>
      <c r="AL37" s="186" t="n"/>
      <c r="AM37" s="186" t="n"/>
      <c r="AN37" s="186" t="n"/>
      <c r="AO37" s="186" t="n"/>
      <c r="AP37" s="186" t="n"/>
      <c r="AQ37" s="186" t="n"/>
      <c r="AR37" s="186" t="n"/>
      <c r="AS37" s="186" t="n"/>
      <c r="AT37" s="187" t="n"/>
      <c r="AV37" s="188" t="n">
        <v>9600</v>
      </c>
      <c r="AW37" s="391" t="n"/>
      <c r="AZ37" s="189" t="n"/>
    </row>
    <row r="38" ht="14.55" customFormat="1" customHeight="1" s="182">
      <c r="A38" s="176" t="n">
        <v>31</v>
      </c>
      <c r="B38" s="177" t="inlineStr">
        <is>
          <t>FAIRCHEM VALOR</t>
        </is>
      </c>
      <c r="C38" s="178" t="n">
        <v>45824</v>
      </c>
      <c r="D38" s="179" t="n">
        <v>7612.464</v>
      </c>
      <c r="E38" s="179">
        <f>D38+D39</f>
        <v/>
      </c>
      <c r="F38" s="180" t="n">
        <v>53</v>
      </c>
      <c r="G38" s="389">
        <f>+ROUND(D38*F38%,3)</f>
        <v/>
      </c>
      <c r="H38" s="390" t="inlineStr">
        <is>
          <t>PMP</t>
        </is>
      </c>
      <c r="O38" s="183" t="n"/>
      <c r="P38" s="179" t="inlineStr">
        <is>
          <t>AMERIQUE</t>
        </is>
      </c>
      <c r="Q38" s="178" t="inlineStr">
        <is>
          <t>USA</t>
        </is>
      </c>
      <c r="R38" s="184" t="inlineStr">
        <is>
          <t>6//7</t>
        </is>
      </c>
      <c r="S38" s="178" t="n"/>
      <c r="T38" s="178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  <c r="AC38" s="185" t="n"/>
      <c r="AD38" s="185" t="n"/>
      <c r="AE38" s="185" t="n"/>
      <c r="AF38" s="185" t="n"/>
      <c r="AG38" s="186" t="n"/>
      <c r="AH38" s="186" t="n"/>
      <c r="AI38" s="186" t="n"/>
      <c r="AJ38" s="186" t="n"/>
      <c r="AK38" s="186" t="n"/>
      <c r="AL38" s="186" t="n"/>
      <c r="AM38" s="186" t="n"/>
      <c r="AN38" s="186" t="n"/>
      <c r="AO38" s="186" t="n"/>
      <c r="AP38" s="186" t="n"/>
      <c r="AQ38" s="186" t="n"/>
      <c r="AR38" s="186" t="n"/>
      <c r="AS38" s="186" t="n"/>
      <c r="AT38" s="187" t="n"/>
      <c r="AV38" s="188" t="n">
        <v>9600</v>
      </c>
      <c r="AW38" s="391" t="n"/>
      <c r="AZ38" s="189" t="inlineStr">
        <is>
          <t>CHANGE DU POSTE 6 VERS POSTE 7 LE 15/06- 1220</t>
        </is>
      </c>
    </row>
    <row r="39" ht="14.55" customFormat="1" customHeight="1" s="182">
      <c r="A39" s="176" t="n"/>
      <c r="B39" s="177" t="inlineStr">
        <is>
          <t>FAIRCHEM VALOR</t>
        </is>
      </c>
      <c r="C39" s="178" t="n">
        <v>45824</v>
      </c>
      <c r="D39" s="179" t="n">
        <v>4199.96</v>
      </c>
      <c r="E39" s="392" t="n"/>
      <c r="F39" s="180" t="n">
        <v>53</v>
      </c>
      <c r="G39" s="389">
        <f>+ROUND(D39*F39%,3)</f>
        <v/>
      </c>
      <c r="H39" s="390" t="inlineStr">
        <is>
          <t xml:space="preserve">IMACID </t>
        </is>
      </c>
      <c r="O39" s="183" t="n"/>
      <c r="P39" s="179" t="inlineStr">
        <is>
          <t>AMERIQUE</t>
        </is>
      </c>
      <c r="Q39" s="178" t="inlineStr">
        <is>
          <t>USA</t>
        </is>
      </c>
      <c r="R39" s="392" t="n"/>
      <c r="S39" s="392" t="n"/>
      <c r="T39" s="392" t="n"/>
      <c r="U39" s="392" t="n"/>
      <c r="V39" s="392" t="n"/>
      <c r="W39" s="392" t="n"/>
      <c r="X39" s="392" t="n"/>
      <c r="Y39" s="392" t="n"/>
      <c r="Z39" s="392" t="n"/>
      <c r="AA39" s="392" t="n"/>
      <c r="AB39" s="392" t="n"/>
      <c r="AC39" s="392" t="n"/>
      <c r="AD39" s="392" t="n"/>
      <c r="AE39" s="392" t="n"/>
      <c r="AF39" s="392" t="n"/>
      <c r="AG39" s="392" t="n"/>
      <c r="AH39" s="392" t="n"/>
      <c r="AI39" s="392" t="n"/>
      <c r="AJ39" s="392" t="n"/>
      <c r="AK39" s="392" t="n"/>
      <c r="AL39" s="392" t="n"/>
      <c r="AM39" s="392" t="n"/>
      <c r="AN39" s="392" t="n"/>
      <c r="AO39" s="392" t="n"/>
      <c r="AP39" s="392" t="n"/>
      <c r="AQ39" s="392" t="n"/>
      <c r="AR39" s="392" t="n"/>
      <c r="AS39" s="392" t="n"/>
      <c r="AT39" s="392" t="n"/>
      <c r="AU39" s="392" t="n"/>
      <c r="AV39" s="392" t="n"/>
      <c r="AW39" s="392" t="n"/>
      <c r="AZ39" s="189" t="inlineStr">
        <is>
          <t>CHANGE DU POSTE 6 VERS POSTE 7 LE 15/06- 1220</t>
        </is>
      </c>
    </row>
    <row r="40" ht="15" customFormat="1" customHeight="1" s="159">
      <c r="A40" s="167" t="n">
        <v>32</v>
      </c>
      <c r="B40" s="168" t="inlineStr">
        <is>
          <t>KOMODO PARK</t>
        </is>
      </c>
      <c r="C40" s="155" t="n">
        <v>45826</v>
      </c>
      <c r="D40" s="169" t="n">
        <v>19101.755</v>
      </c>
      <c r="E40" s="169" t="n">
        <v>19101.755</v>
      </c>
      <c r="F40" s="170" t="n">
        <v>53</v>
      </c>
      <c r="G40" s="386">
        <f>+ROUND(D40*F40%,3)</f>
        <v/>
      </c>
      <c r="H40" s="387" t="inlineStr">
        <is>
          <t xml:space="preserve">IMACID </t>
        </is>
      </c>
      <c r="O40" s="172" t="n"/>
      <c r="P40" s="169" t="inlineStr">
        <is>
          <t xml:space="preserve">ASIE </t>
        </is>
      </c>
      <c r="Q40" s="155" t="inlineStr">
        <is>
          <t>INDE</t>
        </is>
      </c>
      <c r="R40" s="173" t="n">
        <v>6</v>
      </c>
      <c r="S40" s="155" t="n"/>
      <c r="T40" s="155" t="n"/>
      <c r="U40" s="174" t="n"/>
      <c r="V40" s="174" t="n"/>
      <c r="W40" s="174" t="n"/>
      <c r="X40" s="174" t="n"/>
      <c r="Y40" s="174" t="n"/>
      <c r="Z40" s="174" t="n"/>
      <c r="AA40" s="174" t="n"/>
      <c r="AB40" s="174" t="n"/>
      <c r="AC40" s="174" t="n"/>
      <c r="AD40" s="174" t="n"/>
      <c r="AE40" s="174" t="n"/>
      <c r="AF40" s="174" t="n"/>
      <c r="AG40" s="162" t="n"/>
      <c r="AH40" s="162" t="n"/>
      <c r="AI40" s="162" t="n"/>
      <c r="AJ40" s="162" t="n"/>
      <c r="AK40" s="162" t="n"/>
      <c r="AL40" s="162" t="n"/>
      <c r="AM40" s="162" t="n"/>
      <c r="AN40" s="162" t="n"/>
      <c r="AO40" s="162" t="n"/>
      <c r="AP40" s="162" t="n"/>
      <c r="AQ40" s="162" t="n"/>
      <c r="AR40" s="162" t="n"/>
      <c r="AS40" s="162" t="n"/>
      <c r="AT40" s="163" t="n"/>
      <c r="AV40" s="175" t="n"/>
      <c r="AW40" s="388" t="n"/>
    </row>
    <row r="41" customFormat="1" s="159">
      <c r="A41" s="167" t="n">
        <v>33</v>
      </c>
      <c r="B41" s="168" t="inlineStr">
        <is>
          <t>STANLEY PARK</t>
        </is>
      </c>
      <c r="C41" s="155" t="n">
        <v>45830</v>
      </c>
      <c r="D41" s="169" t="n">
        <v>19101.906</v>
      </c>
      <c r="E41" s="169" t="n">
        <v>19101.906</v>
      </c>
      <c r="F41" s="170" t="n">
        <v>53</v>
      </c>
      <c r="G41" s="386">
        <f>+ROUND(D41*F41%,3)</f>
        <v/>
      </c>
      <c r="H41" s="387" t="inlineStr">
        <is>
          <t>PMP</t>
        </is>
      </c>
      <c r="O41" s="172" t="n"/>
      <c r="P41" s="169" t="inlineStr">
        <is>
          <t xml:space="preserve">ASIE </t>
        </is>
      </c>
      <c r="Q41" s="155" t="inlineStr">
        <is>
          <t>PAKISTAN</t>
        </is>
      </c>
      <c r="R41" s="173" t="n">
        <v>6</v>
      </c>
      <c r="S41" s="155" t="n"/>
      <c r="T41" s="155" t="n"/>
      <c r="U41" s="174" t="n"/>
      <c r="V41" s="174" t="n"/>
      <c r="W41" s="174" t="n"/>
      <c r="X41" s="174" t="n"/>
      <c r="Y41" s="174" t="n"/>
      <c r="Z41" s="174" t="n"/>
      <c r="AA41" s="174" t="n"/>
      <c r="AB41" s="174" t="n"/>
      <c r="AC41" s="174" t="n"/>
      <c r="AD41" s="174" t="n"/>
      <c r="AE41" s="174" t="n"/>
      <c r="AF41" s="174" t="n"/>
      <c r="AG41" s="162" t="n"/>
      <c r="AH41" s="162" t="n"/>
      <c r="AI41" s="162" t="n"/>
      <c r="AJ41" s="162" t="n"/>
      <c r="AK41" s="162" t="n"/>
      <c r="AL41" s="162" t="n"/>
      <c r="AM41" s="162" t="n"/>
      <c r="AN41" s="162" t="n"/>
      <c r="AO41" s="162" t="n"/>
      <c r="AP41" s="162" t="n"/>
      <c r="AQ41" s="162" t="n"/>
      <c r="AR41" s="162" t="n"/>
      <c r="AS41" s="162" t="n"/>
      <c r="AT41" s="163" t="n"/>
      <c r="AV41" s="175" t="n"/>
      <c r="AW41" s="388" t="n"/>
    </row>
    <row r="42" customFormat="1" s="159">
      <c r="A42" s="167" t="n">
        <v>34</v>
      </c>
      <c r="B42" s="168" t="inlineStr">
        <is>
          <t xml:space="preserve">GALLOP </t>
        </is>
      </c>
      <c r="C42" s="155" t="n">
        <v>45837</v>
      </c>
      <c r="D42" s="169" t="n">
        <v>33584.357</v>
      </c>
      <c r="E42" s="169" t="n">
        <v>33584.357</v>
      </c>
      <c r="F42" s="170" t="n">
        <v>53</v>
      </c>
      <c r="G42" s="386">
        <f>+ROUND(D42*F42%,3)</f>
        <v/>
      </c>
      <c r="H42" s="387" t="inlineStr">
        <is>
          <t xml:space="preserve">IMACID </t>
        </is>
      </c>
      <c r="O42" s="172" t="n"/>
      <c r="P42" s="169" t="inlineStr">
        <is>
          <t xml:space="preserve">ASIE </t>
        </is>
      </c>
      <c r="Q42" s="155" t="inlineStr">
        <is>
          <t>INDE</t>
        </is>
      </c>
      <c r="R42" s="173" t="n">
        <v>5</v>
      </c>
      <c r="S42" s="155" t="n"/>
      <c r="T42" s="155" t="n"/>
      <c r="U42" s="174" t="n"/>
      <c r="V42" s="174" t="n"/>
      <c r="W42" s="174" t="n"/>
      <c r="X42" s="174" t="n"/>
      <c r="Y42" s="174" t="n"/>
      <c r="Z42" s="174" t="n"/>
      <c r="AA42" s="174" t="n"/>
      <c r="AB42" s="174" t="n"/>
      <c r="AC42" s="174" t="n"/>
      <c r="AD42" s="174" t="n"/>
      <c r="AE42" s="174" t="n"/>
      <c r="AF42" s="174" t="n"/>
      <c r="AG42" s="162" t="n"/>
      <c r="AH42" s="162" t="n"/>
      <c r="AI42" s="162" t="n"/>
      <c r="AJ42" s="162" t="n"/>
      <c r="AK42" s="162" t="n"/>
      <c r="AL42" s="162" t="n"/>
      <c r="AM42" s="162" t="n"/>
      <c r="AN42" s="162" t="n"/>
      <c r="AO42" s="162" t="n"/>
      <c r="AP42" s="162" t="n"/>
      <c r="AQ42" s="162" t="n"/>
      <c r="AR42" s="162" t="n"/>
      <c r="AS42" s="162" t="n"/>
      <c r="AT42" s="163" t="n"/>
      <c r="AV42" s="175" t="n"/>
      <c r="AW42" s="388" t="n"/>
    </row>
    <row r="43">
      <c r="A43" s="101" t="n">
        <v>35</v>
      </c>
      <c r="B43" s="44" t="inlineStr">
        <is>
          <t>CHEMROAD HAWK</t>
        </is>
      </c>
      <c r="C43" s="73" t="n">
        <v>45840</v>
      </c>
      <c r="D43" s="47" t="n">
        <v>31477.747</v>
      </c>
      <c r="E43" s="47" t="n">
        <v>31477.747</v>
      </c>
      <c r="F43" s="90" t="n">
        <v>53</v>
      </c>
      <c r="G43" s="374">
        <f>+ROUND(D43*F43%,3)</f>
        <v/>
      </c>
      <c r="H43" s="375" t="inlineStr">
        <is>
          <t>PMP</t>
        </is>
      </c>
      <c r="P43" s="47" t="inlineStr">
        <is>
          <t xml:space="preserve">ASIE </t>
        </is>
      </c>
      <c r="Q43" s="73" t="inlineStr">
        <is>
          <t>PAKISTAN</t>
        </is>
      </c>
      <c r="R43" s="81" t="inlineStr">
        <is>
          <t>4BIS</t>
        </is>
      </c>
      <c r="S43" s="73" t="n">
        <v>45832</v>
      </c>
      <c r="T43" s="73" t="n">
        <v>45835</v>
      </c>
      <c r="U43" s="72" t="n">
        <v>45835.16666666666</v>
      </c>
      <c r="V43" s="72" t="n">
        <v>45835.19583333333</v>
      </c>
      <c r="W43" s="72" t="n">
        <v>45835.19583333333</v>
      </c>
      <c r="X43" s="72" t="n">
        <v>45837.60416666666</v>
      </c>
      <c r="Y43" s="72" t="n">
        <v>45837.6875</v>
      </c>
      <c r="Z43" s="72" t="n">
        <v>45837.70138888889</v>
      </c>
      <c r="AA43" s="72" t="n">
        <v>45837.73611111111</v>
      </c>
      <c r="AB43" s="72" t="n">
        <v>45837.79166666666</v>
      </c>
      <c r="AC43" s="72" t="n">
        <v>45840.85416666666</v>
      </c>
      <c r="AD43" s="72" t="n">
        <v>45840.90694444445</v>
      </c>
      <c r="AE43" s="72" t="n">
        <v>45840.92638888889</v>
      </c>
      <c r="AF43" s="72" t="n">
        <v>45840.98958333334</v>
      </c>
      <c r="AG43" s="197">
        <f>(Y43-X43)*1440</f>
        <v/>
      </c>
      <c r="AH43" s="197">
        <f>(Y43-U43)*1440</f>
        <v/>
      </c>
      <c r="AI43" s="197">
        <f>(Z43-X43)*1440</f>
        <v/>
      </c>
      <c r="AJ43" s="197">
        <f>(AA43-Z43)*1440</f>
        <v/>
      </c>
      <c r="AK43" s="197">
        <f>(AB43-AA43)*1440</f>
        <v/>
      </c>
      <c r="AL43" s="197">
        <f>(AD43-AC43)*1440</f>
        <v/>
      </c>
      <c r="AM43" s="197">
        <f>(AE43-AD43)*1440</f>
        <v/>
      </c>
      <c r="AN43" s="197">
        <f>(AF43-AE43)*1440</f>
        <v/>
      </c>
      <c r="AO43" s="197">
        <f>AI43+AJ43+AL43+AM43+AN43</f>
        <v/>
      </c>
      <c r="AP43" s="197">
        <f>(Y43-U43)</f>
        <v/>
      </c>
      <c r="AQ43" s="197">
        <f>(AC43-AB43)</f>
        <v/>
      </c>
      <c r="AR43" s="197">
        <f>AF43-Y43</f>
        <v/>
      </c>
      <c r="AS43" s="197">
        <f>(AF43-W43)</f>
        <v/>
      </c>
      <c r="AT43" s="76">
        <f>E43/AQ43</f>
        <v/>
      </c>
      <c r="AV43" s="38" t="n">
        <v>9600</v>
      </c>
      <c r="AW43" s="379" t="n"/>
    </row>
    <row r="44">
      <c r="A44" s="101" t="n">
        <v>36</v>
      </c>
      <c r="B44" s="44" t="inlineStr">
        <is>
          <t>HONOR GALAXY</t>
        </is>
      </c>
      <c r="C44" s="73" t="n">
        <v>45848</v>
      </c>
      <c r="D44" s="47" t="n">
        <v>11864.333</v>
      </c>
      <c r="E44" s="47" t="n">
        <v>11864.333</v>
      </c>
      <c r="F44" s="90" t="n">
        <v>53</v>
      </c>
      <c r="G44" s="374">
        <f>+ROUND(D44*F44%,3)</f>
        <v/>
      </c>
      <c r="H44" s="375" t="inlineStr">
        <is>
          <t xml:space="preserve">IMACID </t>
        </is>
      </c>
      <c r="P44" s="47" t="inlineStr">
        <is>
          <t>AMERIQUE</t>
        </is>
      </c>
      <c r="Q44" s="73" t="inlineStr">
        <is>
          <t>USA</t>
        </is>
      </c>
      <c r="R44" s="81" t="inlineStr">
        <is>
          <t>4BIS</t>
        </is>
      </c>
      <c r="S44" s="73" t="n">
        <v>45843</v>
      </c>
      <c r="T44" s="73" t="n">
        <v>45847</v>
      </c>
      <c r="U44" s="72" t="n">
        <v>45841.9375</v>
      </c>
      <c r="V44" s="72" t="n">
        <v>45841.97083333333</v>
      </c>
      <c r="W44" s="72" t="n">
        <v>45841.97083333333</v>
      </c>
      <c r="X44" s="72" t="n">
        <v>45847.18263888889</v>
      </c>
      <c r="Y44" s="72" t="n">
        <v>45847.2375</v>
      </c>
      <c r="Z44" s="72" t="n">
        <v>45847.27083333334</v>
      </c>
      <c r="AA44" s="72" t="n">
        <v>45847.30208333334</v>
      </c>
      <c r="AB44" s="72" t="n">
        <v>45847.3625</v>
      </c>
      <c r="AC44" s="72" t="n">
        <v>45848.36666666667</v>
      </c>
      <c r="AD44" s="72" t="n">
        <v>45848.40416666667</v>
      </c>
      <c r="AE44" s="72" t="n">
        <v>45848.47777777778</v>
      </c>
      <c r="AF44" s="72" t="n">
        <v>45848.57777777778</v>
      </c>
      <c r="AG44" s="197">
        <f>(Y44-X44)*1440</f>
        <v/>
      </c>
      <c r="AH44" s="197">
        <f>(Y44-U44)*1440</f>
        <v/>
      </c>
      <c r="AI44" s="197">
        <f>(Z44-X44)*1440</f>
        <v/>
      </c>
      <c r="AJ44" s="197">
        <f>(AA44-Z44)*1440</f>
        <v/>
      </c>
      <c r="AK44" s="197">
        <f>(AB44-AA44)*1440</f>
        <v/>
      </c>
      <c r="AL44" s="197">
        <f>(AD44-AC44)*1440</f>
        <v/>
      </c>
      <c r="AM44" s="197">
        <f>(AE44-AD44)*1440</f>
        <v/>
      </c>
      <c r="AN44" s="197">
        <f>(AF44-AE44)*1440</f>
        <v/>
      </c>
      <c r="AO44" s="197">
        <f>AI44+AJ44+AL44+AM44+AN44</f>
        <v/>
      </c>
      <c r="AP44" s="197">
        <f>(Y44-U44)</f>
        <v/>
      </c>
      <c r="AQ44" s="197">
        <f>(AC44-AB44)</f>
        <v/>
      </c>
      <c r="AR44" s="197">
        <f>AF44-Y44</f>
        <v/>
      </c>
      <c r="AS44" s="197">
        <f>(AF44-W44)</f>
        <v/>
      </c>
      <c r="AT44" s="76">
        <f>E44/AQ44</f>
        <v/>
      </c>
      <c r="AV44" s="38" t="n">
        <v>9601</v>
      </c>
      <c r="AW44" s="379" t="n"/>
    </row>
    <row r="45">
      <c r="A45" s="101" t="n">
        <v>37</v>
      </c>
      <c r="B45" s="44" t="inlineStr">
        <is>
          <t>HYDE PARK</t>
        </is>
      </c>
      <c r="C45" s="73" t="n">
        <v>45853</v>
      </c>
      <c r="D45" s="47" t="n">
        <v>19140.513</v>
      </c>
      <c r="E45" s="47" t="n">
        <v>19140.513</v>
      </c>
      <c r="F45" s="90" t="n">
        <v>53</v>
      </c>
      <c r="G45" s="374">
        <f>+ROUND(D45*F45%,3)</f>
        <v/>
      </c>
      <c r="H45" s="375" t="inlineStr">
        <is>
          <t>PMP</t>
        </is>
      </c>
      <c r="P45" s="47" t="inlineStr">
        <is>
          <t xml:space="preserve">ASIE </t>
        </is>
      </c>
      <c r="Q45" s="73" t="inlineStr">
        <is>
          <t>PAKISTAN</t>
        </is>
      </c>
      <c r="R45" s="81" t="n">
        <v>6</v>
      </c>
      <c r="S45" s="73" t="n">
        <v>45845</v>
      </c>
      <c r="T45" s="73" t="n">
        <v>45848</v>
      </c>
      <c r="U45" s="72" t="n">
        <v>45849.58333333334</v>
      </c>
      <c r="V45" s="72" t="n">
        <v>45849.58333333334</v>
      </c>
      <c r="W45" s="72" t="n">
        <v>45849.58333333334</v>
      </c>
      <c r="X45" s="72" t="n">
        <v>45851.9375</v>
      </c>
      <c r="Y45" s="72" t="n">
        <v>45852.08333333334</v>
      </c>
      <c r="Z45" s="72" t="n">
        <v>45852.10416666666</v>
      </c>
      <c r="AA45" s="72" t="n">
        <v>45852.13194444445</v>
      </c>
      <c r="AB45" s="72" t="n">
        <v>45852.52777777778</v>
      </c>
      <c r="AC45" s="72" t="n">
        <v>45854.94444444445</v>
      </c>
      <c r="AD45" s="72" t="n">
        <v>45854.99305555555</v>
      </c>
      <c r="AE45" s="72" t="n">
        <v>45855.01388888889</v>
      </c>
      <c r="AF45" s="72" t="n">
        <v>45855.05902777778</v>
      </c>
      <c r="AG45" s="197">
        <f>(Y45-X45)*1440</f>
        <v/>
      </c>
      <c r="AH45" s="197">
        <f>(Y45-U45)*1440</f>
        <v/>
      </c>
      <c r="AI45" s="197">
        <f>(Z45-X45)*1440</f>
        <v/>
      </c>
      <c r="AJ45" s="197">
        <f>(AA45-Z45)*1440</f>
        <v/>
      </c>
      <c r="AK45" s="197">
        <f>(AB45-AA45)*1440</f>
        <v/>
      </c>
      <c r="AL45" s="197">
        <f>(AD45-AC45)*1440</f>
        <v/>
      </c>
      <c r="AM45" s="197">
        <f>(AE45-AD45)*1440</f>
        <v/>
      </c>
      <c r="AN45" s="197">
        <f>(AF45-AE45)*1440</f>
        <v/>
      </c>
      <c r="AO45" s="197">
        <f>AI45+AJ45+AL45+AM45+AN45</f>
        <v/>
      </c>
      <c r="AP45" s="197">
        <f>(Y45-U45)</f>
        <v/>
      </c>
      <c r="AQ45" s="197">
        <f>(AC45-AB45)</f>
        <v/>
      </c>
      <c r="AR45" s="197">
        <f>AF45-Y45</f>
        <v/>
      </c>
      <c r="AS45" s="197">
        <f>(AF45-W45)</f>
        <v/>
      </c>
      <c r="AT45" s="76">
        <f>E45/AQ45</f>
        <v/>
      </c>
      <c r="AV45" s="38" t="n">
        <v>9602</v>
      </c>
      <c r="AW45" s="379" t="n"/>
      <c r="AZ45" s="195" t="inlineStr">
        <is>
          <t>NUL</t>
        </is>
      </c>
    </row>
    <row r="46">
      <c r="A46" s="101" t="n">
        <v>38</v>
      </c>
      <c r="B46" s="44" t="inlineStr">
        <is>
          <t>CHEMROAD HOPE</t>
        </is>
      </c>
      <c r="C46" s="73" t="n">
        <v>45860</v>
      </c>
      <c r="D46" s="47" t="n">
        <v>30780</v>
      </c>
      <c r="E46" s="47" t="n">
        <v>30780</v>
      </c>
      <c r="F46" s="90" t="n">
        <v>53</v>
      </c>
      <c r="G46" s="374">
        <f>+ROUND(D46*F46%,3)</f>
        <v/>
      </c>
      <c r="H46" s="375" t="inlineStr">
        <is>
          <t xml:space="preserve">IMACID </t>
        </is>
      </c>
      <c r="P46" s="47" t="inlineStr">
        <is>
          <t xml:space="preserve">ASIE </t>
        </is>
      </c>
      <c r="Q46" s="73" t="inlineStr">
        <is>
          <t>INDE</t>
        </is>
      </c>
      <c r="R46" s="81" t="inlineStr">
        <is>
          <t>4BIS</t>
        </is>
      </c>
      <c r="S46" s="73" t="n">
        <v>45854</v>
      </c>
      <c r="T46" s="73" t="n">
        <v>45857</v>
      </c>
      <c r="U46" s="72" t="n">
        <v>45854.80416666667</v>
      </c>
      <c r="V46" s="72" t="n">
        <v>45854.875</v>
      </c>
      <c r="W46" s="72" t="n">
        <v>45854.875</v>
      </c>
      <c r="X46" s="72" t="n">
        <v>45856.72083333333</v>
      </c>
      <c r="Y46" s="72" t="n">
        <v>45856.84583333333</v>
      </c>
      <c r="Z46" s="72" t="n">
        <v>45856.86111111111</v>
      </c>
      <c r="AA46" s="72" t="n">
        <v>45856.89930555555</v>
      </c>
      <c r="AB46" s="72" t="n">
        <v>45856.97569444445</v>
      </c>
      <c r="AC46" s="72" t="n">
        <v>45860.53472222222</v>
      </c>
      <c r="AD46" s="72" t="n">
        <v>45860.59027777778</v>
      </c>
      <c r="AE46" s="72" t="n">
        <v>45860.625</v>
      </c>
      <c r="AF46" s="72" t="n">
        <v>45860.73611111111</v>
      </c>
      <c r="AG46" s="197">
        <f>(Y46-X46)*1440</f>
        <v/>
      </c>
      <c r="AH46" s="197">
        <f>(Y46-U46)*1440</f>
        <v/>
      </c>
      <c r="AI46" s="197">
        <f>(Z46-X46)*1440</f>
        <v/>
      </c>
      <c r="AJ46" s="197">
        <f>(AA46-Z46)*1440</f>
        <v/>
      </c>
      <c r="AK46" s="197">
        <f>(AB46-AA46)*1440</f>
        <v/>
      </c>
      <c r="AL46" s="197">
        <f>(AD46-AC46)*1440</f>
        <v/>
      </c>
      <c r="AM46" s="197">
        <f>(AE46-AD46)*1440</f>
        <v/>
      </c>
      <c r="AN46" s="197">
        <f>(AF46-AE46)*1440</f>
        <v/>
      </c>
      <c r="AO46" s="197">
        <f>AI46+AJ46+AL46+AM46+AN46</f>
        <v/>
      </c>
      <c r="AP46" s="197">
        <f>(Y46-U46)</f>
        <v/>
      </c>
      <c r="AQ46" s="197">
        <f>(AC46-AB46)</f>
        <v/>
      </c>
      <c r="AR46" s="197">
        <f>AF46-Y46</f>
        <v/>
      </c>
      <c r="AS46" s="197">
        <f>(AF46-W46)</f>
        <v/>
      </c>
      <c r="AT46" s="76">
        <f>E46/AQ46</f>
        <v/>
      </c>
      <c r="AV46" s="38" t="n">
        <v>9603</v>
      </c>
      <c r="AW46" s="379" t="n"/>
    </row>
    <row r="47">
      <c r="A47" s="101" t="n">
        <v>39</v>
      </c>
      <c r="B47" s="44" t="inlineStr">
        <is>
          <t>LIVATYA</t>
        </is>
      </c>
      <c r="C47" s="73" t="n">
        <v>45862</v>
      </c>
      <c r="D47" s="47" t="n">
        <v>5600</v>
      </c>
      <c r="E47" s="47" t="n">
        <v>5600</v>
      </c>
      <c r="F47" s="90" t="n">
        <v>53</v>
      </c>
      <c r="G47" s="374">
        <f>+ROUND(D47*F47%,3)</f>
        <v/>
      </c>
      <c r="H47" s="375" t="n"/>
      <c r="P47" s="47" t="inlineStr">
        <is>
          <t>EUROPE</t>
        </is>
      </c>
      <c r="Q47" s="73" t="inlineStr">
        <is>
          <t>Espagne</t>
        </is>
      </c>
      <c r="R47" s="81" t="n">
        <v>6</v>
      </c>
      <c r="S47" s="73" t="n">
        <v>45857</v>
      </c>
      <c r="T47" s="73" t="n">
        <v>45859</v>
      </c>
      <c r="U47" s="72" t="n">
        <v>45856.43333333333</v>
      </c>
      <c r="V47" s="72" t="n">
        <v>45856.45416666667</v>
      </c>
      <c r="W47" s="72" t="n">
        <v>45856.45416666667</v>
      </c>
      <c r="X47" s="72" t="n">
        <v>45860.94791666666</v>
      </c>
      <c r="Y47" s="72" t="n">
        <v>45861.08333333334</v>
      </c>
      <c r="Z47" s="72" t="n">
        <v>45861.0875</v>
      </c>
      <c r="AA47" s="72" t="n">
        <v>45861.10763888889</v>
      </c>
      <c r="AB47" s="72" t="n">
        <v>45861.34375</v>
      </c>
      <c r="AC47" s="72" t="n">
        <v>45862.08333333334</v>
      </c>
      <c r="AD47" s="72" t="n">
        <v>45862.11805555555</v>
      </c>
      <c r="AE47" s="72" t="n">
        <v>45862.14930555555</v>
      </c>
      <c r="AF47" s="72" t="n">
        <v>45862.23611111111</v>
      </c>
      <c r="AG47" s="197">
        <f>(Y47-X47)*1440</f>
        <v/>
      </c>
      <c r="AH47" s="197">
        <f>(Y47-U47)*1440</f>
        <v/>
      </c>
      <c r="AI47" s="197">
        <f>(Z47-X47)*1440</f>
        <v/>
      </c>
      <c r="AJ47" s="197">
        <f>(AA47-Z47)*1440</f>
        <v/>
      </c>
      <c r="AK47" s="197">
        <f>(AB47-AA47)*1440</f>
        <v/>
      </c>
      <c r="AL47" s="197">
        <f>(AD47-AC47)*1440</f>
        <v/>
      </c>
      <c r="AM47" s="197">
        <f>(AE47-AD47)*1440</f>
        <v/>
      </c>
      <c r="AN47" s="197">
        <f>(AF47-AE47)*1440</f>
        <v/>
      </c>
      <c r="AO47" s="197">
        <f>AI47+AJ47+AL47+AM47+AN47</f>
        <v/>
      </c>
      <c r="AP47" s="197">
        <f>(Y47-U47)</f>
        <v/>
      </c>
      <c r="AQ47" s="197">
        <f>(AC47-AB47)</f>
        <v/>
      </c>
      <c r="AR47" s="197">
        <f>AF47-Y47</f>
        <v/>
      </c>
      <c r="AS47" s="197">
        <f>(AF47-W47)</f>
        <v/>
      </c>
      <c r="AT47" s="76">
        <f>E47/AQ47</f>
        <v/>
      </c>
      <c r="AV47" s="38" t="n">
        <v>9604</v>
      </c>
      <c r="AW47" s="379" t="n"/>
    </row>
    <row r="48">
      <c r="A48" s="101" t="n">
        <v>40</v>
      </c>
      <c r="B48" s="44" t="inlineStr">
        <is>
          <t>EVA FUKUOKA</t>
        </is>
      </c>
      <c r="C48" s="73" t="n">
        <v>45865</v>
      </c>
      <c r="D48" s="47" t="n">
        <v>24192.094</v>
      </c>
      <c r="E48" s="47" t="n">
        <v>24192.094</v>
      </c>
      <c r="F48" s="90" t="n">
        <v>53</v>
      </c>
      <c r="G48" s="374">
        <f>+ROUND(D48*F48%,3)</f>
        <v/>
      </c>
      <c r="H48" s="375" t="inlineStr">
        <is>
          <t>PMP</t>
        </is>
      </c>
      <c r="P48" s="47" t="inlineStr">
        <is>
          <t xml:space="preserve">ASIE </t>
        </is>
      </c>
      <c r="Q48" s="73" t="inlineStr">
        <is>
          <t>PAKISTAN</t>
        </is>
      </c>
      <c r="R48" s="196" t="inlineStr">
        <is>
          <t>6//7</t>
        </is>
      </c>
      <c r="S48" s="73" t="n">
        <v>45854</v>
      </c>
      <c r="T48" s="73" t="n">
        <v>45857</v>
      </c>
      <c r="U48" s="72" t="n">
        <v>45860.83333333334</v>
      </c>
      <c r="V48" s="72" t="n">
        <v>45861.25</v>
      </c>
      <c r="W48" s="72" t="n">
        <v>45861.25</v>
      </c>
      <c r="X48" s="72" t="n">
        <v>45862.23611111111</v>
      </c>
      <c r="Y48" s="72" t="n">
        <v>45862.29166666666</v>
      </c>
      <c r="Z48" s="72" t="n">
        <v>45862.3125</v>
      </c>
      <c r="AA48" s="72" t="n">
        <v>45862.34722222222</v>
      </c>
      <c r="AB48" s="72" t="n">
        <v>45862.51041666666</v>
      </c>
      <c r="AC48" s="72" t="n">
        <v>45865.175</v>
      </c>
      <c r="AD48" s="72" t="n">
        <v>45865.22916666666</v>
      </c>
      <c r="AE48" s="72" t="n">
        <v>45865.24305555555</v>
      </c>
      <c r="AF48" s="72" t="n">
        <v>45865.33333333334</v>
      </c>
      <c r="AG48" s="197">
        <f>(Y48-X48)*1440</f>
        <v/>
      </c>
      <c r="AH48" s="197">
        <f>(Y48-U48)*1440</f>
        <v/>
      </c>
      <c r="AI48" s="197">
        <f>(Z48-X48)*1440</f>
        <v/>
      </c>
      <c r="AJ48" s="197">
        <f>(AA48-Z48)*1440</f>
        <v/>
      </c>
      <c r="AK48" s="197">
        <f>(AB48-AA48)*1440</f>
        <v/>
      </c>
      <c r="AL48" s="197">
        <f>(AD48-AC48)*1440</f>
        <v/>
      </c>
      <c r="AM48" s="197">
        <f>(AE48-AD48)*1440</f>
        <v/>
      </c>
      <c r="AN48" s="197">
        <f>(AF48-AE48)*1440</f>
        <v/>
      </c>
      <c r="AO48" s="197">
        <f>AI48+AJ48+AL48+AM48+AN48</f>
        <v/>
      </c>
      <c r="AP48" s="197">
        <f>(Y48-U48)</f>
        <v/>
      </c>
      <c r="AQ48" s="197">
        <f>(AC48-AB48)</f>
        <v/>
      </c>
      <c r="AR48" s="197">
        <f>AF48-Y48</f>
        <v/>
      </c>
      <c r="AS48" s="197">
        <f>(AF48-W48)</f>
        <v/>
      </c>
      <c r="AT48" s="76">
        <f>E48/AQ48</f>
        <v/>
      </c>
      <c r="AV48" s="38" t="n">
        <v>9605</v>
      </c>
      <c r="AW48" s="379" t="n"/>
      <c r="AZ48" s="195" t="inlineStr">
        <is>
          <t>NOR RECU LE 23/07- 0600 // CHANGE DU POSTE 6 VERS POSTE 7 LE 25/07- 1212</t>
        </is>
      </c>
    </row>
    <row r="49" ht="14.55" customHeight="1" s="70">
      <c r="A49" s="101" t="n">
        <v>41</v>
      </c>
      <c r="B49" s="44" t="inlineStr">
        <is>
          <t>GINGA LION</t>
        </is>
      </c>
      <c r="C49" s="15" t="n">
        <v>45868</v>
      </c>
      <c r="D49" s="47" t="n">
        <v>4848.536</v>
      </c>
      <c r="E49" s="47">
        <f>D49+D50</f>
        <v/>
      </c>
      <c r="F49" s="90" t="n">
        <v>53</v>
      </c>
      <c r="G49" s="374">
        <f>+ROUND(D49*F49%,3)</f>
        <v/>
      </c>
      <c r="H49" s="375" t="inlineStr">
        <is>
          <t xml:space="preserve">IMACID </t>
        </is>
      </c>
      <c r="P49" s="47" t="inlineStr">
        <is>
          <t xml:space="preserve">ASIE </t>
        </is>
      </c>
      <c r="Q49" s="73" t="inlineStr">
        <is>
          <t>INDE</t>
        </is>
      </c>
      <c r="R49" s="81" t="n">
        <v>7</v>
      </c>
      <c r="S49" s="73" t="inlineStr">
        <is>
          <t>-</t>
        </is>
      </c>
      <c r="T49" s="73" t="inlineStr">
        <is>
          <t>-</t>
        </is>
      </c>
      <c r="U49" s="72" t="n">
        <v>45864.275</v>
      </c>
      <c r="V49" s="72" t="n">
        <v>45864.31666666667</v>
      </c>
      <c r="W49" s="72" t="n">
        <v>45864.31666666667</v>
      </c>
      <c r="X49" s="72" t="n">
        <v>45866.60208333333</v>
      </c>
      <c r="Y49" s="72" t="n">
        <v>45866.65</v>
      </c>
      <c r="Z49" s="72" t="n">
        <v>45866.68402777778</v>
      </c>
      <c r="AA49" s="72" t="n">
        <v>45866.71180555555</v>
      </c>
      <c r="AB49" s="72" t="n">
        <v>45866.78472222222</v>
      </c>
      <c r="AC49" s="72" t="n">
        <v>45868.15625</v>
      </c>
      <c r="AD49" s="72" t="n">
        <v>45868.21875</v>
      </c>
      <c r="AE49" s="72" t="n">
        <v>45868.23958333334</v>
      </c>
      <c r="AF49" s="72" t="n">
        <v>45868.375</v>
      </c>
      <c r="AG49" s="197">
        <f>(Y49-X49)*1440</f>
        <v/>
      </c>
      <c r="AH49" s="197">
        <f>(Y49-U49)*1440</f>
        <v/>
      </c>
      <c r="AI49" s="197">
        <f>(Z49-X49)*1440</f>
        <v/>
      </c>
      <c r="AJ49" s="197">
        <f>(AA49-Z49)*1440</f>
        <v/>
      </c>
      <c r="AK49" s="197">
        <f>(AB49-AA49)*1440</f>
        <v/>
      </c>
      <c r="AL49" s="197">
        <f>(AD49-AC49)*1440</f>
        <v/>
      </c>
      <c r="AM49" s="197">
        <f>(AE49-AD49)*1440</f>
        <v/>
      </c>
      <c r="AN49" s="197">
        <f>(AF49-AE49)*1440</f>
        <v/>
      </c>
      <c r="AO49" s="197">
        <f>AI49+AJ49+AL49+AM49+AN49</f>
        <v/>
      </c>
      <c r="AP49" s="197">
        <f>(Y49-U49)</f>
        <v/>
      </c>
      <c r="AQ49" s="197">
        <f>(AC49-AB49)</f>
        <v/>
      </c>
      <c r="AR49" s="197">
        <f>AF49-Y49</f>
        <v/>
      </c>
      <c r="AS49" s="197">
        <f>(AF49-W49)</f>
        <v/>
      </c>
      <c r="AT49" s="76">
        <f>E49/AQ49</f>
        <v/>
      </c>
      <c r="AV49" s="38" t="n">
        <v>9606</v>
      </c>
      <c r="AW49" s="379" t="n"/>
      <c r="AZ49" s="195" t="inlineStr">
        <is>
          <t>NUL</t>
        </is>
      </c>
    </row>
    <row r="50" ht="15" customHeight="1" s="70">
      <c r="A50" s="101" t="n"/>
      <c r="B50" s="44" t="inlineStr">
        <is>
          <t>GINGA LION</t>
        </is>
      </c>
      <c r="C50" s="15" t="n">
        <v>45868</v>
      </c>
      <c r="D50" s="47" t="n">
        <v>10667.389</v>
      </c>
      <c r="E50" s="380" t="n"/>
      <c r="F50" s="90" t="n">
        <v>53</v>
      </c>
      <c r="G50" s="374">
        <f>+ROUND(D50*F50%,3)</f>
        <v/>
      </c>
      <c r="H50" s="375" t="inlineStr">
        <is>
          <t xml:space="preserve">IMACID </t>
        </is>
      </c>
      <c r="P50" s="47" t="inlineStr">
        <is>
          <t xml:space="preserve">ASIE </t>
        </is>
      </c>
      <c r="Q50" s="73" t="inlineStr">
        <is>
          <t>INDE</t>
        </is>
      </c>
      <c r="R50" s="380" t="n"/>
      <c r="S50" s="380" t="n"/>
      <c r="T50" s="380" t="n"/>
      <c r="U50" s="380" t="n"/>
      <c r="V50" s="380" t="n"/>
      <c r="W50" s="380" t="n"/>
      <c r="X50" s="380" t="n"/>
      <c r="Y50" s="380" t="n"/>
      <c r="Z50" s="380" t="n"/>
      <c r="AA50" s="380" t="n"/>
      <c r="AB50" s="380" t="n"/>
      <c r="AC50" s="380" t="n"/>
      <c r="AD50" s="380" t="n"/>
      <c r="AE50" s="380" t="n"/>
      <c r="AF50" s="380" t="n"/>
      <c r="AG50" s="380" t="n"/>
      <c r="AH50" s="380" t="n"/>
      <c r="AI50" s="380" t="n"/>
      <c r="AJ50" s="380" t="n"/>
      <c r="AK50" s="380" t="n"/>
      <c r="AL50" s="380" t="n"/>
      <c r="AM50" s="380" t="n"/>
      <c r="AN50" s="380" t="n"/>
      <c r="AO50" s="380" t="n"/>
      <c r="AP50" s="380" t="n"/>
      <c r="AQ50" s="380" t="n"/>
      <c r="AR50" s="380" t="n"/>
      <c r="AS50" s="380" t="n"/>
      <c r="AT50" s="380" t="n"/>
      <c r="AU50" s="380" t="n"/>
      <c r="AV50" s="380" t="n"/>
      <c r="AW50" s="380" t="n"/>
      <c r="AZ50" s="195" t="n"/>
    </row>
    <row r="51">
      <c r="A51" s="101" t="n">
        <v>42</v>
      </c>
      <c r="B51" s="44" t="inlineStr">
        <is>
          <t>CHEMROAD WING</t>
        </is>
      </c>
      <c r="C51" s="73" t="n">
        <v>45871</v>
      </c>
      <c r="D51" s="47" t="n">
        <v>29669.764</v>
      </c>
      <c r="E51" s="47" t="n">
        <v>29669.764</v>
      </c>
      <c r="F51" s="90" t="n">
        <v>53</v>
      </c>
      <c r="G51" s="374">
        <f>+ROUND(D51*F51%,3)</f>
        <v/>
      </c>
      <c r="H51" s="375" t="inlineStr">
        <is>
          <t>PMP</t>
        </is>
      </c>
      <c r="P51" s="47" t="inlineStr">
        <is>
          <t xml:space="preserve">ASIE </t>
        </is>
      </c>
      <c r="Q51" s="73" t="inlineStr">
        <is>
          <t>PAKISTAN</t>
        </is>
      </c>
      <c r="R51" s="81" t="n">
        <v>7</v>
      </c>
      <c r="S51" s="73" t="n">
        <v>45864</v>
      </c>
      <c r="T51" s="73" t="n">
        <v>45867</v>
      </c>
      <c r="U51" s="72" t="n">
        <v>45864.41666666666</v>
      </c>
      <c r="V51" s="72" t="n">
        <v>45864.45138888889</v>
      </c>
      <c r="W51" s="72" t="n">
        <v>45864.45138888889</v>
      </c>
      <c r="X51" s="72" t="n">
        <v>45868.375</v>
      </c>
      <c r="Y51" s="72" t="n">
        <v>45868.47916666666</v>
      </c>
      <c r="Z51" s="72" t="n">
        <v>45868.5</v>
      </c>
      <c r="AA51" s="72" t="n">
        <v>45868.53472222222</v>
      </c>
      <c r="AB51" s="72" t="n">
        <v>45868.5625</v>
      </c>
      <c r="AC51" s="72" t="n">
        <v>45871.41319444445</v>
      </c>
      <c r="AD51" s="72" t="n">
        <v>45871.46041666667</v>
      </c>
      <c r="AE51" s="72" t="n">
        <v>45871.47916666666</v>
      </c>
      <c r="AF51" s="72" t="n">
        <v>45871.54861111111</v>
      </c>
      <c r="AG51" s="197">
        <f>(Y51-X51)*1440</f>
        <v/>
      </c>
      <c r="AH51" s="197">
        <f>(Y51-U51)*1440</f>
        <v/>
      </c>
      <c r="AI51" s="197">
        <f>(Z51-X51)*1440</f>
        <v/>
      </c>
      <c r="AJ51" s="197">
        <f>(AA51-Z51)*1440</f>
        <v/>
      </c>
      <c r="AK51" s="197">
        <f>(AB51-AA51)*1440</f>
        <v/>
      </c>
      <c r="AL51" s="197">
        <f>(AD51-AC51)*1440</f>
        <v/>
      </c>
      <c r="AM51" s="197">
        <f>(AE51-AD51)*1440</f>
        <v/>
      </c>
      <c r="AN51" s="197">
        <f>(AF51-AE51)*1440</f>
        <v/>
      </c>
      <c r="AO51" s="197">
        <f>AI51+AJ51+AL51+AM51+AN51</f>
        <v/>
      </c>
      <c r="AP51" s="197">
        <f>(Y51-U51)</f>
        <v/>
      </c>
      <c r="AQ51" s="197">
        <f>(AC51-AB51)</f>
        <v/>
      </c>
      <c r="AR51" s="197">
        <f>AF51-Y51</f>
        <v/>
      </c>
      <c r="AS51" s="197">
        <f>(AF51-W51)</f>
        <v/>
      </c>
      <c r="AT51" s="76">
        <f>E51/AQ51</f>
        <v/>
      </c>
      <c r="AV51" s="38" t="n">
        <v>9600</v>
      </c>
      <c r="AW51" s="379" t="n"/>
      <c r="AZ51" s="195" t="n"/>
    </row>
    <row r="52">
      <c r="A52" s="101" t="n">
        <v>43</v>
      </c>
      <c r="B52" s="44" t="inlineStr">
        <is>
          <t>FURANO GALAXY</t>
        </is>
      </c>
      <c r="C52" s="73" t="n">
        <v>45872</v>
      </c>
      <c r="D52" s="47" t="n">
        <v>11850.443</v>
      </c>
      <c r="E52" s="47" t="n">
        <v>11850.443</v>
      </c>
      <c r="F52" s="90" t="n">
        <v>53</v>
      </c>
      <c r="G52" s="374">
        <f>+ROUND(D52*F52%,3)</f>
        <v/>
      </c>
      <c r="H52" s="375" t="inlineStr">
        <is>
          <t xml:space="preserve">IMACID </t>
        </is>
      </c>
      <c r="P52" s="47" t="inlineStr">
        <is>
          <t>AMERIQUE</t>
        </is>
      </c>
      <c r="Q52" s="73" t="inlineStr">
        <is>
          <t>USA</t>
        </is>
      </c>
      <c r="R52" s="81" t="n">
        <v>7</v>
      </c>
      <c r="S52" s="73" t="n">
        <v>45865</v>
      </c>
      <c r="T52" s="73" t="n">
        <v>45867</v>
      </c>
      <c r="U52" s="72" t="n">
        <v>45866.25555555556</v>
      </c>
      <c r="V52" s="72" t="n">
        <v>45866.28333333333</v>
      </c>
      <c r="W52" s="72" t="n">
        <v>45866.28333333333</v>
      </c>
      <c r="X52" s="72" t="n">
        <v>45871.54861111111</v>
      </c>
      <c r="Y52" s="72" t="n">
        <v>45871.60416666666</v>
      </c>
      <c r="Z52" s="72" t="n">
        <v>45871.62222222222</v>
      </c>
      <c r="AA52" s="72" t="n">
        <v>45871.64583333334</v>
      </c>
      <c r="AB52" s="72" t="n">
        <v>45871.69444444445</v>
      </c>
      <c r="AC52" s="72" t="n">
        <v>45872.52430555555</v>
      </c>
      <c r="AD52" s="72" t="n">
        <v>45872.57638888889</v>
      </c>
      <c r="AE52" s="72" t="inlineStr">
        <is>
          <t>-</t>
        </is>
      </c>
      <c r="AF52" s="72" t="inlineStr">
        <is>
          <t>-</t>
        </is>
      </c>
      <c r="AG52" s="197">
        <f>(Y52-X52)*1440</f>
        <v/>
      </c>
      <c r="AH52" s="197">
        <f>(Y52-U52)*1440</f>
        <v/>
      </c>
      <c r="AI52" s="197">
        <f>(Z52-X52)*1440</f>
        <v/>
      </c>
      <c r="AJ52" s="197">
        <f>(AA52-Z52)*1440</f>
        <v/>
      </c>
      <c r="AK52" s="197">
        <f>(AB52-AA52)*1440</f>
        <v/>
      </c>
      <c r="AL52" s="197">
        <f>(AD52-AC52)*1440</f>
        <v/>
      </c>
      <c r="AM52" s="197">
        <f>(AE52-AD52)*1440</f>
        <v/>
      </c>
      <c r="AN52" s="197">
        <f>(AF52-AE52)*1440</f>
        <v/>
      </c>
      <c r="AO52" s="197">
        <f>AI52+AJ52+AL52+AM52+AN52</f>
        <v/>
      </c>
      <c r="AP52" s="197">
        <f>(Y52-U52)</f>
        <v/>
      </c>
      <c r="AQ52" s="197">
        <f>(AC52-AB52)</f>
        <v/>
      </c>
      <c r="AR52" s="197">
        <f>AF52-Y52</f>
        <v/>
      </c>
      <c r="AS52" s="197">
        <f>(AF52-W52)</f>
        <v/>
      </c>
      <c r="AT52" s="76">
        <f>E52/AQ52</f>
        <v/>
      </c>
      <c r="AV52" s="38" t="n">
        <v>9601</v>
      </c>
      <c r="AW52" s="379" t="n"/>
      <c r="AZ52" s="195" t="n"/>
    </row>
    <row r="53">
      <c r="A53" s="101" t="n">
        <v>44</v>
      </c>
      <c r="B53" s="44" t="inlineStr">
        <is>
          <t>EVA FUJI</t>
        </is>
      </c>
      <c r="C53" s="73" t="n">
        <v>45876</v>
      </c>
      <c r="D53" s="47" t="n">
        <v>19419.556</v>
      </c>
      <c r="E53" s="47" t="n">
        <v>19419.556</v>
      </c>
      <c r="F53" s="90" t="n">
        <v>53</v>
      </c>
      <c r="G53" s="374">
        <f>+ROUND(D53*F53%,3)</f>
        <v/>
      </c>
      <c r="H53" s="375" t="inlineStr">
        <is>
          <t>PMP</t>
        </is>
      </c>
      <c r="P53" s="47" t="inlineStr">
        <is>
          <t xml:space="preserve">ASIE </t>
        </is>
      </c>
      <c r="Q53" s="73" t="inlineStr">
        <is>
          <t>PAKISTAN</t>
        </is>
      </c>
      <c r="R53" s="81" t="n">
        <v>6</v>
      </c>
      <c r="S53" s="73" t="n">
        <v>45875</v>
      </c>
      <c r="T53" s="73" t="n">
        <v>45879</v>
      </c>
      <c r="U53" s="72" t="n">
        <v>45871.55416666667</v>
      </c>
      <c r="V53" s="72" t="n">
        <v>45871.70833333334</v>
      </c>
      <c r="W53" s="72" t="n">
        <v>45871.70833333334</v>
      </c>
      <c r="X53" s="72" t="n">
        <v>45875.42777777778</v>
      </c>
      <c r="Y53" s="72" t="n">
        <v>45875.55</v>
      </c>
      <c r="Z53" s="72" t="inlineStr">
        <is>
          <t>-</t>
        </is>
      </c>
      <c r="AA53" s="72" t="n">
        <v>45875.59722222222</v>
      </c>
      <c r="AB53" s="72" t="n">
        <v>45875.6625</v>
      </c>
      <c r="AC53" s="72" t="n">
        <v>45876.99583333333</v>
      </c>
      <c r="AD53" s="72" t="n">
        <v>45877.05416666667</v>
      </c>
      <c r="AE53" s="72" t="n">
        <v>45877.06944444445</v>
      </c>
      <c r="AF53" s="72" t="inlineStr">
        <is>
          <t>-</t>
        </is>
      </c>
      <c r="AG53" s="197">
        <f>(Y53-X53)*1440</f>
        <v/>
      </c>
      <c r="AH53" s="197">
        <f>(Y53-U53)*1440</f>
        <v/>
      </c>
      <c r="AI53" s="197">
        <f>(Z53-X53)*1440</f>
        <v/>
      </c>
      <c r="AJ53" s="197">
        <f>(AA53-Z53)*1440</f>
        <v/>
      </c>
      <c r="AK53" s="197">
        <f>(AB53-AA53)*1440</f>
        <v/>
      </c>
      <c r="AL53" s="197">
        <f>(AD53-AC53)*1440</f>
        <v/>
      </c>
      <c r="AM53" s="197">
        <f>(AE53-AD53)*1440</f>
        <v/>
      </c>
      <c r="AN53" s="197">
        <f>(AF53-AE53)*1440</f>
        <v/>
      </c>
      <c r="AO53" s="197">
        <f>AI53+AJ53+AL53+AM53+AN53</f>
        <v/>
      </c>
      <c r="AP53" s="197">
        <f>(Y53-U53)</f>
        <v/>
      </c>
      <c r="AQ53" s="197">
        <f>(AC53-AB53)</f>
        <v/>
      </c>
      <c r="AR53" s="197">
        <f>AF53-Y53</f>
        <v/>
      </c>
      <c r="AS53" s="197">
        <f>(AF53-W53)</f>
        <v/>
      </c>
      <c r="AT53" s="76">
        <f>E53/AQ53</f>
        <v/>
      </c>
      <c r="AV53" s="38" t="n">
        <v>9602</v>
      </c>
      <c r="AW53" s="379" t="n"/>
      <c r="AZ53" s="195" t="n"/>
    </row>
    <row r="54">
      <c r="A54" s="101" t="n">
        <v>45</v>
      </c>
      <c r="B54" s="44" t="inlineStr">
        <is>
          <t>EVA BERGEN</t>
        </is>
      </c>
      <c r="C54" s="73" t="n">
        <v>45879</v>
      </c>
      <c r="D54" s="47" t="n">
        <v>18965.949</v>
      </c>
      <c r="E54" s="47" t="n">
        <v>18965.949</v>
      </c>
      <c r="F54" s="90" t="n">
        <v>53</v>
      </c>
      <c r="G54" s="374">
        <f>+ROUND(D54*F54%,3)</f>
        <v/>
      </c>
      <c r="H54" s="375" t="inlineStr">
        <is>
          <t xml:space="preserve">IMACID </t>
        </is>
      </c>
      <c r="P54" s="47" t="inlineStr">
        <is>
          <t xml:space="preserve">ASIE </t>
        </is>
      </c>
      <c r="Q54" s="73" t="inlineStr">
        <is>
          <t>INDE</t>
        </is>
      </c>
      <c r="R54" s="81" t="n">
        <v>5</v>
      </c>
      <c r="S54" s="73" t="n">
        <v>45877</v>
      </c>
      <c r="T54" s="73" t="n">
        <v>45880</v>
      </c>
      <c r="U54" s="72" t="n">
        <v>45870.00416666667</v>
      </c>
      <c r="V54" s="72" t="n">
        <v>45870.04166666666</v>
      </c>
      <c r="W54" s="72" t="n">
        <v>45870.04166666666</v>
      </c>
      <c r="X54" s="72" t="n">
        <v>45877.46319444444</v>
      </c>
      <c r="Y54" s="72" t="n">
        <v>45877.55833333333</v>
      </c>
      <c r="Z54" s="72" t="n">
        <v>45877.60763888889</v>
      </c>
      <c r="AA54" s="72" t="n">
        <v>45877.64583333334</v>
      </c>
      <c r="AB54" s="72" t="n">
        <v>45877.73333333333</v>
      </c>
      <c r="AC54" s="72" t="n">
        <v>45879.0625</v>
      </c>
      <c r="AD54" s="72" t="n">
        <v>45879.12152777778</v>
      </c>
      <c r="AE54" s="72" t="n">
        <v>45879.13888888889</v>
      </c>
      <c r="AF54" s="72" t="n">
        <v>45879.28819444445</v>
      </c>
      <c r="AG54" s="197">
        <f>(Y54-X54)*1440</f>
        <v/>
      </c>
      <c r="AH54" s="197">
        <f>(Y54-U54)*1440</f>
        <v/>
      </c>
      <c r="AI54" s="197">
        <f>(Z54-X54)*1440</f>
        <v/>
      </c>
      <c r="AJ54" s="197">
        <f>(AA54-Z54)*1440</f>
        <v/>
      </c>
      <c r="AK54" s="197">
        <f>(AB54-AA54)*1440</f>
        <v/>
      </c>
      <c r="AL54" s="197">
        <f>(AD54-AC54)*1440</f>
        <v/>
      </c>
      <c r="AM54" s="197">
        <f>(AE54-AD54)*1440</f>
        <v/>
      </c>
      <c r="AN54" s="197">
        <f>(AF54-AE54)*1440</f>
        <v/>
      </c>
      <c r="AO54" s="197">
        <f>AI54+AJ54+AL54+AM54+AN54</f>
        <v/>
      </c>
      <c r="AP54" s="197">
        <f>(Y54-U54)</f>
        <v/>
      </c>
      <c r="AQ54" s="197">
        <f>(AC54-AB54)</f>
        <v/>
      </c>
      <c r="AR54" s="197">
        <f>AF54-Y54</f>
        <v/>
      </c>
      <c r="AS54" s="197">
        <f>(AF54-W54)</f>
        <v/>
      </c>
      <c r="AT54" s="76">
        <f>E54/AQ54</f>
        <v/>
      </c>
      <c r="AV54" s="38" t="n">
        <v>9603</v>
      </c>
      <c r="AW54" s="379" t="n"/>
      <c r="AZ54" s="195" t="n"/>
    </row>
    <row r="55" ht="15" customHeight="1" s="70">
      <c r="A55" s="101" t="n">
        <v>46</v>
      </c>
      <c r="B55" s="44" t="inlineStr">
        <is>
          <t>CHEMROAD DITA</t>
        </is>
      </c>
      <c r="C55" s="73" t="n">
        <v>45893</v>
      </c>
      <c r="D55" s="47" t="n">
        <v>31498.587</v>
      </c>
      <c r="E55" s="47" t="n">
        <v>31498.587</v>
      </c>
      <c r="F55" s="90" t="n">
        <v>53</v>
      </c>
      <c r="G55" s="374">
        <f>+ROUND(D55*F55%,3)</f>
        <v/>
      </c>
      <c r="H55" s="375" t="inlineStr">
        <is>
          <t>PMP</t>
        </is>
      </c>
      <c r="P55" s="47" t="inlineStr">
        <is>
          <t xml:space="preserve">ASIE </t>
        </is>
      </c>
      <c r="Q55" s="73" t="inlineStr">
        <is>
          <t>PAKISTAN</t>
        </is>
      </c>
      <c r="R55" s="81" t="inlineStr">
        <is>
          <t>6/4BIS</t>
        </is>
      </c>
      <c r="S55" s="73" t="n">
        <v>45887</v>
      </c>
      <c r="T55" s="73" t="n">
        <v>45890</v>
      </c>
      <c r="U55" s="72" t="n">
        <v>45889.5</v>
      </c>
      <c r="V55" s="72" t="n">
        <v>45889.55833333333</v>
      </c>
      <c r="W55" s="72" t="n">
        <v>45889.55833333333</v>
      </c>
      <c r="X55" s="72" t="n">
        <v>45889.73125</v>
      </c>
      <c r="Y55" s="72" t="n">
        <v>45889.79166666666</v>
      </c>
      <c r="Z55" s="72" t="n">
        <v>45889.81944444445</v>
      </c>
      <c r="AA55" s="72" t="n">
        <v>45889.83333333334</v>
      </c>
      <c r="AB55" s="72" t="n">
        <v>45889.89583333334</v>
      </c>
      <c r="AC55" s="72" t="n">
        <v>45893.08333333334</v>
      </c>
      <c r="AD55" s="72" t="n">
        <v>45893.15625</v>
      </c>
      <c r="AE55" s="72" t="n">
        <v>45893.18055555555</v>
      </c>
      <c r="AF55" s="72" t="n">
        <v>45893.32291666666</v>
      </c>
      <c r="AG55" s="197">
        <f>(Y55-X55)*1440</f>
        <v/>
      </c>
      <c r="AH55" s="197">
        <f>(Y55-U55)*1440</f>
        <v/>
      </c>
      <c r="AI55" s="197">
        <f>(Z55-X55)*1440</f>
        <v/>
      </c>
      <c r="AJ55" s="197">
        <f>(AA55-Z55)*1440</f>
        <v/>
      </c>
      <c r="AK55" s="197">
        <f>(AB55-AA55)*1440</f>
        <v/>
      </c>
      <c r="AL55" s="197">
        <f>(AD55-AC55)*1440</f>
        <v/>
      </c>
      <c r="AM55" s="197">
        <f>(AE55-AD55)*1440</f>
        <v/>
      </c>
      <c r="AN55" s="197">
        <f>(AF55-AE55)*1440</f>
        <v/>
      </c>
      <c r="AO55" s="197">
        <f>AI55+AJ55+AL55+AM55+AN55</f>
        <v/>
      </c>
      <c r="AP55" s="197">
        <f>(Y55-U55)</f>
        <v/>
      </c>
      <c r="AQ55" s="197">
        <f>(AC55-AB55)</f>
        <v/>
      </c>
      <c r="AR55" s="197">
        <f>AF55-Y55</f>
        <v/>
      </c>
      <c r="AS55" s="197">
        <f>(AF55-W55)</f>
        <v/>
      </c>
      <c r="AT55" s="76">
        <f>E55/AQ55</f>
        <v/>
      </c>
      <c r="AV55" s="38" t="n">
        <v>9604</v>
      </c>
      <c r="AW55" s="379" t="n"/>
      <c r="AZ55" s="195" t="n"/>
    </row>
    <row r="56">
      <c r="A56" s="101" t="n">
        <v>47</v>
      </c>
      <c r="B56" s="44" t="inlineStr">
        <is>
          <t>GINGA COUGAR</t>
        </is>
      </c>
      <c r="C56" s="73" t="n">
        <v>45895</v>
      </c>
      <c r="D56" s="47" t="n">
        <v>24523.237</v>
      </c>
      <c r="E56" s="47" t="n">
        <v>24523.237</v>
      </c>
      <c r="F56" s="90" t="n">
        <v>53</v>
      </c>
      <c r="G56" s="374">
        <f>+ROUND(D56*F56%,3)</f>
        <v/>
      </c>
      <c r="H56" s="375" t="inlineStr">
        <is>
          <t xml:space="preserve">IMACID </t>
        </is>
      </c>
      <c r="P56" s="47" t="inlineStr">
        <is>
          <t xml:space="preserve">ASIE </t>
        </is>
      </c>
      <c r="Q56" s="73" t="inlineStr">
        <is>
          <t>INDE</t>
        </is>
      </c>
      <c r="R56" s="81" t="inlineStr">
        <is>
          <t>4BIS</t>
        </is>
      </c>
      <c r="S56" s="73" t="n">
        <v>45887</v>
      </c>
      <c r="T56" s="73" t="n">
        <v>45890</v>
      </c>
      <c r="U56" s="72" t="n">
        <v>45891.4375</v>
      </c>
      <c r="V56" s="72" t="n">
        <v>45891.47222222222</v>
      </c>
      <c r="W56" s="72" t="n">
        <v>45891.47222222222</v>
      </c>
      <c r="X56" s="72" t="n">
        <v>45893.29375</v>
      </c>
      <c r="Y56" s="72" t="n">
        <v>45893.38194444445</v>
      </c>
      <c r="Z56" s="72" t="n">
        <v>45893.39930555555</v>
      </c>
      <c r="AA56" s="72" t="n">
        <v>45893.4375</v>
      </c>
      <c r="AB56" s="72" t="n">
        <v>45893.48958333334</v>
      </c>
      <c r="AC56" s="72" t="n">
        <v>45895.50694444445</v>
      </c>
      <c r="AD56" s="72" t="n">
        <v>45895.5625</v>
      </c>
      <c r="AE56" s="72" t="n">
        <v>45895.59027777778</v>
      </c>
      <c r="AF56" s="72" t="n">
        <v>45895.67708333334</v>
      </c>
      <c r="AG56" s="197">
        <f>(Y56-X56)*1440</f>
        <v/>
      </c>
      <c r="AH56" s="197">
        <f>(Y56-U56)*1440</f>
        <v/>
      </c>
      <c r="AI56" s="197">
        <f>(Z56-X56)*1440</f>
        <v/>
      </c>
      <c r="AJ56" s="197">
        <f>(AA56-Z56)*1440</f>
        <v/>
      </c>
      <c r="AK56" s="197">
        <f>(AB56-AA56)*1440</f>
        <v/>
      </c>
      <c r="AL56" s="197">
        <f>(AD56-AC56)*1440</f>
        <v/>
      </c>
      <c r="AM56" s="197">
        <f>(AE56-AD56)*1440</f>
        <v/>
      </c>
      <c r="AN56" s="197">
        <f>(AF56-AE56)*1440</f>
        <v/>
      </c>
      <c r="AO56" s="197">
        <f>AI56+AJ56+AL56+AM56+AN56</f>
        <v/>
      </c>
      <c r="AP56" s="197">
        <f>(Y56-U56)</f>
        <v/>
      </c>
      <c r="AQ56" s="197">
        <f>(AC56-AB56)</f>
        <v/>
      </c>
      <c r="AR56" s="197">
        <f>AF56-Y56</f>
        <v/>
      </c>
      <c r="AS56" s="197">
        <f>(AF56-W56)</f>
        <v/>
      </c>
      <c r="AT56" s="76">
        <f>E56/AQ56</f>
        <v/>
      </c>
      <c r="AV56" s="38" t="n">
        <v>9605</v>
      </c>
      <c r="AW56" s="379" t="n"/>
      <c r="AZ56" s="195" t="n"/>
    </row>
    <row r="57" ht="15" customHeight="1" s="70">
      <c r="A57" s="101" t="n">
        <v>48</v>
      </c>
      <c r="B57" s="44" t="inlineStr">
        <is>
          <t>RICHMOND PARK</t>
        </is>
      </c>
      <c r="C57" s="73" t="n">
        <v>45898</v>
      </c>
      <c r="D57" s="47" t="n">
        <v>19926.685</v>
      </c>
      <c r="E57" s="47" t="n">
        <v>19926.685</v>
      </c>
      <c r="F57" s="90" t="n">
        <v>53</v>
      </c>
      <c r="G57" s="374">
        <f>+ROUND(D57*F57%,3)</f>
        <v/>
      </c>
      <c r="H57" s="375" t="inlineStr">
        <is>
          <t>PMP</t>
        </is>
      </c>
      <c r="P57" s="47" t="inlineStr">
        <is>
          <t xml:space="preserve">ASIE </t>
        </is>
      </c>
      <c r="Q57" s="73" t="inlineStr">
        <is>
          <t>PAKISTAN</t>
        </is>
      </c>
      <c r="R57" s="81" t="inlineStr">
        <is>
          <t>4BIS</t>
        </is>
      </c>
      <c r="S57" s="73" t="n">
        <v>45895</v>
      </c>
      <c r="T57" s="73" t="n">
        <v>45898</v>
      </c>
      <c r="U57" s="72" t="n">
        <v>45892.89583333334</v>
      </c>
      <c r="V57" s="72" t="n">
        <v>45893.00069444445</v>
      </c>
      <c r="W57" s="72" t="n">
        <v>45893.00069444445</v>
      </c>
      <c r="X57" s="72" t="n">
        <v>45896.32291666666</v>
      </c>
      <c r="Y57" s="72" t="n">
        <v>45896.36666666667</v>
      </c>
      <c r="Z57" s="72" t="n">
        <v>45896.39236111111</v>
      </c>
      <c r="AA57" s="72" t="n">
        <v>45896.42013888889</v>
      </c>
      <c r="AB57" s="72" t="n">
        <v>45896.46180555555</v>
      </c>
      <c r="AC57" s="72" t="n">
        <v>45898.04652777778</v>
      </c>
      <c r="AD57" s="72" t="n">
        <v>45898.08680555555</v>
      </c>
      <c r="AE57" s="72" t="n">
        <v>45898.13888888889</v>
      </c>
      <c r="AF57" s="72" t="inlineStr">
        <is>
          <t>-</t>
        </is>
      </c>
      <c r="AG57" s="197">
        <f>(Y57-X57)*1440</f>
        <v/>
      </c>
      <c r="AH57" s="197">
        <f>(Y57-U57)*1440</f>
        <v/>
      </c>
      <c r="AI57" s="197">
        <f>(Z57-X57)*1440</f>
        <v/>
      </c>
      <c r="AJ57" s="197">
        <f>(AA57-Z57)*1440</f>
        <v/>
      </c>
      <c r="AK57" s="197">
        <f>(AB57-AA57)*1440</f>
        <v/>
      </c>
      <c r="AL57" s="197">
        <f>(AD57-AC57)*1440</f>
        <v/>
      </c>
      <c r="AM57" s="197">
        <f>(AE57-AD57)*1440</f>
        <v/>
      </c>
      <c r="AN57" s="197">
        <f>(AF57-AE57)*1440</f>
        <v/>
      </c>
      <c r="AO57" s="197">
        <f>AI57+AJ57+AL57+AM57+AN57</f>
        <v/>
      </c>
      <c r="AP57" s="197">
        <f>(Y57-U57)</f>
        <v/>
      </c>
      <c r="AQ57" s="197">
        <f>(AC57-AB57)</f>
        <v/>
      </c>
      <c r="AR57" s="197">
        <f>AF57-Y57</f>
        <v/>
      </c>
      <c r="AS57" s="197">
        <f>(AF57-W57)</f>
        <v/>
      </c>
      <c r="AT57" s="76">
        <f>E57/AQ57</f>
        <v/>
      </c>
      <c r="AV57" s="38" t="n">
        <v>9606</v>
      </c>
      <c r="AW57" s="379" t="n"/>
      <c r="AZ57" s="195" t="n"/>
    </row>
    <row r="58">
      <c r="A58" s="101" t="n">
        <v>49</v>
      </c>
      <c r="B58" s="44" t="inlineStr">
        <is>
          <t>KAMUI GALAXY</t>
        </is>
      </c>
      <c r="C58" s="73" t="n">
        <v>45901</v>
      </c>
      <c r="D58" s="47" t="n">
        <v>25014</v>
      </c>
      <c r="E58" s="47" t="n">
        <v>25014</v>
      </c>
      <c r="F58" s="90" t="n">
        <v>53</v>
      </c>
      <c r="G58" s="374">
        <f>+ROUND(D58*F58%,3)</f>
        <v/>
      </c>
      <c r="H58" s="375" t="inlineStr">
        <is>
          <t xml:space="preserve">IMACID </t>
        </is>
      </c>
      <c r="P58" s="47" t="inlineStr">
        <is>
          <t xml:space="preserve">ASIE </t>
        </is>
      </c>
      <c r="Q58" s="73" t="inlineStr">
        <is>
          <t>INDE</t>
        </is>
      </c>
      <c r="R58" s="81" t="n">
        <v>6</v>
      </c>
      <c r="S58" s="73" t="n">
        <v>45896</v>
      </c>
      <c r="T58" s="73" t="n">
        <v>45898</v>
      </c>
      <c r="U58" s="72" t="n">
        <v>45895.625</v>
      </c>
      <c r="V58" s="72" t="n">
        <v>45896.00069444445</v>
      </c>
      <c r="W58" s="72" t="n">
        <v>45896.00069444445</v>
      </c>
      <c r="X58" s="72" t="n">
        <v>45898.625</v>
      </c>
      <c r="Y58" s="72" t="n">
        <v>45898.70833333334</v>
      </c>
      <c r="Z58" s="72" t="n">
        <v>45898.72222222222</v>
      </c>
      <c r="AA58" s="72" t="n">
        <v>45898.75347222222</v>
      </c>
      <c r="AB58" s="72" t="n">
        <v>45898.85416666666</v>
      </c>
      <c r="AC58" s="72" t="n">
        <v>45901.84166666667</v>
      </c>
      <c r="AD58" s="72" t="n">
        <v>45901.88888888889</v>
      </c>
      <c r="AE58" s="72" t="n">
        <v>45901.89583333334</v>
      </c>
      <c r="AF58" s="72" t="n">
        <v>45901.94027777778</v>
      </c>
      <c r="AG58" s="197">
        <f>(Y58-X58)*1440</f>
        <v/>
      </c>
      <c r="AH58" s="197">
        <f>(Y58-U58)*1440</f>
        <v/>
      </c>
      <c r="AI58" s="197">
        <f>(Z58-X58)*1440</f>
        <v/>
      </c>
      <c r="AJ58" s="197">
        <f>(AA58-Z58)*1440</f>
        <v/>
      </c>
      <c r="AK58" s="197">
        <f>(AB58-AA58)*1440</f>
        <v/>
      </c>
      <c r="AL58" s="197">
        <f>(AD58-AC58)*1440</f>
        <v/>
      </c>
      <c r="AM58" s="197">
        <f>(AE58-AD58)*1440</f>
        <v/>
      </c>
      <c r="AN58" s="197">
        <f>(AF58-AE58)*1440</f>
        <v/>
      </c>
      <c r="AO58" s="197">
        <f>AI58+AJ58+AL58+AM58+AN58</f>
        <v/>
      </c>
      <c r="AP58" s="197">
        <f>(Y58-U58)</f>
        <v/>
      </c>
      <c r="AQ58" s="197">
        <f>(AC58-AB58)</f>
        <v/>
      </c>
      <c r="AR58" s="197">
        <f>AF58-Y58</f>
        <v/>
      </c>
      <c r="AS58" s="197">
        <f>(AF58-W58)</f>
        <v/>
      </c>
      <c r="AT58" s="76">
        <f>E58/AQ58</f>
        <v/>
      </c>
      <c r="AV58" s="38" t="n">
        <v>9607</v>
      </c>
      <c r="AW58" s="379" t="n"/>
      <c r="AZ58" s="195" t="n"/>
    </row>
    <row r="59">
      <c r="A59" s="101" t="n">
        <v>50</v>
      </c>
      <c r="B59" s="44" t="inlineStr">
        <is>
          <t>CHEMROAD SAKURA</t>
        </is>
      </c>
      <c r="C59" s="73" t="n">
        <v>45910</v>
      </c>
      <c r="D59" s="47" t="n">
        <v>31437.675</v>
      </c>
      <c r="E59" s="47" t="n">
        <v>31437.675</v>
      </c>
      <c r="F59" s="90" t="n">
        <v>53</v>
      </c>
      <c r="G59" s="374">
        <f>+ROUND(D59*F59%,3)</f>
        <v/>
      </c>
      <c r="H59" s="375" t="inlineStr">
        <is>
          <t>PMP</t>
        </is>
      </c>
      <c r="P59" s="47" t="inlineStr">
        <is>
          <t xml:space="preserve">ASIE </t>
        </is>
      </c>
      <c r="Q59" s="73" t="inlineStr">
        <is>
          <t>PAKISTAN</t>
        </is>
      </c>
      <c r="R59" s="81" t="n">
        <v>6</v>
      </c>
      <c r="S59" s="73" t="n">
        <v>45907</v>
      </c>
      <c r="T59" s="73" t="n">
        <v>45910</v>
      </c>
      <c r="U59" s="72" t="n">
        <v>45906.33333333334</v>
      </c>
      <c r="V59" s="72" t="n">
        <v>45907.00069444445</v>
      </c>
      <c r="W59" s="72" t="n">
        <v>45907.00069444445</v>
      </c>
      <c r="X59" s="72" t="n">
        <v>45908.11458333334</v>
      </c>
      <c r="Y59" s="72" t="n">
        <v>45908.1875</v>
      </c>
      <c r="Z59" s="72" t="n">
        <v>45908.21666666667</v>
      </c>
      <c r="AA59" s="72" t="n">
        <v>45908.24305555555</v>
      </c>
      <c r="AB59" s="72" t="n">
        <v>45908.3</v>
      </c>
      <c r="AC59" s="72" t="n">
        <v>45910.51666666667</v>
      </c>
      <c r="AD59" s="72" t="n">
        <v>45910.57638888889</v>
      </c>
      <c r="AE59" s="72" t="n">
        <v>45910.59722222222</v>
      </c>
      <c r="AF59" s="72" t="n">
        <v>45910.69444444445</v>
      </c>
      <c r="AG59" s="197">
        <f>(Y59-X59)*1440</f>
        <v/>
      </c>
      <c r="AH59" s="197">
        <f>(Y59-U59)*1440</f>
        <v/>
      </c>
      <c r="AI59" s="197">
        <f>(Z59-X59)*1440</f>
        <v/>
      </c>
      <c r="AJ59" s="197">
        <f>(AA59-Z59)*1440</f>
        <v/>
      </c>
      <c r="AK59" s="197">
        <f>(AB59-AA59)*1440</f>
        <v/>
      </c>
      <c r="AL59" s="197">
        <f>(AD59-AC59)*1440</f>
        <v/>
      </c>
      <c r="AM59" s="197">
        <f>(AE59-AD59)*1440</f>
        <v/>
      </c>
      <c r="AN59" s="197">
        <f>(AF59-AE59)*1440</f>
        <v/>
      </c>
      <c r="AO59" s="197">
        <f>AI59+AJ59+AL59+AM59+AN59</f>
        <v/>
      </c>
      <c r="AP59" s="197">
        <f>(Y59-U59)</f>
        <v/>
      </c>
      <c r="AQ59" s="197">
        <f>(AC59-AB59)</f>
        <v/>
      </c>
      <c r="AR59" s="197">
        <f>AF59-Y59</f>
        <v/>
      </c>
      <c r="AS59" s="197">
        <f>(AF59-W59)</f>
        <v/>
      </c>
      <c r="AT59" s="76">
        <f>E59/AQ59</f>
        <v/>
      </c>
      <c r="AV59" s="38" t="n">
        <v>9608</v>
      </c>
      <c r="AW59" s="379" t="n"/>
      <c r="AZ59" s="195" t="n"/>
    </row>
    <row r="60">
      <c r="A60" s="101" t="n">
        <v>51</v>
      </c>
      <c r="B60" s="44" t="inlineStr">
        <is>
          <t xml:space="preserve">JIPRO NEFTIS </t>
        </is>
      </c>
      <c r="C60" s="73" t="n">
        <v>45918</v>
      </c>
      <c r="D60" s="47" t="n">
        <v>31488.528</v>
      </c>
      <c r="E60" s="47" t="n">
        <v>31488.528</v>
      </c>
      <c r="F60" s="90" t="n">
        <v>53</v>
      </c>
      <c r="G60" s="374">
        <f>+ROUND(D60*F60%,3)</f>
        <v/>
      </c>
      <c r="H60" s="375" t="inlineStr">
        <is>
          <t xml:space="preserve">IMACID </t>
        </is>
      </c>
      <c r="P60" s="47" t="inlineStr">
        <is>
          <t xml:space="preserve">ASIE </t>
        </is>
      </c>
      <c r="Q60" s="73" t="inlineStr">
        <is>
          <t>INDE</t>
        </is>
      </c>
      <c r="R60" s="81" t="n">
        <v>6</v>
      </c>
      <c r="S60" s="73" t="n">
        <v>45911</v>
      </c>
      <c r="T60" s="73" t="n">
        <v>45914</v>
      </c>
      <c r="U60" s="72" t="n">
        <v>45913.61458333334</v>
      </c>
      <c r="V60" s="72" t="n">
        <v>45913.65625</v>
      </c>
      <c r="W60" s="72" t="n">
        <v>45913.65625</v>
      </c>
      <c r="X60" s="72" t="n">
        <v>45916.44930555556</v>
      </c>
      <c r="Y60" s="72" t="n">
        <v>45916.5</v>
      </c>
      <c r="Z60" s="72" t="n">
        <v>45916.53472222222</v>
      </c>
      <c r="AA60" s="72" t="n">
        <v>45916.57638888889</v>
      </c>
      <c r="AB60" s="72" t="n">
        <v>45916.67013888889</v>
      </c>
      <c r="AC60" s="72" t="n">
        <v>45918.89930555555</v>
      </c>
      <c r="AD60" s="72" t="n">
        <v>45918.96527777778</v>
      </c>
      <c r="AE60" s="72" t="n">
        <v>45918.99652777778</v>
      </c>
      <c r="AF60" s="72" t="n">
        <v>45919.07083333333</v>
      </c>
      <c r="AG60" s="197">
        <f>(Y60-X60)*1440</f>
        <v/>
      </c>
      <c r="AH60" s="197">
        <f>(Y60-U60)*1440</f>
        <v/>
      </c>
      <c r="AI60" s="197">
        <f>(Z60-X60)*1440</f>
        <v/>
      </c>
      <c r="AJ60" s="197">
        <f>(AA60-Z60)*1440</f>
        <v/>
      </c>
      <c r="AK60" s="197">
        <f>(AB60-AA60)*1440</f>
        <v/>
      </c>
      <c r="AL60" s="197">
        <f>(AD60-AC60)*1440</f>
        <v/>
      </c>
      <c r="AM60" s="197">
        <f>(AE60-AD60)*1440</f>
        <v/>
      </c>
      <c r="AN60" s="197">
        <f>(AF60-AE60)*1440</f>
        <v/>
      </c>
      <c r="AO60" s="197">
        <f>AI60+AJ60+AL60+AM60+AN60</f>
        <v/>
      </c>
      <c r="AP60" s="197">
        <f>(Y60-U60)</f>
        <v/>
      </c>
      <c r="AQ60" s="197">
        <f>(AC60-AB60)</f>
        <v/>
      </c>
      <c r="AR60" s="197">
        <f>AF60-Y60</f>
        <v/>
      </c>
      <c r="AS60" s="197">
        <f>(AF60-W60)</f>
        <v/>
      </c>
      <c r="AT60" s="76">
        <f>E60/AQ60</f>
        <v/>
      </c>
      <c r="AV60" s="38" t="n">
        <v>9609</v>
      </c>
      <c r="AW60" s="379" t="n"/>
    </row>
    <row r="61">
      <c r="A61" s="101" t="n">
        <v>52</v>
      </c>
      <c r="B61" s="44" t="inlineStr">
        <is>
          <t>EVA RICHWAY</t>
        </is>
      </c>
      <c r="C61" s="73" t="n">
        <v>45921</v>
      </c>
      <c r="D61" s="47" t="n">
        <v>19369.028</v>
      </c>
      <c r="E61" s="47" t="n">
        <v>19369.028</v>
      </c>
      <c r="F61" s="90" t="n">
        <v>53</v>
      </c>
      <c r="G61" s="374">
        <f>+ROUND(D61*F61%,3)</f>
        <v/>
      </c>
      <c r="H61" s="375" t="inlineStr">
        <is>
          <t>PMP</t>
        </is>
      </c>
      <c r="P61" s="47" t="inlineStr">
        <is>
          <t xml:space="preserve">ASIE </t>
        </is>
      </c>
      <c r="Q61" s="73" t="inlineStr">
        <is>
          <t>PAKISTAN</t>
        </is>
      </c>
      <c r="R61" s="81" t="n">
        <v>6</v>
      </c>
      <c r="S61" s="73" t="n"/>
      <c r="T61" s="73" t="n"/>
      <c r="U61" s="72" t="n"/>
      <c r="V61" s="72" t="n"/>
      <c r="W61" s="72" t="n"/>
      <c r="X61" s="72" t="n"/>
      <c r="Y61" s="72" t="n"/>
      <c r="Z61" s="72" t="n"/>
      <c r="AA61" s="72" t="n"/>
      <c r="AB61" s="72" t="n"/>
      <c r="AC61" s="72" t="n"/>
      <c r="AD61" s="72" t="n"/>
      <c r="AE61" s="72" t="n"/>
      <c r="AF61" s="72" t="n"/>
      <c r="AG61" s="197">
        <f>(Y61-X61)*1440</f>
        <v/>
      </c>
      <c r="AH61" s="197">
        <f>(Y61-U61)*1440</f>
        <v/>
      </c>
      <c r="AI61" s="197">
        <f>(Z61-X61)*1440</f>
        <v/>
      </c>
      <c r="AJ61" s="197">
        <f>(AA61-Z61)*1440</f>
        <v/>
      </c>
      <c r="AK61" s="197">
        <f>(AB61-AA61)*1440</f>
        <v/>
      </c>
      <c r="AL61" s="197">
        <f>(AD61-AC61)*1440</f>
        <v/>
      </c>
      <c r="AM61" s="197">
        <f>(AE61-AD61)*1440</f>
        <v/>
      </c>
      <c r="AN61" s="197">
        <f>(AF61-AE61)*1440</f>
        <v/>
      </c>
      <c r="AO61" s="197">
        <f>AI61+AJ61+AL61+AM61+AN61</f>
        <v/>
      </c>
      <c r="AP61" s="197">
        <f>(Y61-U61)</f>
        <v/>
      </c>
      <c r="AQ61" s="197">
        <f>(AC61-AB61)</f>
        <v/>
      </c>
      <c r="AR61" s="197">
        <f>AF61-Y61</f>
        <v/>
      </c>
      <c r="AS61" s="197">
        <f>(AF61-W61)</f>
        <v/>
      </c>
      <c r="AT61" s="76">
        <f>E61/AQ61</f>
        <v/>
      </c>
      <c r="AV61" s="38" t="n">
        <v>9610</v>
      </c>
      <c r="AW61" s="379" t="n"/>
    </row>
    <row r="62">
      <c r="A62" s="101" t="n">
        <v>53</v>
      </c>
      <c r="B62" s="44" t="inlineStr">
        <is>
          <t>GINGA ENDURANCE</t>
        </is>
      </c>
      <c r="C62" s="73" t="n">
        <v>45923</v>
      </c>
      <c r="D62" s="47" t="n">
        <v>9801.888999999999</v>
      </c>
      <c r="E62" s="47" t="n">
        <v>9801.888999999999</v>
      </c>
      <c r="F62" s="90" t="n">
        <v>53</v>
      </c>
      <c r="G62" s="374">
        <f>+ROUND(D62*F62%,3)</f>
        <v/>
      </c>
      <c r="H62" s="375" t="inlineStr">
        <is>
          <t xml:space="preserve">IMACID </t>
        </is>
      </c>
      <c r="P62" s="47" t="inlineStr">
        <is>
          <t xml:space="preserve">ASIE </t>
        </is>
      </c>
      <c r="Q62" s="73" t="inlineStr">
        <is>
          <t>INDE</t>
        </is>
      </c>
      <c r="R62" s="81" t="n">
        <v>6</v>
      </c>
      <c r="S62" s="73" t="n"/>
      <c r="T62" s="73" t="n"/>
      <c r="U62" s="72" t="n"/>
      <c r="V62" s="72" t="n"/>
      <c r="W62" s="72" t="n"/>
      <c r="X62" s="72" t="n"/>
      <c r="Y62" s="72" t="n"/>
      <c r="Z62" s="72" t="n"/>
      <c r="AA62" s="72" t="n"/>
      <c r="AB62" s="72" t="n"/>
      <c r="AC62" s="72" t="n"/>
      <c r="AD62" s="72" t="n"/>
      <c r="AE62" s="72" t="n"/>
      <c r="AF62" s="72" t="n"/>
      <c r="AG62" s="197">
        <f>(Y62-X62)*1440</f>
        <v/>
      </c>
      <c r="AH62" s="197">
        <f>(Y62-U62)*1440</f>
        <v/>
      </c>
      <c r="AI62" s="197">
        <f>(Z62-X62)*1440</f>
        <v/>
      </c>
      <c r="AJ62" s="197">
        <f>(AA62-Z62)*1440</f>
        <v/>
      </c>
      <c r="AK62" s="197">
        <f>(AB62-AA62)*1440</f>
        <v/>
      </c>
      <c r="AL62" s="197">
        <f>(AD62-AC62)*1440</f>
        <v/>
      </c>
      <c r="AM62" s="197">
        <f>(AE62-AD62)*1440</f>
        <v/>
      </c>
      <c r="AN62" s="197">
        <f>(AF62-AE62)*1440</f>
        <v/>
      </c>
      <c r="AO62" s="197">
        <f>AI62+AJ62+AL62+AM62+AN62</f>
        <v/>
      </c>
      <c r="AP62" s="197">
        <f>(Y62-U62)</f>
        <v/>
      </c>
      <c r="AQ62" s="197">
        <f>(AC62-AB62)</f>
        <v/>
      </c>
      <c r="AR62" s="197">
        <f>AF62-Y62</f>
        <v/>
      </c>
      <c r="AS62" s="197">
        <f>(AF62-W62)</f>
        <v/>
      </c>
      <c r="AT62" s="76">
        <f>E62/AQ62</f>
        <v/>
      </c>
      <c r="AV62" s="38" t="n">
        <v>9611</v>
      </c>
      <c r="AW62" s="379" t="n"/>
    </row>
    <row r="63">
      <c r="A63" s="101" t="n"/>
      <c r="B63" s="44" t="n"/>
      <c r="C63" s="15" t="n"/>
      <c r="D63" s="47" t="n"/>
      <c r="E63" s="47" t="n"/>
      <c r="F63" s="90" t="n"/>
      <c r="G63" s="374" t="n"/>
      <c r="H63" s="375" t="n"/>
      <c r="P63" s="47" t="n"/>
      <c r="Q63" s="73" t="n"/>
      <c r="R63" s="81" t="n"/>
      <c r="S63" s="73" t="n"/>
      <c r="T63" s="73" t="n"/>
      <c r="U63" s="72" t="n"/>
      <c r="V63" s="72" t="n"/>
      <c r="W63" s="72" t="n"/>
      <c r="X63" s="72" t="n"/>
      <c r="Y63" s="72" t="n"/>
      <c r="Z63" s="72" t="n"/>
      <c r="AA63" s="72" t="n"/>
      <c r="AB63" s="72" t="n"/>
      <c r="AC63" s="72" t="n"/>
      <c r="AD63" s="72" t="n"/>
      <c r="AE63" s="72" t="n"/>
      <c r="AF63" s="72" t="n"/>
      <c r="AG63" s="197" t="n"/>
      <c r="AH63" s="197" t="n"/>
      <c r="AI63" s="197" t="n"/>
      <c r="AJ63" s="197" t="n"/>
      <c r="AK63" s="197" t="n"/>
      <c r="AL63" s="197" t="n"/>
      <c r="AM63" s="197" t="n"/>
      <c r="AN63" s="197" t="n"/>
      <c r="AO63" s="197" t="n"/>
      <c r="AP63" s="197" t="n"/>
      <c r="AQ63" s="197" t="n"/>
      <c r="AR63" s="197" t="n"/>
      <c r="AS63" s="197" t="n"/>
      <c r="AT63" s="76" t="n"/>
      <c r="AV63" s="38" t="n"/>
      <c r="AW63" s="379" t="n"/>
    </row>
  </sheetData>
  <autoFilter ref="A1:BX44"/>
  <dataValidations count="3">
    <dataValidation sqref="P1" showDropDown="0" showInputMessage="1" showErrorMessage="1" allowBlank="0" type="list">
      <formula1>"ASIE,AFRIQUE,EUROPE,AMERIQUE LATINE"</formula1>
    </dataValidation>
    <dataValidation sqref="H1" showDropDown="0" showInputMessage="1" showErrorMessage="1" allowBlank="1" type="list">
      <formula1>"JFC 1,JFC 2,JFC 3,JFC 4,JFC 5,OCP"</formula1>
    </dataValidation>
    <dataValidation sqref="I1" showDropDown="0" showInputMessage="1" showErrorMessage="1" allowBlank="0" type="list">
      <formula1>"FOB,CFR,DAT,DAP,CIF,EXW"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H12" sqref="H12"/>
    </sheetView>
  </sheetViews>
  <sheetFormatPr baseColWidth="10" defaultRowHeight="14.4"/>
  <cols>
    <col width="5.44140625" customWidth="1" style="70" min="1" max="1"/>
  </cols>
  <sheetData>
    <row r="1">
      <c r="A1" s="1" t="inlineStr">
        <is>
          <t>N</t>
        </is>
      </c>
    </row>
    <row r="2">
      <c r="A2" s="54" t="n">
        <v>1</v>
      </c>
      <c r="C2" t="inlineStr">
        <is>
          <t>1TER</t>
        </is>
      </c>
      <c r="D2" t="inlineStr">
        <is>
          <t>16S</t>
        </is>
      </c>
    </row>
    <row r="3">
      <c r="A3" s="54" t="n">
        <v>2</v>
      </c>
      <c r="B3" s="343" t="inlineStr">
        <is>
          <t>HADELAND</t>
        </is>
      </c>
      <c r="C3" t="n">
        <v>4138</v>
      </c>
      <c r="D3" t="n">
        <v>4353</v>
      </c>
    </row>
    <row r="4">
      <c r="A4" s="54" t="n"/>
    </row>
    <row r="5">
      <c r="A5" s="54" t="n">
        <v>3</v>
      </c>
    </row>
    <row r="6">
      <c r="A6" s="54" t="n">
        <v>4</v>
      </c>
    </row>
    <row r="7">
      <c r="A7" s="54" t="n">
        <v>5</v>
      </c>
    </row>
    <row r="8">
      <c r="A8" s="54" t="n">
        <v>6</v>
      </c>
    </row>
    <row r="9">
      <c r="A9" s="54" t="n">
        <v>7</v>
      </c>
    </row>
    <row r="10">
      <c r="A10" s="54" t="n">
        <v>8</v>
      </c>
    </row>
    <row r="11">
      <c r="A11" s="54" t="n">
        <v>9</v>
      </c>
    </row>
    <row r="12">
      <c r="A12" s="54" t="n"/>
    </row>
    <row r="13">
      <c r="A13" s="54" t="n">
        <v>10</v>
      </c>
    </row>
    <row r="14">
      <c r="A14" s="54" t="n"/>
    </row>
    <row r="15">
      <c r="A15" s="54" t="n">
        <v>11</v>
      </c>
    </row>
    <row r="16">
      <c r="A16" s="54" t="n">
        <v>12</v>
      </c>
    </row>
    <row r="18">
      <c r="A18" s="83" t="n">
        <v>13</v>
      </c>
    </row>
    <row r="19">
      <c r="A19" s="83" t="n">
        <v>14</v>
      </c>
    </row>
    <row r="20">
      <c r="A20" s="83" t="n"/>
    </row>
    <row r="21">
      <c r="A21" s="83" t="n">
        <v>15</v>
      </c>
    </row>
    <row r="22">
      <c r="A22" s="83" t="n">
        <v>16</v>
      </c>
    </row>
    <row r="23">
      <c r="A23" s="83" t="n">
        <v>17</v>
      </c>
    </row>
    <row r="24">
      <c r="A24" s="83" t="n">
        <v>18</v>
      </c>
    </row>
    <row r="25">
      <c r="A25" s="83" t="n"/>
    </row>
    <row r="26">
      <c r="A26" s="83" t="n"/>
    </row>
    <row r="27">
      <c r="A27" s="8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Imane Atrag (COMATAM)</dc:creator>
  <dcterms:created xmlns:dcterms="http://purl.org/dc/terms/" xmlns:xsi="http://www.w3.org/2001/XMLSchema-instance" xsi:type="dcterms:W3CDTF">2025-01-08T08:46:57Z</dcterms:created>
  <dcterms:modified xmlns:dcterms="http://purl.org/dc/terms/" xmlns:xsi="http://www.w3.org/2001/XMLSchema-instance" xsi:type="dcterms:W3CDTF">2025-12-01T14:31:54Z</dcterms:modified>
  <cp:lastModifiedBy>NIZAR</cp:lastModifiedBy>
</cp:coreProperties>
</file>